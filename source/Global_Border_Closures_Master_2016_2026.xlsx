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6e5db392f64766" /></Relationships>
</file>

<file path=xl/workbook.xml><?xml version="1.0" encoding="utf-8"?>
<x:workbook xmlns:x="http://schemas.openxmlformats.org/spreadsheetml/2006/main">
  <x:sheets>
    <x:sheet xmlns:r="http://schemas.openxmlformats.org/officeDocument/2006/relationships" name="Closures" sheetId="1" r:id="R27487909dee74ade"/>
    <x:sheet xmlns:r="http://schemas.openxmlformats.org/officeDocument/2006/relationships" name="Methodology" sheetId="2" r:id="R868af5fe9b4c4d6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 mmm yyyy"/>
    <x:numFmt numFmtId="201" formatCode="0"/>
  </x:numFmts>
  <x:fonts count="7">
    <x:font>
      <x:sz val="11"/>
      <x:name val="Carlito"/>
    </x:font>
    <x:font>
      <x:sz val="10"/>
      <x:color rgb="FF263746"/>
      <x:name val="Arial"/>
    </x:font>
    <x:font>
      <x:b/>
      <x:sz val="10"/>
      <x:color rgb="FFFFFFFF"/>
      <x:name val="Arial"/>
    </x:font>
    <x:font>
      <x:b/>
      <x:sz val="10"/>
      <x:color rgb="FF243A4D"/>
      <x:name val="Arial"/>
    </x:font>
    <x:font>
      <x:sz val="10"/>
      <x:color rgb="FF175B86"/>
      <x:name val="Arial"/>
    </x:font>
    <x:font>
      <x:b/>
      <x:sz val="14"/>
      <x:color rgb="FF243A4D"/>
      <x:name val="Arial"/>
    </x:font>
    <x:font>
      <x:sz val="9"/>
      <x:color rgb="FF536474"/>
      <x:name val="Arial"/>
    </x:font>
  </x:fonts>
  <x:fills count="5">
    <x:fill>
      <x:patternFill patternType="none"/>
    </x:fill>
    <x:fill>
      <x:patternFill patternType="gray125"/>
    </x:fill>
    <x:fill>
      <x:patternFill patternType="solid">
        <x:fgColor rgb="FFFFFFFF"/>
      </x:patternFill>
    </x:fill>
    <x:fill>
      <x:patternFill patternType="solid">
        <x:fgColor rgb="FF243A4D"/>
      </x:patternFill>
    </x:fill>
    <x:fill>
      <x:patternFill patternType="solid">
        <x:fgColor rgb="FFF2F5F8"/>
      </x:patternFill>
    </x:fill>
  </x:fills>
  <x:borders count="5">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C6D1D9"/>
      </x:bottom>
      <x:diagonal/>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2" fillId="3" borderId="2" xfId="0" applyNumberFormat="1" applyFont="1" applyFill="1" applyBorder="1" applyAlignment="1">
      <x:alignment horizontal="center" vertical="top" wrapText="1"/>
    </x:xf>
    <x:xf numFmtId="0" fontId="2" fillId="3" borderId="3"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3" fillId="2"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2" borderId="0" xfId="0" applyNumberFormat="1" applyFont="1" applyFill="1" applyBorder="1" applyAlignment="1">
      <x:alignment vertical="top" wrapText="0"/>
    </x:xf>
    <x:xf numFmtId="201" fontId="1" fillId="2" borderId="0" xfId="0" applyNumberFormat="1" applyFont="1" applyFill="1" applyBorder="1" applyAlignment="1">
      <x:alignment vertical="top" wrapText="1"/>
    </x:xf>
    <x:xf numFmtId="201" fontId="1" fillId="2" borderId="0" xfId="0" applyNumberFormat="1" applyFont="1" applyFill="1" applyBorder="1" applyAlignment="1">
      <x:alignment horizontal="right" vertical="top" wrapText="1"/>
    </x:xf>
    <x:xf numFmtId="0" fontId="4"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2" borderId="4"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020130f8ae4d6f" /><Relationship Type="http://schemas.openxmlformats.org/officeDocument/2006/relationships/theme" Target="/xl/theme/theme1.xml" Id="Rbc823453640f4a40" /><Relationship Type="http://schemas.openxmlformats.org/officeDocument/2006/relationships/sharedStrings" Target="/xl/sharedStrings.xml" Id="Rd5a1dedd6cf842b6" /><Relationship Type="http://schemas.openxmlformats.org/officeDocument/2006/relationships/worksheet" Target="/xl/worksheets/sheet1.xml" Id="R27487909dee74ade" /><Relationship Type="http://schemas.openxmlformats.org/officeDocument/2006/relationships/worksheet" Target="/xl/worksheets/sheet2.xml" Id="R868af5fe9b4c4d6c" /></Relationships>
</file>

<file path=xl/tables/table1.xml><?xml version="1.0" encoding="utf-8"?>
<x:table xmlns:x="http://schemas.openxmlformats.org/spreadsheetml/2006/main" id="1" name="BorderClosures" displayName="BorderClosures" ref="A1:R830" headerRowCount="1" totalsRowCount="0" totalsRowShown="0">
  <x:autoFilter ref="A1:R830"/>
  <x:tableColumns count="18">
    <x:tableColumn id="1" name="Record ID"/>
    <x:tableColumn id="2" name="Closure or restriction"/>
    <x:tableColumn id="3" name="Countries / territories"/>
    <x:tableColumn id="4" name="Crossing and scope"/>
    <x:tableColumn id="5" name="Traffic, direction and exceptions"/>
    <x:tableColumn id="6" name="Phase dates and scope"/>
    <x:tableColumn id="7" name="Rationales and attribution"/>
    <x:tableColumn id="8" name="Current uncertainty / qualification"/>
    <x:tableColumn id="9" name="Latest verification"/>
    <x:tableColumn id="10" name="Review date"/>
    <x:tableColumn id="11" name="Evidence source 1"/>
    <x:tableColumn id="12" name="Evidence source 2"/>
    <x:tableColumn id="13" name="Evidence source 3"/>
    <x:tableColumn id="14" name="All recorded source URLs"/>
    <x:tableColumn id="15" name="Recorded source-access limits"/>
    <x:tableColumn id="16" name="Phases"/>
    <x:tableColumn id="17" name="Research area"/>
    <x:tableColumn id="18" name="Atlas inclu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6ceb93e4e0740f3" /></Relationships>
</file>

<file path=xl/worksheets/sheet1.xml><?xml version="1.0" encoding="utf-8"?>
<x:worksheet xmlns:x="http://schemas.openxmlformats.org/spreadsheetml/2006/main">
  <x:sheetPr>
    <x:tabColor rgb="FF243A4D"/>
  </x:sheetPr>
  <x:sheetViews>
    <x:sheetView showGridLines="0" workbookViewId="0">
      <x:pane xSplit="1" ySplit="1" topLeftCell="B2" activePane="bottomRight" state="frozen"/>
    </x:sheetView>
  </x:sheetViews>
  <x:sheetFormatPr defaultRowHeight="15"/>
  <x:cols>
    <x:col min="1" max="1" width="20" hidden="0" customWidth="1"/>
    <x:col min="2" max="2" width="54" hidden="0" customWidth="1"/>
    <x:col min="3" max="3" width="30" hidden="0" customWidth="1"/>
    <x:col min="4" max="4" width="50" hidden="0" customWidth="1"/>
    <x:col min="5" max="5" width="54" hidden="0" customWidth="1"/>
    <x:col min="6" max="6" width="74" hidden="0" customWidth="1"/>
    <x:col min="7" max="7" width="48" hidden="0" customWidth="1"/>
    <x:col min="8" max="8" width="72" hidden="0" customWidth="1"/>
    <x:col min="9" max="9" width="49" hidden="0" customWidth="1"/>
    <x:col min="10" max="10" width="16" hidden="0" customWidth="1"/>
    <x:col min="11" max="11" width="36" hidden="0" customWidth="1"/>
    <x:col min="12" max="12" width="36" hidden="0" customWidth="1"/>
    <x:col min="13" max="13" width="36" hidden="0" customWidth="1"/>
    <x:col min="14" max="14" width="65" hidden="0" customWidth="1"/>
    <x:col min="15" max="15" width="52" hidden="0" customWidth="1"/>
    <x:col min="16" max="16" width="10" hidden="0" customWidth="1"/>
    <x:col min="17" max="17" width="25" hidden="0" customWidth="1"/>
    <x:col min="18" max="18" width="19" hidden="0" customWidth="1"/>
  </x:cols>
  <x:sheetData>
    <x:row r="1" ht="34" customHeight="1">
      <x:c r="A1" s="13" t="str">
        <x:v>Record ID</x:v>
      </x:c>
      <x:c r="B1" s="14" t="str">
        <x:v>Closure or restriction</x:v>
      </x:c>
      <x:c r="C1" s="14" t="str">
        <x:v>Countries / territories</x:v>
      </x:c>
      <x:c r="D1" s="14" t="str">
        <x:v>Crossing and scope</x:v>
      </x:c>
      <x:c r="E1" s="14" t="str">
        <x:v>Traffic, direction and exceptions</x:v>
      </x:c>
      <x:c r="F1" s="14" t="str">
        <x:v>Phase dates and scope</x:v>
      </x:c>
      <x:c r="G1" s="14" t="str">
        <x:v>Rationales and attribution</x:v>
      </x:c>
      <x:c r="H1" s="14" t="str">
        <x:v>Current uncertainty / qualification</x:v>
      </x:c>
      <x:c r="I1" s="14" t="str">
        <x:v>Latest verification</x:v>
      </x:c>
      <x:c r="J1" s="14" t="str">
        <x:v>Review date</x:v>
      </x:c>
      <x:c r="K1" s="14" t="str">
        <x:v>Evidence source 1</x:v>
      </x:c>
      <x:c r="L1" s="14" t="str">
        <x:v>Evidence source 2</x:v>
      </x:c>
      <x:c r="M1" s="14" t="str">
        <x:v>Evidence source 3</x:v>
      </x:c>
      <x:c r="N1" s="14" t="str">
        <x:v>All recorded source URLs</x:v>
      </x:c>
      <x:c r="O1" s="14" t="str">
        <x:v>Recorded source-access limits</x:v>
      </x:c>
      <x:c r="P1" s="14" t="str">
        <x:v>Phases</x:v>
      </x:c>
      <x:c r="Q1" s="14" t="str">
        <x:v>Research area</x:v>
      </x:c>
      <x:c r="R1" s="15" t="str">
        <x:v>Atlas inclusion</x:v>
      </x:c>
    </x:row>
    <x:row r="2" ht="186" hidden="0" customHeight="1">
      <x:c r="A2" s="16" t="str">
        <x:v>AM010</x:v>
      </x:c>
      <x:c r="B2" s="4" t="str">
        <x:v>Venezuela Colombia currency-control closure December 2016</x:v>
      </x:c>
      <x:c r="C2" s="4" t="str">
        <x:v>Venezuela; Colombia</x:v>
      </x:c>
      <x:c r="D2" s="4" t="str">
        <x:v>Venezuelan side of Colombia frontier</x:v>
      </x:c>
      <x:c r="E2" s="4" t="str">
        <x:v>Pedestrian passage in the current operational phase; vehicle and freight normalization are not dated by this interval.
Direction: Direction not separately established in this pass; consult the movement scope and source evidence.</x:v>
      </x:c>
      <x:c r="F2" s="4" t="str">
        <x:v>AM010-D1 — Observed operation
Venezuela–Colombia pedestrian restriction to the first reported pedestrian reopening.
Start: 2016-12-12 to 2016-12-13.
Observed scoped reopening: 2016-12-20.
7–8 calendar-day difference; scoped endpoint only</x:v>
      </x:c>
      <x:c r="G2" s="4" t="str">
        <x:v>Trade and protectionism / Currency controls
Reported reason
Applies to: Recorded episode; exact overlap not separately established
The recorded rationale and claim assessment support the selected subcategories. All applicable broad categories are retained together; no primary rationale is imposed.
Security / Smuggling and illicit trafficking
Reported reason
Applies to: Recorded episode; exact overlap not separately established
The recorded rationale and claim assessment support the selected subcategories. All applicable broad categories are retained together; no primary rationale is imposed.</x:v>
      </x:c>
      <x:c r="H2" s="4" t="str">
        <x:v>AM010-D1: Vehicle normalization is not established; original month-level onset and strict duration exclusion are preserved as historical claims.</x:v>
      </x:c>
      <x:c r="I2" s="4" t="str">
        <x:v>Targeted source review (REC50-R39); accepted qualification; evidence limits retained.</x:v>
      </x:c>
      <x:c r="J2" s="18" t="d">
        <x:v>2026-10-25T00:00:00.000Z</x:v>
      </x:c>
      <x:c r="K2" s="21" t="str">
        <x:f>IFERROR(HYPERLINK("https://www.euronews.com/2016/12/13/venezuela-closes-colombian-border-to-stop-currency-mafia","Euronews with Reuters and AFP"),"Euronews with Reuters and AFP")</x:f>
        <x:v>Euronews with Reuters and AFP</x:v>
      </x:c>
      <x:c r="L2" s="21" t="str">
        <x:f>IFERROR(HYPERLINK("https://noticias.uol.com.br/ultimas-noticias/reuters/2016/12/20/venezuela-e-colombia-concordam-em-reabrir-fronteira-de-maneira-progressiva.htm","UOL"),"UOL")</x:f>
        <x:v>UOL</x:v>
      </x:c>
      <x:c r="M2" s="21" t="str">
        <x:f>IFERROR(HYPERLINK("https://noticias.uol.com.br/ultimas-noticias/afp/2016/12/20/venezuela-reabre-fronteira-com-brasil.htm","UOL"),"UOL")</x:f>
        <x:v>UOL</x:v>
      </x:c>
      <x:c r="N2" s="4" t="str">
        <x:v>https://www.euronews.com/2016/12/13/venezuela-closes-colombian-border-to-stop-currency-mafia
https://noticias.uol.com.br/ultimas-noticias/reuters/2016/12/20/venezuela-e-colombia-concordam-em-reabrir-fronteira-de-maneira-progressiva.htm
https://noticias.uol.com.br/ultimas-noticias/afp/2016/12/20/venezuela-reabre-fronteira-com-brasil.htm
https://noticias.uol.com.br/ultimas-noticias/afp/2016/12/20/venezuela-reabre-passagem-com-a-colombia.htm
https://elpais.com/internacional/2016/12/20/colombia/1482268185_434662.html
https://www.cancilleria.gov.co/sala-de-prensa/noticias/se-retoman-acciones-del-plan-apertura-la-frontera-colombo-venezolana-permanecera-abierta-entre-las-5-am-y-las-8-pm-durante-las-fiestas-de-navidad-y-ano-nuevo
https://tnonline.uol.com.br/noticias/geral/,397133,20,12,venezuela-libera-retorno-de-brasileiros-a-pe-e-em-carros-diz-itamaraty
https://english.elpais.com/elpais/2016/12/13/inenglish/1481628775_257836.html</x:v>
      </x:c>
      <x:c r="O2" s="4" t="str">
        <x:v>Source 1: full text
Source 2: search extract
Source 3: search extract</x:v>
      </x:c>
      <x:c r="P2" s="20" t="n">
        <x:v>1</x:v>
      </x:c>
      <x:c r="Q2" s="4" t="str">
        <x:v>Americas</x:v>
      </x:c>
      <x:c r="R2" s="4" t="str">
        <x:v>Included</x:v>
      </x:c>
    </x:row>
    <x:row r="3" ht="162" hidden="0" customHeight="1">
      <x:c r="A3" s="16" t="str">
        <x:v>AM051</x:v>
      </x:c>
      <x:c r="B3" s="4" t="str">
        <x:v>Venezuela Brazil currency-control closure December 2016</x:v>
      </x:c>
      <x:c r="C3" s="4" t="str">
        <x:v>Venezuela; Brazil</x:v>
      </x:c>
      <x:c r="D3" s="4" t="str">
        <x:v>Santa Elena de Uairén–Pacaraima
Santa Elena–Pacaraima crossing</x:v>
      </x:c>
      <x:c r="E3" s="4" t="str">
        <x:v>Persons and vehicles at the named crossing according to Brazilian MRE; later pedestrian and registered Brazilian return phases differed.
Direction: Initial report describes all passage at the crossing; December 20 pedestrian release in both directions and Brazilian vehicle return into Brazil.
Exceptions: Registered Brazilian vehicle returns began December 19, with a 14h window and prior registration; pedestrian traffic in both directions released December 20.</x:v>
      </x:c>
      <x:c r="F3" s="4" t="str">
        <x:v>AM051-D1 — Observed operation
Formal pedestrian passage at Santa Elena–Pacaraima, to the reported 20 December pedestrian reopening.
Start: 2016-12-13.
Observed scoped reopening: 2016-12-20.
7 calendar-day difference; scoped endpoint only</x:v>
      </x:c>
      <x:c r="G3" s="4" t="str">
        <x:v>Trade and protectionism / Currency controls
Reported reason
Applies to: Recorded episode; exact overlap not separately established
The recorded rationale and claim assessment support the selected subcategories. All applicable broad categories are retained together; no primary rationale is imposed.
Security / Smuggling and illicit trafficking
Reported reason
Applies to: Recorded episode; exact overlap not separately established
The recorded rationale and claim assessment support the selected subcategories. All applicable broad categories are retained together; no primary rationale is imposed.</x:v>
      </x:c>
      <x:c r="H3" s="4" t="str">
        <x:v>AM051-D1: Brazilian vehicle returns were allowed from 19 December; broader vehicle restrictions may have continued into January. This period is not the full vehicle regime. UOL and Folhapress accounts drawing on MRE are not independent confirmations.</x:v>
      </x:c>
      <x:c r="I3" s="4" t="str">
        <x:v>Targeted source review (REC50-R39); retained with recorded qualifications; evidence limits retained.</x:v>
      </x:c>
      <x:c r="J3" s="18" t="d">
        <x:v>2026-10-25T00:00:00.000Z</x:v>
      </x:c>
      <x:c r="K3" s="21" t="str">
        <x:f>IFERROR(HYPERLINK("https://noticias.uol.com.br/ultimas-noticias/afp/2016/12/20/venezuela-reabre-fronteira-com-brasil.htm","UOL"),"UOL")</x:f>
        <x:v>UOL</x:v>
      </x:c>
      <x:c r="L3" s="21" t="str">
        <x:f>IFERROR(HYPERLINK("https://noticias.uol.com.br/internacional/ultimas-noticias/2016/12/13/venezuela-fecha-fronteira-com-o-brasil-por-72-horas.htm","UOL"),"UOL")</x:f>
        <x:v>UOL</x:v>
      </x:c>
      <x:c r="M3" s="21" t="str">
        <x:f>IFERROR(HYPERLINK("https://tnonline.uol.com.br/noticias/geral/,397133,20,12,venezuela-libera-retorno-de-brasileiros-a-pe-e-em-carros-diz-itamaraty","Folhapress via TNOnline"),"Folhapress via TNOnline")</x:f>
        <x:v>Folhapress via TNOnline</x:v>
      </x:c>
      <x:c r="N3" s="4" t="str">
        <x:v>https://noticias.uol.com.br/ultimas-noticias/afp/2016/12/20/venezuela-reabre-fronteira-com-brasil.htm
https://noticias.uol.com.br/internacional/ultimas-noticias/2016/12/13/venezuela-fecha-fronteira-com-o-brasil-por-72-horas.htm
https://tnonline.uol.com.br/noticias/geral/,397133,20,12,venezuela-libera-retorno-de-brasileiros-a-pe-e-em-carros-diz-itamaraty
https://exame.com/brasil/venezuela-informa-que-nao-ha-mais-brasileiros-retidos-no-pais/
https://noticias.uol.com.br/ultimas-noticias/afp/2016/12/20/venezuela-reabre-passagem-com-a-colombia.htm
https://repositorio.ipea.gov.br/bitstreams/f81ef82e-6cba-4733-89df-5f99120b35d7/download
https://noticias.uol.com.br/internacional/ultimas-noticias/2016/12/13/venezuela-fecha-fronteira-com-o-brasil-por-72-horas.amp.htm</x:v>
      </x:c>
      <x:c r="O3" s="4" t="str">
        <x:v>Source 1: full relevant article body opened
Source 2: full relevant article body opened
Source 3: full text</x:v>
      </x:c>
      <x:c r="P3" s="20" t="n">
        <x:v>1</x:v>
      </x:c>
      <x:c r="Q3" s="4" t="str">
        <x:v>Americas</x:v>
      </x:c>
      <x:c r="R3" s="4" t="str">
        <x:v>Included</x:v>
      </x:c>
    </x:row>
    <x:row r="4" ht="162" hidden="0" customHeight="1">
      <x:c r="A4" s="16" t="str">
        <x:v>AM012</x:v>
      </x:c>
      <x:c r="B4" s="4" t="str">
        <x:v>Venezuela Brazil closure during aid confrontation</x:v>
      </x:c>
      <x:c r="C4" s="4" t="str">
        <x:v>Venezuela; Brazil</x:v>
      </x:c>
      <x:c r="D4" s="4" t="str">
        <x:v>Santa Elena de Uairén–Pacaraima formal crossing</x:v>
      </x:c>
      <x:c r="E4" s="4" t="str">
        <x:v>See geographic scope and exemptions.
Direction: Direction not separately established in this pass; consult the movement scope and source evidence.</x:v>
      </x:c>
      <x:c r="F4" s="4" t="str">
        <x:v>AM012-D1 — Observed operation
Ordinary passage at the formal Santa Elena–Pacaraima crossing, excluding informal trails.
Start: 2019-02-21 to 2019-02-22.
Observed scoped reopening: 2019-05-10.
77–78 calendar-day difference; scoped endpoint only</x:v>
      </x:c>
      <x:c r="G4" s="4" t="str">
        <x:v>Security / Unspecified security
Reported reason
Applies to: Recorded episode; exact overlap not separately established
The recorded rationale and claim assessment support the selected subcategories. All applicable broad categories are retained together; no primary rationale is imposed.
Power and regime politics / Opposition and political reform
Reported reason
Applies to: Recorded episode; exact overlap not separately established
The recorded rationale and claim assessment support the selected subcategories. All applicable broad categories are retained together; no primary rationale is imposed.</x:v>
      </x:c>
      <x:c r="H4" s="4" t="str">
        <x:v>AM012-D1: One-day onset range retains the distinction between the order and observed enforcement. Informal trails continued throughout. Calendar-day bounds do not establish exact hours or an impermeable frontier.</x:v>
      </x:c>
      <x:c r="I4" s="4" t="str">
        <x:v>Retained baseline assessment. Retained with recorded qualifications</x:v>
      </x:c>
      <x:c r="J4" s="18" t="d">
        <x:v>2026-10-23T00:00:00.000Z</x:v>
      </x:c>
      <x:c r="K4" s="21" t="str">
        <x:f>IFERROR(HYPERLINK("https://www.fijitimes.com.fj/venezuela-reopens-border-where-migrants-used-trails-to-reach-brazil/","The Fiji Times"),"The Fiji Times")</x:f>
        <x:v>The Fiji Times</x:v>
      </x:c>
      <x:c r="L4" s="21" t="str">
        <x:f>IFERROR(HYPERLINK("https://noticias.uol.com.br/ultimas-noticias/reuters/2019/02/21/brasil-mantem-planejamento-de-ajuda-humanitaria-a-venezuela-mesmo-com-fechamento-da-fronteira-diz-porta-voz.htm","UOL"),"UOL")</x:f>
        <x:v>UOL</x:v>
      </x:c>
      <x:c r="M4" s="21" t="str">
        <x:f>IFERROR(HYPERLINK("https://www.euronews.com/2019/02/23/showdown-looms-as-venezuela-opposition-to-confront-border-troops-over-aid","Euronews"),"Euronews")</x:f>
        <x:v>Euronews</x:v>
      </x:c>
      <x:c r="N4" s="4" t="str">
        <x:v>https://www.fijitimes.com.fj/venezuela-reopens-border-where-migrants-used-trails-to-reach-brazil/
https://noticias.uol.com.br/ultimas-noticias/reuters/2019/02/21/brasil-mantem-planejamento-de-ajuda-humanitaria-a-venezuela-mesmo-com-fechamento-da-fronteira-diz-porta-voz.htm
https://www.euronews.com/2019/02/23/showdown-looms-as-venezuela-opposition-to-confront-border-troops-over-aid
https://brasil.un.org/pt-br/83131-acnur-monitora-reabertura-da-fronteira-entre-brasil-e-venezuela
https://www.spokesman.com/stories/2019/may/10/venezuela-orders-aruba-brazil-borders-reopened/
https://animalpolitico.com/2019/02/crisis-en-venezuela-nicolas-maduro-ordena-el-cierre-de-la-frontera-con-brasil</x:v>
      </x:c>
      <x:c r="O4" s="4" t="str">
        <x:v>Source 1: full page
Source 2: full page
Source 3: full page</x:v>
      </x:c>
      <x:c r="P4" s="20" t="n">
        <x:v>1</x:v>
      </x:c>
      <x:c r="Q4" s="4" t="str">
        <x:v>Americas</x:v>
      </x:c>
      <x:c r="R4" s="4" t="str">
        <x:v>Included</x:v>
      </x:c>
    </x:row>
    <x:row r="5" ht="162" hidden="0" customHeight="1">
      <x:c r="A5" s="16" t="str">
        <x:v>AM011</x:v>
      </x:c>
      <x:c r="B5" s="4" t="str">
        <x:v>Venezuela Táchira pedestrian closure during aid confrontation</x:v>
      </x:c>
      <x:c r="C5" s="4" t="str">
        <x:v>Venezuela; Colombia</x:v>
      </x:c>
      <x:c r="D5" s="4" t="str">
        <x:v>Táchira crossings to Cúcuta</x:v>
      </x:c>
      <x:c r="E5" s="4" t="str">
        <x:v>Pedestrian passage; vehicle restrictions already existed.
Direction: Direction not separately established in this pass; consult the movement scope and source evidence.</x:v>
      </x:c>
      <x:c r="F5" s="4" t="str">
        <x:v>AM011-D1 — Observed operation
Pedestrian passage on the Simón Bolívar and Francisco de Paula Santander bridges, to observed 8 June reopening.
Start: 2019-02-22 to 2019-02-23.
Observed scoped reopening: 2019-06-08.
105–106 calendar-day difference; scoped endpoint only</x:v>
      </x:c>
      <x:c r="G5" s="4" t="str">
        <x:v>Security / Unspecified security
Reported reason
Applies to: Recorded episode; exact overlap not separately established
The recorded rationale and claim assessment support the selected subcategories. All applicable broad categories are retained together; no primary rationale is imposed.
Power and regime politics / Opposition and political reform
Reported reason
Applies to: Recorded episode; exact overlap not separately established
The recorded rationale and claim assessment support the selected subcategories. All applicable broad categories are retained together; no primary rationale is imposed.</x:v>
      </x:c>
      <x:c r="H5" s="4" t="str">
        <x:v>AM011-D1: Vehicle restrictions predated this episode and continued after the pedestrian endpoint. Other bridges and informal routes are excluded. AP republications share one origin.</x:v>
      </x:c>
      <x:c r="I5" s="4" t="str">
        <x:v>Retained baseline assessment. Retained with recorded qualifications</x:v>
      </x:c>
      <x:c r="J5" s="18" t="d">
        <x:v>2026-10-23T00:00:00.000Z</x:v>
      </x:c>
      <x:c r="K5" s="21" t="str">
        <x:f>IFERROR(HYPERLINK("https://www.euronews.com/2019/02/23/showdown-looms-as-venezuela-opposition-to-confront-border-troops-over-aid","Euronews"),"Euronews")</x:f>
        <x:v>Euronews</x:v>
      </x:c>
      <x:c r="L5" s="21" t="str">
        <x:f>IFERROR(HYPERLINK("https://mynews13.com/fl/orlando/ap-top-news/2019/06/08/venezuela-reopens-border-crossing-with-colombia","Spectrum News13"),"Spectrum News13")</x:f>
        <x:v>Spectrum News13</x:v>
      </x:c>
      <x:c r="M5" s="21" t="str">
        <x:f>IFERROR(HYPERLINK("https://www.ksl.com/article/news/world/thousands-pour-into-colombia-as-venezuela-reopens-border/46569376","ksl.com"),"ksl.com")</x:f>
        <x:v>ksl.com</x:v>
      </x:c>
      <x:c r="N5" s="4" t="str">
        <x:v>https://www.euronews.com/2019/02/23/showdown-looms-as-venezuela-opposition-to-confront-border-troops-over-aid
https://mynews13.com/fl/orlando/ap-top-news/2019/06/08/venezuela-reopens-border-crossing-with-colombia
https://www.ksl.com/article/news/world/thousands-pour-into-colombia-as-venezuela-reopens-border/46569376
https://data.unhcr.org/en/documents/download/71130
https://www.spokesman.com/stories/2019/may/10/venezuela-orders-aruba-brazil-borders-reopened/</x:v>
      </x:c>
      <x:c r="O5" s="4" t="str">
        <x:v>Source 1: full page
Source 2: search extract
Source 3: access detail is retained in the source catalogue.</x:v>
      </x:c>
      <x:c r="P5" s="20" t="n">
        <x:v>1</x:v>
      </x:c>
      <x:c r="Q5" s="4" t="str">
        <x:v>Americas</x:v>
      </x:c>
      <x:c r="R5" s="4" t="str">
        <x:v>Included</x:v>
      </x:c>
    </x:row>
    <x:row r="6" ht="222" hidden="0" customHeight="1">
      <x:c r="A6" s="16" t="str">
        <x:v>AM018</x:v>
      </x:c>
      <x:c r="B6" s="4" t="str">
        <x:v>Ecuador COVID land passenger restrictions</x:v>
      </x:c>
      <x:c r="C6" s="4" t="str">
        <x:v>Ecuador; Colombia; Peru</x:v>
      </x:c>
      <x:c r="D6" s="4" t="str">
        <x:v>Ecuadorian land borders</x:v>
      </x:c>
      <x:c r="E6" s="4" t="str">
        <x:v>See geographic scope and exemptions.
Direction: Direction not separately established in this pass; consult the movement scope and source evidence.
Exceptions: Rumichaca cargo and related procedures.</x:v>
      </x:c>
      <x:c r="F6" s="4" t="str">
        <x:v>AM018-D1 — Observed operation
Ordinary passenger passage through Rumichaca, to the 17 December vehicle/pedestrian reopening; Ecuador-side restriction.
Start: unknown.
Observed scoped reopening: 2021-12-17.
dated evidence; numeric duration withheld; see qualification
AM018-C7P1 — Announced window
Foreign passengers entering Ecuador by international land/cross-border passenger transport
Start: 2020-03-15.
Scheduled endpoint: unknown.
Ordered window: dated evidence; numeric duration withheld; see qualification
AM018-C7P2 — Announced window
Ecuadorian national passengers entering Ecuador by international land/cross-border passenger transport
Start: 2020-03-16.
Scheduled endpoint: unknown.
Ordered window: dated evidence; numeric duration withheld; see qualification</x:v>
      </x:c>
      <x:c r="G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6" s="4" t="str">
        <x:v>AM018-D1: Unknown unified operational onset. Separate March 2020 cohort-specific Ecuador orders are stored as ordered phases. Freight and other crossings have different histories; no uninterrupted duration is inferred.
AM018-C7P1: Initial order states 21 days. End dates and later amendments are not reconstructed here; this is an ordered onset, not an observed continuous physical spell or a Rumichaca reopening date.
AM018-C7P2: Initial order states 21 days. End dates and later amendments are not reconstructed here; this is an ordered onset, not an observed continuous physical spell or a Rumichaca reopening date.</x:v>
      </x:c>
      <x:c r="I6" s="4" t="str">
        <x:v>Retained baseline assessment. Correction pass: amended with stated qualifications</x:v>
      </x:c>
      <x:c r="J6" s="18" t="d">
        <x:v>2026-10-23T00:00:00.000Z</x:v>
      </x:c>
      <x:c r="K6" s="21" t="str">
        <x:f>IFERROR(HYPERLINK("https://www.cancilleria.gob.ec/2021/05/15/comunicado-36/","Ecuador Foreign Ministry"),"Ecuador Foreign Ministry")</x:f>
        <x:v>Ecuador Foreign Ministry</x:v>
      </x:c>
      <x:c r="L6" s="21" t="str">
        <x:f>IFERROR(HYPERLINK("https://www.primicias.ec/noticias/economia/reapertura-total-frontera-ecuador-colombia/","Primicias"),"Primicias")</x:f>
        <x:v>Primicias</x:v>
      </x:c>
      <x:c r="M6" s="21" t="str">
        <x:f>IFERROR(HYPERLINK("https://www.elcomercio.com/actualidad/ecuador/tulcan-desacuerdo-apertura-frontera-rumichaca/","El Comercio"),"El Comercio")</x:f>
        <x:v>El Comercio</x:v>
      </x:c>
      <x:c r="N6" s="4" t="str">
        <x:v>https://www.cancilleria.gob.ec/2021/05/15/comunicado-36/
https://www.primicias.ec/noticias/economia/reapertura-total-frontera-ecuador-colombia/
https://www.elcomercio.com/actualidad/ecuador/tulcan-desacuerdo-apertura-frontera-rumichaca/
https://www.elcomercio.com/actualidad/ecuador/puente-rumichaca-reapertura-ecuador-colombia/
https://www.gestionderiesgos.gob.ec/resoluciones-coe-nacional-17-de-diciembre-de-2021/
https://www.gestionderiesgos.gob.ec/resoluciones-coe-nacional-14-de-marzo-2020/
https://www.cancilleria.gob.ec/wp-content/uploads/2022/03/Informe-de-Rendicion-de-Cuentas-2021_Version-preliminar_rev.-Comite-redaccion_.pdf
https://www.elcomercio.com/actualidad/ecuador/paso-peatones-vehiculos-reactiva-rumichaca/</x:v>
      </x:c>
      <x:c r="O6" s="4" t="str">
        <x:v>Source 1: search extract
Source 2: full page
Source 3: substantive indexed article text; direct 403</x:v>
      </x:c>
      <x:c r="P6" s="20" t="n">
        <x:v>3</x:v>
      </x:c>
      <x:c r="Q6" s="4" t="str">
        <x:v>Americas</x:v>
      </x:c>
      <x:c r="R6" s="4" t="str">
        <x:v>Included</x:v>
      </x:c>
    </x:row>
    <x:row r="7" ht="234" hidden="0" customHeight="1">
      <x:c r="A7" s="16" t="str">
        <x:v>AM023</x:v>
      </x:c>
      <x:c r="B7" s="4" t="str">
        <x:v>Paraguay COVID nonresident entry restrictions</x:v>
      </x:c>
      <x:c r="C7" s="4" t="str">
        <x:v>Paraguay; Brazil; Argentina; Bolivia</x:v>
      </x:c>
      <x:c r="D7" s="4" t="str">
        <x:v>Paraguayan land entries</x:v>
      </x:c>
      <x:c r="E7" s="4" t="str">
        <x:v>See geographic scope and exemptions.
Direction: Direction not separately established in this pass; consult the movement scope and source evidence.
Exceptions: Nationals, residents, diplomats initially exempt; cargo continued.</x:v>
      </x:c>
      <x:c r="F7" s="4" t="str">
        <x:v>AM023-FU1 — Formal policy
Paraguay land entry
Start: 2020-03-16.
Last confirmed: 2020-04-28. Reopening is not established.
Formal policy: confirmed through 2020-04-28; at least 43 calendar-day difference; reopening unknown
AM023-C7P1 — Observed operation
Ciudad del Este–Foz do Iguaçu; Pedro Juan Caballero–Ponta Porã; Salto del Guairá–Mundo Novo
Start: unknown.
Observed scoped reopening: 2020-10-15.
dated evidence; numeric duration withheld; see qualification</x:v>
      </x:c>
      <x:c r="G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7" s="4" t="str">
        <x:v>AM023-FU1: The same foreign-nonresident category remained restricted when broader traveller rules were added March 24; April 28 is last confirmation, not reopening.
AM023-C7P1: Conditional passenger/trade access under sanitary protocols; endpoint-only observation. Other Paraguay frontiers, cohorts and exact preceding continuous interval remain unestablished.
duration: Add a scoped policy phase from March 16 confirmed through April 28. The later expansion to citizens is not merged into this nonresident category, and no complete duration or October endpoint continuity is inferred.</x:v>
      </x:c>
      <x:c r="I7" s="4" t="str">
        <x:v>Retained baseline assessment. Follow-up adjudicated; amend</x:v>
      </x:c>
      <x:c r="J7" s="18" t="d">
        <x:v>2026-10-23T00:00:00.000Z</x:v>
      </x:c>
      <x:c r="K7" s="21" t="str">
        <x:f>IFERROR(HYPERLINK("https://www2.mre.gov.py/index.php/noticias-de-embajadas-y-consulados/paraguay-inicio-el-cierre-temporal-de-fronteras-para-extranjeros-no-residentes-en-el-pais?ccm_paging_p=78","Paraguay MRE"),"Paraguay MRE")</x:f>
        <x:v>Paraguay MRE</x:v>
      </x:c>
      <x:c r="L7" s="21" t="str">
        <x:f>IFERROR(HYPERLINK("https://www.radionacional.gov.py/2020/04/28/migraciones-recuerda-que-cierre-de-fronteras-y-aeropuertos-sigue-vigente/","Radio Nacional Paraguay"),"Radio Nacional Paraguay")</x:f>
        <x:v>Radio Nacional Paraguay</x:v>
      </x:c>
      <x:c r="M7" s="21" t="str">
        <x:f>IFERROR(HYPERLINK("https://www2.mre.gov.py/index.php/noticias-de-embajadas-y-consulados/apertura-de-pasos-fronterizos-entre-paraguay-y-brasil?ccm_paging_p=37","www2.mre.gov.py"),"www2.mre.gov.py")</x:f>
        <x:v>www2.mre.gov.py</x:v>
      </x:c>
      <x:c r="N7" s="4" t="str">
        <x:v>https://www2.mre.gov.py/index.php/noticias-de-embajadas-y-consulados/paraguay-inicio-el-cierre-temporal-de-fronteras-para-extranjeros-no-residentes-en-el-pais?ccm_paging_p=78
https://www.radionacional.gov.py/2020/04/28/migraciones-recuerda-que-cierre-de-fronteras-y-aeropuertos-sigue-vigente/
https://www2.mre.gov.py/index.php/noticias-de-embajadas-y-consulados/apertura-de-pasos-fronterizos-entre-paraguay-y-brasil?ccm_paging_p=37
https://www.ip.gov.py/ip/2020/10/15/puente-de-la-amistad-se-reabre-despues-de-casi-siete-meses/
https://migraciones.gov.py/a-partir-de-hoy-se-reabren-los-tres-principales-pasos-fronterizos-con-brasil/
https://www.mspbs.gov.py/covid-19-actualizacion.php
https://www.ultimahora.com/nulo-control-covid-19-ciudad-fronteriza-pedro-juan-caballero-n2875175
https://www.radionacional.gov.py/2020/03/24/gobierno-nacional-establece-cierre-de-fronteras-hasta-el-sabado-28/
https://www.mspbs.gov.py/portal/25008/ante-la-amenaza-sanitaria-por-covid-19-se-fortalecio-la-vigilancia-y-control-de-fronteras.html
https://www.ultimahora.com/fuerte-control-fronterizo-pjc-y-punta-pora-pese-desacuerdo-bolsonaro-n2875555</x:v>
      </x:c>
      <x:c r="O7" s="4" t="str">
        <x:v>Source 1: indexed excerpt; failed
Source 2: indexed excerpt
Source 3: access detail is retained in the source catalogue.</x:v>
      </x:c>
      <x:c r="P7" s="20" t="n">
        <x:v>2</x:v>
      </x:c>
      <x:c r="Q7" s="4" t="str">
        <x:v>Americas</x:v>
      </x:c>
      <x:c r="R7" s="4" t="str">
        <x:v>Included</x:v>
      </x:c>
    </x:row>
    <x:row r="8" ht="78" hidden="0" customHeight="1">
      <x:c r="A8" s="16" t="str">
        <x:v>AM027</x:v>
      </x:c>
      <x:c r="B8" s="4" t="str">
        <x:v>Guatemala COVID land-border closure</x:v>
      </x:c>
      <x:c r="C8" s="4" t="str">
        <x:v>Guatemala; Mexico; Belize; Honduras; El Salvador</x:v>
      </x:c>
      <x:c r="D8" s="4" t="str">
        <x:v>Guatemalan land crossings</x:v>
      </x:c>
      <x:c r="E8" s="4" t="str">
        <x:v>See geographic scope and exemptions.
Direction: Direction not separately established in this pass; consult the movement scope and source evidence.
Exceptions: Foreign tourist exit via Mexico/Belize if counterparts permitted; other exemptions need decree audit.</x:v>
      </x:c>
      <x:c r="F8" s="4" t="str">
        <x:v>AM027-D1 — Observed operation
Guatemalan restriction on ordinary non-exempt international land-passenger entry, to 18 September reopening.
Start: 2020-03-16 to 2020-03-17.
Observed scoped reopening: 2020-09-18.
185–186 calendar-day difference; scoped endpoint only</x:v>
      </x:c>
      <x:c r="G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8" s="4" t="str">
        <x:v>AM027-D1: Onset bounds reflect the midnight effective transition, not independent minute-by-minute implementation at every post. Nationals, residents, diplomats, authorized departures and cargo exceptions remain. This is ordinary nonexempt entry restriction, not zero movement.</x:v>
      </x:c>
      <x:c r="I8" s="4" t="str">
        <x:v>Retained baseline assessment. Amended after source reconciliation</x:v>
      </x:c>
      <x:c r="J8" s="18" t="d">
        <x:v>2026-10-23T00:00:00.000Z</x:v>
      </x:c>
      <x:c r="K8" s="21" t="str">
        <x:f>IFERROR(HYPERLINK("https://igm.gob.gt/turistas-extranjeros-pueden-salir-de-territorio-guatemalteco/","Guatemala Migration Institute"),"Guatemala Migration Institute")</x:f>
        <x:v>Guatemala Migration Institute</x:v>
      </x:c>
      <x:c r="L8" s="21" t="str">
        <x:f>IFERROR(HYPERLINK("https://lahora.gt/nacionales/jgiron/2020/09/18/segun-el-igm-reapertura-de-fronteras-terrestres-transcurre-con-normalidad/","La Hora"),"La Hora")</x:f>
        <x:v>La Hora</x:v>
      </x:c>
      <x:c r="M8" s="21" t="str">
        <x:f>IFERROR(HYPERLINK("https://lahora.gt/nacionales/jgiron/2020/03/16/guatemala-cerrara-fronteras-por-15-dias-ante-emergencia/","lahora.gt"),"lahora.gt")</x:f>
        <x:v>lahora.gt</x:v>
      </x:c>
      <x:c r="N8" s="4" t="str">
        <x:v>https://igm.gob.gt/turistas-extranjeros-pueden-salir-de-territorio-guatemalteco/
https://lahora.gt/nacionales/jgiron/2020/09/18/segun-el-igm-reapertura-de-fronteras-terrestres-transcurre-con-normalidad/
https://lahora.gt/nacionales/jgiron/2020/03/16/guatemala-cerrara-fronteras-por-15-dias-ante-emergencia/
https://agn.gt/gobierno-anuncia-reapertura-de-fronteras-de-guatemala/</x:v>
      </x:c>
      <x:c r="O8" s="4" t="str">
        <x:v>Source 1: search extract
Source 2: search extract
Source 3: access detail is retained in the source catalogue.</x:v>
      </x:c>
      <x:c r="P8" s="20" t="n">
        <x:v>1</x:v>
      </x:c>
      <x:c r="Q8" s="4" t="str">
        <x:v>Americas</x:v>
      </x:c>
      <x:c r="R8" s="4" t="str">
        <x:v>Included</x:v>
      </x:c>
    </x:row>
    <x:row r="9" ht="102" hidden="0" customHeight="1">
      <x:c r="A9" s="16" t="str">
        <x:v>AM026</x:v>
      </x:c>
      <x:c r="B9" s="4" t="str">
        <x:v>El Salvador COVID foreign-entry restrictions</x:v>
      </x:c>
      <x:c r="C9" s="4" t="str">
        <x:v>El Salvador; Guatemala; Honduras</x:v>
      </x:c>
      <x:c r="D9" s="4" t="str">
        <x:v>Land frontier entry by nonexempt foreigners</x:v>
      </x:c>
      <x:c r="E9" s="4" t="str">
        <x:v>See geographic scope and exemptions.
Direction: Entry into El Salvador by previously excluded foreigners.
Exceptions: Nationals, residents and diplomats initially admitted with 30 day quarantine.</x:v>
      </x:c>
      <x:c r="F9" s="4" t="str">
        <x:v>AM026-D1 — Observed operation
Land frontier entry by nonexempt foreigners; See geographic scope and exemptions.; Entry into El Salvador by previously excluded foreigners.
Start: 2020-03-11.
Observed scoped reopening: 2020-09-21.
194 calendar-day difference; scoped endpoint only</x:v>
      </x:c>
      <x:c r="G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9" s="4" t="str">
        <x:v>AM026-D1: Las Chinamas field report documents foreign admissions on 21 September with PCR tests. The 19 September announcement had said nonresident foreigners would remain excluded; event-day observation supports the later change. Other posts were not individually observed; 19 September airport reopening is separate. Nationals, residents and diplomats initially admitted with 30 day quarantine.</x:v>
      </x:c>
      <x:c r="I9" s="4" t="str">
        <x:v>Retained baseline assessment. Retained; actual foreign admissions support scoped endpoint</x:v>
      </x:c>
      <x:c r="J9" s="18" t="d">
        <x:v>2026-10-23T00:00:00.000Z</x:v>
      </x:c>
      <x:c r="K9" s="21" t="str">
        <x:f>IFERROR(HYPERLINK("https://www.migracion.gob.sv/noticias/migracion-reporta-drastica-reduccion-de-flujos-migratorios/","El Salvador Migration Directorate"),"El Salvador Migration Directorate")</x:f>
        <x:v>El Salvador Migration Directorate</x:v>
      </x:c>
      <x:c r="L9" s="21" t="str">
        <x:f>IFERROR(HYPERLINK("https://historico.elsalvador.com/historico/755897/coronavirus-extranjeros-debe-presentar-prueba-de-covid-19-en-frontera-las-chinamas.html","El Diario de Hoy / elsalvador.com"),"El Diario de Hoy / elsalvador.com")</x:f>
        <x:v>El Diario de Hoy / elsalvador.com</x:v>
      </x:c>
      <x:c r="M9" s="21" t="str">
        <x:f>IFERROR(HYPERLINK("https://diario.elmundo.sv/economia/ya-se-tiene-fecha-de-para-la-reapertura-de-fronteras-en-el-salvador","Diario El Mundo"),"Diario El Mundo")</x:f>
        <x:v>Diario El Mundo</x:v>
      </x:c>
      <x:c r="N9" s="4" t="str">
        <x:v>https://www.migracion.gob.sv/noticias/migracion-reporta-drastica-reduccion-de-flujos-migratorios/
https://historico.elsalvador.com/historico/755897/coronavirus-extranjeros-debe-presentar-prueba-de-covid-19-en-frontera-las-chinamas.html
https://diario.elmundo.sv/economia/ya-se-tiene-fecha-de-para-la-reapertura-de-fronteras-en-el-salvador
https://www.migracion.gob.sv/noticias/presidente-bukele-informa-sobre-estado-actual-del-covid19/
https://www.migracion.gob.sv/noticias/estudian-las-claves-para-la-reactivacion-del-turismo-y-fronteras/</x:v>
      </x:c>
      <x:c r="O9" s="4" t="str">
        <x:v>Source 1: full page
Source 2: full page
Source 3: full page</x:v>
      </x:c>
      <x:c r="P9" s="20" t="n">
        <x:v>1</x:v>
      </x:c>
      <x:c r="Q9" s="4" t="str">
        <x:v>Americas</x:v>
      </x:c>
      <x:c r="R9" s="4" t="str">
        <x:v>Included</x:v>
      </x:c>
    </x:row>
    <x:row r="10" ht="102" hidden="0" customHeight="1">
      <x:c r="A10" s="16" t="str">
        <x:v>AM015</x:v>
      </x:c>
      <x:c r="B10" s="4" t="str">
        <x:v>Colombia COVID Venezuela frontier closure</x:v>
      </x:c>
      <x:c r="C10" s="4" t="str">
        <x:v>Colombia; Venezuela</x:v>
      </x:c>
      <x:c r="D10" s="4" t="str">
        <x:v>Colombian side of Venezuela land/river frontier</x:v>
      </x:c>
      <x:c r="E10" s="4" t="str">
        <x:v>Ordinary passenger movement at Colombia’s authorized land and river crossings with Venezuela, with legally specified exceptions.
Direction: Direction not separately established in this pass; consult the movement scope and source evidence.
Exceptions: The displayed March 2020 clause, amended by Decree 412, exempts freight and transit required by force majeure or fortuitous events. Exception wording changed during the policy period; uniform operational application is not established.</x:v>
      </x:c>
      <x:c r="F10" s="4" t="str">
        <x:v>AM015-D1 — Formal policy
Colombia's ordinary land/river passenger closure policy toward Venezuela, to permission for gradual reopening.
Start: 2020-03-14.
Policy endpoint: 2021-06-02.
Formal policy: 445 calendar-day difference; operational continuity not established</x:v>
      </x:c>
      <x:c r="G1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0" s="4" t="str">
        <x:v>AM015-D1: The heading says 1 June but the operative article says 2 June; the latter is used. This is Colombia-side policy, retaining authorised exceptions, not observed or simultaneous bilateral reopening.</x:v>
      </x:c>
      <x:c r="I10" s="4" t="str">
        <x:v>Full-record source audit (REC50-R25); accepted corrections; evidence limits retained.</x:v>
      </x:c>
      <x:c r="J10" s="18" t="d">
        <x:v>2026-10-25T00:00:00.000Z</x:v>
      </x:c>
      <x:c r="K10" s="21" t="str">
        <x:f>IFERROR(HYPERLINK("https://cancilleria.gov.co/normograma/compilacion/docs/resolucion_mininterior_0746_2021.htm","Colombian Interior Ministry / Foreign Ministry legal compilation"),"Colombian Interior Ministry / Foreign Ministry legal compilation")</x:f>
        <x:v>Colombian Interior Ministry / Foreign Ministry legal compilation</x:v>
      </x:c>
      <x:c r="L10" s="21" t="str">
        <x:f>IFERROR(HYPERLINK("https://cancilleria.gov.co/normograma/compilacion/docs/decreto_0402_2020.htm","Colombian Government / Foreign Ministry legal compilation"),"Colombian Government / Foreign Ministry legal compilation")</x:f>
        <x:v>Colombian Government / Foreign Ministry legal compilation</x:v>
      </x:c>
      <x:c r="M10" s="21" t="str">
        <x:f>IFERROR(HYPERLINK("https://www.cancilleria.gov.co/sites/default/files/Normograma/docs/resolucion_uaemc_1175_2021.htm","cancilleria.gov.co"),"cancilleria.gov.co")</x:f>
        <x:v>cancilleria.gov.co</x:v>
      </x:c>
      <x:c r="N10" s="4" t="str">
        <x:v>https://cancilleria.gov.co/normograma/compilacion/docs/resolucion_mininterior_0746_2021.htm
https://cancilleria.gov.co/normograma/compilacion/docs/decreto_0402_2020.htm
https://www.cancilleria.gov.co/sites/default/files/Normograma/docs/resolucion_uaemc_1175_2021.htm
https://www.cancilleria.gov.co/normograma/compilacion/docs/resolucion_mininterior_0746_2021.htm
https://mppre.gob.ve/publicacion/752-venezuela-rechaza-decision-unilateral-de-colombia-de-reabrir-paso-fronterizo</x:v>
      </x:c>
      <x:c r="O10" s="4" t="str">
        <x:v>Source 1: full text
Source 2: full text
Source 3: access detail is retained in the source catalogue.</x:v>
      </x:c>
      <x:c r="P10" s="20" t="n">
        <x:v>1</x:v>
      </x:c>
      <x:c r="Q10" s="4" t="str">
        <x:v>Americas</x:v>
      </x:c>
      <x:c r="R10" s="4" t="str">
        <x:v>Included</x:v>
      </x:c>
    </x:row>
    <x:row r="11" ht="78" hidden="0" customHeight="1">
      <x:c r="A11" s="16" t="str">
        <x:v>AM034</x:v>
      </x:c>
      <x:c r="B11" s="4" t="str">
        <x:v>Suriname Guyana Corentyne crossing COVID closure</x:v>
      </x:c>
      <x:c r="C11" s="4" t="str">
        <x:v>Suriname; Guyana</x:v>
      </x:c>
      <x:c r="D11" s="4" t="str">
        <x:v>Moleson Creek–South Drain international river crossing</x:v>
      </x:c>
      <x:c r="E11" s="4" t="str">
        <x:v>Passenger river-border ferry services; freight scope needs further checking.
Direction: Direction not separately established in this pass; consult the movement scope and source evidence.</x:v>
      </x:c>
      <x:c r="F11" s="4" t="str">
        <x:v>AM034-D1 — Observed operation
Suriname–Guyana ferry; endpoint is the restricted reopening for nationals, not unrestricted passenger travel.
Start: 2020-03-14.
Observed scoped reopening: 2021-02-21.
344 calendar-day difference; scoped endpoint only</x:v>
      </x:c>
      <x:c r="G1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1" s="4" t="str">
        <x:v>AM034-D1: International river crossing included in land-frontier scope. Reopening initially for nationals only; not all foreign travellers.</x:v>
      </x:c>
      <x:c r="I11" s="4" t="str">
        <x:v>Retained baseline assessment. Retained with recorded qualifications</x:v>
      </x:c>
      <x:c r="J11" s="18" t="d">
        <x:v>2026-10-23T00:00:00.000Z</x:v>
      </x:c>
      <x:c r="K11" s="21" t="str">
        <x:f>IFERROR(HYPERLINK("https://newsroom.gy/2020/03/13/guyana-suriname-ferry-service-shuts-down-over-coronavirus/","News Room Guyana"),"News Room Guyana")</x:f>
        <x:v>News Room Guyana</x:v>
      </x:c>
      <x:c r="L11" s="21" t="str">
        <x:f>IFERROR(HYPERLINK("https://dpi.gov.gy/stranded-guyanese-return-home-as-guyana-suriname-ferry-service-resumes/","Guyana DPI"),"Guyana DPI")</x:f>
        <x:v>Guyana DPI</x:v>
      </x:c>
      <x:c r="M11" s="21" t="str">
        <x:f>IFERROR(HYPERLINK("https://www.stabroeknews.com/2021/02/22/news/guyana/ferry-travel-resumes-between-guyana-and-suriname/","Stabroek News"),"Stabroek News")</x:f>
        <x:v>Stabroek News</x:v>
      </x:c>
      <x:c r="N11" s="4" t="str">
        <x:v>https://newsroom.gy/2020/03/13/guyana-suriname-ferry-service-shuts-down-over-coronavirus/
https://dpi.gov.gy/stranded-guyanese-return-home-as-guyana-suriname-ferry-service-resumes/
https://www.stabroeknews.com/2021/02/22/news/guyana/ferry-travel-resumes-between-guyana-and-suriname/
https://dpi.gov.gy/ministry-of-foreign-affairs-press-release/
https://newsroom.gy/2020/03/18/guyana-suriname-ferry-to-make-one-trip-on-thursday/</x:v>
      </x:c>
      <x:c r="O11" s="4" t="str">
        <x:v>Source 1: search extract
Source 2: full page
Source 3: search extract</x:v>
      </x:c>
      <x:c r="P11" s="20" t="n">
        <x:v>1</x:v>
      </x:c>
      <x:c r="Q11" s="4" t="str">
        <x:v>Americas</x:v>
      </x:c>
      <x:c r="R11" s="4" t="str">
        <x:v>Included</x:v>
      </x:c>
    </x:row>
    <x:row r="12" ht="90" hidden="0" customHeight="1">
      <x:c r="A12" s="16" t="str">
        <x:v>AM035</x:v>
      </x:c>
      <x:c r="B12" s="4" t="str">
        <x:v>French Guiana Suriname Maroni border COVID closure</x:v>
      </x:c>
      <x:c r="C12" s="4" t="str">
        <x:v>French Guiana (France); Suriname</x:v>
      </x:c>
      <x:c r="D12" s="4" t="str">
        <x:v>Maroni international river frontier</x:v>
      </x:c>
      <x:c r="E12" s="4" t="str">
        <x:v>See geographic scope and exemptions.
Direction: Direction not separately established in this pass; consult the movement scope and source evidence.
Exceptions: Exceptional urgent health/economic crossings subject both authorities approval.</x:v>
      </x:c>
      <x:c r="F12" s="4" t="str">
        <x:v>AM035-D1 — Formal policy
Suriname-imposed restriction at the French Guiana–Suriname Maroni frontier, with later hearing evidence of continued border restrictions.
Start: 2020-03-14.
Last confirmed: 2020-07-21. Reopening is not established.
Formal policy: dated evidence; numeric duration withheld; see qualification</x:v>
      </x:c>
      <x:c r="G1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2" s="4" t="str">
        <x:v>AM035-D1: Distinct policy observations; informal and authorized movement continued. March 14 is not independently established as a French unilateral onset. No uninterrupted physical denial, later persistence or reopening is inferred.</x:v>
      </x:c>
      <x:c r="I12" s="4" t="str">
        <x:v>Retained baseline assessment. Correction pass: amended with stated qualifications</x:v>
      </x:c>
      <x:c r="J12" s="18" t="d">
        <x:v>2026-10-23T00:00:00.000Z</x:v>
      </x:c>
      <x:c r="K12" s="21" t="str">
        <x:f>IFERROR(HYPERLINK("https://www.guyane.gouv.fr/content/download/15570/107592/file/","French Guiana Prefecture"),"French Guiana Prefecture")</x:f>
        <x:v>French Guiana Prefecture</x:v>
      </x:c>
      <x:c r="L12" s="21" t="str">
        <x:f>IFERROR(HYPERLINK("https://www.senat.fr/compte-rendu-commissions/20200720/ce_covid.html","Sénat (France)"),"Sénat (France)")</x:f>
        <x:v>Sénat (France)</x:v>
      </x:c>
      <x:c r="M12" s="21" t="str">
        <x:f>IFERROR(HYPERLINK("https://www.guyane.gouv.fr/Actualites/Salle-de-presse/2020/Avril-2020/Controle-de-la-frontiere-France-Surianme","guyane.gouv.fr"),"guyane.gouv.fr")</x:f>
        <x:v>guyane.gouv.fr</x:v>
      </x:c>
      <x:c r="N12" s="4" t="str">
        <x:v>https://www.guyane.gouv.fr/content/download/15570/107592/file/
https://www.senat.fr/compte-rendu-commissions/20200720/ce_covid.html
https://www.guyane.gouv.fr/Actualites/Salle-de-presse/2020/Avril-2020/Controle-de-la-frontiere-France-Surianme
https://www.franceguyane.fr/actualite/international/reouverture-dalbina-comment-cela-se-passe-dans-la-pratique-2892.php
https://www.senat.fr/rap/r20-199-2/r20-199-21.html</x:v>
      </x:c>
      <x:c r="O12" s="4" t="str">
        <x:v>Source 1: search extract
Source 2: opened relevant committee transcript body
Source 3: access detail is retained in the source catalogue.</x:v>
      </x:c>
      <x:c r="P12" s="20" t="n">
        <x:v>1</x:v>
      </x:c>
      <x:c r="Q12" s="4" t="str">
        <x:v>Americas</x:v>
      </x:c>
      <x:c r="R12" s="4" t="str">
        <x:v>Included</x:v>
      </x:c>
    </x:row>
    <x:row r="13" ht="102" hidden="0" customHeight="1">
      <x:c r="A13" s="16" t="str">
        <x:v>AM028</x:v>
      </x:c>
      <x:c r="B13" s="4" t="str">
        <x:v>Honduras COVID passenger land-border closure</x:v>
      </x:c>
      <x:c r="C13" s="4" t="str">
        <x:v>Honduras; Guatemala; El Salvador; Nicaragua</x:v>
      </x:c>
      <x:c r="D13" s="4" t="str">
        <x:v>All land frontier passenger movements</x:v>
      </x:c>
      <x:c r="E13" s="4" t="str">
        <x:v>See geographic scope and exemptions.
Direction: Direction not separately established in this pass; consult the movement scope and source evidence.
Exceptions: Freight and supplies.</x:v>
      </x:c>
      <x:c r="F13" s="4" t="str">
        <x:v>AM028-D1 — Observed operation
Honduran ordinary land-passenger admission/departure restriction, to gradual conditional reopening on October 19.
Start: 2020-03-15 to 2020-03-16.
Observed scoped reopening: 2020-10-19.
217–218 calendar-day difference; scoped endpoint only</x:v>
      </x:c>
      <x:c r="G1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3" s="4" t="str">
        <x:v>AM028-D1: This is an authority-reported reopening, not an independent observation at every gate. Freight and authorised cases were exempt; the later international-bus activation is a separate phase. Day bounds retain the midnight/publication distinction.</x:v>
      </x:c>
      <x:c r="I13" s="4" t="str">
        <x:v>Retained baseline assessment. Retained with recorded qualifications</x:v>
      </x:c>
      <x:c r="J13" s="18" t="d">
        <x:v>2026-10-23T00:00:00.000Z</x:v>
      </x:c>
      <x:c r="K13" s="21" t="str">
        <x:f>IFERROR(HYPERLINK("https://spanish.xinhuanet.com/2020-03/16/c_138882229.htm","Xinhua"),"Xinhua")</x:f>
        <x:v>Xinhua</x:v>
      </x:c>
      <x:c r="L13" s="21" t="str">
        <x:f>IFERROR(HYPERLINK("https://portalunico.iaip.gob.hn/24/24/","Honduras Transparency Portal"),"Honduras Transparency Portal")</x:f>
        <x:v>Honduras Transparency Portal</x:v>
      </x:c>
      <x:c r="M13" s="21" t="str">
        <x:f>IFERROR(HYPERLINK("https://inter.hn/noticias/honduras-volvera-abrir-sus-fronteras-partir-del-lunes","Inter Honduras"),"Inter Honduras")</x:f>
        <x:v>Inter Honduras</x:v>
      </x:c>
      <x:c r="N13" s="4" t="str">
        <x:v>https://spanish.xinhuanet.com/2020-03/16/c_138882229.htm
https://portalunico.iaip.gob.hn/24/24/
https://inter.hn/noticias/honduras-volvera-abrir-sus-fronteras-partir-del-lunes
https://spanish.xinhuanet.com/2020-10/20/c_139452898.htm
https://leyes.hn/decreto-ejecutivo/pcm-125-2020-decreto-125-2020-mediante-el-cual-se-aprueba-la-estrategia-tecnico-operacional
https://inter.hn/noticias/prohibiciones-y-excepciones-anunciadas-por-el-gobierno-partir-de-hoy
https://leyes.hn/documento/5380-gaceta-35-201-16-de-marzo-del-2020</x:v>
      </x:c>
      <x:c r="O13" s="4" t="str">
        <x:v>Source 1: search extract
Source 2: search extract
Source 3: search extract</x:v>
      </x:c>
      <x:c r="P13" s="20" t="n">
        <x:v>1</x:v>
      </x:c>
      <x:c r="Q13" s="4" t="str">
        <x:v>Americas</x:v>
      </x:c>
      <x:c r="R13" s="4" t="str">
        <x:v>Included</x:v>
      </x:c>
    </x:row>
    <x:row r="14" ht="282" hidden="0" customHeight="1">
      <x:c r="A14" s="16" t="str">
        <x:v>AM017</x:v>
      </x:c>
      <x:c r="B14" s="4" t="str">
        <x:v>Peru COVID passenger land-border closure</x:v>
      </x:c>
      <x:c r="C14" s="4" t="str">
        <x:v>Peru; Ecuador; Colombia; Brazil; Bolivia; Chile</x:v>
      </x:c>
      <x:c r="D14" s="4" t="str">
        <x:v>Peruvian land/river crossings</x:v>
      </x:c>
      <x:c r="E14" s="4" t="str">
        <x:v>See geographic scope and exemptions.
Direction: Direction not separately established in this pass; consult the movement scope and source evidence.
Exceptions: Cargo and goods.</x:v>
      </x:c>
      <x:c r="F14" s="4" t="str">
        <x:v>AM017-R1 — Formal policy
Peru land entry of ordinary nonresident foreign passengers outside specified exceptions
Start: 2021-07-12.
Policy endpoint: 2021-12-01.
Formal policy: 142 calendar-day difference; operational continuity not established
AM017-R2 — Formal policy
Peru land entry of ordinary nonresident foreign passengers from Colombia, Bolivia and Brazil
Start: 2021-12-01.
Policy endpoint: 2021-12-10.
Formal policy: 9 calendar-day difference; operational continuity not established
AM017-R3 — Formal policy
Peru land entry of ordinary nonresident foreign passengers outside Article 15 exceptions
Start: 2021-12-10.
Policy endpoint: 2022-02-14.
Formal policy: 66 calendar-day difference; operational continuity not established
AM017-C7P1 — Announced window
Peru international land passenger transport; freight exempt
Start: 2020-03-16.
Scheduled endpoint: unknown.
Ordered window: dated evidence; numeric duration withheld; see qualification</x:v>
      </x:c>
      <x:c r="G14" s="4" t="str">
        <x:v>Health and biosecurity / Human disease control
Attributed official justification
Applies to: Recorded episode; exact overlap not separately established
The recorded rationale and claim assessment support the selected subcategories. All applicable broad categories are retained together; no primary rationale is imposed.</x:v>
      </x:c>
      <x:c r="H14" s="4" t="str">
        <x:v>AM017-R1: Partial reconstruction only. This ends at a scope change allowing Ecuador/Chile entry; goods, residents, crews, humanitarian/special missions and notified workers excluded. No all-post physical-closure claim.
AM017-R2: Ecuador and Chile permission is a legal phase, not established gate operation; resident and purpose-specific exceptions remain.
AM017-R3: Formal permission endpoint only. No universal gate reopening; freight, crews and specified persons/purposes remain outside scope.
AM017-C7P1: Initial emergency described as fifteen days. This records the order only; no continuous link to July 2021, calculated expiry or actual reopening is asserted.
continuity: The missing March 2020 order is added as an initial scheduled measure. This does not reconcile the amendment chain through July 2021 or continuous operation.</x:v>
      </x:c>
      <x:c r="I14" s="4" t="str">
        <x:v>Retained baseline assessment. Correction pass: amended with stated qualifications</x:v>
      </x:c>
      <x:c r="J14" s="18" t="d">
        <x:v>2026-10-23T00:00:00.000Z</x:v>
      </x:c>
      <x:c r="K14" s="21" t="str">
        <x:f>IFERROR(HYPERLINK("https://busquedas.elperuano.pe/dispositivo/NL/1971585-3","El Peruano"),"El Peruano")</x:f>
        <x:v>El Peruano</x:v>
      </x:c>
      <x:c r="L14" s="21" t="str">
        <x:f>IFERROR(HYPERLINK("https://busquedas.elperuano.pe/dispositivo/NL/2016190-1","El Peruano"),"El Peruano")</x:f>
        <x:v>El Peruano</x:v>
      </x:c>
      <x:c r="M14" s="21" t="str">
        <x:f>IFERROR(HYPERLINK("https://andina.pe/ingles/noticia-establecen-cierre-fronteras-terrestres-para-transporte-pasajeros-872873.aspx","Andina"),"Andina")</x:f>
        <x:v>Andina</x:v>
      </x:c>
      <x:c r="N14" s="4" t="str">
        <x:v>https://busquedas.elperuano.pe/dispositivo/NL/1971585-3
https://busquedas.elperuano.pe/dispositivo/NL/2016190-1
https://andina.pe/ingles/noticia-establecen-cierre-fronteras-terrestres-para-transporte-pasajeros-872873.aspx
https://www.consulado.pe/es/shanghai/Lists/COVID19/DispForm.aspx?ContentTypeId=0x0100AD4724A17D75984AA607AEB599CB27EA&amp;ID=38
https://busquedas.elperuano.pe/dispositivo/NL/2038849-6
https://www.gob.pe/institucion/mtc/noticias/108949-gobierno-dispone-el-cierre-de-las-fronteras-durante-estado-de-emergencia-nacional-por-15-dias
https://www.gob.pe/institucion/embajada-del-peru-en-uruguay/noticias/583957-requisitos-sanitarios-e-ingreso-al-pais-y-derogacion-de-disposicion-de-cierre-de-fronteras-terrestres
https://www.consulado.pe/es/BuenosAires/Lists/Coronavirus/DispForm.aspx?ContentTypeId=0x01009C36EF334248FF4C8CAC1935209A6D16&amp;ID=26
https://www.gob.pe/institucion/mincetur/noticias/583797-gobierno-dispone-abrir-sus-fronteras-terrestres-para-la-integracion-social-y-economica-con-paises-vecinos
https://www.gob.pe/es/8794-volver-a-mi-pais-durante-el-estado-de-emergencia-por-covid-19
https://andina.pe/agencia/noticia-coronavirus-a-las-2359-horas-hoy-entra-vigor-cierre-fronteras-788431.aspx
https://www.gob.pe/institucion/embajada-del-peru-en-brasil/noticias/584426-reapertura-de-fronteras-terrestres-y-requisitos-de-ingreso-al-peru
https://www.gob.pe/institucion/embajada-del-peru-en-uruguay/noticias/569734-medidas-de-ingreso-al-peru</x:v>
      </x:c>
      <x:c r="O14" s="4" t="str">
        <x:v>Source 1: full
Source 2: full
Source 3: indexed excerpt</x:v>
      </x:c>
      <x:c r="P14" s="20" t="n">
        <x:v>4</x:v>
      </x:c>
      <x:c r="Q14" s="4" t="str">
        <x:v>Americas</x:v>
      </x:c>
      <x:c r="R14" s="4" t="str">
        <x:v>Included</x:v>
      </x:c>
    </x:row>
    <x:row r="15" ht="126" hidden="0" customHeight="1">
      <x:c r="A15" s="16" t="str">
        <x:v>AM020</x:v>
      </x:c>
      <x:c r="B15" s="4" t="str">
        <x:v>Argentina COVID nonresident foreign-entry closure</x:v>
      </x:c>
      <x:c r="C15" s="4" t="str">
        <x:v>Argentina; Chile; Bolivia; Paraguay; Brazil; Uruguay</x:v>
      </x:c>
      <x:c r="D15" s="4" t="str">
        <x:v>Argentine land and international bridge entries</x:v>
      </x:c>
      <x:c r="E15" s="4" t="str">
        <x:v>Ordinary nonresident foreign tourists, excluding neighbouring-country nationals/residents and people admitted under exceptional or family authorizations.
Direction: Into Argentina for the residual nonresident foreign-tourist cohort.
Exceptions: Cargo workers, transport crews, medical transport and authorized necessity/humanitarian cases are excepted under the applicable provisions. Nationals/residents and earlier neighbouring-country permissions are outside this residual cohort; their changing restrictions are not dated by this phase.</x:v>
      </x:c>
      <x:c r="F15" s="4" t="str">
        <x:v>AM020-R1 — Formal policy
Ordinary nonresident foreign tourist entry into Argentina, excluding neighbouring-country nationals/residents and persons admitted under exceptional or family authorisations
Start: 2020-03-16.
Policy endpoint: 2021-11-01.
Formal policy: 595 calendar-day difference; operational continuity not established</x:v>
      </x:c>
      <x:c r="G1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5" s="4" t="str">
        <x:v>AM020-R1: Legal restriction, not uniform enforcement. The narrow class excludes earlier neighbouring-country pilots; reopening depended on authorised safe corridors.</x:v>
      </x:c>
      <x:c r="I15" s="4" t="str">
        <x:v>Full-record source audit (REC50-R30); accepted corrections; evidence limits retained.</x:v>
      </x:c>
      <x:c r="J15" s="18" t="d">
        <x:v>2026-10-25T00:00:00.000Z</x:v>
      </x:c>
      <x:c r="K15" s="21" t="str">
        <x:f>IFERROR(HYPERLINK("https://www.argentina.gob.ar/normativa/nacional/decreto-274-2020-335479/texto","Argentine Government / Infoleg"),"Argentine Government / Infoleg")</x:f>
        <x:v>Argentine Government / Infoleg</x:v>
      </x:c>
      <x:c r="L15" s="21" t="str">
        <x:f>IFERROR(HYPERLINK("https://www.boletinoficial.gob.ar/detalleAviso/primera/250376/20211001","Argentina Official Bulletin"),"Argentina Official Bulletin")</x:f>
        <x:v>Argentina Official Bulletin</x:v>
      </x:c>
      <x:c r="M15" s="21" t="str">
        <x:f>IFERROR(HYPERLINK("https://www.boletinoficial.gov.ar/detalleAviso/primera/250376/20211001","Official Bulletin"),"Official Bulletin")</x:f>
        <x:v>Official Bulletin</x:v>
      </x:c>
      <x:c r="N15" s="4" t="str">
        <x:v>https://www.argentina.gob.ar/normativa/nacional/decreto-274-2020-335479/texto
https://www.boletinoficial.gob.ar/detalleAviso/primera/250376/20211001
https://www.boletinoficial.gov.ar/detalleAviso/primera/250376/20211001
https://www.argentina.gob.ar/noticias/carignano-brindo-precisiones-sobre-la-prueba-piloto-que-permitira-el-ingreso-de-extranjeros
https://www.argentina.gob.ar/normativa/nacional/decreto-678-2021-354785/texto
https://ecolo.cancilleria.gob.ar/es/16-de-marzo-cierre-de-fronteras-en-argentina
https://www.enre.gob.ar/web/bibliotd.nsf/%28%24IDWeb%29/3469708763C601D003258783003C8023
https://www.boletinoficial.gov.ar/detalleAviso/primera/252408/20211106</x:v>
      </x:c>
      <x:c r="O15" s="4" t="str">
        <x:v>Source 1: full; full text
Source 2: full
Source 3: full</x:v>
      </x:c>
      <x:c r="P15" s="20" t="n">
        <x:v>1</x:v>
      </x:c>
      <x:c r="Q15" s="4" t="str">
        <x:v>Americas</x:v>
      </x:c>
      <x:c r="R15" s="4" t="str">
        <x:v>Included</x:v>
      </x:c>
    </x:row>
    <x:row r="16" ht="78" hidden="0" customHeight="1">
      <x:c r="A16" s="16" t="str">
        <x:v>AM014</x:v>
      </x:c>
      <x:c r="B16" s="4" t="str">
        <x:v>Colombia COVID land frontier closure outside Venezuela</x:v>
      </x:c>
      <x:c r="C16" s="4" t="str">
        <x:v>Colombia; Panama; Ecuador; Peru; Brazil</x:v>
      </x:c>
      <x:c r="D16" s="4" t="str">
        <x:v>Colombian side of other land/river frontiers</x:v>
      </x:c>
      <x:c r="E16" s="4" t="str">
        <x:v>See geographic scope and exemptions.
Direction: Direction not separately established in this pass; consult the movement scope and source evidence.</x:v>
      </x:c>
      <x:c r="F16" s="4" t="str">
        <x:v>AM014-D1 — Formal policy
Colombia-side ordinary land/river passenger closure policy toward Panama, Ecuador, Peru and Brazil.
Start: 2020-03-17.
Policy endpoint: 2021-05-19.
Formal policy: 428 calendar-day difference; operational continuity not established</x:v>
      </x:c>
      <x:c r="G1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6" s="4" t="str">
        <x:v>AM014-D1: Formal national policy dates only; neighbouring countries and individual routes need not have reopened then. Authorised exceptions remain excluded. Panama has no ordinary through-road crossing.</x:v>
      </x:c>
      <x:c r="I16" s="4" t="str">
        <x:v>Retained baseline assessment. Retained with recorded qualifications</x:v>
      </x:c>
      <x:c r="J16" s="18" t="d">
        <x:v>2026-10-23T00:00:00.000Z</x:v>
      </x:c>
      <x:c r="K16" s="21" t="str">
        <x:f>IFERROR(HYPERLINK("https://cancilleria.gov.co/normograma/compilacion/docs/resolucion_mininterior_0746_2021.htm","Colombian Foreign Ministry legal database"),"Colombian Foreign Ministry legal database")</x:f>
        <x:v>Colombian Foreign Ministry legal database</x:v>
      </x:c>
      <x:c r="L16" s="21" t="str">
        <x:f>IFERROR(HYPERLINK("https://www.cancilleria.gov.co/sites/default/files/Normograma/docs/resolucion_uaemc_1175_2021.htm","cancilleria.gov.co"),"cancilleria.gov.co")</x:f>
        <x:v>cancilleria.gov.co</x:v>
      </x:c>
      <x:c r="M16" s="21" t="str">
        <x:f>IFERROR(HYPERLINK("https://www.noticiasrcn.com/internacional/ecuador-y-panama-confirman-cierre-de-sus-fronteras-pese-a-que-colombia-las-abrio-380023","noticiasrcn.com"),"noticiasrcn.com")</x:f>
        <x:v>noticiasrcn.com</x:v>
      </x:c>
      <x:c r="N16" s="4" t="str">
        <x:v>https://cancilleria.gov.co/normograma/compilacion/docs/resolucion_mininterior_0746_2021.htm
https://www.cancilleria.gov.co/sites/default/files/Normograma/docs/resolucion_uaemc_1175_2021.htm
https://www.noticiasrcn.com/internacional/ecuador-y-panama-confirman-cierre-de-sus-fronteras-pese-a-que-colombia-las-abrio-380023</x:v>
      </x:c>
      <x:c r="O16" s="4" t="str">
        <x:v>Source 1: full page
Source 2: access detail is retained in the source catalogue.
Source 3: access detail is retained in the source catalogue.</x:v>
      </x:c>
      <x:c r="P16" s="20" t="n">
        <x:v>1</x:v>
      </x:c>
      <x:c r="Q16" s="4" t="str">
        <x:v>Americas</x:v>
      </x:c>
      <x:c r="R16" s="4" t="str">
        <x:v>Included</x:v>
      </x:c>
    </x:row>
    <x:row r="17" ht="162" hidden="0" customHeight="1">
      <x:c r="A17" s="16" t="str">
        <x:v>AM021</x:v>
      </x:c>
      <x:c r="B17" s="4" t="str">
        <x:v>Uruguay COVID Argentina-border entry restrictions</x:v>
      </x:c>
      <x:c r="C17" s="4" t="str">
        <x:v>Uruguay; Argentina</x:v>
      </x:c>
      <x:c r="D17" s="4" t="str">
        <x:v>Entry from Argentina at land/river crossings</x:v>
      </x:c>
      <x:c r="E17" s="4" t="str">
        <x:v>See geographic scope and exemptions.
Direction: Direction not separately established in this pass; consult the movement scope and source evidence.
Exceptions: Citizens, residents, cargo and humanitarian movement initially exempt.</x:v>
      </x:c>
      <x:c r="F17" s="4" t="str">
        <x:v>AM021-REV1 — Formal policy
Uruguayan default prohibition on ordinary nonresident foreign visitor entry from Argentina, excluding all specific exemptions and limited to the visitor cohort made eligible November 1
Start: 2020-03-30.
Policy endpoint: 2021-11-01.
Formal policy: 581 calendar-day difference; operational continuity not established
AM021-C7P1 — Formal policy
Uruguay entry from Argentina under Decree 94/020, outside citizens/residents and freight-related exceptions
Start: unknown.
Last confirmed: 2020-03-23. Reopening is not established.
Formal policy: dated evidence; numeric duration withheld; see qualification</x:v>
      </x:c>
      <x:c r="G1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7" s="4" t="str">
        <x:v>AM021-REV1: March 30 is the start of this evidenced policy segment, not the original March 17 onset. September property-owner exemptions excluded. Does not assert physical gate continuity, Argentine exit permission, or reopening to unvaccinated adults.
AM021-C7P1: Start deliberately unknown: promulgation and publication are not independently observed physical implementation. No exact March 17 onset or continuous join to Decree 104 is asserted.</x:v>
      </x:c>
      <x:c r="I17" s="4" t="str">
        <x:v>Retained baseline assessment. Retained with recorded qualifications</x:v>
      </x:c>
      <x:c r="J17" s="18" t="d">
        <x:v>2026-10-23T00:00:00.000Z</x:v>
      </x:c>
      <x:c r="K17" s="21" t="str">
        <x:f>IFERROR(HYPERLINK("https://www.impo.com.uy/bases/decretos-originales/104-2020","IMPO"),"IMPO")</x:f>
        <x:v>IMPO</x:v>
      </x:c>
      <x:c r="L17" s="21" t="str">
        <x:f>IFERROR(HYPERLINK("https://www.impo.com.uy/bases/decretos-originales/297-2021","IMPO"),"IMPO")</x:f>
        <x:v>IMPO</x:v>
      </x:c>
      <x:c r="M17" s="21" t="str">
        <x:f>IFERROR(HYPERLINK("https://www.impo.com.uy/bases/decretos-originales/357-2021","IMPO"),"IMPO")</x:f>
        <x:v>IMPO</x:v>
      </x:c>
      <x:c r="N17" s="4" t="str">
        <x:v>https://www.impo.com.uy/bases/decretos-originales/104-2020
https://www.impo.com.uy/bases/decretos-originales/297-2021
https://www.impo.com.uy/bases/decretos-originales/357-2021
https://www.gub.uy/agencia-gobierno-electronico-sociedad-informacion-conocimiento/comunicacion/noticias/uruguay-abre-sus-fronteras
https://www.impo.com.uy/bases/decretos/94-2020
https://www.gub.uy/presidencia/comunicacion/noticias/gobierno-decreto-cierre-total-fronteras-argentina-partir-del-martes-17
https://www.impo.com.uy/bases/decretos/357-2021
https://www.gub.uy/presidencia/politicas-y-gestion/medidas-del-gobierno-para-atender-emergencia-sanitaria-coronavirus-covid-19-4
https://www.gub.uy/sistema-nacional-emergencias/comunicacion/comunicados/informe-situacion-sobre-coronavirus-covid-19-uruguay-16032020</x:v>
      </x:c>
      <x:c r="O17" s="4" t="str">
        <x:v>Source 1: full
Source 2: full
Source 3: full</x:v>
      </x:c>
      <x:c r="P17" s="20" t="n">
        <x:v>2</x:v>
      </x:c>
      <x:c r="Q17" s="4" t="str">
        <x:v>Americas</x:v>
      </x:c>
      <x:c r="R17" s="4" t="str">
        <x:v>Included</x:v>
      </x:c>
    </x:row>
    <x:row r="18" ht="138" hidden="0" customHeight="1">
      <x:c r="A18" s="16" t="str">
        <x:v>AM029</x:v>
      </x:c>
      <x:c r="B18" s="4" t="str">
        <x:v>Panama COVID restrictions on foreign land entry</x:v>
      </x:c>
      <x:c r="C18" s="4" t="str">
        <x:v>Panama; Costa Rica; Colombia</x:v>
      </x:c>
      <x:c r="D18" s="4" t="str">
        <x:v>Panamanian land entry</x:v>
      </x:c>
      <x:c r="E18" s="4" t="str">
        <x:v>See geographic scope and exemptions.
Direction: Direction not separately established in this pass; consult the movement scope and source evidence.
Exceptions: Nationals, qualifying residents, specified minors and approved cargo crews.</x:v>
      </x:c>
      <x:c r="F18" s="4" t="str">
        <x:v>AM029-REV1 — Announced window
Initial Panama land-entry restriction for nonresident foreigners, excluding approved categories
Start: 2020-03-17.
Scheduled endpoint: 2020-04-07.
Ordered window: 21 calendar-day difference; actual end not established</x:v>
      </x:c>
      <x:c r="G1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8" s="4" t="str">
        <x:v>AM029-REV1: Initial SNM schedule covers March 17–April 7. Nationals, residents including pending applicants, specified dependent children and approved freight crews are exempt. Posts remain operational for eligible categories. No actual April 7 reopening is inferred.
continuity: January 29, 2021 evidence concerns nationals, residents and foreigners already inside Panama. It cannot close the original nonresident foreign-inbound phase or establish unbroken implementation.</x:v>
      </x:c>
      <x:c r="I18" s="4" t="str">
        <x:v>Retained baseline assessment. Correction pass: reviewed; see attribute findings</x:v>
      </x:c>
      <x:c r="J18" s="18" t="d">
        <x:v>2026-10-23T00:00:00.000Z</x:v>
      </x:c>
      <x:c r="K18" s="21" t="str">
        <x:f>IFERROR(HYPERLINK("https://sertv.gob.pa/servicio-nacional-de-migracion-de-panama-suspende-sus-terminos-y-procesos-en-todo-el-pais/","SERTV / Panama SNM"),"SERTV / Panama SNM")</x:f>
        <x:v>SERTV / Panama SNM</x:v>
      </x:c>
      <x:c r="L18" s="21" t="str">
        <x:f>IFERROR(HYPERLINK("https://infojuridica.procuraduria-admon.gob.pa/norma_screen?numsec=55732","Panama Procuraduría"),"Panama Procuraduría")</x:f>
        <x:v>Panama Procuraduría</x:v>
      </x:c>
      <x:c r="M18" s="21" t="str">
        <x:f>IFERROR(HYPERLINK("https://www.minsa.gob.pa/centro-de-prensa/noticias/autoridades-en-la-provincia-de-bocas-del-toro-unen-criterios-para","MINSA Panama"),"MINSA Panama")</x:f>
        <x:v>MINSA Panama</x:v>
      </x:c>
      <x:c r="N18" s="4" t="str">
        <x:v>https://sertv.gob.pa/servicio-nacional-de-migracion-de-panama-suspende-sus-terminos-y-procesos-en-todo-el-pais/
https://infojuridica.procuraduria-admon.gob.pa/norma_screen?numsec=55732
https://www.minsa.gob.pa/centro-de-prensa/noticias/autoridades-en-la-provincia-de-bocas-del-toro-unen-criterios-para
https://www.prensa.com/impresa/panorama/panama-reabre-sus-fronteras-terrestres-nicarag-enses-alistan-viaje-de-retorno/
https://dtm.iom.int/reports/panama-seguimiento-la-emergencia-estaciones-de-recepci%C3%B3n-migratoria-pandemia-covid-19-5
https://www.tvn-2.com/nacionales/anuncian-reapertura-terrestres-republica-panama_1_1116716.html</x:v>
      </x:c>
      <x:c r="O18" s="4" t="str">
        <x:v>Source 1: full
Source 2: indexed excerpt; full
Source 3: full</x:v>
      </x:c>
      <x:c r="P18" s="20" t="n">
        <x:v>1</x:v>
      </x:c>
      <x:c r="Q18" s="4" t="str">
        <x:v>Americas</x:v>
      </x:c>
      <x:c r="R18" s="4" t="str">
        <x:v>Included</x:v>
      </x:c>
    </x:row>
    <x:row r="19" ht="210" hidden="0" customHeight="1">
      <x:c r="A19" s="16" t="str">
        <x:v>AM016</x:v>
      </x:c>
      <x:c r="B19" s="4" t="str">
        <x:v>Chile COVID restrictions on foreign land entry</x:v>
      </x:c>
      <x:c r="C19" s="4" t="str">
        <x:v>Chile; Argentina; Bolivia; Peru</x:v>
      </x:c>
      <x:c r="D19" s="4" t="str">
        <x:v>Chilean land ports</x:v>
      </x:c>
      <x:c r="E19" s="4" t="str">
        <x:v>See geographic scope and exemptions.
Direction: Direction not separately established in this pass; consult the movement scope and source evidence.
Exceptions: Citizens and foreign residents initially exempt; evolving humanitarian and cargo arrangements need further detail.</x:v>
      </x:c>
      <x:c r="F19" s="4" t="str">
        <x:v>AM016-FU1 — Formal policy
Chilean land ports covered by Decreto 102
Start: 2020-03-18.
Last confirmed: 2020-03-18. Reopening is not established.
Formal policy: dated evidence; numeric duration withheld; see qualification
AM016-C7P1 — Observed operation
The 22 Chilean land complexes named in the May 2 government report; not all 40 complexes
Start: unknown.
Observed scoped reopening: 2022-05-01.
dated evidence; numeric duration withheld; see qualification</x:v>
      </x:c>
      <x:c r="G1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9" s="4" t="str">
        <x:v>AM016-FU1: Initial order was for fifteen days and was subsequently extended; this phase does not treat its scheduled expiry or May 2022 partial normalization as an observed endpoint.
AM016-C7P1: Endpoint-only, partial network reopening under health requirements. Earlier announcement of all crossings is not evidence that every complex reopened. No continuous closure back to March 2020 is inferred.
duration: Add a formal policy onset confirmed March 18, preserving exceptions. This supplies a defensible dated phase without turning the later partial opening into an assumed uninterrupted two-year operational closure.</x:v>
      </x:c>
      <x:c r="I19" s="4" t="str">
        <x:v>Full-record source audit (REC50-R30); retained with recorded qualifications; evidence limits retained.</x:v>
      </x:c>
      <x:c r="J19" s="18" t="d">
        <x:v>2026-10-25T00:00:00.000Z</x:v>
      </x:c>
      <x:c r="K19" s="21" t="str">
        <x:f>IFERROR(HYPERLINK("https://www.leychile.cl/navegar?idNorma=1143540&amp;idParte=10109045&amp;idVersion=2020-04-22","Chilean National Congress Library"),"Chilean National Congress Library")</x:f>
        <x:v>Chilean National Congress Library</x:v>
      </x:c>
      <x:c r="L19" s="21" t="str">
        <x:f>IFERROR(HYPERLINK("https://www.gob.cl/noticias/ministro-de-obras-publicas-supervisa-el-inicio-del-cierre-de-fronteras-en-aeropuerto-nuevo-pudahuel/","Chile government"),"Chile government")</x:f>
        <x:v>Chile government</x:v>
      </x:c>
      <x:c r="M19" s="21" t="str">
        <x:f>IFERROR(HYPERLINK("https://www.gob.cl/noticias/plan-de-normalizacion-en-las-fronteras-22-complejos-fronterizos-terrestres-ya-estan-habilitados-para-el-transito-entre-chile-y-los-paises-vecinos/","Government of Chile"),"Government of Chile")</x:f>
        <x:v>Government of Chile</x:v>
      </x:c>
      <x:c r="N19" s="4" t="str">
        <x:v>https://www.leychile.cl/navegar?idNorma=1143540&amp;idParte=10109045&amp;idVersion=2020-04-22
https://www.gob.cl/noticias/ministro-de-obras-publicas-supervisa-el-inicio-del-cierre-de-fronteras-en-aeropuerto-nuevo-pudahuel/
https://www.gob.cl/noticias/plan-de-normalizacion-en-las-fronteras-22-complejos-fronterizos-terrestres-ya-estan-habilitados-para-el-transito-entre-chile-y-los-paises-vecinos/
https://www.pasosfronterizos.gov.cl/noticias/cambios-en-plan-frontera-segura-a-partir-del-1-de-diciembre-se-abrira-chacalluta-colchane-y-pino-hachado/
https://www.pasosfronterizos.gob.cl/noticias/se-pospone-apertura-de-fronteras-terrestres/
https://www.gob.cl/noticias/anuncian-reapertura-gradual-de-fronteras-terrestres-partir-del-22-de-diciembre/
https://dppgeneralcarrera.dpp.gob.cl/2021/12/24/dpp-general-carrera-destaca-buen-funcionamiento-del-complejo-fronterizo-jeinimeni/
https://www.minrel.gob.cl/minrel/sala-de-prensa/prohibicion-de-ingreso-a-personas-extranjeras-no-residentes-y-otras-medidas
https://www.pasosfronterizos.gov.cl/noticias/coronavirus-en-chile-pasa-a-fase-4-y-presidente-anuncia-cierre-de-fronteras/
https://www.minrel.gob.cl/sala-de-prensa/apertura-de-los-pasos-fronterizos</x:v>
      </x:c>
      <x:c r="O19" s="4" t="str">
        <x:v>Source 1: full text
Source 2: search extract
Source 3: indexed extract</x:v>
      </x:c>
      <x:c r="P19" s="20" t="n">
        <x:v>2</x:v>
      </x:c>
      <x:c r="Q19" s="4" t="str">
        <x:v>Americas</x:v>
      </x:c>
      <x:c r="R19" s="4" t="str">
        <x:v>Included</x:v>
      </x:c>
    </x:row>
    <x:row r="20" ht="114" hidden="0" customHeight="1">
      <x:c r="A20" s="16" t="str">
        <x:v>AM025</x:v>
      </x:c>
      <x:c r="B20" s="4" t="str">
        <x:v>Costa Rica COVID nonresident land entry restrictions</x:v>
      </x:c>
      <x:c r="C20" s="4" t="str">
        <x:v>Costa Rica; Nicaragua; Panama</x:v>
      </x:c>
      <x:c r="D20" s="4" t="str">
        <x:v>Costa Rican land entries</x:v>
      </x:c>
      <x:c r="E20" s="4" t="str">
        <x:v>See geographic scope and exemptions.
Direction: Direction not separately established in this pass; consult the movement scope and source evidence.
Exceptions: Citizens, residents and specified diplomatic/religious/special residence categories initially admitted with quarantine; freight and foreign freight drivers excepted. April 2021 opening initially covered visa-exempt tourists; controlled migrant transit remained suspended.</x:v>
      </x:c>
      <x:c r="F20" s="4" t="str">
        <x:v>AM025-R1 — Observed operation
Ordinary visa-exempt foreign tourist land entry into Costa Rica at Peñas Blancas and Paso Canoas
Start: 2020-03-18.
Observed scoped reopening: 2021-04-05.
383 calendar-day difference; scoped endpoint only</x:v>
      </x:c>
      <x:c r="G2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0" s="4" t="str">
        <x:v>AM025-R1: Dates are calendar bounds, with onset 18 March 23:59. Arrival counts include residents and do not identify every tourist individually. Freight, residents and controlled migration transit have separate rules.</x:v>
      </x:c>
      <x:c r="I20" s="4" t="str">
        <x:v>Retained baseline assessment. Retained with recorded qualifications</x:v>
      </x:c>
      <x:c r="J20" s="18" t="d">
        <x:v>2026-10-23T00:00:00.000Z</x:v>
      </x:c>
      <x:c r="K20" s="21" t="str">
        <x:f>IFERROR(HYPERLINK("https://presidencia.gobiernocarlosalvarado.cr/comunicados/2020/03/cinco-cuerpos-policiales-aumentan-vigilancia-en-puestos-y-puntos-ciegos-en-frontera-con-nicaragua/","Costa Rica Presidency"),"Costa Rica Presidency")</x:f>
        <x:v>Costa Rica Presidency</x:v>
      </x:c>
      <x:c r="L20" s="21" t="str">
        <x:f>IFERROR(HYPERLINK("https://presidencia.gobiernocarlosalvarado.cr/comunicados/2021/04/este-5-de-abril-empieza-la-primera-fase-de-la-apertura-de-las-fronteras-terrestres/","Costa Rica Presidency"),"Costa Rica Presidency")</x:f>
        <x:v>Costa Rica Presidency</x:v>
      </x:c>
      <x:c r="M20" s="21" t="str">
        <x:f>IFERROR(HYPERLINK("https://observador.cr/en-primeros-2-dias-de-reapertura-de-fronteras-terrestres-el-pais-recibio-1-536-personas/","El Observador"),"El Observador")</x:f>
        <x:v>El Observador</x:v>
      </x:c>
      <x:c r="N20" s="4" t="str">
        <x:v>https://presidencia.gobiernocarlosalvarado.cr/comunicados/2020/03/cinco-cuerpos-policiales-aumentan-vigilancia-en-puestos-y-puntos-ciegos-en-frontera-con-nicaragua/
https://presidencia.gobiernocarlosalvarado.cr/comunicados/2021/04/este-5-de-abril-empieza-la-primera-fase-de-la-apertura-de-las-fronteras-terrestres/
https://observador.cr/en-primeros-2-dias-de-reapertura-de-fronteras-terrestres-el-pais-recibio-1-536-personas/
https://presidencia.gobiernocarlosalvarado.cr/comunicados/2020/11/habilitado-ingreso-de-extranjeros-residentes-por-fronteras-terrestres/
https://www.rree.go.cr/?cat=prensa&amp;cont=593&amp;id=5425&amp;sec=servicios</x:v>
      </x:c>
      <x:c r="O20" s="4" t="str">
        <x:v>Source 1: full
Source 2: indexed excerpt
Source 3: full</x:v>
      </x:c>
      <x:c r="P20" s="20" t="n">
        <x:v>1</x:v>
      </x:c>
      <x:c r="Q20" s="4" t="str">
        <x:v>Americas</x:v>
      </x:c>
      <x:c r="R20" s="4" t="str">
        <x:v>Included</x:v>
      </x:c>
    </x:row>
    <x:row r="21" ht="138" hidden="0" customHeight="1">
      <x:c r="A21" s="16" t="str">
        <x:v>AM019</x:v>
      </x:c>
      <x:c r="B21" s="4" t="str">
        <x:v>Brazil COVID foreign-entry restrictions on eight land frontiers</x:v>
      </x:c>
      <x:c r="C21" s="4" t="str">
        <x:v>Brazil; Argentina; Bolivia; Colombia; French Guiana (France); Guyana; Paraguay; Peru; Suriname</x:v>
      </x:c>
      <x:c r="D21" s="4" t="str">
        <x:v>Land entries covered by Portaria 125; excludes separate Uruguay/Venezuela orders</x:v>
      </x:c>
      <x:c r="E21" s="4" t="str">
        <x:v>See geographic scope and exemptions.
Direction: Direction not separately established in this pass; consult the movement scope and source evidence.
Exceptions: Initial order exempted qualifying residents, diplomatic personnel, freight and documented twin-city border residents; separate Uruguay/Venezuela measures excluded from this row. Later conditional entry and country/category exceptions varied.</x:v>
      </x:c>
      <x:c r="F21" s="4" t="str">
        <x:v>AM019-FU1 — Formal policy
Brazil land entry from Argentina, Bolivia, Colombia, French Guiana, Guyana, Paraguay, Peru and Suriname
Start: 2020-03-19.
Last confirmed: 2020-03-19. Reopening is not established.
Formal policy: dated evidence; numeric duration withheld; see qualification</x:v>
      </x:c>
      <x:c r="G2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1" s="4" t="str">
        <x:v>AM019-FU1: Date follows the official March 19 legal reproduction and packet publication metadata. This is legal-policy evidence; route-by-route implementation and subsequent amendments remain unestablished.
duration: Add an initial formal restriction phase confirmed on the March 19 instrument/publication date. Do not infer closure continuity to December 2021 or convert its scheduled fifteen-day term into a real reopening.</x:v>
      </x:c>
      <x:c r="I21" s="4" t="str">
        <x:v>Retained baseline assessment. Follow-up adjudicated; amend</x:v>
      </x:c>
      <x:c r="J21" s="18" t="d">
        <x:v>2026-10-23T00:00:00.000Z</x:v>
      </x:c>
      <x:c r="K21" s="21" t="str">
        <x:f>IFERROR(HYPERLINK("https://bibliotecadigital.mj.gov.br/bitstream/1/1046/2/PRT_GM_2020_125.html","Brazil Ministry of Justice digital library"),"Brazil Ministry of Justice digital library")</x:f>
        <x:v>Brazil Ministry of Justice digital library</x:v>
      </x:c>
      <x:c r="L21" s="21" t="str">
        <x:f>IFERROR(HYPERLINK("https://www1.folha.uol.com.br/mundo/2020/10/bolsonaro-anuncia-reabertura-de-fronteiras-terrestres-entre-brasil-e-paraguai.shtml","Folha de S.Paulo"),"Folha de S.Paulo")</x:f>
        <x:v>Folha de S.Paulo</x:v>
      </x:c>
      <x:c r="M21" s="21" t="str">
        <x:f>IFERROR(HYPERLINK("https://planalto.gov.br/ccivil_03/portaria/prt/portaria-658-21-ccv.htm","Brazil Presidency"),"Brazil Presidency")</x:f>
        <x:v>Brazil Presidency</x:v>
      </x:c>
      <x:c r="N21" s="4" t="str">
        <x:v>https://bibliotecadigital.mj.gov.br/bitstream/1/1046/2/PRT_GM_2020_125.html
https://www1.folha.uol.com.br/mundo/2020/10/bolsonaro-anuncia-reabertura-de-fronteiras-terrestres-entre-brasil-e-paraguai.shtml
https://planalto.gov.br/ccivil_03/portaria/prt/portaria-658-21-ccv.htm
https://bibliotecadigital.mj.gov.br/handle/1/6733?locale=pt_BR
https://planalto.gov.br/ccivil_03/portaria/prt/portaria-661-21-ccv.htm
https://portal.antt.gov.br/documents/363688/0/PORTARIA_INTERMINISTERIAL_N__661__DE_8_DE_dezembro_DE_2021___PORTARIA_INTERMINISTERIAL_N__661__DE_8_DE_dezembro_DE_2021___DOU___Imprensa_Nacional%2B%281%29.pdf/bee5bd2c-1d2c-d205-ee8e-2956e20d93f2?t=1640033290723
https://dspace.mj.gov.br/bitstream/1/1046/1/PRT_GM_2020_125.pdf</x:v>
      </x:c>
      <x:c r="O21" s="4" t="str">
        <x:v>Source 1: full page
Source 2: indexed excerpt
Source 3: indexed excerpt; full</x:v>
      </x:c>
      <x:c r="P21" s="20" t="n">
        <x:v>1</x:v>
      </x:c>
      <x:c r="Q21" s="4" t="str">
        <x:v>Americas</x:v>
      </x:c>
      <x:c r="R21" s="4" t="str">
        <x:v>Included</x:v>
      </x:c>
    </x:row>
    <x:row r="22" ht="174" hidden="0" customHeight="1">
      <x:c r="A22" s="16" t="str">
        <x:v>AM036</x:v>
      </x:c>
      <x:c r="B22" s="4" t="str">
        <x:v>French Guiana Brazil COVID frontier closure</x:v>
      </x:c>
      <x:c r="C22" s="4" t="str">
        <x:v>French Guiana (France); Brazil</x:v>
      </x:c>
      <x:c r="D22" s="4" t="str">
        <x:v>Oyapock frontier and Saint-Georges–Oiapoque bridge</x:v>
      </x:c>
      <x:c r="E22" s="4" t="str">
        <x:v>See geographic scope and exemptions.
Direction: Both directions according to prefecture
Exceptions: Initial French-side admission exceptions included French citizens, foreigners resident in Guyane, EU nationals transiting to continental Europe and qualifying documented cross-border workers; health questionnaire/quarantine applied. Freight maintained. Brazilian-side admission rules were separate.</x:v>
      </x:c>
      <x:c r="F22" s="4" t="str">
        <x:v>AM036-REV1 — Formal policy
French-side ordinary passenger passage authorization at Oyapock binational road bridge
Start: 2020-06-25 to 2020-06-30.
Policy endpoint: 2021-12-18.
Formal policy: 536–541 calendar-day difference; operational continuity not established</x:v>
      </x:c>
      <x:c r="G2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2" s="4" t="str">
        <x:v>AM036-REV1: Month-bounded start does not resolve March frontier notices. Shared outlet is not independent corroboration. Informal river crossings continued; freight, exceptional permissions and Brazilian-side rules are not included.</x:v>
      </x:c>
      <x:c r="I22" s="4" t="str">
        <x:v>Retained baseline assessment. Retained with recorded qualifications</x:v>
      </x:c>
      <x:c r="J22" s="18" t="d">
        <x:v>2026-10-23T00:00:00.000Z</x:v>
      </x:c>
      <x:c r="K22" s="21" t="str">
        <x:f>IFERROR(HYPERLINK("https://www.franceguyane.fr/actualite/economie-consommation/3-choses-a-savoir-sur-la-reouverture-de-la-frontiere-avec-le-bresil-1488.php","France-Guyane"),"France-Guyane")</x:f>
        <x:v>France-Guyane</x:v>
      </x:c>
      <x:c r="L22" s="21" t="str">
        <x:f>IFERROR(HYPERLINK("https://www.franceguyane.fr/actualite/societe-social-emploi/en-images-pont-de-loyapock-un-retour-a-la-normale-ou-presque-594149.php","France-Guyane"),"France-Guyane")</x:f>
        <x:v>France-Guyane</x:v>
      </x:c>
      <x:c r="M22" s="21" t="str">
        <x:f>IFERROR(HYPERLINK("https://www.insee.fr/fr/statistiques/6458365?sommaire=6324691","INSEE"),"INSEE")</x:f>
        <x:v>INSEE</x:v>
      </x:c>
      <x:c r="N22" s="4" t="str">
        <x:v>https://www.franceguyane.fr/actualite/economie-consommation/3-choses-a-savoir-sur-la-reouverture-de-la-frontiere-avec-le-bresil-1488.php
https://www.franceguyane.fr/actualite/societe-social-emploi/en-images-pont-de-loyapock-un-retour-a-la-normale-ou-presque-594149.php
https://www.insee.fr/fr/statistiques/6458365?sommaire=6324691
https://www.guyane.gouv.fr/Actualites/Salle-de-presse/2020/Mars-2020/Fermeture-frontiere-France-Bresil-Conditions-de-circulation-des-personnes-et-des-marchandises
https://www.senat.fr/rap/r20-199-2/r20-199-21.html
https://www.senat.fr/compte-rendu-commissions/20200720/ce_covid.html
https://questions.assemblee-nationale.fr/q15/15-30225QE.htm
https://www.guyane.gouv.fr/index.php/Actualites/Salle-de-presse/2020/Juillet-2020/Plan-d-adaptation-progressive-des-mesures-de-freinage
https://www.tahiti-infos.com/Confinement-cible-fermeture-des-bars-et-restaurants-couvre-feu-durci-la-Guyane-renforce-les-restrictions_a192145.html</x:v>
      </x:c>
      <x:c r="O22" s="4" t="str">
        <x:v>Source 1: indexed excerpt
Source 2: indexed excerpt
Source 3: indexed excerpt</x:v>
      </x:c>
      <x:c r="P22" s="20" t="n">
        <x:v>1</x:v>
      </x:c>
      <x:c r="Q22" s="4" t="str">
        <x:v>Americas</x:v>
      </x:c>
      <x:c r="R22" s="4" t="str">
        <x:v>Included</x:v>
      </x:c>
    </x:row>
    <x:row r="23" ht="126" hidden="0" customHeight="1">
      <x:c r="A23" s="16" t="str">
        <x:v>AM024</x:v>
      </x:c>
      <x:c r="B23" s="4" t="str">
        <x:v>Bolivia COVID foreign-entry land restrictions</x:v>
      </x:c>
      <x:c r="C23" s="4" t="str">
        <x:v>Bolivia; Brazil; Paraguay; Argentina; Chile; Peru</x:v>
      </x:c>
      <x:c r="D23" s="4" t="str">
        <x:v>Bolivian land/river border entries</x:v>
      </x:c>
      <x:c r="E23" s="4" t="str">
        <x:v>See geographic scope and exemptions.
Direction: Direction not separately established in this pass; consult the movement scope and source evidence.
Exceptions: Citizens, residents, diplomatic/international missions and international freight drivers initially exempt.</x:v>
      </x:c>
      <x:c r="F23" s="4" t="str">
        <x:v>AM024-REV1 — Announced window
Bolivia initial ordered prohibition on foreign entry at land borders, with statutory exemptions
Start: 2020-03-20.
Scheduled endpoint: 2020-03-31.
Ordered window: 11 calendar-day difference; actual end not established</x:v>
      </x:c>
      <x:c r="G2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3" s="4" t="str">
        <x:v>AM024-REV1: Initial schedule starts at 00:00 on March 20 and runs until March 31, with no endpoint hour specified. Nationals/residents, diplomatic and special missions, and international freight drivers are exempt. Scheduled expiry is not an actual reopening.
continuity: The March 20–31 foreign-entry order remains a scheduled window. A later gradual reopening protocol does not establish its operational continuity or an all-land endpoint.</x:v>
      </x:c>
      <x:c r="I23" s="4" t="str">
        <x:v>Retained baseline assessment. Correction pass: reviewed; see attribute findings</x:v>
      </x:c>
      <x:c r="J23" s="18" t="d">
        <x:v>2026-10-23T00:00:00.000Z</x:v>
      </x:c>
      <x:c r="K23" s="21" t="str">
        <x:f>IFERROR(HYPERLINK("https://www.dgac.gob.bo/wp-content/covid19/leyesdecretos/DS_4196_DECLARA_EGA_SANITARIA_NACIONAL.pdf","Bolivian government, Decree 4196"),"Bolivian government, Decree 4196")</x:f>
        <x:v>Bolivian government, Decree 4196</x:v>
      </x:c>
      <x:c r="L23" s="21" t="str">
        <x:f>IFERROR(HYPERLINK("https://www.jornada.com.mx/noticia/2020/11/30/mundo/bolivia-abre-fronteras-y-levanta-restricciones-ante-caida-de-contagios-5961","La Jornada / AP"),"La Jornada / AP")</x:f>
        <x:v>La Jornada / AP</x:v>
      </x:c>
      <x:c r="M23" s="21" t="str">
        <x:f>IFERROR(HYPERLINK("https://elandaluz.com.bo/2020/12/09/desde-argentina-confirman-que-no-hay-fecha-para-la-apertura-de-frontera/","El Andaluz"),"El Andaluz")</x:f>
        <x:v>El Andaluz</x:v>
      </x:c>
      <x:c r="N23" s="4" t="str">
        <x:v>https://www.dgac.gob.bo/wp-content/covid19/leyesdecretos/DS_4196_DECLARA_EGA_SANITARIA_NACIONAL.pdf
https://www.jornada.com.mx/noticia/2020/11/30/mundo/bolivia-abre-fronteras-y-levanta-restricciones-ante-caida-de-contagios-5961
https://elandaluz.com.bo/2020/12/09/desde-argentina-confirman-que-no-hay-fecha-para-la-apertura-de-frontera/
https://cancilleria.gob.bo/mre/2020/12/22/7073/
https://www.senarecom.gob.bo/files/leyes/Marco_Normativo_Minero_SENARECOM_2020.pdf
https://bolivia.infoleyes.com/norma/7266/decreto-supremo-4196
https://www.lexivox.org/norms/BO-DS-N4196.html</x:v>
      </x:c>
      <x:c r="O23" s="4" t="str">
        <x:v>Source 1: full
Source 2: indexed excerpt
Source 3: indexed excerpt</x:v>
      </x:c>
      <x:c r="P23" s="20" t="n">
        <x:v>1</x:v>
      </x:c>
      <x:c r="Q23" s="4" t="str">
        <x:v>Americas</x:v>
      </x:c>
      <x:c r="R23" s="4" t="str">
        <x:v>Included</x:v>
      </x:c>
    </x:row>
    <x:row r="24" ht="114" hidden="0" customHeight="1">
      <x:c r="A24" s="16" t="str">
        <x:v>AM001</x:v>
      </x:c>
      <x:c r="B24" s="4" t="str">
        <x:v>United States COVID nonessential inbound land restrictions</x:v>
      </x:c>
      <x:c r="C24" s="4" t="str">
        <x:v>United States; Canada; Mexico</x:v>
      </x:c>
      <x:c r="D24" s="4" t="str">
        <x:v>US side of Canadian and Mexican land borders</x:v>
      </x:c>
      <x:c r="E24" s="4" t="str">
        <x:v>See geographic scope and exemptions.
Direction: Direction not separately established in this pass; consult the movement scope and source evidence.
Exceptions: US citizens and residents returning, essential workers, trade and other essential travel.</x:v>
      </x:c>
      <x:c r="F24" s="4" t="str">
        <x:v>AM001-D1 — Observed operation
Ordinary non-essential entry to the United States by foreign nationals; endpoint concerns the vaccinated-traveller reopening.
Start: 2020-03-20 to 2020-03-21.
Observed scoped reopening: 2021-11-08.
597–598 calendar-day difference; scoped endpoint only</x:v>
      </x:c>
      <x:c r="G2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4" s="4" t="str">
        <x:v>Federal Register effective onset March 20 23:59 EDT; embassy/jointstatement describe March 21 implementation. Preserve20–21 calendar bounds. November 8 vaccinated nonessential endpoint retained.
AM001-D1: The effective midnight transition differs from operational date summaries; no exact elapsed hours are calculated. U.S. citizens, lawful permanent residents, essential work/trade and authorized exceptions are excluded. November 8 relaxation concerned fully vaccinated foreign nonessential entrants.</x:v>
      </x:c>
      <x:c r="I24" s="4" t="str">
        <x:v>Retained baseline assessment. Amended after source reconciliation</x:v>
      </x:c>
      <x:c r="J24" s="18" t="d">
        <x:v>2026-10-23T00:00:00.000Z</x:v>
      </x:c>
      <x:c r="K24" s="21" t="str">
        <x:f>IFERROR(HYPERLINK("https://mx.usembassy.gov/travel-restrictions-fact-sheet/","US Embassy Mexico"),"US Embassy Mexico")</x:f>
        <x:v>US Embassy Mexico</x:v>
      </x:c>
      <x:c r="L24" s="21" t="str">
        <x:f>IFERROR(HYPERLINK("https://mx.usembassy.gov/starting-today-fully-vaccinated-travelers-permitted-to-enter-u-s-via-land-and-ferry-border-crossings/","US Embassy Mexico"),"US Embassy Mexico")</x:f>
        <x:v>US Embassy Mexico</x:v>
      </x:c>
      <x:c r="M24" s="21" t="str">
        <x:f>IFERROR(HYPERLINK("https://www.investing.com/news/coronavirus/usmexico-border-reopens-after-20-months-of-covid-disruption-2671362","Investing.com"),"Investing.com")</x:f>
        <x:v>Investing.com</x:v>
      </x:c>
      <x:c r="N24" s="4" t="str">
        <x:v>https://mx.usembassy.gov/travel-restrictions-fact-sheet/
https://mx.usembassy.gov/starting-today-fully-vaccinated-travelers-permitted-to-enter-u-s-via-land-and-ferry-border-crossings/
https://www.investing.com/news/coronavirus/usmexico-border-reopens-after-20-months-of-covid-disruption-2671362
https://regulations.justia.com/regulations/fedreg/2020/03/24/2020-06253.html
https://www.everycrsreport.com/reports/LSB10659.html
https://www.canada.ca/en/public-safety-canada/news/2020/03/us-canada-joint-initiative-temporary-restriction-of-travelers-crossing-the-us-canada-border-for-non-essential-purposes.html</x:v>
      </x:c>
      <x:c r="O24" s="4" t="str">
        <x:v>Source 1: search extract
Source 2: search extract
Source 3: search extract</x:v>
      </x:c>
      <x:c r="P24" s="20" t="n">
        <x:v>1</x:v>
      </x:c>
      <x:c r="Q24" s="4" t="str">
        <x:v>Americas</x:v>
      </x:c>
      <x:c r="R24" s="4" t="str">
        <x:v>Included</x:v>
      </x:c>
    </x:row>
    <x:row r="25" ht="174" hidden="0" customHeight="1">
      <x:c r="A25" s="16" t="str">
        <x:v>AM002</x:v>
      </x:c>
      <x:c r="B25" s="4" t="str">
        <x:v>Canada COVID restrictions on ordinary tourist entry from United States</x:v>
      </x:c>
      <x:c r="C25" s="4" t="str">
        <x:v>Canada; United States</x:v>
      </x:c>
      <x:c r="D25" s="4" t="str">
        <x:v>Canadian side of land frontier</x:v>
      </x:c>
      <x:c r="E25" s="4" t="str">
        <x:v>Ordinary foreign tourist, recreational and entertainment visitors entering Canada from the United States who did not qualify under a separate family, compassionate, national-interest or other exemption.
Direction: Inbound to Canada from the United States.
Exceptions: Canadian citizens, permanent residents, protected persons and registered Indigenous persons retained entry rights. Essential work, trade and study continued. Qualifying immediate/extended family, compassionate, national-interest and authorized sporting entrants were exempt under evolving conditions, including some discretionary journeys.</x:v>
      </x:c>
      <x:c r="F25" s="4" t="str">
        <x:v>AM002-D1 — Observed operation
Canadian side of land frontier; Ordinary foreign tourist, recreational and entertainment visitors entering Canada from the United States who did not qualify under a separate family, compassionate, national-interest or other exemption.; Inbound to Canada from the United States.
Start: 2020-03-21.
Observed scoped reopening: 2021-08-09.
506 calendar-day difference; scoped endpoint only</x:v>
      </x:c>
      <x:c r="G2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5" s="4" t="str">
        <x:v>AM002-D1: The interval applies only to ordinary tourist/recreational foreign visitors without another exemption. August 9, 2021 was the first broad tourist relaxation for fully vaccinated US citizens/permanent residents residing in and travelling from the United States; it did not remove all restrictions. Separate family and other discretionary exemptions existed earlier. March 18 was the announcement, while March 21 was the effective land-border start. July 5 quarantine relief was not an ordinary-tourist reopening. Statistical coverage is incomplete and does not identify every entrant as a tourist. Canadian citizens, permanent residents, protected persons and registered Indigenous persons retained entry rights. Essential work, trade and study continued. Qualifying immediate/extended family, compassionate, national-interest and authorized sporting entrants were exempt under evolving conditions, including some discretionary journeys.</x:v>
      </x:c>
      <x:c r="I25" s="4" t="str">
        <x:v>Full-record source audit (REC50-R10); retained with recorded qualifications; evidence limits retained.</x:v>
      </x:c>
      <x:c r="J25" s="18" t="d">
        <x:v>2026-10-25T00:00:00.000Z</x:v>
      </x:c>
      <x:c r="K25" s="21" t="str">
        <x:f>IFERROR(HYPERLINK("https://www.publicsafety.gc.ca/cnt/trnsprnc/brfng-mtrls/prlmntry-bndrs/20211015/10-en.aspx?wbdisable=false","Public Safety Canada / CBSA"),"Public Safety Canada / CBSA")</x:f>
        <x:v>Public Safety Canada / CBSA</x:v>
      </x:c>
      <x:c r="L25" s="21" t="str">
        <x:f>IFERROR(HYPERLINK("https://www.canada.ca/en/immigration-refugees-citizenship/corporate/transparency/transition-binders/minister-2021/covid-measures.html","Immigration, Refugees and Citizenship Canada"),"Immigration, Refugees and Citizenship Canada")</x:f>
        <x:v>Immigration, Refugees and Citizenship Canada</x:v>
      </x:c>
      <x:c r="M25" s="21" t="str">
        <x:f>IFERROR(HYPERLINK("https://www.canada.ca/en/border-services-agency/news/2020/03/statement-from-john-ossowski-president-of-the-canada-border-services-agency0.html","Canada Border Services Agency"),"Canada Border Services Agency")</x:f>
        <x:v>Canada Border Services Agency</x:v>
      </x:c>
      <x:c r="N25" s="4" t="str">
        <x:v>https://www.publicsafety.gc.ca/cnt/trnsprnc/brfng-mtrls/prlmntry-bndrs/20211015/10-en.aspx?wbdisable=false
https://www.canada.ca/en/immigration-refugees-citizenship/corporate/transparency/transition-binders/minister-2021/covid-measures.html
https://www.canada.ca/en/border-services-agency/news/2020/03/statement-from-john-ossowski-president-of-the-canada-border-services-agency0.html
https://www.canada.ca/en/border-services-agency/news/2021/07/reminder--on-july-5th-fully-vaccinated-travellers-eligible-to-enter-canada-can-benefit-from-reduced-public-health-measures.html
https://www.canada.ca/en/border-services-agency/news/2021/08/travel-advisory-reminder--on-august-9th-new-public-health-measures-will-come-into-force-affecting-travel-to-canada.html
https://www150.statcan.gc.ca/n1/daily-quotidien/210910/dq210910e-eng.htm
https://www150.statcan.gc.ca/n1/daily-quotidien/210910/dq210910e-eng.pdf
https://www.canada.ca/en/public-safety-canada/news/2020/03/us-canada-joint-initiative-temporary-restriction-of-travelers-crossing-the-us-canada-border-for-non-essential-purposes.html</x:v>
      </x:c>
      <x:c r="O25" s="4" t="str">
        <x:v>Source 1: full text
Source 2: full text
Source 3: full text</x:v>
      </x:c>
      <x:c r="P25" s="20" t="n">
        <x:v>1</x:v>
      </x:c>
      <x:c r="Q25" s="4" t="str">
        <x:v>Americas</x:v>
      </x:c>
      <x:c r="R25" s="4" t="str">
        <x:v>Included</x:v>
      </x:c>
    </x:row>
    <x:row r="26" ht="126" hidden="0" customHeight="1">
      <x:c r="A26" s="16" t="str">
        <x:v>AM037</x:v>
      </x:c>
      <x:c r="B26" s="4" t="str">
        <x:v>Saint-Martin Sint Maarten spring 2020 cross-island restrictions</x:v>
      </x:c>
      <x:c r="C26" s="4" t="str">
        <x:v>Saint-Martin (France); Sint Maarten (Kingdom of Netherlands)</x:v>
      </x:c>
      <x:c r="D26" s="4" t="str">
        <x:v>International land boundary within island</x:v>
      </x:c>
      <x:c r="E26" s="4" t="str">
        <x:v>See geographic scope and exemptions.
Direction: Cross-island movement
Exceptions: Documented cross-border employment and urgent medically justified journeys; general shopping, family visits and leisure crossings prohibited.</x:v>
      </x:c>
      <x:c r="F26" s="4" t="str">
        <x:v>AM037-D1 — Observed operation
French-side ordinary non-essential road passage at Bellevue and Quartier d'Orléans, to removal of controls at those two posts.
Start: 2020-03-30.
Observed scoped reopening: 2020-06-01 to 2020-06-02.
63–64 calendar-day difference; scoped endpoint only</x:v>
      </x:c>
      <x:c r="G2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6" s="4" t="str">
        <x:v>AM037-D1: Dutch controls ended earlier, and some other barriers remained. Medical and authorised work travel were exceptions. This is not an island-wide or bilateral all-road interval.</x:v>
      </x:c>
      <x:c r="I26" s="4" t="str">
        <x:v>Retained baseline assessment. Retained with recorded qualifications</x:v>
      </x:c>
      <x:c r="J26" s="18" t="d">
        <x:v>2026-10-23T00:00:00.000Z</x:v>
      </x:c>
      <x:c r="K26" s="21" t="str">
        <x:f>IFERROR(HYPERLINK("https://www.faxinfo.fr/libre-circulation-entre-saint-martin-et-sint-maarten-depuis-le-1er-juin-a-minuit/","Faxinfo"),"Faxinfo")</x:f>
        <x:v>Faxinfo</x:v>
      </x:c>
      <x:c r="L26" s="21" t="str">
        <x:f>IFERROR(HYPERLINK("https://stmaartennews.com/french-side-news/french-authorities-confirmed-closing-border-control-posts/","StMaartenNews"),"StMaartenNews")</x:f>
        <x:v>StMaartenNews</x:v>
      </x:c>
      <x:c r="M26" s="21" t="str">
        <x:f>IFERROR(HYPERLINK("https://www.soualigapost.com/fr/actualite/35424/transports/restriction-du-franchissement-de-la-fronti%C3%A8re-et-aussi-des-d%C3%A9placements","SoualigaPost / Estelle Gasnet"),"SoualigaPost / Estelle Gasnet")</x:f>
        <x:v>SoualigaPost / Estelle Gasnet</x:v>
      </x:c>
      <x:c r="N26" s="4" t="str">
        <x:v>https://www.faxinfo.fr/libre-circulation-entre-saint-martin-et-sint-maarten-depuis-le-1er-juin-a-minuit/
https://stmaartennews.com/french-side-news/french-authorities-confirmed-closing-border-control-posts/
https://www.soualigapost.com/fr/actualite/35424/transports/restriction-du-franchissement-de-la-fronti%C3%A8re-et-aussi-des-d%C3%A9placements
https://faxinfo.fr/en/libre-circulation-entre-saint-martin-et-sint-maarten-depuis-le-1er-juin-a-minuit/
https://www.faxinfo.fr/durcissement-des-restrictions-de-deplacements-entre-saint-martin-et-sint-maarten/
https://www.saint-barth-saint-martin.gouv.fr/Publications/RAA/2020</x:v>
      </x:c>
      <x:c r="O26" s="4" t="str">
        <x:v>Source 1: search extract
Source 2: full page
Source 3: full page</x:v>
      </x:c>
      <x:c r="P26" s="20" t="n">
        <x:v>1</x:v>
      </x:c>
      <x:c r="Q26" s="4" t="str">
        <x:v>Americas</x:v>
      </x:c>
      <x:c r="R26" s="4" t="str">
        <x:v>Included</x:v>
      </x:c>
    </x:row>
    <x:row r="27" ht="222" hidden="0" customHeight="1">
      <x:c r="A27" s="16" t="str">
        <x:v>AM030</x:v>
      </x:c>
      <x:c r="B27" s="4" t="str">
        <x:v>Belize COVID land-entry restrictions with separate tourist and citizen/resident phases</x:v>
      </x:c>
      <x:c r="C27" s="4" t="str">
        <x:v>Belize; Mexico; Guatemala</x:v>
      </x:c>
      <x:c r="D27" s="4" t="str">
        <x:v>Belize northern/western land border entries</x:v>
      </x:c>
      <x:c r="E27" s="4" t="str">
        <x:v>See geographic scope and exemptions.
Direction: Direction not separately established in this pass; consult the movement scope and source evidence.
Exceptions: Cargo, urgent medical or emergency returns; later individually authorised movements.</x:v>
      </x:c>
      <x:c r="F27" s="4" t="str">
        <x:v>AM030-R1 — Observed operation
Ordinary foreign vacation tourists entering Belize by northern/western land borders; segment begins at widened 5 April order, not first tourist ban
Start: 2020-04-05.
Observed scoped reopening: 2021-05-31.
421 calendar-day difference; scoped endpoint only
AM030-C7P1 — Formal policy
Belize land-entry restriction extended to returning Belizeans and residents outside authorized emergency cases
Start: 2020-04-05.
Last confirmed: 2020-04-05. Reopening is not established.
Formal policy: dated evidence; numeric duration withheld; see qualification
AM030-C7P2 — Formal policy
Belize conditional land-port admission and departure for Belizeans and residents
Start: unknown.
Policy endpoint: 2022-02-07.
Formal policy: dated evidence; numeric duration withheld; see qualification</x:v>
      </x:c>
      <x:c r="G2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7" s="4" t="str">
        <x:v>AM030-R1: Tourist restrictions began before 5 April; this is a partial phase. Emergency permissions, freight, citizens and residents are outside this period's scope. Tourist eligibility after reopening remained conditional.
AM030-C7P1: Medical/emergency returns excepted. This is an initial policy observation, not proof of unchanged rules until February 2022. Tourist and resident histories are distinct.
AM030-C7P2: Endpoint-only legal observation. Hours, entry testing and cohort-specific exit conditions apply; emergency permissions and intermediate rules prevent treating this as one uninterrupted resident closure from April 2020.</x:v>
      </x:c>
      <x:c r="I27" s="4" t="str">
        <x:v>Retained baseline assessment. Retained with recorded qualifications</x:v>
      </x:c>
      <x:c r="J27" s="18" t="d">
        <x:v>2026-10-23T00:00:00.000Z</x:v>
      </x:c>
      <x:c r="K27" s="21" t="str">
        <x:f>IFERROR(HYPERLINK("https://immigration.gov.bz/ministry/timeline/5/","Belize Immigration"),"Belize Immigration")</x:f>
        <x:v>Belize Immigration</x:v>
      </x:c>
      <x:c r="L27" s="21" t="str">
        <x:f>IFERROR(HYPERLINK("https://www.sanpedrosun.com/travel-and-tourism/2021/05/21/land-borders-to-reopen-at-the-end-of-may-sea-entry-remain-closed/","San Pedro Sun"),"San Pedro Sun")</x:f>
        <x:v>San Pedro Sun</x:v>
      </x:c>
      <x:c r="M27" s="21" t="str">
        <x:f>IFERROR(HYPERLINK("https://www.sanpedrosun.com/travel-and-tourism/2021/06/07/slow-tourist-activity-at-the-now-open-land-borders-no-cases-of-covid-19-detected/","San Pedro Sun"),"San Pedro Sun")</x:f>
        <x:v>San Pedro Sun</x:v>
      </x:c>
      <x:c r="N27" s="4" t="str">
        <x:v>https://immigration.gov.bz/ministry/timeline/5/
https://www.sanpedrosun.com/travel-and-tourism/2021/05/21/land-borders-to-reopen-at-the-end-of-may-sea-entry-remain-closed/
https://www.sanpedrosun.com/travel-and-tourism/2021/06/07/slow-tourist-activity-at-the-now-open-land-borders-no-cases-of-covid-19-detected/
https://www.pressoffice.gov.bz/wp-content/uploads/2022/02/SI-No-22-of-2022-Public-Health-Reform.pdf
https://tourism.gov.bz/wp-content/uploads/2021/04/LandBorderRequirementsMay-25th2021.pdf
https://www.pgiabelize.com/all-borders-closed-to-the-entry-of-belizean-nationals/</x:v>
      </x:c>
      <x:c r="O27" s="4" t="str">
        <x:v>Source 1: full
Source 2: indexed excerpt; full
Source 3: full</x:v>
      </x:c>
      <x:c r="P27" s="20" t="n">
        <x:v>3</x:v>
      </x:c>
      <x:c r="Q27" s="4" t="str">
        <x:v>Americas</x:v>
      </x:c>
      <x:c r="R27" s="4" t="str">
        <x:v>Included</x:v>
      </x:c>
    </x:row>
    <x:row r="28" ht="354" hidden="0" customHeight="1">
      <x:c r="A28" s="16" t="str">
        <x:v>AM033</x:v>
      </x:c>
      <x:c r="B28" s="4" t="str">
        <x:v>Panama Costa Rica freight closure during health-protocol dispute</x:v>
      </x:c>
      <x:c r="C28" s="4" t="str">
        <x:v>Panama; Costa Rica</x:v>
      </x:c>
      <x:c r="D28" s="4" t="str">
        <x:v>Land freight between Panama and Costa Rica</x:v>
      </x:c>
      <x:c r="E28" s="4" t="str">
        <x:v>Freight and drivers
Direction: Direction not separately established in this pass; consult the movement scope and source evidence.</x:v>
      </x:c>
      <x:c r="F28" s="4" t="str">
        <x:v>AM033-D1 — Observed operation
Panama–Costa Rica freight interruption involving Panamanian trucker blockades and separate state driver-entry/routing measures, to progressive truck resumption.
Start: 2020-05-17.
Observed scoped reopening: 2020-05-26 to 2020-05-27.
9–10 calendar-day difference; scoped endpoint only</x:v>
      </x:c>
      <x:c r="G28" s="4" t="str">
        <x:v>Health and biosecurity / Human disease control
Reported reason
Applies to: Government health-protocol restrictions; not the truckers’ purpose
Reciprocal health protocols and trade dispute explicit.
Trade and protectionism / Customs and transport rules
Reported reason
Applies to: State driver-entry and cargo-routing measures
Reciprocal health protocols and trade dispute explicit.
Interstate disputes and pressure / Diplomatic disputes and retaliation
Reported reason
Applies to: Government reciprocal measures during the transport dispute
Reciprocal health protocols and trade dispute explicit.
Trade and protectionism / Trade and transport protests
Reported reason
Applies to: Panamanian trucker blockade; exact overlap with state rules not separately established
Truckers sought changes to routing, cargo handling and reciprocal treatment.
Policy and socioeconomic demands / Opposition to health policies
Reported reason
Applies to: Panamanian trucker blockade
Opposed practical restrictions imposed under Costa Rican COVID driver protocols; this is distinct from official disease-prevention justification.</x:v>
      </x:c>
      <x:c r="H28" s="4" t="str">
        <x:v>AM033-D1: Truckers physically obstructed crossings; authorities imposed reciprocal driver and cargo-routing protocols. End bounds May 26–27 distinguish blockade removal and progressive restoration. No claim every truck or gate reopened simultaneously.</x:v>
      </x:c>
      <x:c r="I28" s="4" t="str">
        <x:v>Targeted source review (REC50-R24); retained with recorded qualifications; evidence limits retained.</x:v>
      </x:c>
      <x:c r="J28" s="18" t="d">
        <x:v>2026-10-25T00:00:00.000Z</x:v>
      </x:c>
      <x:c r="K28" s="21" t="str">
        <x:f>IFERROR(HYPERLINK("https://presidencia.gobiernocarlosalvarado.cr/comunicados/2020/05/acuerdos-bilaterales-permiten-transito-de-mercancias-entre-costa-rica-y-panama/","Costa Rican Presidency archive"),"Costa Rican Presidency archive")</x:f>
        <x:v>Costa Rican Presidency archive</x:v>
      </x:c>
      <x:c r="L28" s="21" t="str">
        <x:f>IFERROR(HYPERLINK("https://www.rree.go.cr/?cat=prensa&amp;cont=593&amp;id=5548&amp;sec=servicios","Costa Rica foreign ministry"),"Costa Rica foreign ministry")</x:f>
        <x:v>Costa Rica foreign ministry</x:v>
      </x:c>
      <x:c r="M28" s="21" t="str">
        <x:f>IFERROR(HYPERLINK("https://observador.cr/fronteras-panamenas-ya-fueron-desbloqueadas-tenian-8-dias-de-cierre-por-parte-de-transportistas/","El Observador"),"El Observador")</x:f>
        <x:v>El Observador</x:v>
      </x:c>
      <x:c r="N28" s="4" t="str">
        <x:v>https://presidencia.gobiernocarlosalvarado.cr/comunicados/2020/05/acuerdos-bilaterales-permiten-transito-de-mercancias-entre-costa-rica-y-panama/
https://www.rree.go.cr/?cat=prensa&amp;cont=593&amp;id=5548&amp;sec=servicios
https://observador.cr/fronteras-panamenas-ya-fueron-desbloqueadas-tenian-8-dias-de-cierre-por-parte-de-transportistas/
https://www.prensa.com/economia/panama-aplica-reciprocidad-temporal-a-transportistas-de-costa-rica/</x:v>
      </x:c>
      <x:c r="O28" s="4" t="str">
        <x:v>Source 1: full text
Source 2: search extract
Source 3: indexed extract</x:v>
      </x:c>
      <x:c r="P28" s="20" t="n">
        <x:v>1</x:v>
      </x:c>
      <x:c r="Q28" s="4" t="str">
        <x:v>Americas</x:v>
      </x:c>
      <x:c r="R28" s="4" t="str">
        <x:v>Included</x:v>
      </x:c>
    </x:row>
    <x:row r="29" ht="162" hidden="0" customHeight="1">
      <x:c r="A29" s="16" t="str">
        <x:v>AM032</x:v>
      </x:c>
      <x:c r="B29" s="4" t="str">
        <x:v>Nicaragua Peñas Blancas cargo closure over health-rule dispute</x:v>
      </x:c>
      <x:c r="C29" s="4" t="str">
        <x:v>Nicaragua; Costa Rica</x:v>
      </x:c>
      <x:c r="D29" s="4" t="str">
        <x:v>Peñas Blancas cargo crossing</x:v>
      </x:c>
      <x:c r="E29" s="4" t="str">
        <x:v>Trucks and freight
Direction: Cargo passage in both directions interrupted</x:v>
      </x:c>
      <x:c r="F29" s="4" t="str">
        <x:v>AM032-D1 — Observed operation
Peñas Blancas cargo crossing; Trucks and freight; Cargo passage in both directions interrupted
Start: 2020-05-18.
Observed scoped reopening: 2020-05-31.
13 calendar-day difference; scoped endpoint only</x:v>
      </x:c>
      <x:c r="G29" s="4" t="str">
        <x:v>Trade and protectionism / Customs and transport rules
Reported reason
Applies to: Recorded episode; exact overlap not separately established
The closure responded to another country's health-related freight rules. A separate infection-control purpose for Nicaragua's obstruction is not established, so the health code is removed.
Interstate disputes and pressure / Diplomatic disputes and retaliation
Reported reason
Applies to: Recorded episode; exact overlap not separately established
The closure responded to another country's health-related freight rules. A separate infection-control purpose for Nicaragua's obstruction is not established, so the health code is removed.</x:v>
      </x:c>
      <x:c r="H29" s="4" t="str">
        <x:v>AM032-D1: Onset based on Costa Rican official account of Nicaraguan action;31 May actual passage confirmed. Tablillas has separate reopening timing.</x:v>
      </x:c>
      <x:c r="I29" s="4" t="str">
        <x:v>Retained baseline assessment. Retained with recorded qualifications</x:v>
      </x:c>
      <x:c r="J29" s="18" t="d">
        <x:v>2026-10-23T00:00:00.000Z</x:v>
      </x:c>
      <x:c r="K29" s="21" t="str">
        <x:f>IFERROR(HYPERLINK("https://www.nacion.com/economia/politica-economica/gobierno-de-nicaragua-cierra-transito-de/4JLEPB67ZNDBJHQUI5DWZJ2DCI/story/","La Nación"),"La Nación")</x:f>
        <x:v>La Nación</x:v>
      </x:c>
      <x:c r="L29" s="21" t="str">
        <x:f>IFERROR(HYPERLINK("https://www.nacion.com/el-pais/managua-mantiene-cierre-fronterizo-al-transporte/OVF75WMMIRBHVLODTP6DHVSIME/story/","La Nación"),"La Nación")</x:f>
        <x:v>La Nación</x:v>
      </x:c>
      <x:c r="M29" s="21" t="str">
        <x:f>IFERROR(HYPERLINK("https://www.nacion.com/economia/politica-economica/gobierno-de-ortega-cierra-transito-de-mercancias/73XUV3WDUBFP7MMFTM2TBUFBPY/story/","nacion.com"),"nacion.com")</x:f>
        <x:v>nacion.com</x:v>
      </x:c>
      <x:c r="N29" s="4" t="str">
        <x:v>https://www.nacion.com/economia/politica-economica/gobierno-de-nicaragua-cierra-transito-de/4JLEPB67ZNDBJHQUI5DWZJ2DCI/story/
https://www.nacion.com/el-pais/managua-mantiene-cierre-fronterizo-al-transporte/OVF75WMMIRBHVLODTP6DHVSIME/story/
https://www.nacion.com/economia/politica-economica/gobierno-de-ortega-cierra-transito-de-mercancias/73XUV3WDUBFP7MMFTM2TBUFBPY/story/</x:v>
      </x:c>
      <x:c r="O29" s="4" t="str">
        <x:v>Source 1: search extract
Source 2: full page
Source 3: access detail is retained in the source catalogue.</x:v>
      </x:c>
      <x:c r="P29" s="20" t="n">
        <x:v>1</x:v>
      </x:c>
      <x:c r="Q29" s="4" t="str">
        <x:v>Americas</x:v>
      </x:c>
      <x:c r="R29" s="4" t="str">
        <x:v>Included</x:v>
      </x:c>
    </x:row>
    <x:row r="30" ht="78" hidden="0" customHeight="1">
      <x:c r="A30" s="16" t="str">
        <x:v>AM038</x:v>
      </x:c>
      <x:c r="B30" s="4" t="str">
        <x:v>Saint-Martin Sint Maarten second 2020 nonessential crossing ban</x:v>
      </x:c>
      <x:c r="C30" s="4" t="str">
        <x:v>Saint-Martin (France); Sint Maarten (Kingdom of Netherlands)</x:v>
      </x:c>
      <x:c r="D30" s="4" t="str">
        <x:v>Cross-island boundary, French-enforced restrictions</x:v>
      </x:c>
      <x:c r="E30" s="4" t="str">
        <x:v>See geographic scope and exemptions.
Direction: Primarily entry from Sint Maarten to French Saint-Martin; physical barriers at selected roads affected passage.
Exceptions: Verified work/medical journeys and specified arriving air passengers.</x:v>
      </x:c>
      <x:c r="F30" s="4" t="str">
        <x:v>AM038-D1 — Observed operation
French-enforced non-essential passage restriction at Bellevue and Quartier d'Orléans, to lifting of the main checks.
Start: 2020-07-31.
Observed scoped reopening: 2020-09-16.
47 calendar-day difference; scoped endpoint only</x:v>
      </x:c>
      <x:c r="G3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0" s="4" t="str">
        <x:v>AM038-D1: Work, medical and specified air-arrival exceptions continued. Container removal at other roads was later and is not this endpoint; the reprint of Faxinfo is not independent evidence.</x:v>
      </x:c>
      <x:c r="I30" s="4" t="str">
        <x:v>Retained baseline assessment. Retained with recorded qualifications</x:v>
      </x:c>
      <x:c r="J30" s="18" t="d">
        <x:v>2026-10-23T00:00:00.000Z</x:v>
      </x:c>
      <x:c r="K30" s="21" t="str">
        <x:f>IFERROR(HYPERLINK("https://www.faxinfo.fr/covid-19-restriction-de-passage-aux-frontieres-a-partir-de-vendredi/","Faxinfo"),"Faxinfo")</x:f>
        <x:v>Faxinfo</x:v>
      </x:c>
      <x:c r="L30" s="21" t="str">
        <x:f>IFERROR(HYPERLINK("https://www.sxmbreakingnews.com/16/09/2020/586/levee-des-controles-aux-frontieres-la-prefecture-et-lars-ont-repondu-favorablement-aux-organisateurs-de-la-manifestation/","Saint-Martin Breaking News"),"Saint-Martin Breaking News")</x:f>
        <x:v>Saint-Martin Breaking News</x:v>
      </x:c>
      <x:c r="M30" s="21" t="str">
        <x:f>IFERROR(HYPERLINK("https://antilla-martinique.com/restriction-dentree-a-saint-martin-embouteillage-a-bellevue/","Antilla Martinique"),"Antilla Martinique")</x:f>
        <x:v>Antilla Martinique</x:v>
      </x:c>
      <x:c r="N30" s="4" t="str">
        <x:v>https://www.faxinfo.fr/covid-19-restriction-de-passage-aux-frontieres-a-partir-de-vendredi/
https://www.sxmbreakingnews.com/16/09/2020/586/levee-des-controles-aux-frontieres-la-prefecture-et-lars-ont-repondu-favorablement-aux-organisateurs-de-la-manifestation/
https://antilla-martinique.com/restriction-dentree-a-saint-martin-embouteillage-a-bellevue/</x:v>
      </x:c>
      <x:c r="O30" s="4" t="str">
        <x:v>Source 1: full page
Source 2: search extract
Source 3: search extract</x:v>
      </x:c>
      <x:c r="P30" s="20" t="n">
        <x:v>1</x:v>
      </x:c>
      <x:c r="Q30" s="4" t="str">
        <x:v>Americas</x:v>
      </x:c>
      <x:c r="R30" s="4" t="str">
        <x:v>Included</x:v>
      </x:c>
    </x:row>
    <x:row r="31" ht="126" hidden="0" customHeight="1">
      <x:c r="A31" s="16" t="str">
        <x:v>AM022</x:v>
      </x:c>
      <x:c r="B31" s="4" t="str">
        <x:v>Uruguay December 2020 tightened border closure including citizens abroad</x:v>
      </x:c>
      <x:c r="C31" s="4" t="str">
        <x:v>Uruguay; Argentina; Brazil</x:v>
      </x:c>
      <x:c r="D31" s="4" t="str">
        <x:v>National land/river frontier</x:v>
      </x:c>
      <x:c r="E31" s="4" t="str">
        <x:v>See geographic scope and exemptions.
Direction: Direction not separately established in this pass; consult the movement scope and source evidence.
Exceptions: Freight, mail, humanitarian and health travel; local binational-city arrangements.</x:v>
      </x:c>
      <x:c r="F31" s="4" t="str">
        <x:v>AM022-R1 — Formal policy
Ordinary admission to Uruguay of citizens and resident foreigners lacking the applicable special/prebooked/emergency exception
Start: 2020-12-21.
Policy endpoint: 2021-02-01.
Formal policy: 42 calendar-day difference; operational continuity not established</x:v>
      </x:c>
      <x:c r="G3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1" s="4" t="str">
        <x:v>AM022-R1: Restriction on normal eligibility, not total entry closure; large numbers entered under exceptions. Exact operative decrees were not recovered in full.</x:v>
      </x:c>
      <x:c r="I31" s="4" t="str">
        <x:v>Retained baseline assessment. Retained with recorded qualifications</x:v>
      </x:c>
      <x:c r="J31" s="18" t="d">
        <x:v>2026-10-23T00:00:00.000Z</x:v>
      </x:c>
      <x:c r="K31" s="21" t="str">
        <x:f>IFERROR(HYPERLINK("https://www.gub.uy/presidencia/politicas-y-gestion/medidas-del-gobierno-para-atender-emergencia-sanitaria-coronavirus-covid-19-4","Presidencia Uruguay"),"Presidencia Uruguay")</x:f>
        <x:v>Presidencia Uruguay</x:v>
      </x:c>
      <x:c r="L31" s="21" t="str">
        <x:f>IFERROR(HYPERLINK("https://www.gub.uy/presidencia/comunicacion/noticias/gobierno-definio-retorno-cierre-parcial-fronteras-favorable-ciudadanos","Uruguay Presidency"),"Uruguay Presidency")</x:f>
        <x:v>Uruguay Presidency</x:v>
      </x:c>
      <x:c r="M31" s="21" t="str">
        <x:f>IFERROR(HYPERLINK("https://www.r2820.com/noticias/2021/02/06/46892-afirman-que-hay-400-autos-que-ingresan-a-fray-bentos-por-el-puente-san-martin","R2820"),"R2820")</x:f>
        <x:v>R2820</x:v>
      </x:c>
      <x:c r="N31" s="4" t="str">
        <x:v>https://www.gub.uy/presidencia/politicas-y-gestion/medidas-del-gobierno-para-atender-emergencia-sanitaria-coronavirus-covid-19-4
https://www.gub.uy/presidencia/comunicacion/noticias/gobierno-definio-retorno-cierre-parcial-fronteras-favorable-ciudadanos
https://www.r2820.com/noticias/2021/02/06/46892-afirman-que-hay-400-autos-que-ingresan-a-fray-bentos-por-el-puente-san-martin
https://www.gub.uy/ministerio-defensa-nacional/comunicacion/noticias/rige-desde-lunes-cierre-fronterano-se-habilitaran-vuelos-privados
https://www.gub.uy/agencia-gobierno-electronico-sociedad-informacion-conocimiento/comunicacion/noticias/nuevos-tramites-disponibles-ingreso-pais-segun-nueva-normativa</x:v>
      </x:c>
      <x:c r="O31" s="4" t="str">
        <x:v>Source 1: indexed excerpt
Source 2: indexed excerpt
Source 3: indexed excerpt; full</x:v>
      </x:c>
      <x:c r="P31" s="20" t="n">
        <x:v>1</x:v>
      </x:c>
      <x:c r="Q31" s="4" t="str">
        <x:v>Americas</x:v>
      </x:c>
      <x:c r="R31" s="4" t="str">
        <x:v>Included</x:v>
      </x:c>
    </x:row>
    <x:row r="32" ht="210" hidden="0" customHeight="1">
      <x:c r="A32" s="16" t="str">
        <x:v>AM031</x:v>
      </x:c>
      <x:c r="B32" s="4" t="str">
        <x:v>Mexico COVID nonessential land-entry restrictions March 2021</x:v>
      </x:c>
      <x:c r="C32" s="4" t="str">
        <x:v>Mexico; United States; Guatemala; Belize</x:v>
      </x:c>
      <x:c r="D32" s="4" t="str">
        <x:v>Mexican northern/southern restrictions as announced; new direct operational evidence restricted to Guatemala–Mexico Suchiate river access.</x:v>
      </x:c>
      <x:c r="E32" s="4" t="str">
        <x:v>Nonessential tourism/recreation targeted; AP observed some Guatemalan shoppers and residents turned back at Suchiate.
Direction: Into Mexico for southern-border restriction and observed enforcement; equivalent northern-border implementation not established.</x:v>
      </x:c>
      <x:c r="F32" s="4" t="str">
        <x:v>AM031-RREV1 — Announced window
Announced and renewed Mexico-side southern-border nonessential land-crossing restriction
Start: 2021-03-19.
Scheduled endpoint: 2021-05-21.
Ordered window: 63 calendar-day difference; actual end not established</x:v>
      </x:c>
      <x:c r="G32" s="4" t="str">
        <x:v>Health and biosecurity / Human disease control
Reported reason
Applies to: Recorded episode; exact overlap not separately established
Health and anti-smuggling reasons are recorded; migration-control interpretation remains attributed to reporting and advocates.
Migration / Entry and asylum control
Reported reason
Applies to: Recorded episode; exact overlap not separately established
Health and anti-smuggling reasons are recorded; migration-control interpretation remains attributed to reporting and advocates.
Security / Smuggling and illicit trafficking
Reported reason
Applies to: Recorded episode; exact overlap not separately established
Health and anti-smuggling reasons are recorded; migration-control interpretation remains attributed to reporting and advocates.</x:v>
      </x:c>
      <x:c r="H32" s="4" t="str">
        <x:v>AM031-RREV1: No claim of uniform Suchiate enforcement or actual May 21 reopening. End at 23:59 is inclusive; northern conditional regime excluded.
continuity: Southern Mexico nonessential restrictions and extensions remain announced measures. Evidence about the US-facing northern border does not resolve southern implementation.</x:v>
      </x:c>
      <x:c r="I32" s="4" t="str">
        <x:v>Targeted source review (REC50-R07); accepted qualification; evidence limits retained.</x:v>
      </x:c>
      <x:c r="J32" s="18" t="d">
        <x:v>2026-10-25T00:00:00.000Z</x:v>
      </x:c>
      <x:c r="K32" s="21" t="str">
        <x:f>IFERROR(HYPERLINK("https://www.inm.gob.mx/gobmx/word/index.php/tema-migratorio-190321/","INM"),"INM")</x:f>
        <x:v>INM</x:v>
      </x:c>
      <x:c r="L32" s="21" t="str">
        <x:f>IFERROR(HYPERLINK("https://www.inm.gob.mx/gobmx/word/index.php/tema-migratorio-230321/","INM press digest reproducing La Jornada and Eduardo Torres / El Sol de México / La Prensa"),"INM press digest reproducing La Jornada and Eduardo Torres / El Sol de México / La Prensa")</x:f>
        <x:v>INM press digest reproducing La Jornada and Eduardo Torres / El Sol de México / La Prensa</x:v>
      </x:c>
      <x:c r="M32" s="21" t="str">
        <x:f>IFERROR(HYPERLINK("https://politica.expansion.mx/mexico/2021/04/20/mexico-y-estados-unidos-extienden-el-cierre-fronterizo-hasta-el-21-de-mayo","Expansión / EFE"),"Expansión / EFE")</x:f>
        <x:v>Expansión / EFE</x:v>
      </x:c>
      <x:c r="N32" s="4" t="str">
        <x:v>https://www.inm.gob.mx/gobmx/word/index.php/tema-migratorio-190321/
https://www.inm.gob.mx/gobmx/word/index.php/tema-migratorio-230321/
https://politica.expansion.mx/mexico/2021/04/20/mexico-y-estados-unidos-extienden-el-cierre-fronterizo-hasta-el-21-de-mayo
https://www.swissinfo.ch/spa/m%C3%A9xico-y-eeuu-mantienen-cierre-fronterizo-por-covid-19-hasta-el-21-de-mayo/46548720
https://www.gob.mx/inm/prensa/gobierno-de-mexico-despliega-operativo-en-frontera-sur-para-salvaguarda-de-ninez-migrante-267026?idiom=es
https://www.clickorlando.com/news/world/2021/03/21/mexico-limits-non-essential-travel-on-southern-border/
https://www.jornada.com.mx/noticia/2021/03/21/estados/envia-inm-50-agentes-a-rio-suchiate-para-impedir-paso-de-migrantes-7025
https://consulmex.sre.gob.mx/douglas/images/stories/BOLETINES/2021/April/DOU-BP-005-2021_Ampliacin_restricciones_en_la_frontera.pdf</x:v>
      </x:c>
      <x:c r="O32" s="4" t="str">
        <x:v>Source 1: indexed excerpt; failed
Source 2: full; full text
Source 3: indexed excerpt; full; full text</x:v>
      </x:c>
      <x:c r="P32" s="20" t="n">
        <x:v>1</x:v>
      </x:c>
      <x:c r="Q32" s="4" t="str">
        <x:v>Americas</x:v>
      </x:c>
      <x:c r="R32" s="4" t="str">
        <x:v>Included</x:v>
      </x:c>
    </x:row>
    <x:row r="33" ht="162" hidden="0" customHeight="1">
      <x:c r="A33" s="16" t="str">
        <x:v>AM009</x:v>
      </x:c>
      <x:c r="B33" s="4" t="str">
        <x:v>Dominican Republic security closure after Haitian presidential assassination</x:v>
      </x:c>
      <x:c r="C33" s="4" t="str">
        <x:v>Dominican Republic; Haiti</x:v>
      </x:c>
      <x:c r="D33" s="4" t="str">
        <x:v>All land frontier</x:v>
      </x:c>
      <x:c r="E33" s="4" t="str">
        <x:v>Vehicles, persons, binational markets
Direction: Direction not separately established in this pass; consult the movement scope and source evidence.</x:v>
      </x:c>
      <x:c r="F33" s="4" t="str">
        <x:v>AM009-D1 — Observed operation
Dajabón food-commerce restriction following the Haitian assassination, to initial limited commercial restoration.
Start: 2021-07-07.
Observed scoped reopening: 2021-07-13 to 2021-07-14.
6–7 calendar-day difference; scoped endpoint only</x:v>
      </x:c>
      <x:c r="G33"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
Migration / Entry and asylum control
Reported reason
Applies to: Recorded episode; exact overlap not separately established
The recorded rationale and claim assessment support the selected subcategories. All applicable broad categories are retained together; no primary rationale is imposed.</x:v>
      </x:c>
      <x:c r="H33" s="4" t="str">
        <x:v>AM009-D1: The initial restoration is bounded by permission and observed passage, not assumed to occur at the notice hour. Other posts, unrestricted passengers and all-goods trade are excluded. Archived field evidence was not freshly re-fetched here.</x:v>
      </x:c>
      <x:c r="I33" s="4" t="str">
        <x:v>Retained baseline assessment. Retained with recorded qualifications</x:v>
      </x:c>
      <x:c r="J33" s="18" t="d">
        <x:v>2026-10-23T00:00:00.000Z</x:v>
      </x:c>
      <x:c r="K33" s="21" t="str">
        <x:f>IFERROR(HYPERLINK("https://www.presidencia.gob.do/noticias/decisiones-del-consejo-de-seguridad-y-defensa-nacional-para-reforzar-la-zona-fronteriza","Dominican Presidency"),"Dominican Presidency")</x:f>
        <x:v>Dominican Presidency</x:v>
      </x:c>
      <x:c r="L33" s="21" t="str">
        <x:f>IFERROR(HYPERLINK("https://www.presidencia.gob.do/noticias/por-razones-humanitarias-gobierno-dominicano-reiniciara-exportaciones-hacia-haiti","Dominican Presidency"),"Dominican Presidency")</x:f>
        <x:v>Dominican Presidency</x:v>
      </x:c>
      <x:c r="M33" s="21" t="str">
        <x:f>IFERROR(HYPERLINK("https://www.diariolibre.com/actualidad/ciudad/se-reactiva-el-mercado-binacional-en-la-frontera-dominico-haitiana-DA27503374","Diario Libre"),"Diario Libre")</x:f>
        <x:v>Diario Libre</x:v>
      </x:c>
      <x:c r="N33" s="4" t="str">
        <x:v>https://www.presidencia.gob.do/noticias/decisiones-del-consejo-de-seguridad-y-defensa-nacional-para-reforzar-la-zona-fronteriza
https://www.presidencia.gob.do/noticias/por-razones-humanitarias-gobierno-dominicano-reiniciara-exportaciones-hacia-haiti
https://www.diariolibre.com/actualidad/ciudad/se-reactiva-el-mercado-binacional-en-la-frontera-dominico-haitiana-DA27503374
https://eldia.com.do/comercio-fluye-con-normalidad-en-la-frontera-asegura-canciller/</x:v>
      </x:c>
      <x:c r="O33" s="4" t="str">
        <x:v>Source 1: search extract
Source 2: indexed extract; full-page fetch forbidden
Source 3: full page</x:v>
      </x:c>
      <x:c r="P33" s="20" t="n">
        <x:v>1</x:v>
      </x:c>
      <x:c r="Q33" s="4" t="str">
        <x:v>Americas</x:v>
      </x:c>
      <x:c r="R33" s="4" t="str">
        <x:v>Included</x:v>
      </x:c>
    </x:row>
    <x:row r="34" ht="162" hidden="0" customHeight="1">
      <x:c r="A34" s="16" t="str">
        <x:v>AM005</x:v>
      </x:c>
      <x:c r="B34" s="4" t="str">
        <x:v>Del Rio port closure during migrant encampment</x:v>
      </x:c>
      <x:c r="C34" s="4" t="str">
        <x:v>United States; Mexico</x:v>
      </x:c>
      <x:c r="D34" s="4" t="str">
        <x:v>Del Rio international crossing and Amistad Dam traffic diversion</x:v>
      </x:c>
      <x:c r="E34" s="4" t="str">
        <x:v>Passengers and commercial traffic; reopening staggered.
Direction: Direction not separately established in this pass; consult the movement scope and source evidence.</x:v>
      </x:c>
      <x:c r="F34" s="4" t="str">
        <x:v>AM005-D1 — Formal policy
CBP's Del Rio passenger/pedestrian port-service suspension, excluding the later commercial-cargo restoration.
Start: 2021-09-17.
Policy endpoint: 2021-09-25.
Formal policy: 8 calendar-day difference; operational continuity not established
AM005-C7P1 — Observed operation
Del Rio essential passenger travel, observed resumed by the report publication date
Start: unknown.
Observed scoped reopening: by 2021-09-27; earliest bound unknown.
dated evidence; numeric duration withheld; see qualification</x:v>
      </x:c>
      <x:c r="G34" s="4" t="str">
        <x:v>Migration / Processing capacity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4" s="4" t="str">
        <x:v>AM005-D1: Service-policy dates, not independently observed first passage. The CBP closure notice and KSAT restoration report were freshly read in full in REC50-R31. Cargo restoration was scheduled for 27 September and is outside this passenger/pedestrian interval. Eagle Pass diversions remained available; Amistad Dam’s separate service endpoint is not inferred.
AM005-C7P1: Upper-bound endpoint only; not independent first-passage proof for September 25. Cargo service and nonessential travel are not generalized from this observation.</x:v>
      </x:c>
      <x:c r="I34" s="4" t="str">
        <x:v>Targeted source review (REC50-R31); accepted qualification; evidence limits retained.</x:v>
      </x:c>
      <x:c r="J34" s="18" t="d">
        <x:v>2026-10-25T00:00:00.000Z</x:v>
      </x:c>
      <x:c r="K34" s="21" t="str">
        <x:f>IFERROR(HYPERLINK("https://content.govdelivery.com/accounts/USDHSCBP/bulletins/2f22588","U.S. Customs and Border Protection"),"U.S. Customs and Border Protection")</x:f>
        <x:v>U.S. Customs and Border Protection</x:v>
      </x:c>
      <x:c r="L34" s="21" t="str">
        <x:f>IFERROR(HYPERLINK("https://www.ksat.com/news/local/2021/09/25/port-of-entry-in-del-rio-to-resume-travel-trade-operations-saturday-officials-say/","KSAT"),"KSAT")</x:f>
        <x:v>KSAT</x:v>
      </x:c>
      <x:c r="M34" s="21" t="str">
        <x:f>IFERROR(HYPERLINK("https://www.tpr.org/border-immigration/2021-09-25/del-rio-international-bridge-reopens-as-u-s-and-mexico-clear-out-unprecedented-migrant-encampment?_amp=true","Texas Public Radio"),"Texas Public Radio")</x:f>
        <x:v>Texas Public Radio</x:v>
      </x:c>
      <x:c r="N34" s="4" t="str">
        <x:v>https://content.govdelivery.com/accounts/USDHSCBP/bulletins/2f22588
https://www.ksat.com/news/local/2021/09/25/port-of-entry-in-del-rio-to-resume-travel-trade-operations-saturday-officials-say/
https://www.tpr.org/border-immigration/2021-09-25/del-rio-international-bridge-reopens-as-u-s-and-mexico-clear-out-unprecedented-migrant-encampment?_amp=true</x:v>
      </x:c>
      <x:c r="O34" s="4" t="str">
        <x:v>Source 1: full text
Source 2: full text
Source 3: full text</x:v>
      </x:c>
      <x:c r="P34" s="20" t="n">
        <x:v>2</x:v>
      </x:c>
      <x:c r="Q34" s="4" t="str">
        <x:v>Americas</x:v>
      </x:c>
      <x:c r="R34" s="4" t="str">
        <x:v>Included</x:v>
      </x:c>
    </x:row>
    <x:row r="35" ht="162" hidden="0" customHeight="1">
      <x:c r="A35" s="16" t="str">
        <x:v>AM006</x:v>
      </x:c>
      <x:c r="B35" s="4" t="str">
        <x:v>Ambassador Bridge protest blockade of Canada-bound traffic</x:v>
      </x:c>
      <x:c r="C35" s="4" t="str">
        <x:v>Canada; United States</x:v>
      </x:c>
      <x:c r="D35" s="4" t="str">
        <x:v>Windsor–Detroit Ambassador Bridge</x:v>
      </x:c>
      <x:c r="E35" s="4" t="str">
        <x:v>Canada-bound passenger and commercial traffic through Ambassador Bridge; initial disruption also affected US-bound traffic.
Direction: Canada-bound interval; US-bound access restored by February 8.
Exceptions: US-bound commercial traffic could use surface-street access from February 8; emergency access and diversion via other crossings existed.</x:v>
      </x:c>
      <x:c r="F35" s="4" t="str">
        <x:v>AM006-D1 — Observed operation
Canada-bound access/processing at the Ambassador Bridge during the protest blockade.
Start: 2022-02-07.
Observed scoped reopening: 2022-02-13 to 2022-02-14.
6–7 calendar-day difference; scoped endpoint only</x:v>
      </x:c>
      <x:c r="G35" s="4" t="str">
        <x:v>Policy and socioeconomic demands / Opposition to health policies
Reported reason
Applies to: Recorded episode; exact overlap not separately established
The protest opposed pandemic rules. CBSA also suspended service because access was unsafe or obstructed. Infection control was not the blockade's purpose.
Security / Public order and immediate safety
Reported reason
Applies to: Recorded episode; exact overlap not separately established
The protest opposed pandemic rules. CBSA also suspended service because access was unsafe or obstructed. Infection control was not the blockade's purpose.</x:v>
      </x:c>
      <x:c r="H35" s="4" t="str">
        <x:v>AM006-D1: The endpoint range preserves different operational definitions. US-bound access was restored by 8 February, so this is not a bidirectional bridge closure; emergency access and diversions existed.</x:v>
      </x:c>
      <x:c r="I35" s="4" t="str">
        <x:v>Targeted source review (REC50-R31); accepted qualification; evidence limits retained.</x:v>
      </x:c>
      <x:c r="J35" s="18" t="d">
        <x:v>2026-10-25T00:00:00.000Z</x:v>
      </x:c>
      <x:c r="K35" s="21" t="str">
        <x:f>IFERROR(HYPERLINK("https://www.cbsa-asfc.gc.ca/transparency-transparence/pd-dp/bbp-rpp/dedc/2022-04-26/overview-apercu-eng.html","Canada Border Services Agency"),"Canada Border Services Agency")</x:f>
        <x:v>Canada Border Services Agency</x:v>
      </x:c>
      <x:c r="L35" s="21" t="str">
        <x:f>IFERROR(HYPERLINK("https://tc.canada.ca/en/binder/14-situation-ambassador-bridge","Transport Canada / CBSA briefing"),"Transport Canada / CBSA briefing")</x:f>
        <x:v>Transport Canada / CBSA briefing</x:v>
      </x:c>
      <x:c r="M35" s="21" t="str">
        <x:f>IFERROR(HYPERLINK("https://rcmp.ca/en/corporate-information/publications-and-manuals/project-natterjack-national-after-action-review","Royal Canadian Mounted Police"),"Royal Canadian Mounted Police")</x:f>
        <x:v>Royal Canadian Mounted Police</x:v>
      </x:c>
      <x:c r="N35" s="4" t="str">
        <x:v>https://www.cbsa-asfc.gc.ca/transparency-transparence/pd-dp/bbp-rpp/dedc/2022-04-26/overview-apercu-eng.html
https://tc.canada.ca/en/binder/14-situation-ambassador-bridge
https://rcmp.ca/en/corporate-information/publications-and-manuals/project-natterjack-national-after-action-review
https://www.cbsa-asfc.gc.ca/transparency-transparence/pd-dp/bbp-rpp/secu/2022-02-25/overview-apercu-eng.html
https://content.govdelivery.com/accounts/USDHSCBP/bulletins/30ad31a</x:v>
      </x:c>
      <x:c r="O35" s="4" t="str">
        <x:v>Source 1: full text
Source 2: full text
Source 3: Opened relevant report timeline sections</x:v>
      </x:c>
      <x:c r="P35" s="20" t="n">
        <x:v>1</x:v>
      </x:c>
      <x:c r="Q35" s="4" t="str">
        <x:v>Americas</x:v>
      </x:c>
      <x:c r="R35" s="4" t="str">
        <x:v>Included</x:v>
      </x:c>
    </x:row>
    <x:row r="36" ht="90" hidden="0" customHeight="1">
      <x:c r="A36" s="16" t="str">
        <x:v>AM043</x:v>
      </x:c>
      <x:c r="B36" s="4" t="str">
        <x:v>Emerson protest-related border service suspension</x:v>
      </x:c>
      <x:c r="C36" s="4" t="str">
        <x:v>Canada; United States</x:v>
      </x:c>
      <x:c r="D36" s="4" t="str">
        <x:v>Emerson Manitoba–Pembina North Dakota</x:v>
      </x:c>
      <x:c r="E36" s="4" t="str">
        <x:v>Ordinary passenger and commercial traffic affected by the Emerson access blockade; specified essential/local movements continued.
Direction: Direction not separately established in this pass; consult the movement scope and source evidence.
Exceptions: Livestock transport, CBSA employees, emergency vehicles and residential traffic from Emerson continued through the blockade.</x:v>
      </x:c>
      <x:c r="F36" s="4" t="str">
        <x:v>AM043-D1 — Observed operation
Emerson Manitoba–Pembina North Dakota; Ordinary passenger and commercial traffic affected by the Emerson access blockade; specified essential/local movements continued.; Direction not separately established in this pass; consult the movement scope and source evidence.
Start: 2022-02-10.
Observed scoped reopening: 2022-02-16.
6 calendar-day difference; scoped endpoint only</x:v>
      </x:c>
      <x:c r="G36" s="4" t="str">
        <x:v>Policy and socioeconomic demands / Opposition to health policies
Reported reason
Applies to: Recorded episode; exact overlap not separately established
Opposition to pandemic mandates is a protest grievance, not an infection-control purpose. Replace the old thematic Public health code with the health-policy opposition subtype.</x:v>
      </x:c>
      <x:c r="H36" s="4" t="str">
        <x:v>AM043-D1: CBSA agency chronology establishes ordinary service suspension/resumption; Public Safety specifies exceptions, so not total impermeability. Other crossings available. Livestock transport, CBSA employees, emergency vehicles and residential traffic from Emerson continued through the blockade.</x:v>
      </x:c>
      <x:c r="I36" s="4" t="str">
        <x:v>Retained baseline assessment. Retained with recorded qualifications</x:v>
      </x:c>
      <x:c r="J36" s="18" t="d">
        <x:v>2026-10-23T00:00:00.000Z</x:v>
      </x:c>
      <x:c r="K36" s="21" t="str">
        <x:f>IFERROR(HYPERLINK("https://www.cbsa-asfc.gc.ca/transparency-transparence/pd-dp/bbp-rpp/dedc/2022-04-26/overview-apercu-eng.html","CBSA"),"CBSA")</x:f>
        <x:v>CBSA</x:v>
      </x:c>
      <x:c r="L36" s="21" t="str">
        <x:f>IFERROR(HYPERLINK("https://www.securitepublique.gc.ca/cnt/trnsprnc/brfng-mtrls/prlmntry-bndrs/20221013/13-en.aspx","Public Safety Canada"),"Public Safety Canada")</x:f>
        <x:v>Public Safety Canada</x:v>
      </x:c>
      <x:c r="M36" s="21" t="str">
        <x:f>IFERROR(HYPERLINK("https://www.cbsa-asfc.gc.ca/transparency-transparence/pd-dp/bbp-rpp/secu/2022-02-25/overview-apercu-eng.html","cbsa-asfc.gc.ca"),"cbsa-asfc.gc.ca")</x:f>
        <x:v>cbsa-asfc.gc.ca</x:v>
      </x:c>
      <x:c r="N36" s="4" t="str">
        <x:v>https://www.cbsa-asfc.gc.ca/transparency-transparence/pd-dp/bbp-rpp/dedc/2022-04-26/overview-apercu-eng.html
https://www.securitepublique.gc.ca/cnt/trnsprnc/brfng-mtrls/prlmntry-bndrs/20221013/13-en.aspx
https://www.cbsa-asfc.gc.ca/transparency-transparence/pd-dp/bbp-rpp/secu/2022-02-25/overview-apercu-eng.html
https://knoxradio.com/2022/02/16/blockade-at-emerson-border-crossing-is-cleared/</x:v>
      </x:c>
      <x:c r="O36" s="4" t="str">
        <x:v>Source 1: full page
Source 2: full page
Source 3: access detail is retained in the source catalogue.</x:v>
      </x:c>
      <x:c r="P36" s="20" t="n">
        <x:v>1</x:v>
      </x:c>
      <x:c r="Q36" s="4" t="str">
        <x:v>Americas</x:v>
      </x:c>
      <x:c r="R36" s="4" t="str">
        <x:v>Included</x:v>
      </x:c>
    </x:row>
    <x:row r="37" ht="150" hidden="0" customHeight="1">
      <x:c r="A37" s="16" t="str">
        <x:v>AM007</x:v>
      </x:c>
      <x:c r="B37" s="4" t="str">
        <x:v>Coutts service suspension during protest blockade</x:v>
      </x:c>
      <x:c r="C37" s="4" t="str">
        <x:v>Canada; United States</x:v>
      </x:c>
      <x:c r="D37" s="4" t="str">
        <x:v>Coutts Alberta crossing access</x:v>
      </x:c>
      <x:c r="E37" s="4" t="str">
        <x:v>See geographic scope and exemptions.
Direction: Access obstruction</x:v>
      </x:c>
      <x:c r="F37" s="4" t="str">
        <x:v>AM007-D1 — Observed operation
Coutts access/service suspension beginning 12 February, excluding earlier intermittent blockages.
Start: 2022-02-12.
Observed scoped reopening: 2022-02-14 to 2022-02-15.
2–3 calendar-day difference; scoped endpoint only</x:v>
      </x:c>
      <x:c r="G37" s="4" t="str">
        <x:v>Policy and socioeconomic demands / Opposition to health policies
Reported reason
Applies to: Recorded episode; exact overlap not separately established
The blockade opposed pandemic restrictions; public-health context is retained separately. Other rationale codes retain their existing evidence qualifications.
Security / Public order and immediate safety
Reported reason
Applies to: February 12 formal state service suspension
State suspension rationale, distinct from protesters' opposition to pandemic mandates.</x:v>
      </x:c>
      <x:c r="H37" s="4" t="str">
        <x:v>AM007-D1: The one-day range preserves the physical-access versus service-message distinction. Earlier intermittent protests are not joined into this spell.</x:v>
      </x:c>
      <x:c r="I37" s="4" t="str">
        <x:v>Retained baseline assessment. Amended after source reconciliation</x:v>
      </x:c>
      <x:c r="J37" s="18" t="d">
        <x:v>2026-10-23T00:00:00.000Z</x:v>
      </x:c>
      <x:c r="K37" s="21" t="str">
        <x:f>IFERROR(HYPERLINK("https://www.cbsa-asfc.gc.ca/transparency-transparence/pd-dp/bbp-rpp/dedc/2022-04-26/overview-apercu-eng.html","cbsa-asfc.gc.ca"),"cbsa-asfc.gc.ca")</x:f>
        <x:v>cbsa-asfc.gc.ca</x:v>
      </x:c>
      <x:c r="L37" s="21" t="str">
        <x:f>IFERROR(HYPERLINK("https://rcmp.ca/en/corporate-information/publications-and-manuals/project-natterjack-national-after-action-review","rcmp.ca"),"rcmp.ca")</x:f>
        <x:v>rcmp.ca</x:v>
      </x:c>
      <x:c r="M37" s="21" t="str">
        <x:f>IFERROR(HYPERLINK("https://www.cbsa-asfc.gc.ca/transparency-transparence/pd-dp/bbp-rpp/secu/2022-02-25/overview-apercu-eng.html","cbsa-asfc.gc.ca"),"cbsa-asfc.gc.ca")</x:f>
        <x:v>cbsa-asfc.gc.ca</x:v>
      </x:c>
      <x:c r="N37" s="4" t="str">
        <x:v>https://www.cbsa-asfc.gc.ca/transparency-transparence/pd-dp/bbp-rpp/dedc/2022-04-26/overview-apercu-eng.html
https://rcmp.ca/en/corporate-information/publications-and-manuals/project-natterjack-national-after-action-review
https://www.cbsa-asfc.gc.ca/transparency-transparence/pd-dp/bbp-rpp/secu/2022-02-25/overview-apercu-eng.html</x:v>
      </x:c>
      <x:c r="O37" s="4" t="str">
        <x:v>Source 1: indexed excerpt
Source 2: full
Source 3: indexed excerpt</x:v>
      </x:c>
      <x:c r="P37" s="20" t="n">
        <x:v>1</x:v>
      </x:c>
      <x:c r="Q37" s="4" t="str">
        <x:v>Americas</x:v>
      </x:c>
      <x:c r="R37" s="4" t="str">
        <x:v>Included</x:v>
      </x:c>
    </x:row>
    <x:row r="38" ht="78" hidden="0" customHeight="1">
      <x:c r="A38" s="16" t="str">
        <x:v>AM044</x:v>
      </x:c>
      <x:c r="B38" s="4" t="str">
        <x:v>Pacific Highway protest-related service suspension</x:v>
      </x:c>
      <x:c r="C38" s="4" t="str">
        <x:v>Canada; United States</x:v>
      </x:c>
      <x:c r="D38" s="4" t="str">
        <x:v>Pacific Highway British Columbia–Blaine Washington</x:v>
      </x:c>
      <x:c r="E38" s="4" t="str">
        <x:v>See geographic scope and exemptions.
Direction: Direction not separately established in this pass; consult the movement scope and source evidence.</x:v>
      </x:c>
      <x:c r="F38" s="4" t="str">
        <x:v>AM044-D1 — Observed operation
Pacific Highway first February 2022 protest-related access/service suspension.
Start: 2022-02-12.
Observed scoped reopening: 2022-02-14 to 2022-02-15.
2–3 calendar-day difference; scoped endpoint only</x:v>
      </x:c>
      <x:c r="G38" s="4" t="str">
        <x:v>Policy and socioeconomic demands / Opposition to health policies
Reported reason
Applies to: Recorded episode; exact overlap not separately established
Opposition to pandemic mandates is a protest grievance, not an infection-control purpose. Replace the old thematic Public health code with the health-policy opposition subtype.</x:v>
      </x:c>
      <x:c r="H38" s="4" t="str">
        <x:v>AM044-D1: The endpoint is deliberately bounded across the two operational accounts. A later protest episode is separate and is not bridged.</x:v>
      </x:c>
      <x:c r="I38" s="4" t="str">
        <x:v>Targeted source review (REC50-R39); accepted qualification; evidence limits retained.</x:v>
      </x:c>
      <x:c r="J38" s="18" t="d">
        <x:v>2026-10-25T00:00:00.000Z</x:v>
      </x:c>
      <x:c r="K38" s="21" t="str">
        <x:f>IFERROR(HYPERLINK("https://www.cbsa-asfc.gc.ca/transparency-transparence/pd-dp/bbp-rpp/dedc/2022-04-26/overview-apercu-eng.html","Canada Border Services Agency"),"Canada Border Services Agency")</x:f>
        <x:v>Canada Border Services Agency</x:v>
      </x:c>
      <x:c r="L38" s="21" t="str">
        <x:f>IFERROR(HYPERLINK("https://rcmp.ca/en/corporate-information/publications-and-manuals/project-natterjack-national-after-action-review","Royal Canadian Mounted Police"),"Royal Canadian Mounted Police")</x:f>
        <x:v>Royal Canadian Mounted Police</x:v>
      </x:c>
      <x:c r="M38" s="21" t="str">
        <x:f>IFERROR(HYPERLINK("https://www.cbsa-asfc.gc.ca/transparency-transparence/pd-dp/bbp-rpp/secu/2022-02-25/overview-apercu-eng.html","cbsa-asfc.gc.ca"),"cbsa-asfc.gc.ca")</x:f>
        <x:v>cbsa-asfc.gc.ca</x:v>
      </x:c>
      <x:c r="N38" s="4" t="str">
        <x:v>https://www.cbsa-asfc.gc.ca/transparency-transparence/pd-dp/bbp-rpp/dedc/2022-04-26/overview-apercu-eng.html
https://rcmp.ca/en/corporate-information/publications-and-manuals/project-natterjack-national-after-action-review
https://www.cbsa-asfc.gc.ca/transparency-transparence/pd-dp/bbp-rpp/secu/2022-02-25/overview-apercu-eng.html</x:v>
      </x:c>
      <x:c r="O38" s="4" t="str">
        <x:v>Source 1: indexed excerpt; full text
Source 2: full; full text
Source 3: access detail is retained in the source catalogue.</x:v>
      </x:c>
      <x:c r="P38" s="20" t="n">
        <x:v>1</x:v>
      </x:c>
      <x:c r="Q38" s="4" t="str">
        <x:v>Americas</x:v>
      </x:c>
      <x:c r="R38" s="4" t="str">
        <x:v>Included</x:v>
      </x:c>
    </x:row>
    <x:row r="39" ht="162" hidden="0" customHeight="1">
      <x:c r="A39" s="16" t="str">
        <x:v>AM045</x:v>
      </x:c>
      <x:c r="B39" s="4" t="str">
        <x:v>Pacific Highway renewed protest-related service suspension</x:v>
      </x:c>
      <x:c r="C39" s="4" t="str">
        <x:v>Canada; United States</x:v>
      </x:c>
      <x:c r="D39" s="4" t="str">
        <x:v>Pacific Highway British Columbia–Blaine Washington</x:v>
      </x:c>
      <x:c r="E39" s="4" t="str">
        <x:v>See geographic scope and exemptions.
Direction: Direction not separately established in this pass; consult the movement scope and source evidence.</x:v>
      </x:c>
      <x:c r="F39" s="4" t="str">
        <x:v>AM045-D1 — Observed operation
Separate 19 February 2022 recurrence; minute-level disagreement does not alter the same-day finding.
Start: 2022-02-19.
Observed scoped reopening: 2022-02-19.
Same-day episode; no whole-day duration inferred</x:v>
      </x:c>
      <x:c r="G39" s="4" t="str">
        <x:v>Policy and socioeconomic demands / Opposition to health policies
Reported reason
Applies to: Recorded episode; exact overlap not separately established
Pandemic/public-health mandates were the protest issue; no event-specific evidence supports Elite politics. The retained Public health label describes issue context, not government infection-control purpose.
Security / Public order and immediate safety
Reported reason
Applies to: February 19 police precautionary closure
Closure-imposing authority's stated purpose, distinct from protest demands.</x:v>
      </x:c>
      <x:c r="H39" s="4" t="str">
        <x:v>AM045-D1: Shown as an episode occurring on this date, not a whole-day closure. Official operational chronology; alternative crossings remained available. RCMP NATTERJACK records reopening20:34, five minutes before CBSA20:39 service-resumption message; preserve operational/message distinction.</x:v>
      </x:c>
      <x:c r="I39" s="4" t="str">
        <x:v>Targeted source review (REC50-R39); accepted qualification; evidence limits retained.</x:v>
      </x:c>
      <x:c r="J39" s="18" t="d">
        <x:v>2026-10-25T00:00:00.000Z</x:v>
      </x:c>
      <x:c r="K39" s="21" t="str">
        <x:f>IFERROR(HYPERLINK("https://www.cbsa-asfc.gc.ca/transparency-transparence/pd-dp/bbp-rpp/dedc/2022-04-26/overview-apercu-eng.html","Canada Border Services Agency"),"Canada Border Services Agency")</x:f>
        <x:v>Canada Border Services Agency</x:v>
      </x:c>
      <x:c r="L39" s="21" t="str">
        <x:f>IFERROR(HYPERLINK("https://rcmp.ca/en/corporate-information/publications-and-manuals/project-natterjack-national-after-action-review","Royal Canadian Mounted Police"),"Royal Canadian Mounted Police")</x:f>
        <x:v>Royal Canadian Mounted Police</x:v>
      </x:c>
      <x:c r="M39" s="21" t="str">
        <x:f>IFERROR(HYPERLINK("https://www.cbsa-asfc.gc.ca/transparency-transparence/pd-dp/bbp-rpp/secu/2022-02-25/overview-apercu-eng.html","cbsa-asfc.gc.ca"),"cbsa-asfc.gc.ca")</x:f>
        <x:v>cbsa-asfc.gc.ca</x:v>
      </x:c>
      <x:c r="N39" s="4" t="str">
        <x:v>https://www.cbsa-asfc.gc.ca/transparency-transparence/pd-dp/bbp-rpp/dedc/2022-04-26/overview-apercu-eng.html
https://rcmp.ca/en/corporate-information/publications-and-manuals/project-natterjack-national-after-action-review
https://www.cbsa-asfc.gc.ca/transparency-transparence/pd-dp/bbp-rpp/secu/2022-02-25/overview-apercu-eng.html
https://voiceonline.com/pacific-highway-border-crossing-closed/</x:v>
      </x:c>
      <x:c r="O39" s="4" t="str">
        <x:v>Source 1: full text
Source 2: full text
Source 3: access detail is retained in the source catalogue.</x:v>
      </x:c>
      <x:c r="P39" s="20" t="n">
        <x:v>1</x:v>
      </x:c>
      <x:c r="Q39" s="4" t="str">
        <x:v>Americas</x:v>
      </x:c>
      <x:c r="R39" s="4" t="str">
        <x:v>Included</x:v>
      </x:c>
    </x:row>
    <x:row r="40" ht="162" hidden="0" customHeight="1">
      <x:c r="A40" s="16" t="str">
        <x:v>AM041</x:v>
      </x:c>
      <x:c r="B40" s="4" t="str">
        <x:v>Colombia congressional election 2022 frontier closure</x:v>
      </x:c>
      <x:c r="C40" s="4" t="str">
        <x:v>Colombia; Venezuela; Brazil; Peru; Ecuador; Panama</x:v>
      </x:c>
      <x:c r="D40" s="4" t="str">
        <x:v>National land frontier measures</x:v>
      </x:c>
      <x:c r="E40" s="4" t="str">
        <x:v>See geographic scope and exemptions.
Direction: Direction not separately established in this pass; consult the movement scope and source evidence.
Exceptions: Colombians resident in Venezuela allowed designated frontier voting access.</x:v>
      </x:c>
      <x:c r="F40" s="4" t="str">
        <x:v>AM041-R1 — Announced window
Colombia authorised land and river posts, ordinary travellers outside voting/force-majeure exceptions
Start: 2022-03-12.
Scheduled endpoint: 2022-03-13.
Ordered window: 1 calendar-day difference; actual end not established</x:v>
      </x:c>
      <x:c r="G40"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0" s="4" t="str">
        <x:v>The earlier March 10 announcement was superseded by Decree 318 and the migration director's revised March 12 at 00:00 schedule. End at March 13 at 23:59 is scheduled, not an observed reopening.
AM041-R1: Ordered almost-48-hour window only; date subtraction is not elapsed closure. No observed reopening.
continuity: Decree 318 establishes a March 2022 election schedule and exceptions; targeted follow-up did not establish actual nationwide continuous closure or reopening.</x:v>
      </x:c>
      <x:c r="I40" s="4" t="str">
        <x:v>Retained baseline assessment. Correction pass: reviewed; see attribute findings</x:v>
      </x:c>
      <x:c r="J40" s="18" t="d">
        <x:v>2026-10-23T00:00:00.000Z</x:v>
      </x:c>
      <x:c r="K40" s="21" t="str">
        <x:f>IFERROR(HYPERLINK("https://www.funcionpublica.gov.co/eva/gestornormativo/norma.php?i=180537","Función Pública"),"Función Pública")</x:f>
        <x:v>Función Pública</x:v>
      </x:c>
      <x:c r="L40" s="21" t="str">
        <x:f>IFERROR(HYPERLINK("https://www.elheraldo.co/colombia/2022/03/09/elecciones-2022-cierre-de-fronteras-sera-desde-el-sabado-12-hasta-domingo-13-de-marzo-893198/","El Heraldo"),"El Heraldo")</x:f>
        <x:v>El Heraldo</x:v>
      </x:c>
      <x:c r="M40" s="21" t="str">
        <x:f>IFERROR(HYPERLINK("https://www.mininterior.gov.co/noticias/el-gobierno-nacional-garantizara-el-derecho-al-voto-de-los-mas-de-195-mil-colombianos-residentes-en-venezuela-en-seis-puntos-de-votacion-fronterizos-habilitados-en-el-territorio-nacional/","Colombia Interior Ministry"),"Colombia Interior Ministry")</x:f>
        <x:v>Colombia Interior Ministry</x:v>
      </x:c>
      <x:c r="N40" s="4" t="str">
        <x:v>https://www.funcionpublica.gov.co/eva/gestornormativo/norma.php?i=180537
https://www.elheraldo.co/colombia/2022/03/09/elecciones-2022-cierre-de-fronteras-sera-desde-el-sabado-12-hasta-domingo-13-de-marzo-893198/
https://www.mininterior.gov.co/noticias/el-gobierno-nacional-garantizara-el-derecho-al-voto-de-los-mas-de-195-mil-colombianos-residentes-en-venezuela-en-seis-puntos-de-votacion-fronterizos-habilitados-en-el-territorio-nacional/
https://www.alcaldiabogota.gov.co/sisjur/normas/Norma1.jsp?i=121362</x:v>
      </x:c>
      <x:c r="O40" s="4" t="str">
        <x:v>Source 1: indexed excerpt
Source 2: indexed excerpt; full
Source 3: indexed excerpt; failed</x:v>
      </x:c>
      <x:c r="P40" s="20" t="n">
        <x:v>1</x:v>
      </x:c>
      <x:c r="Q40" s="4" t="str">
        <x:v>Americas</x:v>
      </x:c>
      <x:c r="R40" s="4" t="str">
        <x:v>Included</x:v>
      </x:c>
    </x:row>
    <x:row r="41" ht="162" hidden="0" customHeight="1">
      <x:c r="A41" s="16" t="str">
        <x:v>AM039</x:v>
      </x:c>
      <x:c r="B41" s="4" t="str">
        <x:v>Colombia presidential first-round 2022 frontier closure</x:v>
      </x:c>
      <x:c r="C41" s="4" t="str">
        <x:v>Colombia; Venezuela; Brazil; Peru; Ecuador; Panama</x:v>
      </x:c>
      <x:c r="D41" s="4" t="str">
        <x:v>Authorised land/river border posts</x:v>
      </x:c>
      <x:c r="E41" s="4" t="str">
        <x:v>See geographic scope and exemptions.
Direction: Direction not separately established in this pass; consult the movement scope and source evidence.
Exceptions: Force majeure and fortuitous events; Decree 836 of 25 May concerns election witnesses and does not amend the border provision.</x:v>
      </x:c>
      <x:c r="F41" s="4" t="str">
        <x:v>AM039-R1 — Announced window
Colombia authorised land and river crossings for ordinary travellers
Start: 2022-05-28.
Scheduled endpoint: 2022-05-30.
Ordered window: 2 calendar-day difference; actual end not established
AM039-REV1 — Observed operation
Ordinary pedestrian passage at Cúcuta-area Colombia–Venezuela international bridges
Start: 2022-05-28.
Observed scoped reopening: 2022-05-30.
2 calendar-day difference; scoped endpoint only</x:v>
      </x:c>
      <x:c r="G41"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1" s="4" t="str">
        <x:v>AM039-R1: Scheduled 36 hours; actual enforcement/reopening not established. Force-majeure exceptions and separate voting arrangements apply.
AM039-REV1: Reported May 28 at 18:00 to May 30 at 06:00 restriction; voting exceptions and Venezuelan-side obstacles remained. The local bridge account is not generalized to other frontiers.</x:v>
      </x:c>
      <x:c r="I41" s="4" t="str">
        <x:v>Targeted source review (REC50-R34); retained with recorded qualifications; evidence limits retained.</x:v>
      </x:c>
      <x:c r="J41" s="18" t="d">
        <x:v>2026-10-25T00:00:00.000Z</x:v>
      </x:c>
      <x:c r="K41" s="21" t="str">
        <x:f>IFERROR(HYPERLINK("https://www.funcionpublica.gov.co/eva/gestornormativo/norma.php?i=187126","Colombia Función Pública"),"Colombia Función Pública")</x:f>
        <x:v>Colombia Función Pública</x:v>
      </x:c>
      <x:c r="L41" s="21" t="str">
        <x:f>IFERROR(HYPERLINK("https://caracol.com.co/emisora/2022/05/30/cucuta/1653927496_967896.html","Caracol Radio"),"Caracol Radio")</x:f>
        <x:v>Caracol Radio</x:v>
      </x:c>
      <x:c r="M41" s="21" t="str">
        <x:f>IFERROR(HYPERLINK("https://www1.funcionpublica.gov.co/eva/gestornormativo/norma.php?i=187126","Función Pública Colombia"),"Función Pública Colombia")</x:f>
        <x:v>Función Pública Colombia</x:v>
      </x:c>
      <x:c r="N41" s="4" t="str">
        <x:v>https://www.funcionpublica.gov.co/eva/gestornormativo/norma.php?i=187126
https://caracol.com.co/emisora/2022/05/30/cucuta/1653927496_967896.html
https://www1.funcionpublica.gov.co/eva/gestornormativo/norma.php?i=187126
https://www.bogotajuridica.gov.co/sisjur/normas/Norma1.jsp?dt=S&amp;i=123818
https://www.bogotajuridica.gov.co/sisjur/normas/Norma1.jsp?dt=S&amp;i=123880
https://www.elespectador.com/colombia/mas-regiones/cuando-inicia-el-cierre-de-fronteras-por-elecciones-en-colombia-y-cuando-termina/?outputType=amp</x:v>
      </x:c>
      <x:c r="O41" s="4" t="str">
        <x:v>Source 1: indexed excerpt; unavailable
Source 2: full; full text
Source 3: failed</x:v>
      </x:c>
      <x:c r="P41" s="20" t="n">
        <x:v>2</x:v>
      </x:c>
      <x:c r="Q41" s="4" t="str">
        <x:v>Americas</x:v>
      </x:c>
      <x:c r="R41" s="4" t="str">
        <x:v>Included</x:v>
      </x:c>
    </x:row>
    <x:row r="42" ht="162" hidden="0" customHeight="1">
      <x:c r="A42" s="16" t="str">
        <x:v>AM040</x:v>
      </x:c>
      <x:c r="B42" s="4" t="str">
        <x:v>Colombia presidential runoff 2022 frontier closure</x:v>
      </x:c>
      <x:c r="C42" s="4" t="str">
        <x:v>Colombia; Venezuela; Brazil; Peru; Ecuador; Panama</x:v>
      </x:c>
      <x:c r="D42" s="4" t="str">
        <x:v>Authorised land/river border posts</x:v>
      </x:c>
      <x:c r="E42" s="4" t="str">
        <x:v>See geographic scope and exemptions.
Direction: Direction not separately established in this pass; consult the movement scope and source evidence.
Exceptions: Cross-border voting and force majeure.</x:v>
      </x:c>
      <x:c r="F42" s="4" t="str">
        <x:v>AM040-R1 — Announced window
Colombia authorised land/river crossings outside voting and exceptional travel
Start: 2022-06-18.
Scheduled endpoint: 2022-06-20.
Ordered window: 2 calendar-day difference; actual end not established</x:v>
      </x:c>
      <x:c r="G42"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2" s="4" t="str">
        <x:v>AM040-R1: Scheduled 36 hours only; normal operation at expiry not observed.
continuity: Decree 979 and the Ombudsman reproduce the June 2022 schedule; they do not establish actual all-post implementation or a witnessed endpoint.</x:v>
      </x:c>
      <x:c r="I42" s="4" t="str">
        <x:v>Retained baseline assessment. Correction pass: reviewed; see attribute findings</x:v>
      </x:c>
      <x:c r="J42" s="18" t="d">
        <x:v>2026-10-23T00:00:00.000Z</x:v>
      </x:c>
      <x:c r="K42" s="21" t="str">
        <x:f>IFERROR(HYPERLINK("https://www.funcionpublica.gov.co/eva/gestornormativo/norma.php?i=187706","Función Pública"),"Función Pública")</x:f>
        <x:v>Función Pública</x:v>
      </x:c>
      <x:c r="L42" s="21" t="str">
        <x:f>IFERROR(HYPERLINK("https://www.bogotajuridica.gov.co/sisjur/normas/Norma1.jsp?dt=S&amp;i=124520","Bogotá legal compilation"),"Bogotá legal compilation")</x:f>
        <x:v>Bogotá legal compilation</x:v>
      </x:c>
      <x:c r="M42" s="21" t="str">
        <x:f>IFERROR(HYPERLINK("https://www.elespectador.com/colombia/mas-regiones/cierre-de-fronteras-por-elecciones-presidenciales-cuando-inicia-y-cuando-termina/?outputType=amp","elespectador.com"),"elespectador.com")</x:f>
        <x:v>elespectador.com</x:v>
      </x:c>
      <x:c r="N42" s="4" t="str">
        <x:v>https://www.funcionpublica.gov.co/eva/gestornormativo/norma.php?i=187706
https://www.defensoria.gov.co/en/w/defensor-del-pueblo-destaca-garant%C3%ADas-para-ejercer-derecho-al-voto-en-pasos-fronterizos?p_l_back_url=%2Fen%2Fsearch%3Fdelta%3D20%26q%3Dpueblos%2Bind%25C3%25ADgenas%26start%3D24%26tag%3D2022%26tag%3Ddefensor%25C3%25ADa%26tag%3Dsur%2Bde%2Bbol%25C3%25ADvar
https://www.bogotajuridica.gov.co/sisjur/normas/Norma1.jsp?dt=S&amp;i=124520
https://www.elespectador.com/colombia/mas-regiones/cierre-de-fronteras-por-elecciones-presidenciales-cuando-inicia-y-cuando-termina/?outputType=amp</x:v>
      </x:c>
      <x:c r="O42" s="4" t="str">
        <x:v>Source 1: indexed excerpt; failed
Source 2: indexed excerpt
Source 3: access detail is retained in the source catalogue.</x:v>
      </x:c>
      <x:c r="P42" s="20" t="n">
        <x:v>1</x:v>
      </x:c>
      <x:c r="Q42" s="4" t="str">
        <x:v>Americas</x:v>
      </x:c>
      <x:c r="R42" s="4" t="str">
        <x:v>Included</x:v>
      </x:c>
    </x:row>
    <x:row r="43" ht="409" hidden="0" customHeight="1">
      <x:c r="A43" s="16" t="str">
        <x:v>AM008</x:v>
      </x:c>
      <x:c r="B43" s="4" t="str">
        <x:v>Dominican Republic closes Haiti frontier over river canal</x:v>
      </x:c>
      <x:c r="C43" s="4" t="str">
        <x:v>Dominican Republic; Haiti</x:v>
      </x:c>
      <x:c r="D43" s="4" t="str">
        <x:v>Dominican side of all land frontier</x:v>
      </x:c>
      <x:c r="E43" s="4" t="str">
        <x:v>Persons and goods; limited commercial corridors later permitted.
Direction: Dominican-side closure</x:v>
      </x:c>
      <x:c r="F43" s="4" t="str">
        <x:v>AM008-D1 — Observed operation
Dominican-side food/medicine trade restriction at El Carrizal, to observed limited commercial restoration.
Start: 2023-09-15.
Observed scoped reopening: 2023-10-11.
26 calendar-day difference; scoped endpoint only</x:v>
      </x:c>
      <x:c r="G43" s="4" t="str">
        <x:v>Interstate disputes and pressure / Territorial and frontier disputes
Reported reason
Applies to: Recorded episode; exact overlap not separately established
Canal dispute and commercial coercion supported.
Interstate disputes and pressure / Sanctions and coercive pressure
Reported reason
Applies to: Recorded episode; exact overlap not separately established
Canal dispute and commercial coercion supported.
Trade and protectionism / Import, export and production controls
Reported reason
Applies to: Recorded episode; exact overlap not separately established
Canal dispute and commercial coercion supported.
Security / Crime and law enforcement
Reported reason
Applies to: Closure regime as explained in the October 9, 2023 official statement; not assumed to end with commercial easing
Officials attribute exclusion of Haitian gangs to the closure.
Security / Smuggling and illicit trafficking
Reported reason
Applies to: Closure regime as explained in the October 9, 2023 official statement; not assumed to end with commercial easing
Officials attribute control of weapons and prohibited-substance smuggling to the closure.
Migration / Entry and asylum control
Reported reason
Applies to: Closure regime as explained in the October 9, 2023 official statement; not assumed to end with commercial easing
The October statement expressly maintains migration admission closure and seeks reduced undocumented entry; this is separate from food and medicine trade easing.</x:v>
      </x:c>
      <x:c r="H43" s="4" t="str">
        <x:v>AM008-D1: This is a narrow El Carrizal commercial phase. Haiti's Dajabón gate remained closed on 13 October; unrestricted passengers and bilateral frontier-wide reopening are not inferred.</x:v>
      </x:c>
      <x:c r="I43" s="4" t="str">
        <x:v>Targeted source review (REC50-R24); retained with recorded qualifications; evidence limits retained.</x:v>
      </x:c>
      <x:c r="J43" s="18" t="d">
        <x:v>2026-10-25T00:00:00.000Z</x:v>
      </x:c>
      <x:c r="K43" s="21" t="str">
        <x:f>IFERROR(HYPERLINK("https://www.presidencia.gob.do/noticias/presidente-abinader-anuncia-cierre-total-de-la-frontera-con-haiti-desde-este-viernes-las","Dominican Presidency"),"Dominican Presidency")</x:f>
        <x:v>Dominican Presidency</x:v>
      </x:c>
      <x:c r="L43" s="21" t="str">
        <x:f>IFERROR(HYPERLINK("https://www.presidencia.gob.do/noticias/consejo-nacional-de-seguridad-anuncia-nuevas-medidas-para-fortalecer-el-cierre-fronterizo","Dominican Presidency"),"Dominican Presidency")</x:f>
        <x:v>Dominican Presidency</x:v>
      </x:c>
      <x:c r="M43" s="21" t="str">
        <x:f>IFERROR(HYPERLINK("https://www.presidencia.gob.do/noticias/homero-figueroa-asegura-registro-biometrico-en-corredores-comerciales-provisionales-de-la","Dominican Presidency"),"Dominican Presidency")</x:f>
        <x:v>Dominican Presidency</x:v>
      </x:c>
      <x:c r="N43" s="4" t="str">
        <x:v>https://www.presidencia.gob.do/noticias/presidente-abinader-anuncia-cierre-total-de-la-frontera-con-haiti-desde-este-viernes-las
https://www.presidencia.gob.do/noticias/consejo-nacional-de-seguridad-anuncia-nuevas-medidas-para-fortalecer-el-cierre-fronterizo
https://www.presidencia.gob.do/noticias/homero-figueroa-asegura-registro-biometrico-en-corredores-comerciales-provisionales-de-la
https://presidencia.gob.do/noticias/presidente-abinader-anuncia-cierre-total-de-la-frontera-con-haiti-desde-este-viernes-las
https://presidencia.gob.do/noticias/consejo-nacional-de-seguridad-anuncia-nuevas-medidas-para-fortalecer-el-cierre-fronterizo
https://mirex.gob.do/el-vocero-de-la-presidencia-informa-que-ademas-se-establecera-un-registro-biometrico-en-la-frontera-y-se-creara-un-fondo-para-la-mecanizacion-del-trabajo-agricola/
https://efe.com/latest-news/2023-10-14/binational-market-withers-as-haitian-dominican-border-remains-closed/
https://mirex.gob.do/presidente-abinader-anuncia-cierre-total-de-la-frontera-con-haiti-desde-este-viernes-a-las-600-de-la-manana-2/
https://www.diariolibre.com/actualidad/nacional/2023/10/11/comerciantes-haitianos-cumplen-registro-biometrico/2488805
https://prensadelpresidente.gob.do/noticias/consejo-nacional-de-seguridad-anuncia-nuevas-medidas-para-fortalecer-el-cierre-fronterizo-y-establece-corredores-comerciales-provisionales/</x:v>
      </x:c>
      <x:c r="O43" s="4" t="str">
        <x:v>Source 1: search extract
Source 2: search extract
Source 3: search extract</x:v>
      </x:c>
      <x:c r="P43" s="20" t="n">
        <x:v>1</x:v>
      </x:c>
      <x:c r="Q43" s="4" t="str">
        <x:v>Americas</x:v>
      </x:c>
      <x:c r="R43" s="4" t="str">
        <x:v>Included</x:v>
      </x:c>
    </x:row>
    <x:row r="44" ht="162" hidden="0" customHeight="1">
      <x:c r="A44" s="16" t="str">
        <x:v>AM003</x:v>
      </x:c>
      <x:c r="B44" s="4" t="str">
        <x:v>Lukeville crossing closure for migration-related staffing</x:v>
      </x:c>
      <x:c r="C44" s="4" t="str">
        <x:v>United States; Mexico</x:v>
      </x:c>
      <x:c r="D44" s="4" t="str">
        <x:v>Lukeville–Sonoyta crossing</x:v>
      </x:c>
      <x:c r="E44" s="4" t="str">
        <x:v>Pedestrians and vehicles
Direction: Both directions</x:v>
      </x:c>
      <x:c r="F44" s="4" t="str">
        <x:v>AM003-D1 — Observed operation
Lukeville–Sonoyta crossing; Pedestrians and vehicles; Both directions
Start: 2023-12-04.
Observed scoped reopening: 2024-01-04.
31 calendar-day difference; scoped endpoint only</x:v>
      </x:c>
      <x:c r="G44" s="4" t="str">
        <x:v>Migration / Processing capacity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4" s="4" t="str">
        <x:v>AM003-D1: Local crossing only; other crossings remained available. End confirmed by CBP and reported locally.</x:v>
      </x:c>
      <x:c r="I44" s="4" t="str">
        <x:v>Retained baseline assessment. Retained with recorded qualifications</x:v>
      </x:c>
      <x:c r="J44" s="18" t="d">
        <x:v>2026-10-23T00:00:00.000Z</x:v>
      </x:c>
      <x:c r="K44" s="21" t="str">
        <x:f>IFERROR(HYPERLINK("https://content.govdelivery.com/accounts/USDHSCBP/bulletins/37dd40c","CBP GovDelivery"),"CBP GovDelivery")</x:f>
        <x:v>CBP GovDelivery</x:v>
      </x:c>
      <x:c r="L44" s="21" t="str">
        <x:f>IFERROR(HYPERLINK("https://www.azfamily.com/2024/01/04/lukeville-port-entry-reopens-after-month-long-closure/","Arizona's Family"),"Arizona's Family")</x:f>
        <x:v>Arizona's Family</x:v>
      </x:c>
      <x:c r="M44" s="21" t="str">
        <x:f>IFERROR(HYPERLINK("https://www.kjzz.org/2024-01-04/content-1867412-lukeville-crossing-reopens-pima-county-leaders-warn-area-will-keep-bearing-brunt","kjzz.org"),"kjzz.org")</x:f>
        <x:v>kjzz.org</x:v>
      </x:c>
      <x:c r="N44" s="4" t="str">
        <x:v>https://content.govdelivery.com/accounts/USDHSCBP/bulletins/37dd40c
https://www.azfamily.com/2024/01/04/lukeville-port-entry-reopens-after-month-long-closure/
https://www.kjzz.org/2024-01-04/content-1867412-lukeville-crossing-reopens-pima-county-leaders-warn-area-will-keep-bearing-brunt</x:v>
      </x:c>
      <x:c r="O44" s="4" t="str">
        <x:v>Source 1: full page
Source 2: full page
Source 3: access detail is retained in the source catalogue.</x:v>
      </x:c>
      <x:c r="P44" s="20" t="n">
        <x:v>1</x:v>
      </x:c>
      <x:c r="Q44" s="4" t="str">
        <x:v>Americas</x:v>
      </x:c>
      <x:c r="R44" s="4" t="str">
        <x:v>Included</x:v>
      </x:c>
    </x:row>
    <x:row r="45" ht="174" hidden="0" customHeight="1">
      <x:c r="A45" s="16" t="str">
        <x:v>AM004</x:v>
      </x:c>
      <x:c r="B45" s="4" t="str">
        <x:v>Eagle Pass and El Paso railway border suspension</x:v>
      </x:c>
      <x:c r="C45" s="4" t="str">
        <x:v>United States; Mexico</x:v>
      </x:c>
      <x:c r="D45" s="4" t="str">
        <x:v>International railway crossings at the two ports of Eagle Pass and El Paso; not a count of two physical bridges.</x:v>
      </x:c>
      <x:c r="E45" s="4" t="str">
        <x:v>Rail freight
Direction: Rail operations in both named ports</x:v>
      </x:c>
      <x:c r="F45" s="4" t="str">
        <x:v>AM004-D1 — Observed operation
Federal resumption of the affected rail crossings; carrier embargoes may have persisted.
Start: 2023-12-18.
Observed scoped reopening: 2023-12-22.
4 calendar-day difference; scoped endpoint only</x:v>
      </x:c>
      <x:c r="G45" s="4" t="str">
        <x:v>Migration / Processing capacity
Attributed official justification
Applies to: Recorded episode
Attributed stated purpose; not proof of the allegation or effectiveness.
Security / Public order and immediate safety
Attributed official justification
Applies to: Recorded episode
Attributed stated purpose; not proof of the allegation or effectiveness.
Security / Smuggling and illicit trafficking
Attributed official justification
Applies to: Recorded episode
Attributed stated purpose; not proof of the allegation or effectiveness.</x:v>
      </x:c>
      <x:c r="H45" s="4" t="str">
        <x:v>AM004-D1: CBP notices establish railway operations suspension/resumption, corroborated by BNSF operational report that crossings opened December 22. Separate BNSF southbound congestion permit-embargo persisted for some shipments. Road/pedestrian restrictions had different dates.</x:v>
      </x:c>
      <x:c r="I45" s="4" t="str">
        <x:v>Targeted source review (REC50-R29); accepted qualification; evidence limits retained.</x:v>
      </x:c>
      <x:c r="J45" s="18" t="d">
        <x:v>2026-10-25T00:00:00.000Z</x:v>
      </x:c>
      <x:c r="K45" s="21" t="str">
        <x:f>IFERROR(HYPERLINK("https://content.govdelivery.com/accounts/USDHSCBP/bulletins/3809945","U.S. Customs and Border Protection"),"U.S. Customs and Border Protection")</x:f>
        <x:v>U.S. Customs and Border Protection</x:v>
      </x:c>
      <x:c r="L45" s="21" t="str">
        <x:f>IFERROR(HYPERLINK("https://content.govdelivery.com/accounts/USDHSCBP/bulletins/3816791?reqfrom=share","U.S. Customs and Border Protection"),"U.S. Customs and Border Protection")</x:f>
        <x:v>U.S. Customs and Border Protection</x:v>
      </x:c>
      <x:c r="M45" s="21" t="str">
        <x:f>IFERROR(HYPERLINK("https://www.bnsf.com/news-media/customer-notifications/notification.page?notId=intermodal-network-update-for-friday-december-22-2023","BNSF"),"BNSF")</x:f>
        <x:v>BNSF</x:v>
      </x:c>
      <x:c r="N45" s="4" t="str">
        <x:v>https://content.govdelivery.com/accounts/USDHSCBP/bulletins/3809945
https://content.govdelivery.com/accounts/USDHSCBP/bulletins/3816791?reqfrom=share
https://www.bnsf.com/news-media/customer-notifications/notification.page?notId=intermodal-network-update-for-friday-december-22-2023
https://www.bnsf.com/news-media/customer-notifications/notification.page?notId=update-eagle-pass-and-el-paso-border-crossings-resume-24-7-operations-with-embargo-of-certain-shipments-destined-for-mexico
https://www.freightwaves.com/news/cbp-reopens-key-ports-of-entry-for-freight-trains-at-us-mexico-border</x:v>
      </x:c>
      <x:c r="O45" s="4" t="str">
        <x:v>Source 1: full text
Source 2: full text
Source 3: full text</x:v>
      </x:c>
      <x:c r="P45" s="20" t="n">
        <x:v>1</x:v>
      </x:c>
      <x:c r="Q45" s="4" t="str">
        <x:v>Americas</x:v>
      </x:c>
      <x:c r="R45" s="4" t="str">
        <x:v>Included</x:v>
      </x:c>
    </x:row>
    <x:row r="46" ht="162" hidden="0" customHeight="1">
      <x:c r="A46" s="16" t="str">
        <x:v>AM050</x:v>
      </x:c>
      <x:c r="B46" s="4" t="str">
        <x:v>Venezuela 2024 presidential-election land-frontier closure</x:v>
      </x:c>
      <x:c r="C46" s="4" t="str">
        <x:v>Venezuela; Colombia; Brazil</x:v>
      </x:c>
      <x:c r="D46" s="4" t="str">
        <x:v>National land-frontier order; observed Táchira bridge restrictions</x:v>
      </x:c>
      <x:c r="E46" s="4" t="str">
        <x:v>Ordinary non-exempt pedestrians and vehicles in the observed Simón Bolívar bridge phase; the wider national order is retained separately.
Direction: Direction not separately established in this pass; consult the movement scope and source evidence.</x:v>
      </x:c>
      <x:c r="F46" s="4" t="str">
        <x:v>AM050-R1 — Observed operation
Ordinary non-exempt vehicle and pedestrian circulation at Simón Bolívar bridge; authorised voter/returnee movements excluded
Start: 2024-07-25.
Observed scoped reopening: 2024-07-29.
4 calendar-day difference; scoped endpoint only</x:v>
      </x:c>
      <x:c r="G46"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6" s="4" t="str">
        <x:v>National schedule accounts give conflicting July 29 ending hours: 08:00 in the gazette transcription and commander announcement, and 23:59 also reported by EFE. The local Simón Bolívar phase has separately verified July 29 reopening; no nationwide operational endpoint or unique ending hour is claimed.
AM050-R1: Onset 25 July 22:00; reopening hour unspecified. Exceptional voter/return movements are not fully inventoried. No nationwide or Brazil-frontier claim.</x:v>
      </x:c>
      <x:c r="I46" s="4" t="str">
        <x:v>Full-record source audit (REC50-R35); accepted corrections; evidence limits retained.</x:v>
      </x:c>
      <x:c r="J46" s="18" t="d">
        <x:v>2026-10-25T00:00:00.000Z</x:v>
      </x:c>
      <x:c r="K46" s="21" t="str">
        <x:f>IFERROR(HYPERLINK("https://caracol.com.co/2024/07/26/venezuela-cerro-la-frontera-con-colombia/","Caracol Radio"),"Caracol Radio")</x:f>
        <x:v>Caracol Radio</x:v>
      </x:c>
      <x:c r="L46" s="21" t="str">
        <x:f>IFERROR(HYPERLINK("https://www.kienyke.com/mundo/la-frontera-con-colombia-vuelve-la-normalidad-tras-las-elecciones-en-venezuela","EFE / Kienyke"),"EFE / Kienyke")</x:f>
        <x:v>EFE / Kienyke</x:v>
      </x:c>
      <x:c r="M46" s="21" t="str">
        <x:f>IFERROR(HYPERLINK("https://www.refworld.org/sites/default/files/2024-08/14460.pdf","R4V / Refworld mirror"),"R4V / Refworld mirror")</x:f>
        <x:v>R4V / Refworld mirror</x:v>
      </x:c>
      <x:c r="N46" s="4" t="str">
        <x:v>https://caracol.com.co/2024/07/26/venezuela-cerro-la-frontera-con-colombia/
https://www.kienyke.com/mundo/la-frontera-con-colombia-vuelve-la-normalidad-tras-las-elecciones-en-venezuela
https://www.refworld.org/sites/default/files/2024-08/14460.pdf
https://colombiacheck.com/chequeos/venezuela-cerro-sus-fronteras-temporalmente-por-los-comicios-del-28-j
https://www.dateas.com/es/docs/gaceta-oficial-venezuela-extraordinario/2024/07/23
https://www.infobae.com/america/agencias/2024/07/26/venezuela-anuncia-cierre-fronterizo-para-el-paso-de-personas-y-vehiculos-por-elecciones/</x:v>
      </x:c>
      <x:c r="O46" s="4" t="str">
        <x:v>Source 1: full; full text
Source 2: full; full text
Source 3: full text</x:v>
      </x:c>
      <x:c r="P46" s="20" t="n">
        <x:v>1</x:v>
      </x:c>
      <x:c r="Q46" s="4" t="str">
        <x:v>Americas</x:v>
      </x:c>
      <x:c r="R46" s="4" t="str">
        <x:v>Included</x:v>
      </x:c>
    </x:row>
    <x:row r="47" ht="162" hidden="0" customHeight="1">
      <x:c r="A47" s="16" t="str">
        <x:v>AM013</x:v>
      </x:c>
      <x:c r="B47" s="4" t="str">
        <x:v>Venezuela inauguration security closure January 2025</x:v>
      </x:c>
      <x:c r="C47" s="4" t="str">
        <x:v>Venezuela; Colombia; Brazil</x:v>
      </x:c>
      <x:c r="D47" s="4" t="str">
        <x:v>Venezuelan side of Colombia and Brazil frontiers</x:v>
      </x:c>
      <x:c r="E47" s="4" t="str">
        <x:v>See geographic scope and exemptions.
Direction: Direction not separately established in this pass; consult the movement scope and source evidence.</x:v>
      </x:c>
      <x:c r="F47" s="4" t="str">
        <x:v>AM013-D1 — Observed operation
Venezuelan side of Colombia and Brazil frontiers; See geographic scope and exemptions.; Direction not separately established in this pass; consult the movement scope and source evidence.
Start: 2025-01-10.
Observed scoped reopening: 2025-01-13.
3 calendar-day difference; scoped endpoint only</x:v>
      </x:c>
      <x:c r="G47" s="4" t="str">
        <x:v>Security / Unspecified security
Attributed official justification
Applies to: Recorded episode; exact overlap not separately established
The recorded rationale and claim assessment support the selected subcategories. All applicable broad categories are retained together; no primary rationale is imposed.
Power and regime politics / Opposition and political reform
Attributed official justification
Applies to: Recorded episode; exact overlap not separately established
The recorded rationale and claim assessment support the selected subcategories. All applicable broad categories are retained together; no primary rationale is imposed.</x:v>
      </x:c>
      <x:c r="H47" s="4" t="str">
        <x:v>AM013-D1: Colombia-side notice specifies 5 am; precise Brazilian closure hour not established. End combines official Colombian-frontier announcement and Brazilian confirmation.</x:v>
      </x:c>
      <x:c r="I47" s="4" t="str">
        <x:v>Targeted source review (REC50-R32); retained with recorded qualifications; evidence limits retained.</x:v>
      </x:c>
      <x:c r="J47" s="18" t="d">
        <x:v>2026-10-25T00:00:00.000Z</x:v>
      </x:c>
      <x:c r="K47" s="21" t="str">
        <x:f>IFERROR(HYPERLINK("https://www.eleconomista.com.mx/internacionales/venezuela-cierra-frontera-colombia-lunes-posible-conspiracion-maduro-20250110-741395.html?facet=app&amp;mode=light","Reuters via El Economista"),"Reuters via El Economista")</x:f>
        <x:v>Reuters via El Economista</x:v>
      </x:c>
      <x:c r="L47" s="21" t="str">
        <x:f>IFERROR(HYPERLINK("https://efe.com/mundo/2025-01-13/venezuela-frontera-colombia-brasil-investidura/","EFE"),"EFE")</x:f>
        <x:v>EFE</x:v>
      </x:c>
      <x:c r="M47" s="21" t="str">
        <x:f>IFERROR(HYPERLINK("https://amp.dw.com/es/venezuela-reabre-su-fronteras-con-brasil-y-colombia/a-71288505","amp.dw.com"),"amp.dw.com")</x:f>
        <x:v>amp.dw.com</x:v>
      </x:c>
      <x:c r="N47" s="4" t="str">
        <x:v>https://www.eleconomista.com.mx/internacionales/venezuela-cierra-frontera-colombia-lunes-posible-conspiracion-maduro-20250110-741395.html?facet=app&amp;mode=light
https://efe.com/mundo/2025-01-13/venezuela-frontera-colombia-brasil-investidura/
https://amp.dw.com/es/venezuela-reabre-su-fronteras-con-brasil-y-colombia/a-71288505</x:v>
      </x:c>
      <x:c r="O47" s="4" t="str">
        <x:v>Source 1: full text
Source 2: full text
Source 3: access detail is retained in the source catalogue.</x:v>
      </x:c>
      <x:c r="P47" s="20" t="n">
        <x:v>1</x:v>
      </x:c>
      <x:c r="Q47" s="4" t="str">
        <x:v>Americas</x:v>
      </x:c>
      <x:c r="R47" s="4" t="str">
        <x:v>Included</x:v>
      </x:c>
    </x:row>
    <x:row r="48" ht="174" hidden="0" customHeight="1">
      <x:c r="A48" s="16" t="str">
        <x:v>AM042</x:v>
      </x:c>
      <x:c r="B48" s="4" t="str">
        <x:v>Ecuador 2025 general-election foreign land-entry closure</x:v>
      </x:c>
      <x:c r="C48" s="4" t="str">
        <x:v>Ecuador; Colombia; Peru</x:v>
      </x:c>
      <x:c r="D48" s="4" t="str">
        <x:v>Entry of foreigners across northern/southern frontier</x:v>
      </x:c>
      <x:c r="E48" s="4" t="str">
        <x:v>Non-Ecuadorian passengers entering by land. The national rule exempts Ecuadorian entry and lawful goods/commercial activity; local implementation and the separate municipal goods-vehicle obstruction remain qualified.
Direction: Foreign passenger entry into Ecuador; the Huaquillas phase does not assign its endpoint to the Colombia frontier.
Exceptions: Ecuadorian citizens and legal goods/commercial activities.</x:v>
      </x:c>
      <x:c r="F48" s="4" t="str">
        <x:v>AM042-D1 — Observed operation
Foreign passenger entry at Aguas Verdes–Huaquillas under Ecuador's February election measure.
Start: 2025-02-08.
Observed scoped reopening: 2025-02-11.
3 calendar-day difference; scoped endpoint only</x:v>
      </x:c>
      <x:c r="G48"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Crime and law enforcement
Reported reason
Applies to: Recorded episode; exact overlap not separately established
The recorded rationale and claim assessment support the selected subcategories. All applicable broad categories are retained together; no primary rationale is imposed.</x:v>
      </x:c>
      <x:c r="H48" s="4" t="str">
        <x:v>AM042-D1: Ecuadorians and legal goods were exempt. A municipal wall still obstructed some cargo vehicles under a different measure; other gates and the Colombia frontier are not assigned this endpoint. The ATV page's later header is not used as the event date.</x:v>
      </x:c>
      <x:c r="I48" s="4" t="str">
        <x:v>Targeted source review (REC50-R32); accepted qualification; evidence limits retained.</x:v>
      </x:c>
      <x:c r="J48" s="18" t="d">
        <x:v>2026-10-25T00:00:00.000Z</x:v>
      </x:c>
      <x:c r="K48" s="21" t="str">
        <x:f>IFERROR(HYPERLINK("https://efe.com/mundo/2025-02-08/ecuador-elecciones-generales/","EFE"),"EFE")</x:f>
        <x:v>EFE</x:v>
      </x:c>
      <x:c r="L48" s="21" t="str">
        <x:f>IFERROR(HYPERLINK("https://andina.pe/ingles/noticia-tumbes-reabren-transito-frontera-ecuador-pero-comerciantes-lamentan-restricciones-1018355.aspx","Andina"),"Andina")</x:f>
        <x:v>Andina</x:v>
      </x:c>
      <x:c r="M48" s="21" t="str">
        <x:f>IFERROR(HYPERLINK("https://andina.pe/agencia/noticia-tumbes-gobierno-ecuatoriano-dispone-cierre-temporal-frontera-peru-comicios-1018004.aspx","Andina"),"Andina")</x:f>
        <x:v>Andina</x:v>
      </x:c>
      <x:c r="N48" s="4" t="str">
        <x:v>https://efe.com/mundo/2025-02-08/ecuador-elecciones-generales/
https://andina.pe/ingles/noticia-tumbes-reabren-transito-frontera-ecuador-pero-comerciantes-lamentan-restricciones-1018355.aspx
https://andina.pe/agencia/noticia-tumbes-gobierno-ecuatoriano-dispone-cierre-temporal-frontera-peru-comicios-1018004.aspx
https://www.primicias.ec/seguridad/gobierno-ecuador-cierre-fronteras-elecciones-9febrero-89077/
https://www.atv.pe/noticia/tumbes-reabren-frontera-con-ecuador-tras-elecciones-presidenciales/
https://andina.pe/agencia/noticia-tumbes-reabren-transito-frontera-ecuador-pero-comerciantes-lamentan-restricciones-1018355.aspx
https://rpp.pe/peru/tumbes/tumbes-ecuador-sigue-sin-reabrir-su-frontera-terrestre-con-peru-tras-elecciones-noticia-1615307
https://elcomercio.pe/mundo/latinoamerica/elecciones-en-ecuador-2025-ecuador-cierra-sus-fronteras-con-colombia-y-peru-para-celebrar-las-elecciones-generales-daniel-noboa-luisa-gonzales-ultimas-noticia/?outputType=amp</x:v>
      </x:c>
      <x:c r="O48" s="4" t="str">
        <x:v>Source 1: full text
Source 2: full text
Source 3: full text</x:v>
      </x:c>
      <x:c r="P48" s="20" t="n">
        <x:v>1</x:v>
      </x:c>
      <x:c r="Q48" s="4" t="str">
        <x:v>Americas</x:v>
      </x:c>
      <x:c r="R48" s="4" t="str">
        <x:v>Included</x:v>
      </x:c>
    </x:row>
    <x:row r="49" ht="162" hidden="0" customHeight="1">
      <x:c r="A49" s="16" t="str">
        <x:v>AM049</x:v>
      </x:c>
      <x:c r="B49" s="4" t="str">
        <x:v>Ecuador 2025 presidential-runoff foreign land-entry ban</x:v>
      </x:c>
      <x:c r="C49" s="4" t="str">
        <x:v>Ecuador; Colombia; Peru</x:v>
      </x:c>
      <x:c r="D49" s="4" t="str">
        <x:v>Foreign entry at land frontier</x:v>
      </x:c>
      <x:c r="E49" s="4" t="str">
        <x:v>See geographic scope and exemptions.
Direction: Direction not separately established in this pass; consult the movement scope and source evidence.
Exceptions: Ecuadorian citizens are not barred by the foreign-entry restriction; goods transport and trade activities protected by decree's general provision.</x:v>
      </x:c>
      <x:c r="F49" s="4" t="str">
        <x:v>AM049-R1 — Announced window
Foreign persons entering Ecuador by land from Colombia or Peru
Start: 2025-04-11.
Scheduled endpoint: 2025-04-14.
Ordered window: 3 calendar-day difference; actual end not established
AM049-C7P1 — Observed operation
Ecuadorian foreign-entry checks at Huaquillas
Start: unknown.
Last confirmed: 2025-04-12. Reopening is not established.
dated evidence; numeric duration withheld; see qualification</x:v>
      </x:c>
      <x:c r="G49"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Crime and law enforcement
Reported reason
Applies to: Recorded episode; exact overlap not separately established
The recorded rationale and claim assessment support the selected subcategories. All applicable broad categories are retained together; no primary rationale is imposed.</x:v>
      </x:c>
      <x:c r="H49" s="4" t="str">
        <x:v>AM049-R1: Scheduled April 11 16:00 to April 14 23:59 only; endpoint date inclusive. Goods/trade and Ecuadorian movement excluded. Field report notes foreign persons in Tulcán with unknown entry route/status; no universal physical closure or actual endpoint inferred.
AM049-C7P1: One dated implementation observation. Ecuadorian movement and goods are outside the restriction; no continuous interval or April 14 physical reopening is inferred.</x:v>
      </x:c>
      <x:c r="I49" s="4" t="str">
        <x:v>Retained baseline assessment. Correction pass: amended with stated qualifications</x:v>
      </x:c>
      <x:c r="J49" s="18" t="d">
        <x:v>2026-10-23T00:00:00.000Z</x:v>
      </x:c>
      <x:c r="K49" s="21" t="str">
        <x:f>IFERROR(HYPERLINK("https://www.gob.pe/institucion/rree/noticias/1144379-comunicado-sobre-las-restricciones-de-ingreso-establecidas-por-el-gobierno-de-ecuador-en-la-frontera-comun","Peru Foreign Ministry"),"Peru Foreign Ministry")</x:f>
        <x:v>Peru Foreign Ministry</x:v>
      </x:c>
      <x:c r="L49" s="21" t="str">
        <x:f>IFERROR(HYPERLINK("https://www.eluniverso.com/noticias/intercultural/ecuatorianos-pueden-ingresar-al-pais-o-salir-hacia-colombia-por-rumichaca-pero-los-extranjeros-tienen-restriccion-nota/","El Universo"),"El Universo")</x:f>
        <x:v>El Universo</x:v>
      </x:c>
      <x:c r="M49" s="21" t="str">
        <x:f>IFERROR(HYPERLINK("https://www.ecuavisa.com/seguridad/militares-ecuatorianos-controlan-el-ingreso-de-extranjeros-en-la-frontera-con-peru-20250412-0032.html","ecuavisa.com"),"ecuavisa.com")</x:f>
        <x:v>ecuavisa.com</x:v>
      </x:c>
      <x:c r="N49" s="4" t="str">
        <x:v>https://www.gob.pe/institucion/rree/noticias/1144379-comunicado-sobre-las-restricciones-de-ingreso-establecidas-por-el-gobierno-de-ecuador-en-la-frontera-comun
https://www.eluniverso.com/noticias/intercultural/ecuatorianos-pueden-ingresar-al-pais-o-salir-hacia-colombia-por-rumichaca-pero-los-extranjeros-tienen-restriccion-nota/
https://www.ecuavisa.com/seguridad/militares-ecuatorianos-controlan-el-ingreso-de-extranjeros-en-la-frontera-con-peru-20250412-0032.html
https://efe.com/mundo/2025-04-12/ecuador-elecciones-frontera-militares/</x:v>
      </x:c>
      <x:c r="O49" s="4" t="str">
        <x:v>Source 1: indexed excerpt; failed
Source 2: indexed excerpt; full
Source 3: access detail is retained in the source catalogue.</x:v>
      </x:c>
      <x:c r="P49" s="20" t="n">
        <x:v>2</x:v>
      </x:c>
      <x:c r="Q49" s="4" t="str">
        <x:v>Americas</x:v>
      </x:c>
      <x:c r="R49" s="4" t="str">
        <x:v>Included</x:v>
      </x:c>
    </x:row>
    <x:row r="50" ht="162" hidden="0" customHeight="1">
      <x:c r="A50" s="16" t="str">
        <x:v>AM046</x:v>
      </x:c>
      <x:c r="B50" s="4" t="str">
        <x:v>Colombia 2026 election frontier closure 2026-03-07</x:v>
      </x:c>
      <x:c r="C50" s="4" t="str">
        <x:v>Colombia; Venezuela; Brazil; Peru; Ecuador; Panama</x:v>
      </x:c>
      <x:c r="D50" s="4" t="str">
        <x:v>Authorised land and river frontier traveller movements</x:v>
      </x:c>
      <x:c r="E50" s="4" t="str">
        <x:v>See geographic scope and exemptions.
Direction: Direction not separately established in this pass; consult the movement scope and source evidence.
Exceptions: Accredited force majeure or fortuitous events.</x:v>
      </x:c>
      <x:c r="F50" s="4" t="str">
        <x:v>AM046-R1 — Announced window
Colombia authorised land and river posts, ordinary travellers
Start: 2026-03-07.
Scheduled endpoint: 2026-03-09.
Ordered window: 2 calendar-day difference; actual end not established
AM046-C6OP1 — Observed operation
Ordinary formal traveller passage at international bridges linking Norte de Santander and Táchira.
Start: 2026-03-07.
Scoped endpoint: 2026-03-09.
2 calendar-day difference; scoped endpoint only</x:v>
      </x:c>
      <x:c r="G50"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0" s="4" t="str">
        <x:v>March 9 reopening is observed for the Norte de Santander–Táchira bridge group. Other national gates remain covered only by the scheduled order.
AM046-R1: Scheduled 36-hour window from March 7 at 18:00 to March 9 at 06:00; exceptional transit permitted. No observed enforcement or reopening.
AM046-C6OP1: Local bridge group only; individual gates not enumerated. Irregular paths and statutory exceptions are not treated as formal reopening. Calendar-date interval, not nationwide physical closure. The computed two-day date difference is a calendar-date measure; the reported elapsed closure was 36 hours.</x:v>
      </x:c>
      <x:c r="I50" s="4" t="str">
        <x:v>Retained baseline assessment. Amended after source reconciliation</x:v>
      </x:c>
      <x:c r="J50" s="18" t="d">
        <x:v>2026-10-23T00:00:00.000Z</x:v>
      </x:c>
      <x:c r="K50" s="21" t="str">
        <x:f>IFERROR(HYPERLINK("https://www.funcionpublica.gov.co/eva/gestornormativo/norma.php?i=272496","Función Pública"),"Función Pública")</x:f>
        <x:v>Función Pública</x:v>
      </x:c>
      <x:c r="L50" s="21" t="str">
        <x:f>IFERROR(HYPERLINK("https://caracol.com.co/2026/03/09/con-normalidad-se-da-apertura-a-los-puentes-internaciones-entre-colombia-y-venezuela/?outputType=amp","caracol.com.co"),"caracol.com.co")</x:f>
        <x:v>caracol.com.co</x:v>
      </x:c>
      <x:c r="M50" s="21" t="str">
        <x:f>IFERROR(HYPERLINK("https://portal.migracioncolombia.gov.co/detalle-noticia/agenda-migcol/comunicaciones-y-prensa/asi-sera-el-cierre-temporal-de-fronteras-por-elecciones-legislativas-del-8-de-marzo","Migración Colombia"),"Migración Colombia")</x:f>
        <x:v>Migración Colombia</x:v>
      </x:c>
      <x:c r="N50" s="4" t="str">
        <x:v>https://www.funcionpublica.gov.co/eva/gestornormativo/norma.php?i=272496
https://caracol.com.co/2026/03/09/con-normalidad-se-da-apertura-a-los-puentes-internaciones-entre-colombia-y-venezuela/?outputType=amp
https://portal.migracioncolombia.gov.co/detalle-noticia/agenda-migcol/comunicaciones-y-prensa/asi-sera-el-cierre-temporal-de-fronteras-por-elecciones-legislativas-del-8-de-marzo
https://elpais.com/america-colombia/elecciones-presidenciales/2026-03-07/elecciones-en-colombia-el-horario-de-la-ley-seca-el-cierre-de-fronteras-y-otras-medidas-por-las-votaciones-del-8-de-marzo.html</x:v>
      </x:c>
      <x:c r="O50" s="4" t="str">
        <x:v>Source 1: indexed excerpt
Source 2: access detail is retained in the source catalogue.
Source 3: full page</x:v>
      </x:c>
      <x:c r="P50" s="20" t="n">
        <x:v>2</x:v>
      </x:c>
      <x:c r="Q50" s="4" t="str">
        <x:v>Americas</x:v>
      </x:c>
      <x:c r="R50" s="4" t="str">
        <x:v>Included</x:v>
      </x:c>
    </x:row>
    <x:row r="51" ht="162" hidden="0" customHeight="1">
      <x:c r="A51" s="16" t="str">
        <x:v>AM047</x:v>
      </x:c>
      <x:c r="B51" s="4" t="str">
        <x:v>Colombia 2026 election frontier closure 2026-05-30</x:v>
      </x:c>
      <x:c r="C51" s="4" t="str">
        <x:v>Colombia; Venezuela; Brazil; Peru; Ecuador; Panama</x:v>
      </x:c>
      <x:c r="D51" s="4" t="str">
        <x:v>Authorised land and river frontier traveller movements</x:v>
      </x:c>
      <x:c r="E51" s="4" t="str">
        <x:v>See geographic scope and exemptions.
Direction: Direction not separately established in this pass; consult the movement scope and source evidence.
Exceptions: Accredited force majeure or fortuitous events.</x:v>
      </x:c>
      <x:c r="F51" s="4" t="str">
        <x:v>AM047-R1 — Announced window
Colombia authorised land/river posts, ordinary travellers
Start: 2026-05-30.
Scheduled endpoint: 2026-06-01.
Ordered window: 2 calendar-day difference; actual end not established
AM047-C6OP1 — Observed operation
Ordinary traveller passage at Rumichaca under Colombia's election restriction.
Start: 2026-05-30.
Observed scoped reopening: 2026-06-01.
2 calendar-day difference; scoped endpoint only</x:v>
      </x:c>
      <x:c r="G51"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1" s="4" t="str">
        <x:v>AM047-R1: Scheduled May30 18:00–June1 06:00; force-majeure passage excepted. No completed endpoint or continuous field enforcement established.
AM047-C6OP1: Local retrospective implementation account, not observation of every crossing or every minute. Tariff removal and freight queues are separate policy matters. The computed two-day date difference is a calendar-date measure; the reported elapsed closure was 36 hours.</x:v>
      </x:c>
      <x:c r="I51" s="4" t="str">
        <x:v>Full-record source audit (REC50-R05); accepted corrections; evidence limits retained.</x:v>
      </x:c>
      <x:c r="J51" s="18" t="d">
        <x:v>2026-10-25T00:00:00.000Z</x:v>
      </x:c>
      <x:c r="K51" s="21" t="str">
        <x:f>IFERROR(HYPERLINK("https://portal.migracioncolombia.gov.co/planeacion-y-estadistica/observatorio-om3/actualidad-y-recursos/notas-de-prensa/detalle/agenda-migcol/comunicaciones-y-prensa/asi-sera-el-cierre-temporal-de-fronteras-por-elecciones-presidenciales-del-31-de-mayo","Migración Colombia"),"Migración Colombia")</x:f>
        <x:v>Migración Colombia</x:v>
      </x:c>
      <x:c r="L51" s="21" t="str">
        <x:f>IFERROR(HYPERLINK("https://www.elespectador.com/mundo/america/asi-amanecio-rumichaca-tras-las-elecciones-en-colombia-y-la-eliminacion-de-aranceles/","El Espectador"),"El Espectador")</x:f>
        <x:v>El Espectador</x:v>
      </x:c>
      <x:c r="M51" s="21" t="str">
        <x:f>IFERROR(HYPERLINK("https://www.migracioncolombia.gov.co/detalle-noticia/agenda-migcol/comunicaciones-y-prensa/asi-sera-el-cierre-temporal-de-fronteras-por-elecciones-presidenciales-del-31-de-mayo","Migración Colombia"),"Migración Colombia")</x:f>
        <x:v>Migración Colombia</x:v>
      </x:c>
      <x:c r="N51" s="4" t="str">
        <x:v>https://portal.migracioncolombia.gov.co/planeacion-y-estadistica/observatorio-om3/actualidad-y-recursos/notas-de-prensa/detalle/agenda-migcol/comunicaciones-y-prensa/asi-sera-el-cierre-temporal-de-fronteras-por-elecciones-presidenciales-del-31-de-mayo
https://www.elespectador.com/mundo/america/asi-amanecio-rumichaca-tras-las-elecciones-en-colombia-y-la-eliminacion-de-aranceles/
https://www.migracioncolombia.gov.co/detalle-noticia/agenda-migcol/comunicaciones-y-prensa/asi-sera-el-cierre-temporal-de-fronteras-por-elecciones-presidenciales-del-31-de-mayo
https://www.funcionpublica.gov.co/eva/gestornormativo/norma.php?i=272496</x:v>
      </x:c>
      <x:c r="O51" s="4" t="str">
        <x:v>Source 1: indexed excerpt; indexed extract
Source 2: full text
Source 3: unavailable</x:v>
      </x:c>
      <x:c r="P51" s="20" t="n">
        <x:v>2</x:v>
      </x:c>
      <x:c r="Q51" s="4" t="str">
        <x:v>Americas</x:v>
      </x:c>
      <x:c r="R51" s="4" t="str">
        <x:v>Included</x:v>
      </x:c>
    </x:row>
    <x:row r="52" ht="162" hidden="0" customHeight="1">
      <x:c r="A52" s="16" t="str">
        <x:v>AM048</x:v>
      </x:c>
      <x:c r="B52" s="4" t="str">
        <x:v>Colombia 2026 election frontier closure 2026-06-20</x:v>
      </x:c>
      <x:c r="C52" s="4" t="str">
        <x:v>Colombia; Venezuela; Brazil; Peru; Ecuador; Panama</x:v>
      </x:c>
      <x:c r="D52" s="4" t="str">
        <x:v>Authorised land and river frontier traveller movements</x:v>
      </x:c>
      <x:c r="E52" s="4" t="str">
        <x:v>Ordinary travellers at authorized land and river crossings, subject to statutory and humanitarian exceptions; an all-cargo prohibition is not established by the inspected decree.
Direction: Entry and exit of persons under the national order; operational evidence is scoped to reported Colombia–Venezuela crossings.
Exceptions: Force majeure, fortuitous events, medical emergencies, humanitarian assistance, protection of fundamental rights and other justified exceptional circumstances under decree631.</x:v>
      </x:c>
      <x:c r="F52" s="4" t="str">
        <x:v>AM048-R1 — Announced window
Colombia authorised land/river posts for entry/exit of persons outside statutory and humanitarian exceptions
Start: 2026-06-20.
Scheduled endpoint: 2026-06-22.
Ordered window: 2 calendar-day difference; actual end not established
AM048-C7P1 — Observed operation
Colombia–Venezuela authorized crossings reported in Norte de Santander, Arauca and La Guajira
Start: 2026-06-20.
Observed scoped reopening: 2026-06-22.
dated evidence; numeric duration withheld; see qualification</x:v>
      </x:c>
      <x:c r="G52"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2" s="4" t="str">
        <x:v>AM048-R1: Calendar dates only: actual legal start hour unknown within 20 June. Do not report an exact 48-hour implemented closure; old 36-hour notice superseded.
AM048-C7P1: Scoped operational envelope, not proof of uninterrupted denial at every post. Humanitarian exceptions and exact implementation hour remain qualified; other national frontiers retain scheduled evidence only.</x:v>
      </x:c>
      <x:c r="I52" s="4" t="str">
        <x:v>Full-record source audit (REC50-R25); accepted corrections; evidence limits retained.</x:v>
      </x:c>
      <x:c r="J52" s="18" t="d">
        <x:v>2026-10-25T00:00:00.000Z</x:v>
      </x:c>
      <x:c r="K52" s="21" t="str">
        <x:f>IFERROR(HYPERLINK("https://cancilleria.gov.co/normograma/compilacion/docs/decreto_0631_2026.htm","Colombian Government / Foreign Ministry legal compilation"),"Colombian Government / Foreign Ministry legal compilation")</x:f>
        <x:v>Colombian Government / Foreign Ministry legal compilation</x:v>
      </x:c>
      <x:c r="L52" s="21" t="str">
        <x:f>IFERROR(HYPERLINK("https://eldiario.com/2026/06/22/reapertura-fronteriza-colombia-venezuela/","El Diario"),"El Diario")</x:f>
        <x:v>El Diario</x:v>
      </x:c>
      <x:c r="M52" s="21" t="str">
        <x:f>IFERROR(HYPERLINK("https://www.elpais.com.co/amp/colombia/colombia-adelanto-cierre-de-la-frontera-con-venezuela-por-elecciones-y-sorprendio-a-viajeros-en-norte-de-santander-2007.html","El País Colombia"),"El País Colombia")</x:f>
        <x:v>El País Colombia</x:v>
      </x:c>
      <x:c r="N52" s="4" t="str">
        <x:v>https://cancilleria.gov.co/normograma/compilacion/docs/decreto_0631_2026.htm
https://eldiario.com/2026/06/22/reapertura-fronteriza-colombia-venezuela/
https://www.elpais.com.co/amp/colombia/colombia-adelanto-cierre-de-la-frontera-con-venezuela-por-elecciones-y-sorprendio-a-viajeros-en-norte-de-santander-2007.html
https://www.migracioncolombia.gov.co/detalle-noticia/agenda-migcol/comunicaciones-y-prensa/fronteras-terrestres-y-fluviales-del-pais-cerraran-temporalmente-durante-la-segunda-vuelta-presidencial
https://portal.migracioncolombia.gov.co/detalle-noticia/agenda-migcol/comunicaciones-y-prensa/fronteras-terrestres-y-fluviales-del-pais-cerraran-temporalmente-durante-la-segunda-vuelta-presidencial</x:v>
      </x:c>
      <x:c r="O52" s="4" t="str">
        <x:v>Source 1: full; full text
Source 2: full text
Source 3: full text</x:v>
      </x:c>
      <x:c r="P52" s="20" t="n">
        <x:v>2</x:v>
      </x:c>
      <x:c r="Q52" s="4" t="str">
        <x:v>Americas</x:v>
      </x:c>
      <x:c r="R52" s="4" t="str">
        <x:v>Included</x:v>
      </x:c>
    </x:row>
    <x:row r="53" ht="162" hidden="0" customHeight="1">
      <x:c r="A53" s="16" t="str">
        <x:v>CC028</x:v>
      </x:c>
      <x:c r="B53" s="4" t="str">
        <x:v>Armenia–Azerbaijan longstanding closure of ordinary transport links</x:v>
      </x:c>
      <x:c r="C53" s="4" t="str">
        <x:v>Armenia; Azerbaijan</x:v>
      </x:c>
      <x:c r="D53" s="4" t="str">
        <x:v>Not individually enumerated
Ordinary direct interstate road/rail links, including Nakhchivan connections</x:v>
      </x:c>
      <x:c r="E53" s="4" t="str">
        <x:v>Ordinary direct passengers and trade
Direction: Both directions in practice
Exceptions: Lachin corridor operated under a separate conflict-related regime; record CC020</x:v>
      </x:c>
      <x:c r="F53" s="4" t="str">
        <x:v>CC028-R1 — Observed operation
Ordinary direct Armenia–Azerbaijan interstate passenger and commercial road/rail links; separate Lachin and humanitarian regimes excluded
Start: 1991-01-01 to 1991-12-31.
Last confirmed: 2025-06-12. Reopening is not established.
confirmed through 2025-06-12; at least 12217 calendar-day difference; reopening unknown</x:v>
      </x:c>
      <x:c r="G53"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53" s="4" t="str">
        <x:v>CC028-R1: 1991 bounds preserve year precision, not an exact first closure. Extraordinary passages and conflict corridors excluded; June 2025 is observation endpoint, not reopening. No automatic extension to 2026.</x:v>
      </x:c>
      <x:c r="I53" s="4" t="str">
        <x:v>Retained baseline assessment. Retained with recorded qualifications</x:v>
      </x:c>
      <x:c r="J53" s="18" t="d">
        <x:v>2026-10-23T00:00:00.000Z</x:v>
      </x:c>
      <x:c r="K53" s="21" t="str">
        <x:f>IFERROR(HYPERLINK("https://www.hrw.org/reports/AZER%20Conflict%20in%20N-K%20Dec94_0.pdf","Human Rights Watch"),"Human Rights Watch")</x:f>
        <x:v>Human Rights Watch</x:v>
      </x:c>
      <x:c r="L53" s="21" t="str">
        <x:f>IFERROR(HYPERLINK("https://m.investing.com/news/commodities-news/in-armenia-rising-ceasefire-violations-bring-fears-of-war-with-azerbaijan-4092434?ampMode=1","Investing.com"),"Investing.com")</x:f>
        <x:v>Investing.com</x:v>
      </x:c>
      <x:c r="M53" s="21" t="str">
        <x:f>IFERROR(HYPERLINK("https://www.primeminister.am/en/interviews-and-press-conferences/item/2025/03/04/Nikol-Pashinyan-article/","Armenian Prime Minister"),"Armenian Prime Minister")</x:f>
        <x:v>Armenian Prime Minister</x:v>
      </x:c>
      <x:c r="N53" s="4" t="str">
        <x:v>https://www.hrw.org/reports/AZER%20Conflict%20in%20N-K%20Dec94_0.pdf
https://m.investing.com/news/commodities-news/in-armenia-rising-ceasefire-violations-bring-fears-of-war-with-azerbaijan-4092434?ampMode=1
https://www.primeminister.am/en/interviews-and-press-conferences/item/2025/03/04/Nikol-Pashinyan-article/
https://www.primeminister.am/en/foreign-visits/item/2026/03/11/Nikol-Pashinyan-visiting-Strasbourg/
https://www.investing.com/news/commodities-news/in-armenia-rising-ceasefire-violations-bring-fears-of-war-with-azerbaijan-4092434
https://www.gov.uk/foreign-travel-advice/armenia/regional-risks
https://www.reuters.com/world/armenia-rising-ceasefire-violations-bring-fears-war-with-azerbaijan-2025-06-12/</x:v>
      </x:c>
      <x:c r="O53" s="4" t="str">
        <x:v>Source 1: full
Source 2: full; failed
Source 3: full</x:v>
      </x:c>
      <x:c r="P53" s="20" t="n">
        <x:v>1</x:v>
      </x:c>
      <x:c r="Q53" s="4" t="str">
        <x:v>Central Asia and Caucasus</x:v>
      </x:c>
      <x:c r="R53" s="4" t="str">
        <x:v>Included</x:v>
      </x:c>
    </x:row>
    <x:row r="54" ht="162" hidden="0" customHeight="1">
      <x:c r="A54" s="16" t="str">
        <x:v>CC004</x:v>
      </x:c>
      <x:c r="B54" s="4" t="str">
        <x:v>Turkey–Armenia longstanding land-border closure</x:v>
      </x:c>
      <x:c r="C54" s="4" t="str">
        <x:v>Türkiye; Armenia</x:v>
      </x:c>
      <x:c r="D54" s="4" t="str">
        <x:v>Margara–Alijan; wider frontier
Turkey–Armenia land frontier</x:v>
      </x:c>
      <x:c r="E54" s="4" t="str">
        <x:v>Ordinary land travel and trade
Direction: Both directions in practical operation
Exceptions: Humanitarian aid crossed Margara–Alijan 11 and 15 February 2023; diplomatic arrangements do not establish general reopening.</x:v>
      </x:c>
      <x:c r="F54" s="4" t="str">
        <x:v>CC004-D1 — Observed operation
Ordinary direct land travel across the Turkey–Armenia frontier, excluding individually authorised humanitarian crossings.
Start: 1993-01-01 to 1993-12-31.
Last confirmed: 2026-05-13. Reopening is not established.
confirmed through 2026-05-13; at least 11821 calendar-day difference; reopening unknown</x:v>
      </x:c>
      <x:c r="G54"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54" s="4" t="str">
        <x:v>CC004-D1: The full 1993 onset range is retained. February 2023 aid convoys and third-country trade-label easing are exceptions, not ordinary reopening. No status after 13 May 2026 is inferred.</x:v>
      </x:c>
      <x:c r="I54" s="4" t="str">
        <x:v>Retained baseline assessment. Retained with recorded qualifications</x:v>
      </x:c>
      <x:c r="J54" s="18" t="d">
        <x:v>2026-10-23T00:00:00.000Z</x:v>
      </x:c>
      <x:c r="K54" s="21" t="str">
        <x:f>IFERROR(HYPERLINK("https://www.mfa.am/en/bilateral-relations/tr","mfa.am"),"mfa.am")</x:f>
        <x:v>mfa.am</x:v>
      </x:c>
      <x:c r="L54" s="21" t="str">
        <x:f>IFERROR(HYPERLINK("https://apnews.com/article/c09e5d21617d45e524268eea1a2ff70b","Associated Press"),"Associated Press")</x:f>
        <x:v>Associated Press</x:v>
      </x:c>
      <x:c r="M54" s="21" t="str">
        <x:f>IFERROR(HYPERLINK("https://www.mfa.gov.tr/relations-between-turkiye-and-armenia.en.mfa","Turkish MFA"),"Turkish MFA")</x:f>
        <x:v>Turkish MFA</x:v>
      </x:c>
      <x:c r="N54" s="4" t="str">
        <x:v>https://www.mfa.am/en/bilateral-relations/tr
https://apnews.com/article/c09e5d21617d45e524268eea1a2ff70b
https://www.mfa.gov.tr/relations-between-turkiye-and-armenia.en.mfa
https://www.mfa.gov.tr/sc_-6_-disisleri-bakanligi-sozcusu-oncu-keceli-nin-ulkemiz-ile-ermenistan-arasinda-dogrudan-ticaretin-baslatilmasi-hk-sc.en.mfa
https://www.gov.uk/foreign-travel-advice/armenia/regional-risks
https://www.iletisim.gov.tr/turkce/haberler/detay/ermenilerle-sinirlarin-acildigi-iddiasina-iliskin-aciklama</x:v>
      </x:c>
      <x:c r="O54" s="4" t="str">
        <x:v>Source 1: full
Source 2: blocked page; search extract
Source 3: body</x:v>
      </x:c>
      <x:c r="P54" s="20" t="n">
        <x:v>1</x:v>
      </x:c>
      <x:c r="Q54" s="4" t="str">
        <x:v>Central Asia and Caucasus</x:v>
      </x:c>
      <x:c r="R54" s="4" t="str">
        <x:v>Included</x:v>
      </x:c>
    </x:row>
    <x:row r="55" ht="114" hidden="0" customHeight="1">
      <x:c r="A55" s="16" t="str">
        <x:v>CC029</x:v>
      </x:c>
      <x:c r="B55" s="4" t="str">
        <x:v>Abkhaz de facto authorities close Shamgona–Tagiloni crossing</x:v>
      </x:c>
      <x:c r="C55" s="4" t="str">
        <x:v>Georgia</x:v>
      </x:c>
      <x:c r="D55" s="4" t="str">
        <x:v>Shamgona–Tagiloni
Shamgona–Tagiloni administrative-boundary crossing</x:v>
      </x:c>
      <x:c r="E55" s="4" t="str">
        <x:v>Local cross-boundary residents
Direction: Both directions
Exceptions: Other crossing points available</x:v>
      </x:c>
      <x:c r="F55" s="4" t="str">
        <x:v>CC029-D1 — Observed operation
Ordinary passage at Shamgona–Tagiloni, as documented in the 2017 Public Defender report.
Start: 2016-04-15.
Last confirmed: 2017-11-16. Reopening is not established.
confirmed through 2017-11-16; at least 580 calendar-day difference; reopening unknown</x:v>
      </x:c>
      <x:c r="G55" s="4" t="str">
        <x:v>Administration and service operation / Checkpoint authorisation and consolidation
Attributed official justification
Applies to: Only the closure or restriction described by the cited source; no added temporal overlap claim
The district head described concentrating control at Enguri as administratively easier and more effective. The reported abolition took effect on 15 April. No additional motive is inferred.</x:v>
      </x:c>
      <x:c r="H55" s="4" t="str">
        <x:v>April 15 effective abolition is attributed to contemporaneous Radio Atinati reporting. November 2017 is last-confirmed status; no reopening or continuation to the research cutoff is assumed.
CC029-D1: One named crossing only; alternative Enguri access existed. The later Public Defender uses month precision. No status beyond the dated confirmation is inferred.</x:v>
      </x:c>
      <x:c r="I55" s="4" t="str">
        <x:v>Retained baseline assessment. 23 October amendments; remaining qualifications retained</x:v>
      </x:c>
      <x:c r="J55" s="18" t="d">
        <x:v>2026-10-23T00:00:00.000Z</x:v>
      </x:c>
      <x:c r="K55" s="21" t="str">
        <x:f>IFERROR(HYPERLINK("https://ombudsman.ge/eng/spetsialuri-angarishebi/special-report-of-the-public-defender-of-georgia-on-the-impacts-of-the-closure-of-crossing-points-on-the-rights-of-the-population-living-along-abkhazias-administrative-boundary-line","Public Defender of Georgia"),"Public Defender of Georgia")</x:f>
        <x:v>Public Defender of Georgia</x:v>
      </x:c>
      <x:c r="L55" s="21" t="str">
        <x:f>IFERROR(HYPERLINK("https://www.radioatinati.ge/regioni/article/57051-de-faqto-afkhazethis-mthavrobam-thagilonis-gamshvebi-punqti-gaauqma.html","radioatinati.ge"),"radioatinati.ge")</x:f>
        <x:v>radioatinati.ge</x:v>
      </x:c>
      <x:c r="M55" s="21" t="str">
        <x:f>IFERROR(HYPERLINK("https://civil.ge/archives/126211","civil.ge"),"civil.ge")</x:f>
        <x:v>civil.ge</x:v>
      </x:c>
      <x:c r="N55" s="4" t="str">
        <x:v>https://ombudsman.ge/eng/spetsialuri-angarishebi/special-report-of-the-public-defender-of-georgia-on-the-impacts-of-the-closure-of-crossing-points-on-the-rights-of-the-population-living-along-abkhazias-administrative-boundary-line
https://www.radioatinati.ge/regioni/article/57051-de-faqto-afkhazethis-mthavrobam-thagilonis-gamshvebi-punqti-gaauqma.html
https://civil.ge/archives/126211
https://www.ekhokavkaza.com/a/27682188.html
https://digitallibrary.un.org/nanna/record/839440/files/A_70_1021--S_2016_725-RU.pdf?registerDownload=1&amp;version=1&amp;withMetadata=0&amp;withWatermark=0</x:v>
      </x:c>
      <x:c r="O55" s="4" t="str">
        <x:v>Source 1: Direct page 403; substantive indexed official text recovered
Source 2: access detail is retained in the source catalogue.
Source 3: access detail is retained in the source catalogue.</x:v>
      </x:c>
      <x:c r="P55" s="20" t="n">
        <x:v>1</x:v>
      </x:c>
      <x:c r="Q55" s="4" t="str">
        <x:v>Central Asia and Caucasus</x:v>
      </x:c>
      <x:c r="R55" s="4" t="str">
        <x:v>Included</x:v>
      </x:c>
    </x:row>
    <x:row r="56" ht="126" hidden="0" customHeight="1">
      <x:c r="A56" s="16" t="str">
        <x:v>CC015</x:v>
      </x:c>
      <x:c r="B56" s="4" t="str">
        <x:v>Abkhaz de facto authorities abolish two local crossing points</x:v>
      </x:c>
      <x:c r="C56" s="4" t="str">
        <x:v>Georgia</x:v>
      </x:c>
      <x:c r="D56" s="4" t="str">
        <x:v>Khurcha–Nabakevi; Orsantia–Otobaia
Two administrative-boundary crossings</x:v>
      </x:c>
      <x:c r="E56" s="4" t="str">
        <x:v>Local residents, schoolchildren, patients and traders
Direction: Both directions
Exceptions: Alternative routes remained</x:v>
      </x:c>
      <x:c r="F56" s="4" t="str">
        <x:v>CC015-D1 — Observed operation
Ordinary operation of Khurcha–Nabakevi and Orsantia–Otobaia, through the dated Public Defender account.
Start: 2017-03-04 to 2017-03-06.
Last confirmed: 2017-11-16. Reopening is not established.
confirmed through 2017-11-16; at least 255 calendar-day difference; reopening unknown</x:v>
      </x:c>
      <x:c r="G56"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6" s="4" t="str">
        <x:v>CC015-D1: The three candidate onset dates remain a bound, not a resolved finding. The Council of Europe text's inconsistent decision year is not silently corrected. Alternative crossings remained; nothing is projected to 2026.</x:v>
      </x:c>
      <x:c r="I56" s="4" t="str">
        <x:v>Full-record source audit (REC50-R15); accepted corrections; evidence limits retained.</x:v>
      </x:c>
      <x:c r="J56" s="18" t="d">
        <x:v>2026-10-25T00:00:00.000Z</x:v>
      </x:c>
      <x:c r="K56" s="21" t="str">
        <x:f>IFERROR(HYPERLINK("https://ombudsman.ge/eng/spetsialuri-angarishebi/special-report-of-the-public-defender-of-georgia-on-the-impacts-of-the-closure-of-crossing-points-on-the-rights-of-the-population-living-along-abkhazias-administrative-boundary-line","Public Defender of Georgia"),"Public Defender of Georgia")</x:f>
        <x:v>Public Defender of Georgia</x:v>
      </x:c>
      <x:c r="L56" s="21" t="str">
        <x:f>IFERROR(HYPERLINK("https://civil.ge/archives/126214","Civil Georgia"),"Civil Georgia")</x:f>
        <x:v>Civil Georgia</x:v>
      </x:c>
      <x:c r="M56" s="21" t="str">
        <x:f>IFERROR(HYPERLINK("https://ombudsman.ge/res/docs/2019041112191576480.pdf","Public Defender of Georgia"),"Public Defender of Georgia")</x:f>
        <x:v>Public Defender of Georgia</x:v>
      </x:c>
      <x:c r="N56" s="4" t="str">
        <x:v>https://ombudsman.ge/eng/spetsialuri-angarishebi/special-report-of-the-public-defender-of-georgia-on-the-impacts-of-the-closure-of-crossing-points-on-the-rights-of-the-population-living-along-abkhazias-administrative-boundary-line
https://civil.ge/archives/126214
https://ombudsman.ge/res/docs/2019041112191576480.pdf
https://rm.coe.int/1680709155
https://civil.ge/archives/126231
https://www.refworld.org/sites/default/files/legacy-pdf/en/2017-8/59ba97924.pdf
https://mfaapsny.org/en/allnews/news/statements_speeches/zayavlenie-mid-abkhazii2/
https://sovanews.tv/2017/03/05/16007/</x:v>
      </x:c>
      <x:c r="O56" s="4" t="str">
        <x:v>Source 1: indexed extract
Source 2: full text
Source 3: substantial indexed passage; direct PDF failed</x:v>
      </x:c>
      <x:c r="P56" s="20" t="n">
        <x:v>1</x:v>
      </x:c>
      <x:c r="Q56" s="4" t="str">
        <x:v>Central Asia and Caucasus</x:v>
      </x:c>
      <x:c r="R56" s="4" t="str">
        <x:v>Included</x:v>
      </x:c>
    </x:row>
    <x:row r="57" ht="90" hidden="0" customHeight="1">
      <x:c r="A57" s="16" t="str">
        <x:v>CC016</x:v>
      </x:c>
      <x:c r="B57" s="4" t="str">
        <x:v>Abkhaz H1N1 closure at Enguri</x:v>
      </x:c>
      <x:c r="C57" s="4" t="str">
        <x:v>Georgia</x:v>
      </x:c>
      <x:c r="D57" s="4" t="str">
        <x:v>Enguri bridge
Ordinary departures from Abkhazia through Enguri under the H1N1 restriction</x:v>
      </x:c>
      <x:c r="E57" s="4" t="str">
        <x:v>Ordinary local departures excluding medical cases, Enguri HPP staff and visa-holders permitted under exceptions
Direction: Principally Abkhazia-to-Tbilisi-controlled territory; return entry into Abkhazia allowed under initial rules
Exceptions: Return into Abkhazia under initial rules; medical cases, Enguri HPP staff and visa-holders; ordinary document requirements persisted</x:v>
      </x:c>
      <x:c r="F57" s="4" t="str">
        <x:v>CC016-D1 — Observed operation
Ordinary departures from Abkhazia through Enguri under the H1N1 restriction; Ordinary local departures excluding medical cases, Enguri HPP staff and visa-holders permitted under exceptions; Principally Abkhazia-to-Tbilisi-controlled territory; return entry into Abkhazia allowed under initial rules
Start: 2019-01-10 to 2019-01-11.
Observed scoped reopening: 2019-02-05.
25–26 calendar-day difference; scoped endpoint only</x:v>
      </x:c>
      <x:c r="G5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7" s="4" t="str">
        <x:v>Abkhaz onset is bounded January 10–11 across substantive accounts. January 11 at 20:00 in Civil Georgia concerns South Ossetia and must not be transferred to Enguri. February 5 restoration and directional exceptions remain supported.
CC016-D1: Outbound ordinary passage only, with return, medical, HPP and visa exceptions. The 5 February restoration was reported as temporary and subject to continued screening and reassessment; it is the first scoped reopening, not proof of permanent repeal. Onset remains bounded January 10–11.</x:v>
      </x:c>
      <x:c r="I57" s="4" t="str">
        <x:v>Full-record source audit (REC50-R15); accepted corrections; evidence limits retained.</x:v>
      </x:c>
      <x:c r="J57" s="18" t="d">
        <x:v>2026-10-25T00:00:00.000Z</x:v>
      </x:c>
      <x:c r="K57" s="21" t="str">
        <x:f>IFERROR(HYPERLINK("https://dfwatch.net/abkhazia-reopens-enguri-bridge-after-nearly-month-long-flu-quarantine-52886/","Democracy &amp; Freedom Watch"),"Democracy &amp; Freedom Watch")</x:f>
        <x:v>Democracy &amp; Freedom Watch</x:v>
      </x:c>
      <x:c r="L57" s="21" t="str">
        <x:f>IFERROR(HYPERLINK("https://civil.ge/archives/275744","Civil Georgia"),"Civil Georgia")</x:f>
        <x:v>Civil Georgia</x:v>
      </x:c>
      <x:c r="M57" s="21" t="str">
        <x:f>IFERROR(HYPERLINK("https://civil.ge/archives/273471","Civil Georgia"),"Civil Georgia")</x:f>
        <x:v>Civil Georgia</x:v>
      </x:c>
      <x:c r="N57" s="4" t="str">
        <x:v>https://dfwatch.net/abkhazia-reopens-enguri-bridge-after-nearly-month-long-flu-quarantine-52886/
https://civil.ge/archives/275744
https://civil.ge/archives/273471
https://www.eng.kavkaz-uzel.eu/articles/46067
https://www.hrc.ge/files/reports/74Zone%20of%20Barbed%20Wires-Report%20-eng%202019.pdf</x:v>
      </x:c>
      <x:c r="O57" s="4" t="str">
        <x:v>Source 1: full text
Source 2: full text
Source 3: full text</x:v>
      </x:c>
      <x:c r="P57" s="20" t="n">
        <x:v>1</x:v>
      </x:c>
      <x:c r="Q57" s="4" t="str">
        <x:v>Central Asia and Caucasus</x:v>
      </x:c>
      <x:c r="R57" s="4" t="str">
        <x:v>Included</x:v>
      </x:c>
    </x:row>
    <x:row r="58" ht="90" hidden="0" customHeight="1">
      <x:c r="A58" s="16" t="str">
        <x:v>CC017</x:v>
      </x:c>
      <x:c r="B58" s="4" t="str">
        <x:v>South Ossetian H1N1 crossing closure</x:v>
      </x:c>
      <x:c r="C58" s="4" t="str">
        <x:v>Georgia</x:v>
      </x:c>
      <x:c r="D58" s="4" t="str">
        <x:v>Not individually enumerated
Crossings with Georgian government-controlled territory</x:v>
      </x:c>
      <x:c r="E58" s="4" t="str">
        <x:v>Local travellers
Direction: Both directions
Exceptions: Special-list humanitarian exits operated February 20–22, 2019; this was not a general reopening.</x:v>
      </x:c>
      <x:c r="F58" s="4" t="str">
        <x:v>CC017-D1 — Observed operation
Ordinary non-exempt passage across South Ossetian-controlled crossings during the H1N1 restriction.
Start: 2019-01-11 to 2019-01-12.
Observed scoped reopening: 2019-03-15.
62–63 calendar-day difference; scoped endpoint only</x:v>
      </x:c>
      <x:c r="G5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8" s="4" t="str">
        <x:v>CC017-D1: The special-list, one-direction humanitarian window on 20–22 February is an exception, not ordinary reopening. This period does not claim total denial of every traveller.</x:v>
      </x:c>
      <x:c r="I58" s="4" t="str">
        <x:v>Retained baseline assessment. Retained with recorded qualifications</x:v>
      </x:c>
      <x:c r="J58" s="18" t="d">
        <x:v>2026-10-23T00:00:00.000Z</x:v>
      </x:c>
      <x:c r="K58" s="21" t="str">
        <x:f>IFERROR(HYPERLINK("https://www.interfax-russia.ru/military/news_eng/325733","Interfax"),"Interfax")</x:f>
        <x:v>Interfax</x:v>
      </x:c>
      <x:c r="L58" s="21" t="str">
        <x:f>IFERROR(HYPERLINK("https://civil.ge/archives/273471","Civil Georgia"),"Civil Georgia")</x:f>
        <x:v>Civil Georgia</x:v>
      </x:c>
      <x:c r="M58" s="21" t="str">
        <x:f>IFERROR(HYPERLINK("https://www.democracyresearch.org/files/62DRI%20report%20ENG%202020%20%281%29.pdf","Democracy Research Institute"),"Democracy Research Institute")</x:f>
        <x:v>Democracy Research Institute</x:v>
      </x:c>
      <x:c r="N58" s="4" t="str">
        <x:v>https://www.interfax-russia.ru/military/news_eng/325733
https://civil.ge/archives/273471
https://www.democracyresearch.org/files/62DRI%20report%20ENG%202020%20%281%29.pdf
https://www.unmissions.org/en/dppa/press-releases/statement-of-the-co-chairs-of-the-geneva-international-discussions-2
https://civil.ge/archives/279479
https://www.interfax-russia.ru/military/news_eng/324454</x:v>
      </x:c>
      <x:c r="O58" s="4" t="str">
        <x:v>Source 1: full page
Source 2: search extract
Source 3: search extract</x:v>
      </x:c>
      <x:c r="P58" s="20" t="n">
        <x:v>1</x:v>
      </x:c>
      <x:c r="Q58" s="4" t="str">
        <x:v>Central Asia and Caucasus</x:v>
      </x:c>
      <x:c r="R58" s="4" t="str">
        <x:v>Included</x:v>
      </x:c>
    </x:row>
    <x:row r="59" ht="186" hidden="0" customHeight="1">
      <x:c r="A59" s="16" t="str">
        <x:v>CC010</x:v>
      </x:c>
      <x:c r="B59" s="4" t="str">
        <x:v>Abkhaz de facto closure of Enguri during Georgian protests</x:v>
      </x:c>
      <x:c r="C59" s="4" t="str">
        <x:v>Georgia</x:v>
      </x:c>
      <x:c r="D59" s="4" t="str">
        <x:v>Enguri bridge
Enguri administrative-boundary crossing</x:v>
      </x:c>
      <x:c r="E59" s="4" t="str">
        <x:v>Residents travelling between Gali and government-controlled territory
Direction: Both directions
Exceptions: Age-based partial easing reported 1 July; other exceptions not exhaustive</x:v>
      </x:c>
      <x:c r="F59" s="4" t="str">
        <x:v>CC010-D1 — Formal policy
Enguri restriction on ordinary travellers outside the child/older-person exceptions, to formal lifting.
Start: 2019-06-27.
Policy endpoint: 2019-10-02.
Formal policy: 97 calendar-day difference; operational continuity not established</x:v>
      </x:c>
      <x:c r="G59" s="4" t="str">
        <x:v>Security / Unspecified security
Attributed official justification
Applies to: Recorded episode; exact overlap not separately established
Civil Georgia quotes the de facto security service linking the restriction to perceived provocative rallies affecting Abkhaz statehood. These are attributed authority claims; their truth and any primary purpose are not independently established.
Interstate disputes and pressure / Territorial and frontier disputes
Attributed official justification
Applies to: Recorded episode; exact overlap not separately established
Civil Georgia quotes the de facto security service linking the restriction to perceived provocative rallies affecting Abkhaz statehood. These are attributed authority claims; their truth and any primary purpose are not independently established.</x:v>
      </x:c>
      <x:c r="H59" s="4" t="str">
        <x:v>CC010-D1: Formal restriction period only, not observed first passage. Age-based and other authorised exceptions remain excluded; it is not a continuous all-person closure.</x:v>
      </x:c>
      <x:c r="I59" s="4" t="str">
        <x:v>Targeted source review (REC50-R24); accepted qualification; evidence limits retained.</x:v>
      </x:c>
      <x:c r="J59" s="18" t="d">
        <x:v>2026-10-25T00:00:00.000Z</x:v>
      </x:c>
      <x:c r="K59" s="21" t="str">
        <x:f>IFERROR(HYPERLINK("https://civil.ge/archives/322471/amp","Civil.ge"),"Civil.ge")</x:f>
        <x:v>Civil.ge</x:v>
      </x:c>
      <x:c r="L59" s="21" t="str">
        <x:f>IFERROR(HYPERLINK("https://1tv.ge/lang/en/news/occupation-regime-partially-lifted-restrictions-at-enguri-bridge/","Georgian Public Broadcaster 1 TV"),"Georgian Public Broadcaster 1 TV")</x:f>
        <x:v>Georgian Public Broadcaster 1 TV</x:v>
      </x:c>
      <x:c r="M59" s="21" t="str">
        <x:f>IFERROR(HYPERLINK("https://civil.ge/archives/311211/amp","Civil Georgia"),"Civil Georgia")</x:f>
        <x:v>Civil Georgia</x:v>
      </x:c>
      <x:c r="N59" s="4" t="str">
        <x:v>https://civil.ge/archives/322471/amp
https://1tv.ge/lang/en/news/occupation-regime-partially-lifted-restrictions-at-enguri-bridge/
https://civil.ge/archives/311211/amp
https://civil.ge/archives/322471
https://www.ombudsman.ge/res/docs/2020070407523954521.pdf</x:v>
      </x:c>
      <x:c r="O59" s="4" t="str">
        <x:v>Source 1: full page
Source 2: full page
Source 3: full text</x:v>
      </x:c>
      <x:c r="P59" s="20" t="n">
        <x:v>1</x:v>
      </x:c>
      <x:c r="Q59" s="4" t="str">
        <x:v>Central Asia and Caucasus</x:v>
      </x:c>
      <x:c r="R59" s="4" t="str">
        <x:v>Included</x:v>
      </x:c>
    </x:row>
    <x:row r="60" ht="162" hidden="0" customHeight="1">
      <x:c r="A60" s="16" t="str">
        <x:v>CC026</x:v>
      </x:c>
      <x:c r="B60" s="4" t="str">
        <x:v>Rishtan–Sokh restriction following disputed August 2019 reopening</x:v>
      </x:c>
      <x:c r="C60" s="4" t="str">
        <x:v>Uzbekistan; Kyrgyzstan</x:v>
      </x:c>
      <x:c r="D60" s="4" t="str">
        <x:v>Rishtan–Kaytpas route to Sokh; Tul–Otukchu ceremony/nonoperation reporting. Lenburg–Apkan claimed open by Uzbek Border Troops but operation disputed.
Route connecting Uzbekistan’s mainland to Sokh exclave through Kyrgyzstan</x:v>
      </x:c>
      <x:c r="E60" s="4" t="str">
        <x:v>Local pedestrians and cars
Direction: Both directions
Exceptions: Alternative routes existed</x:v>
      </x:c>
      <x:c r="F60" s="4" t="str">
        <x:v>CC026-FU1 — Formal policy
Kaytpas and Otukchu road posts on Rishtan–Sokh route; reported passenger reopening
Start: unknown.
Policy endpoint: 2021-04-01.
Formal policy: dated evidence; numeric duration withheld; see qualification</x:v>
      </x:c>
      <x:c r="G60" s="4" t="str">
        <x:v>Trade and protectionism / Customs and transport rules
Attributed official justification
Applies to: Recorded episode; exact overlap not separately established
Veterinary/phytosanitary compliance is attributed to officials. This supports biosecurity and trade administration, without establishing a protectionist intent or validating an unretrieved EAEU order.
Health and biosecurity / Animal and plant disease control
Attributed official justification
Applies to: Recorded episode; exact overlap not separately established
Veterinary/phytosanitary compliance is attributed to officials. This supports biosecurity and trade administration, without establishing a protectionist intent or validating an unretrieved EAEU order.</x:v>
      </x:c>
      <x:c r="H60" s="4" t="str">
        <x:v>CC026-FU1: Endpoint-only formal reopening; null onset preserves the unresolved 2019 operational sequence and overlapping pandemic restrictions. No assertion of uninterrupted closure or observed first traveller.
duration: The scoped April 1 2021 permission endpoint can be represented, but disputed 2019 onset and later pandemic overlap still prevent continuous duration.
Current onset finding: RFE/RL's April 1 report directly documents Kaytpas and Otukchu passenger/vehicle reopening ceremony and says freight trucks were still prohibited. Unknown onset is appropriate. A ceremony/reported permission is insufficient to establish the first actual passenger or uninterrupted 2019–2021 closure.
Current continuity finding: No evidence establishes uninterrupted enforcement between the dated observations or actual lifting of an announced order.</x:v>
      </x:c>
      <x:c r="I60" s="4" t="str">
        <x:v>Retained baseline assessment. Correction pass: reviewed; see attribute findings</x:v>
      </x:c>
      <x:c r="J60" s="18" t="d">
        <x:v>2026-10-23T00:00:00.000Z</x:v>
      </x:c>
      <x:c r="K60" s="21" t="str">
        <x:f>IFERROR(HYPERLINK("https://www.azattyqasia.org/amp/31182172.html","azattyqasia.org"),"azattyqasia.org")</x:f>
        <x:v>azattyqasia.org</x:v>
      </x:c>
      <x:c r="L60" s="21" t="str">
        <x:f>IFERROR(HYPERLINK("https://kun.uz/en/news/2021/04/02/road-connecting-rishtan-and-sokh-opened","kun.uz"),"kun.uz")</x:f>
        <x:v>kun.uz</x:v>
      </x:c>
      <x:c r="M60" s="21" t="str">
        <x:f>IFERROR(HYPERLINK("https://kun.uz/en/96094343","Kun.uz"),"Kun.uz")</x:f>
        <x:v>Kun.uz</x:v>
      </x:c>
      <x:c r="N60" s="4" t="str">
        <x:v>https://www.azattyqasia.org/amp/31182172.html
https://kun.uz/en/news/2021/04/02/road-connecting-rishtan-and-sokh-opened
https://kun.uz/en/96094343
https://www.centralasian.org/a/30142820.html
https://cacianalyst.org/publications/analytical-articles/item/13669-the-sokh-enclave-a-breakthrough-in-central-asian-cooperation.html
https://kun.uz/ru/news/2019/09/07/pochemu-doroga-rishtan-sox-zakrylas-ne-uspev-otkrytsya-kogda-sbudutsya-mechty-jiteley-soxskogo-rayona
https://kun.uz/ru/53253800
https://www.azattyqasia.org/a/kyrgyzstan-soh-border-road/30146785.html
https://anhor.uz/ru/novosti/24563-2
https://kun.uz/news/2019/08/31/ozbekiston-va-qirgiziston-chegarasida-yangi-otkazish-punktlari-ish-boshladi?q=/uz/76789617</x:v>
      </x:c>
      <x:c r="O60" s="4" t="str">
        <x:v>Source 1: access detail is retained in the source catalogue.
Source 2: access detail is retained in the source catalogue.
Source 3: full</x:v>
      </x:c>
      <x:c r="P60" s="20" t="n">
        <x:v>1</x:v>
      </x:c>
      <x:c r="Q60" s="4" t="str">
        <x:v>Central Asia and Caucasus</x:v>
      </x:c>
      <x:c r="R60" s="4" t="str">
        <x:v>Included</x:v>
      </x:c>
    </x:row>
    <x:row r="61" ht="162" hidden="0" customHeight="1">
      <x:c r="A61" s="16" t="str">
        <x:v>CC009</x:v>
      </x:c>
      <x:c r="B61" s="4" t="str">
        <x:v>South Ossetia de facto authorities close Odzisi and Sinaguri passages</x:v>
      </x:c>
      <x:c r="C61" s="4" t="str">
        <x:v>Georgia</x:v>
      </x:c>
      <x:c r="D61" s="4" t="str">
        <x:v>Odzisi; Sinaguri; later reopening source uses Karzmani
Administrative boundary separating South Ossetia/Tskhinvali region from Georgian government-controlled territory</x:v>
      </x:c>
      <x:c r="E61" s="4" t="str">
        <x:v>Local commuters, including Akhalgori residents
Direction: Both directions
Exceptions: Medical and other exceptional permissions; special-pass holiday openings included June 13–17, 2022, with an earlier Easter window also reported.</x:v>
      </x:c>
      <x:c r="F61" s="4" t="str">
        <x:v>CC009-D1 — Observed operation
Ordinary passage at Odzisi, to the start of limited monthly opening in August 2022.
Start: 2019-09-04.
Observed scoped reopening: 2022-08-01 to 2022-08-31.
1062–1092 calendar-day difference; scoped endpoint only
CC009-C7P1 — Intermittent regime
Odzisi Thursday–Sunday weekly opening with residual access restrictions
Start: 2026-09-01 to 2026-09-08.
Last confirmed: 2026-10-16. Reopening is not established.
Intermittent regime envelope; total closed days unknown</x:v>
      </x:c>
      <x:c r="G61"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Territorial and frontier disputes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61" s="4" t="str">
        <x:v>CC009-D1: Odzisi is common to both endpoint accounts; Sinaguri and Karzmani are not silently equated. The whole August 2022 endpoint range is retained. Medical permissions and special-pass holiday openings, including June 13–17, 2022 and an earlier Easter window, are exceptions to the ordinary-passage restriction. This is not a continuously sealed all-person frontier. Later monthly 20th–30th windows remain limited access.
CC009-C7P1: Exact implementation day unknown. September1–8 is a source-constrained envelope, not a verified daily sequence. October22 publication is retrospective evidence only; no full reopening or continuous closed-day count is inferred.</x:v>
      </x:c>
      <x:c r="I61" s="4" t="str">
        <x:v>Targeted source review (REC50-R27); accepted qualification; evidence limits retained.</x:v>
      </x:c>
      <x:c r="J61" s="18" t="d">
        <x:v>2026-10-25T00:00:00.000Z</x:v>
      </x:c>
      <x:c r="K61" s="21" t="str">
        <x:f>IFERROR(HYPERLINK("https://eumm.eu/en/press_and_public_information/press_releases/36637/","EUMM"),"EUMM")</x:f>
        <x:v>EUMM</x:v>
      </x:c>
      <x:c r="L61" s="21" t="str">
        <x:f>IFERROR(HYPERLINK("https://eumm.eu/en/press_and_public_information/press_releases/37280/?print=yes","EUMM"),"EUMM")</x:f>
        <x:v>EUMM</x:v>
      </x:c>
      <x:c r="M61" s="21" t="str">
        <x:f>IFERROR(HYPERLINK("https://civil.ge/archives/496229","Civil Georgia"),"Civil Georgia")</x:f>
        <x:v>Civil Georgia</x:v>
      </x:c>
      <x:c r="N61" s="4" t="str">
        <x:v>https://eumm.eu/en/press_and_public_information/press_releases/36637/
https://eumm.eu/en/press_and_public_information/press_releases/37280/?print=yes
https://civil.ge/archives/496229
https://civil.ge/archives/504980/amp
https://www.eumm.eu/en/press_and_public_information/press_releases/37772/
https://www.osce.org/chairpersonship/667386
https://www.osce.org/chairpersonship/669090
https://eumm.eu/en/press_and_public_information/press_releases/37280/
https://1tv.ge/lang/en/news/eumm-releases-statement-regarding-situation-at-administrative-boundary-line/
https://eumm.eu/en/press_and_public_information/press_releases/36637/?print=yes
https://www.eumm.eu/en/press_and_public_information/press_releases/37010/?month=9&amp;print=yes&amp;year=2021</x:v>
      </x:c>
      <x:c r="O61" s="4" t="str">
        <x:v>Source 1: full page
Source 2: full page
Source 3: full text</x:v>
      </x:c>
      <x:c r="P61" s="20" t="n">
        <x:v>2</x:v>
      </x:c>
      <x:c r="Q61" s="4" t="str">
        <x:v>Central Asia and Caucasus</x:v>
      </x:c>
      <x:c r="R61" s="4" t="str">
        <x:v>Included</x:v>
      </x:c>
    </x:row>
    <x:row r="62" ht="282" hidden="0" customHeight="1">
      <x:c r="A62" s="16" t="str">
        <x:v>CC003</x:v>
      </x:c>
      <x:c r="B62" s="4" t="str">
        <x:v>Azerbaijan prolonged pandemic land-entry closure</x:v>
      </x:c>
      <x:c r="C62" s="4" t="str">
        <x:v>Azerbaijan; Russia; Georgia; Iran; Türkiye</x:v>
      </x:c>
      <x:c r="D62" s="4" t="str">
        <x:v>Not individually enumerated
External land crossings otherwise available for ordinary travel</x:v>
      </x:c>
      <x:c r="E62" s="4" t="str">
        <x:v>Ordinary passenger travel
Direction: Primarily land entry; ordinary bilateral travel restricted
Exceptions: Freight; exceptional authorised crossings. Exit conditions vary by nationality and require separate checking.</x:v>
      </x:c>
      <x:c r="F62" s="4" t="str">
        <x:v>CC003-D1 — Formal policy
Ordinary non-permitted foreign road entry into mainland Azerbaijan across the Georgia, Russia and Iran frontiers; freight and individually authorised entry excluded.
Start: 2020-02-29 to 2020-03-18.
Last confirmed: 2026-09-03. Reopening is not established.
Formal policy: confirmed through 2026-09-03; at least 2360 calendar-day difference; reopening unknown</x:v>
      </x:c>
      <x:c r="G6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62" s="4" t="str">
        <x:v>Mainland restrictions began in stages: Iran February 29, Georgia March 14 and Russia March 18, 2020. No simultaneous national onset is implied. Uniform exit rules remain outside the retained road-entry scope. September 3, 2026 is a dated last confirmation, not an assumed cutoff or future extension.
CC003-D1: Nakhchivan–Turkey phases and Georgia passenger rail reopening are excluded. The September Czech page's all-land wording conflicts with Azerbaijan's specific rail permission from 25 May 2026 and documented 26 May outward train. Exit rules differ; no post-3 September persistence inferred.</x:v>
      </x:c>
      <x:c r="I62" s="4" t="str">
        <x:v>Targeted source review (REC50-R14); retained with recorded qualifications; evidence limits retained.</x:v>
      </x:c>
      <x:c r="J62" s="18" t="d">
        <x:v>2026-10-25T00:00:00.000Z</x:v>
      </x:c>
      <x:c r="K62" s="21" t="str">
        <x:f>IFERROR(HYPERLINK("https://mzv.gov.cz/baku/en/visa_and_consular_information/consular_section/specific_for_destination/land_borders_of_the_republic_of.html","Embassy of the Czech Republic in Baku"),"Embassy of the Czech Republic in Baku")</x:f>
        <x:v>Embassy of the Czech Republic in Baku</x:v>
      </x:c>
      <x:c r="L62" s="21" t="str">
        <x:f>IFERROR(HYPERLINK("https://travel.gc.ca/destinations/azerbaijan","Canada travel advice"),"Canada travel advice")</x:f>
        <x:v>Canada travel advice</x:v>
      </x:c>
      <x:c r="M62" s="21" t="str">
        <x:f>IFERROR(HYPERLINK("https://mzv.gov.cz/baku/en/visa_and_consular_information/consular_section/specific_for_destination/covid19_current_conditions_for_traveling.html","mzv.gov.cz"),"mzv.gov.cz")</x:f>
        <x:v>mzv.gov.cz</x:v>
      </x:c>
      <x:c r="N62" s="4" t="str">
        <x:v>https://mzv.gov.cz/baku/en/visa_and_consular_information/consular_section/specific_for_destination/land_borders_of_the_republic_of.html
https://travel.gc.ca/destinations/azerbaijan
https://mzv.gov.cz/baku/en/visa_and_consular_information/consular_section/specific_for_destination/covid19_current_conditions_for_traveling.html
https://eurasianet.org/azerbaijan-land-borders-remain-sealed-for-individuals-but-not-trade
https://eurasianet.org/two-years-on-azerbaijans-land-borders-remain-closed
https://mfa.gov.az/en/category/entry-rules-to-the-republic-of-azerbaijan-during-covid-19-pandemic
https://www.migration.gov.az/index.php/en/news_detail/16833
https://e-qanun.az/framework/61878
https://www.economy.ge/index.php?lang=en&amp;nw=3093&amp;page=news
https://traceca-org.org/ge/news/single-news/n/urgent_azerbaijan_regime_of_cargo_transportation_in_terms_of_covid_19_pandemics/
https://apa.az/en/domestic-news/Azerbaijan-closes-border-with-Iran-314036
https://www.mfa.gov.az/en/category/entry-rules-to-the-republic-of-azerbaijan-during-covid-19-pandemic
https://en.apa.az/domestic-policy/Azerbaijan-closes-border-with-Iran-314036
https://en.apa.az/official-news/azerbaijan-and-georgia-to-reopen-railway-border-crossings-from-may-25-2026-507360
https://anewz.tv/region/south-caucasus/20389/baku-tbilisi-overnight-train-arrives-in-georgia/news
https://mfa.gov.az/index.php/en/news/no04920nbspinformation-of-the-press-service-department-of-the-mfa-of-the-republic-of-azerbaijan
https://wiki.unece.org/spaces/CTRBSBC/pages/101548396/Azerbaijan</x:v>
      </x:c>
      <x:c r="O62" s="4" t="str">
        <x:v>Source 1: full; full text
Source 2: search extract
Source 3: full</x:v>
      </x:c>
      <x:c r="P62" s="20" t="n">
        <x:v>1</x:v>
      </x:c>
      <x:c r="Q62" s="4" t="str">
        <x:v>Central Asia and Caucasus</x:v>
      </x:c>
      <x:c r="R62" s="4" t="str">
        <x:v>Included</x:v>
      </x:c>
    </x:row>
    <x:row r="63" ht="78" hidden="0" customHeight="1">
      <x:c r="A63" s="16" t="str">
        <x:v>CC021</x:v>
      </x:c>
      <x:c r="B63" s="4" t="str">
        <x:v>Afghanistan briefly closes Iran-facing Islam Qala during COVID emergence</x:v>
      </x:c>
      <x:c r="C63" s="4" t="str">
        <x:v>Afghanistan; Iran</x:v>
      </x:c>
      <x:c r="D63" s="4" t="str">
        <x:v>Islam Qala–Dogharoun
Islam Qala–Dogharoun crossing</x:v>
      </x:c>
      <x:c r="E63" s="4" t="str">
        <x:v>Passengers, particularly returning Afghans
Direction: Entry from Iran primarily
Exceptions: Reopening prioritised returnees; precise trade exceptions not established</x:v>
      </x:c>
      <x:c r="F63" s="4" t="str">
        <x:v>CC021-D1 — Observed operation
Islam Qala–Dogharoun crossing; Passengers, particularly returning Afghans; Entry from Iran primarily
Start: 2020-02-23.
Observed scoped reopening: 2020-02-24.
1 calendar-day difference; scoped endpoint only</x:v>
      </x:c>
      <x:c r="G6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63" s="4" t="str">
        <x:v>CC021-D1: 24 February is the local Islam Qala account; wider Iran-border compilation says open by 25 February, possibly a later status observation. No whole-frontier duration. Reopening prioritised returnees; precise trade exceptions not established</x:v>
      </x:c>
      <x:c r="I63" s="4" t="str">
        <x:v>Retained baseline assessment. Retained with recorded qualifications</x:v>
      </x:c>
      <x:c r="J63" s="18" t="d">
        <x:v>2026-10-23T00:00:00.000Z</x:v>
      </x:c>
      <x:c r="K63" s="21" t="str">
        <x:f>IFERROR(HYPERLINK("https://www.afghanistan-analysts.org/en/reports/economy-development-environment/between-disregard-and-compliance-reacting-to-the-coronavirus-in-herat-city/","Afghanistan Analysts Network"),"Afghanistan Analysts Network")</x:f>
        <x:v>Afghanistan Analysts Network</x:v>
      </x:c>
      <x:c r="L63" s="21" t="str">
        <x:f>IFERROR(HYPERLINK("https://wiki.unece.org/pages/viewpage.action?navigatingVersions=true&amp;pageId=128421290","UNECE border observatory"),"UNECE border observatory")</x:f>
        <x:v>UNECE border observatory</x:v>
      </x:c>
      <x:c r="M63" s="21" t="str">
        <x:f>IFERROR(HYPERLINK("https://www.afghanistan-analysts.org/en/reports/economy-development-environment/no-large-outbreak-yet-the-coronavirus-situation-in-afghanistan/","afghanistan-analysts.org"),"afghanistan-analysts.org")</x:f>
        <x:v>afghanistan-analysts.org</x:v>
      </x:c>
      <x:c r="N63" s="4" t="str">
        <x:v>https://www.afghanistan-analysts.org/en/reports/economy-development-environment/between-disregard-and-compliance-reacting-to-the-coronavirus-in-herat-city/
https://wiki.unece.org/pages/viewpage.action?navigatingVersions=true&amp;pageId=128421290
https://www.afghanistan-analysts.org/en/reports/economy-development-environment/no-large-outbreak-yet-the-coronavirus-situation-in-afghanistan/
https://1tvnews.af/2380/</x:v>
      </x:c>
      <x:c r="O63" s="4" t="str">
        <x:v>Source 1: full page
Source 2: search extract
Source 3: access detail is retained in the source catalogue.</x:v>
      </x:c>
      <x:c r="P63" s="20" t="n">
        <x:v>1</x:v>
      </x:c>
      <x:c r="Q63" s="4" t="str">
        <x:v>Central Asia and Caucasus</x:v>
      </x:c>
      <x:c r="R63" s="4" t="str">
        <x:v>Included</x:v>
      </x:c>
    </x:row>
    <x:row r="64" ht="90" hidden="0" customHeight="1">
      <x:c r="A64" s="16" t="str">
        <x:v>CC006</x:v>
      </x:c>
      <x:c r="B64" s="4" t="str">
        <x:v>Armenia initial Iran-frontier COVID passenger closure</x:v>
      </x:c>
      <x:c r="C64" s="4" t="str">
        <x:v>Armenia; Iran</x:v>
      </x:c>
      <x:c r="D64" s="4" t="str">
        <x:v>Meghri–Norduz
Armenia–Iran land crossing</x:v>
      </x:c>
      <x:c r="E64" s="4" t="str">
        <x:v>Passenger land transport
Direction: Bilateral communications restricted by Armenia
Exceptions: Freight with driver controls; citizens returning to their own country; diplomatic and official visitors; foreign legal residents under the amended instrument</x:v>
      </x:c>
      <x:c r="F64" s="4" t="str">
        <x:v>CC006-D1 — Formal policy
Legal life of Armenia's Iran-specific Decision 197-N restriction, with its amendments and exemptions.
Start: 2020-02-25.
Policy endpoint: 2020-03-22.
Formal policy: 26 calendar-day difference; operational continuity not established</x:v>
      </x:c>
      <x:c r="G6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64" s="4" t="str">
        <x:v>CC006-D1: This is the legal instrument's period, not a physical closure interval. The earlier 24 February announcement is not its registry effective date. National restrictions overlapped and continued; repeal is not reopening.</x:v>
      </x:c>
      <x:c r="I64" s="4" t="str">
        <x:v>Targeted source review (REC50-R27); retained with recorded qualifications; evidence limits retained.</x:v>
      </x:c>
      <x:c r="J64" s="18" t="d">
        <x:v>2026-10-25T00:00:00.000Z</x:v>
      </x:c>
      <x:c r="K64" s="21" t="str">
        <x:f>IFERROR(HYPERLINK("https://www.primeminister.am/en/press-release/item/2020/02/24/Nikol-Pashinyan-meeting/","Prime Minister of Armenia"),"Prime Minister of Armenia")</x:f>
        <x:v>Prime Minister of Armenia</x:v>
      </x:c>
      <x:c r="L64" s="21" t="str">
        <x:f>IFERROR(HYPERLINK("https://www.arlis.am/hy/acts/139575","Armenian legal information system ARLIS"),"Armenian legal information system ARLIS")</x:f>
        <x:v>Armenian legal information system ARLIS</x:v>
      </x:c>
      <x:c r="M64" s="21" t="str">
        <x:f>IFERROR(HYPERLINK("https://www.arlis.am/hy/acts/140427","ARLIS"),"ARLIS")</x:f>
        <x:v>ARLIS</x:v>
      </x:c>
      <x:c r="N64" s="4" t="str">
        <x:v>https://www.primeminister.am/en/press-release/item/2020/02/24/Nikol-Pashinyan-meeting/
https://www.arlis.am/hy/acts/139575
https://www.arlis.am/hy/acts/140427
https://en.armradio.am/2020/03/21/armenia-iran-to-allow-more-goods-to-be-transported/
https://arka.am/en/news/business/customs_checkpoint_in_armenian_meghri_resumes_operations_in_normal_mode/
https://armenpress.am/en/article/1006185</x:v>
      </x:c>
      <x:c r="O64" s="4" t="str">
        <x:v>Source 1: indexed extract
Source 2: full page
Source 3: full page</x:v>
      </x:c>
      <x:c r="P64" s="20" t="n">
        <x:v>1</x:v>
      </x:c>
      <x:c r="Q64" s="4" t="str">
        <x:v>Central Asia and Caucasus</x:v>
      </x:c>
      <x:c r="R64" s="4" t="str">
        <x:v>Included</x:v>
      </x:c>
    </x:row>
    <x:row r="65" ht="102" hidden="0" customHeight="1">
      <x:c r="A65" s="16" t="str">
        <x:v>CC018</x:v>
      </x:c>
      <x:c r="B65" s="4" t="str">
        <x:v>Abkhaz COVID restrictions at Enguri</x:v>
      </x:c>
      <x:c r="C65" s="4" t="str">
        <x:v>Georgia</x:v>
      </x:c>
      <x:c r="D65" s="4" t="str">
        <x:v>Enguri bridge
Enguri administrative-boundary passage</x:v>
      </x:c>
      <x:c r="E65" s="4" t="str">
        <x:v>Ordinary residents travelling across the boundary
Direction: Both directions except directional humanitarian permissions
Exceptions: Time-limited return corridors; pensioners, elderly people and medical or special-needs cases</x:v>
      </x:c>
      <x:c r="F65" s="4" t="str">
        <x:v>CC018-R1 — Intermittent regime
Enguri ordinary civilian passage under pandemic restrictions, interrupted by limited humanitarian and category permissions
Start: 2020-02-27.
Policy endpoint: 2021-07-05.
Intermittent regime envelope; total closed days unknown</x:v>
      </x:c>
      <x:c r="G6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65" s="4" t="str">
        <x:v>CC018-R1: Envelope is not days fully closed. July endpoint is reported permission-holder restoration, not unrestricted passage by everyone. Direction and eligibility varied by phase.</x:v>
      </x:c>
      <x:c r="I65" s="4" t="str">
        <x:v>Retained baseline assessment. Retained with recorded qualifications</x:v>
      </x:c>
      <x:c r="J65" s="18" t="d">
        <x:v>2026-10-23T00:00:00.000Z</x:v>
      </x:c>
      <x:c r="K65" s="21" t="str">
        <x:f>IFERROR(HYPERLINK("https://civil.ge/archives/385358","Civil Georgia"),"Civil Georgia")</x:f>
        <x:v>Civil Georgia</x:v>
      </x:c>
      <x:c r="L65" s="21" t="str">
        <x:f>IFERROR(HYPERLINK("https://civil.ge/archives/430781","Civil Georgia"),"Civil Georgia")</x:f>
        <x:v>Civil Georgia</x:v>
      </x:c>
      <x:c r="M65" s="21" t="str">
        <x:f>IFERROR(HYPERLINK("https://smr.gov.ge/en/news/read/2080/the-enguri-crossing-point-fully-reopened-from-july-5-2021-)","Georgian State Minister for Reconciliation"),"Georgian State Minister for Reconciliation")</x:f>
        <x:v>Georgian State Minister for Reconciliation</x:v>
      </x:c>
      <x:c r="N65" s="4" t="str">
        <x:v>https://civil.ge/archives/385358
https://civil.ge/archives/430781
https://smr.gov.ge/en/news/read/2080/the-enguri-crossing-point-fully-reopened-from-july-5-2021-)
https://1tv.ge/lang/en/news/occupation-regime-of-abkhazia-restricted-movement-on-enguri-bridge/
https://civil.ge/archives/353727
https://smr.gov.ge/en/news/read/2080/the-enguri-crossing-point-fully-reopened-from-july-5-2021-
https://civil.ge/archives/385358/amp
https://www.eumm.eu/en/press_and_public_information/press_releases/37064/?print=yes</x:v>
      </x:c>
      <x:c r="O65" s="4" t="str">
        <x:v>Source 1: full
Source 2: full
Source 3: indexed excerpt</x:v>
      </x:c>
      <x:c r="P65" s="20" t="n">
        <x:v>1</x:v>
      </x:c>
      <x:c r="Q65" s="4" t="str">
        <x:v>Central Asia and Caucasus</x:v>
      </x:c>
      <x:c r="R65" s="4" t="str">
        <x:v>Included</x:v>
      </x:c>
    </x:row>
    <x:row r="66" ht="78" hidden="0" customHeight="1">
      <x:c r="A66" s="16" t="str">
        <x:v>CC005</x:v>
      </x:c>
      <x:c r="B66" s="4" t="str">
        <x:v>Georgia pandemic passenger entry restrictions</x:v>
      </x:c>
      <x:c r="C66" s="4" t="str">
        <x:v>Georgia; Russia; Azerbaijan; Armenia; Türkiye</x:v>
      </x:c>
      <x:c r="D66" s="4" t="str">
        <x:v>Not individually enumerated
National land-border entry regime; initial neighbouring-country phase</x:v>
      </x:c>
      <x:c r="E66" s="4" t="str">
        <x:v>Foreign passengers; destination-nationality conditions on exit to three neighbours
Direction: Entry principally; exit restrictions reflected partner decisions
Exceptions: Georgian citizens/families; cargo and specified authorised travellers</x:v>
      </x:c>
      <x:c r="F66" s="4" t="str">
        <x:v>CC005-D1 — Formal policy
Georgia's general foreign land-entry restriction phase from 18 March, to Georgia-side health-conditional reopening permission.
Start: 2020-03-18.
Policy endpoint: 2021-06-01.
Formal policy: 440 calendar-day difference; operational continuity not established</x:v>
      </x:c>
      <x:c r="G6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66" s="4" t="str">
        <x:v>CC005-D1: This selected phase does not claim to be the earliest restriction. Citizens, eligible families, cargo and authorised travellers were exempt. Partner-country restrictions and first actual crossings are not inferred.</x:v>
      </x:c>
      <x:c r="I66" s="4" t="str">
        <x:v>Retained baseline assessment. Retained with recorded qualifications</x:v>
      </x:c>
      <x:c r="J66" s="18" t="d">
        <x:v>2026-10-23T00:00:00.000Z</x:v>
      </x:c>
      <x:c r="K66" s="21" t="str">
        <x:f>IFERROR(HYPERLINK("https://www.matsne.gov.ge/en/document/view/4821121?publication=21","Matsne legislative portal"),"Matsne legislative portal")</x:f>
        <x:v>Matsne legislative portal</x:v>
      </x:c>
      <x:c r="L66" s="21" t="str">
        <x:f>IFERROR(HYPERLINK("https://civil.ge/archives/424124","Civil.ge"),"Civil.ge")</x:f>
        <x:v>Civil.ge</x:v>
      </x:c>
      <x:c r="M66" s="21" t="str">
        <x:f>IFERROR(HYPERLINK("https://civil.ge/archives/424124/amp","civil.ge"),"civil.ge")</x:f>
        <x:v>civil.ge</x:v>
      </x:c>
      <x:c r="N66" s="4" t="str">
        <x:v>https://www.matsne.gov.ge/en/document/view/4821121?publication=21
https://civil.ge/archives/424124
https://civil.ge/archives/424124/amp
https://matsne.gov.ge/en/document/view/4821121?fullscreen=1&amp;impose=parallelEn</x:v>
      </x:c>
      <x:c r="O66" s="4" t="str">
        <x:v>Source 1: full page
Source 2: full page
Source 3: access detail is retained in the source catalogue.</x:v>
      </x:c>
      <x:c r="P66" s="20" t="n">
        <x:v>1</x:v>
      </x:c>
      <x:c r="Q66" s="4" t="str">
        <x:v>Central Asia and Caucasus</x:v>
      </x:c>
      <x:c r="R66" s="4" t="str">
        <x:v>Included</x:v>
      </x:c>
    </x:row>
    <x:row r="67" ht="138" hidden="0" customHeight="1">
      <x:c r="A67" s="16" t="str">
        <x:v>CC002</x:v>
      </x:c>
      <x:c r="B67" s="4" t="str">
        <x:v>Kazakhstan pandemic restriction on entry and exit</x:v>
      </x:c>
      <x:c r="C67" s="4" t="str">
        <x:v>Kazakhstan; Russia; China; Kyrgyzstan; Uzbekistan; Turkmenistan</x:v>
      </x:c>
      <x:c r="D67" s="4" t="str">
        <x:v>Not individually enumerated
National border restrictions; verified 2022 easing applies to three land frontiers</x:v>
      </x:c>
      <x:c r="E67" s="4" t="str">
        <x:v>Nonessential cross-border travellers
Direction: Entry and exit
Exceptions: Freight, returning citizens, departing foreigners, diplomats, eligible residents/family and other categories; detailed rules evolved.</x:v>
      </x:c>
      <x:c r="F67" s="4" t="str">
        <x:v>CC002-FU1 — Formal policy
Foreign entry via land posts on Kazakhstan’s Russia, Kyrgyzstan and Uzbekistan frontiers
Start: unknown.
Policy endpoint: 2022-04-11.
Formal policy: dated evidence; numeric duration withheld; see qualification</x:v>
      </x:c>
      <x:c r="G6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67" s="4" t="str">
        <x:v>March16 2020 emergency restriction is documented, but the connection to April2022 permission requires matched amendments and scope; do not convert endpoint-only evidence to an uninterrupted two-year spell.
CC002-FU1: Endpoint-only legal easing; onset of this exact policy scope remains unknown. No claim of China/Turkmenistan easing, actual passage, or continuous March 2020–April 2022 closure.
duration: April 11 legal permission can be recorded for foreign entry through three frontiers only. The emergency order and later amended procedure do not establish one same-scope operational interval.
continuity: No evidence establishes uninterrupted enforcement between the dated observations or actual lifting of an announced order.</x:v>
      </x:c>
      <x:c r="I67" s="4" t="str">
        <x:v>Retained baseline assessment. Correction pass: amended with stated qualifications</x:v>
      </x:c>
      <x:c r="J67" s="18" t="d">
        <x:v>2026-10-23T00:00:00.000Z</x:v>
      </x:c>
      <x:c r="K67" s="21" t="str">
        <x:f>IFERROR(HYPERLINK("https://www.gov.kz/org/mfa-brussels/press/article/details/81500","Kazakhstan MFA"),"Kazakhstan MFA")</x:f>
        <x:v>Kazakhstan MFA</x:v>
      </x:c>
      <x:c r="L67" s="21" t="str">
        <x:f>IFERROR(HYPERLINK("https://invest.gov.kz/media-center/press-releases/ob-ogranichenii-na-vezd-i-vyezd-s-territorii-respubliki-kazakhstan/","invest.gov.kz"),"invest.gov.kz")</x:f>
        <x:v>invest.gov.kz</x:v>
      </x:c>
      <x:c r="M67" s="21" t="str">
        <x:f>IFERROR(HYPERLINK("https://www.gov.kz/org/knb/press/news/details/60015?lang=ru","Kazakhstan National Security Committee"),"Kazakhstan National Security Committee")</x:f>
        <x:v>Kazakhstan National Security Committee</x:v>
      </x:c>
      <x:c r="N67" s="4" t="str">
        <x:v>https://www.gov.kz/org/mfa-brussels/press/article/details/81500
https://invest.gov.kz/media-center/press-releases/ob-ogranichenii-na-vezd-i-vyezd-s-territorii-respubliki-kazakhstan/
https://www.gov.kz/org/knb/press/news/details/60015?lang=ru
https://www.gov.kz/org/mfa-tallin/documents/details/312143
https://www.gov.kz/memleket/entities/mfa/press/news/details/329109?lang=en
https://eurasianet.org/uzbekistan-confirms-covid-19-case-closes-borders
https://primeminister.kz/en/news/mvk-prinyaty-resheniya-po-snyatiyu-ryada-ogranicheniy-v-svyazi-so-stabilizaciey-epidsituacii-v-rk-632</x:v>
      </x:c>
      <x:c r="O67" s="4" t="str">
        <x:v>Source 1: full
Source 2: access detail is retained in the source catalogue.
Source 3: full</x:v>
      </x:c>
      <x:c r="P67" s="20" t="n">
        <x:v>1</x:v>
      </x:c>
      <x:c r="Q67" s="4" t="str">
        <x:v>Central Asia and Caucasus</x:v>
      </x:c>
      <x:c r="R67" s="4" t="str">
        <x:v>Included</x:v>
      </x:c>
    </x:row>
    <x:row r="68" ht="138" hidden="0" customHeight="1">
      <x:c r="A68" s="16" t="str">
        <x:v>CC007</x:v>
      </x:c>
      <x:c r="B68" s="4" t="str">
        <x:v>Armenia national pandemic land-passenger restrictions</x:v>
      </x:c>
      <x:c r="C68" s="4" t="str">
        <x:v>Armenia; Georgia; Iran</x:v>
      </x:c>
      <x:c r="D68" s="4" t="str">
        <x:v>Not individually enumerated
Operating external land checkpoints</x:v>
      </x:c>
      <x:c r="E68" s="4" t="str">
        <x:v>Noncitizens arriving by land
Direction: Foreign land entry and initially Armenian citizen land exit
Exceptions: Citizens, eligible family members/legal residents, diplomats and close relatives attending funerals; cargo and train crews; special permission from the border commander</x:v>
      </x:c>
      <x:c r="F68" s="4" t="str">
        <x:v>CC007-D1 — Formal policy
Armenia's ordinary non-exempt foreign land-entry restriction, to the January testing-based legal easing.
Start: 2020-03-16.
Policy endpoint: 2021-01-12.
Formal policy: 302 calendar-day difference; operational continuity not established</x:v>
      </x:c>
      <x:c r="G6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68" s="4" t="str">
        <x:v>CC007-D1: Citizens, residents, eligible families, diplomats, funerals and authorised cases are excluded. This does not time citizen exit or Iran's separate earlier instrument. The endpoint rests on indexed legal-policy evidence, not observed first passage.</x:v>
      </x:c>
      <x:c r="I68" s="4" t="str">
        <x:v>Retained baseline assessment. Retained with recorded qualifications</x:v>
      </x:c>
      <x:c r="J68" s="18" t="d">
        <x:v>2026-10-23T00:00:00.000Z</x:v>
      </x:c>
      <x:c r="K68" s="21" t="str">
        <x:f>IFERROR(HYPERLINK("https://www.mfa.am/en/press-releases/2020/09/11/quarantaine_RA/10438","Armenian MFA"),"Armenian MFA")</x:f>
        <x:v>Armenian MFA</x:v>
      </x:c>
      <x:c r="L68" s="21" t="str">
        <x:f>IFERROR(HYPERLINK("https://wiki.unece.org/spaces/CTRBSBC/pages/101548392/Armenia","UNECE border observatory"),"UNECE border observatory")</x:f>
        <x:v>UNECE border observatory</x:v>
      </x:c>
      <x:c r="M68" s="21" t="str">
        <x:f>IFERROR(HYPERLINK("https://www.primeminister.am/en/press-release/item/2020/03/16/Nikol-Pashinyan-National-Assambly/","Armenian PM Office"),"Armenian PM Office")</x:f>
        <x:v>Armenian PM Office</x:v>
      </x:c>
      <x:c r="N68" s="4" t="str">
        <x:v>https://www.mfa.am/en/press-releases/2020/09/11/quarantaine_RA/10438
https://wiki.unece.org/spaces/CTRBSBC/pages/101548392/Armenia
https://www.primeminister.am/en/press-release/item/2020/03/16/Nikol-Pashinyan-National-Assambly/
https://www.mfa.am/en/COVID-19/2020/03/22/COVID-19-Restrictions/10163
https://en.armradio.am/2021/01/13/foreigners-are-now-allowed-to-enter-armenia-both-via-air-and-land-borders-mfa/
https://arka.am/en/news/society/armenia_removes_covid_19_restrictions_for_foreigners_entering_the_country_through_land_border/?sphrase_id=5685968
https://www.pan.am/en/289354
https://www.arlis.am/Annexes/5/2020__298-N_english.pdf</x:v>
      </x:c>
      <x:c r="O68" s="4" t="str">
        <x:v>Source 1: full page
Source 2: original blocked; substantive indexed extract
Source 3: full page</x:v>
      </x:c>
      <x:c r="P68" s="20" t="n">
        <x:v>1</x:v>
      </x:c>
      <x:c r="Q68" s="4" t="str">
        <x:v>Central Asia and Caucasus</x:v>
      </x:c>
      <x:c r="R68" s="4" t="str">
        <x:v>Included</x:v>
      </x:c>
    </x:row>
    <x:row r="69" ht="126" hidden="0" customHeight="1">
      <x:c r="A69" s="16" t="str">
        <x:v>CC008</x:v>
      </x:c>
      <x:c r="B69" s="4" t="str">
        <x:v>Uzbekistan pandemic road-passenger suspension</x:v>
      </x:c>
      <x:c r="C69" s="4" t="str">
        <x:v>Uzbekistan; Kazakhstan; Kyrgyzstan; Tajikistan; Turkmenistan; Afghanistan</x:v>
      </x:c>
      <x:c r="D69" s="4" t="str">
        <x:v>Not individually enumerated
National passenger road connections</x:v>
      </x:c>
      <x:c r="E69" s="4" t="str">
        <x:v>Cross-border passengers
Direction: Entry and exit
Exceptions: Freight exempt, subject to special procedures/checkpoints</x:v>
      </x:c>
      <x:c r="F69" s="4" t="str">
        <x:v>CC008-R1 — Formal policy
Uzbekistan-side general suspension of ordinary international road passenger travel at frontiers other than Kyrgyzstan, subject to authorized-travel exemptions
Start: 2020-03-16.
Policy endpoint: 2020-10-01.
Formal policy: 199 calendar-day difference; operational continuity not established</x:v>
      </x:c>
      <x:c r="G6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69" s="4" t="str">
        <x:v>CC008-R1: Formal general-policy phase only. Uzbek–Kyrgyz land restrictions were lifted September 1 2020 and are excluded from this period. General legal cancellation October 1 did not establish simultaneous bilateral physical opening: border-service account gives Afghanistan October 16 and Kazakhstan October 23, while Turkmenistan and Tajikistan remained restricted in November. Freight and authorized travel excluded.</x:v>
      </x:c>
      <x:c r="I69" s="4" t="str">
        <x:v>Retained baseline assessment. Retained with recorded qualifications</x:v>
      </x:c>
      <x:c r="J69" s="18" t="d">
        <x:v>2026-10-23T00:00:00.000Z</x:v>
      </x:c>
      <x:c r="K69" s="21" t="str">
        <x:f>IFERROR(HYPERLINK("https://eurasianet.org/uzbekistan-confirms-covid-19-case-closes-borders","Eurasianet"),"Eurasianet")</x:f>
        <x:v>Eurasianet</x:v>
      </x:c>
      <x:c r="L69" s="21" t="str">
        <x:f>IFERROR(HYPERLINK("https://uzbekistan.travel/en/o/uzbekistan-opens-international-flights-during-pandemic/","Uzbekistan Tourism"),"Uzbekistan Tourism")</x:f>
        <x:v>Uzbekistan Tourism</x:v>
      </x:c>
      <x:c r="M69" s="21" t="str">
        <x:f>IFERROR(HYPERLINK("https://www.uzembassy.it/news/11321?language=en","Uzbek Embassy in Italy"),"Uzbek Embassy in Italy")</x:f>
        <x:v>Uzbek Embassy in Italy</x:v>
      </x:c>
      <x:c r="N69" s="4" t="str">
        <x:v>https://eurasianet.org/uzbekistan-confirms-covid-19-case-closes-borders
https://uzbekistan.travel/en/o/uzbekistan-opens-international-flights-during-pandemic/
https://www.uzembassy.it/news/11321?language=en
https://www.uzembassy.uk/news/730?language=en
https://kun.uz/en/30948255
https://kun.uz/en/25572783
https://wiki.unece.org/pages/viewpage.action?pageId=117507976
https://kun.uz/en/news/2020/03/15/uzbekistan-closes-its-borders-suspends-all-international-flights
https://kun.uz/en/news/2020/09/01/special-commission-explains-the-procedure-for-crossing-the-uzbek-kyrgyz-border</x:v>
      </x:c>
      <x:c r="O69" s="4" t="str">
        <x:v>Source 1: full
Source 2: full
Source 3: indexed excerpt; failed</x:v>
      </x:c>
      <x:c r="P69" s="20" t="n">
        <x:v>1</x:v>
      </x:c>
      <x:c r="Q69" s="4" t="str">
        <x:v>Central Asia and Caucasus</x:v>
      </x:c>
      <x:c r="R69" s="4" t="str">
        <x:v>Included</x:v>
      </x:c>
    </x:row>
    <x:row r="70" ht="174" hidden="0" customHeight="1">
      <x:c r="A70" s="16" t="str">
        <x:v>CC011</x:v>
      </x:c>
      <x:c r="B70" s="4" t="str">
        <x:v>Kyrgyzstan pandemic restriction on foreign land entry</x:v>
      </x:c>
      <x:c r="C70" s="4" t="str">
        <x:v>Kyrgyzstan; Kazakhstan; Uzbekistan; Tajikistan; China</x:v>
      </x:c>
      <x:c r="D70" s="4" t="str">
        <x:v>Not individually enumerated
All external checkpoints, including land</x:v>
      </x:c>
      <x:c r="E70" s="4" t="str">
        <x:v>Foreign citizens and stateless entrants
Direction: Entry; foreigners permitted normal departure
Exceptions: Citizens; diplomats; freight crews; residents and qualifying family; later students/medical/funeral and listed nationalities</x:v>
      </x:c>
      <x:c r="F70" s="4" t="str">
        <x:v>CC011-R1 — Formal policy
Statutory foreign/stateless entry-restriction regime under Kyrgyz Order 84-r as amended, including land checkpoints
Start: 2020-03-19.
Policy endpoint: 2022-04-30.
Formal policy: 772 calendar-day difference; operational continuity not established</x:v>
      </x:c>
      <x:c r="G7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70" s="4" t="str">
        <x:v>CC011-R1: Measures legal regime lifetime, not uninterrupted denial to a stable nationality or category. Earlier relaxations and separate Tajik conflict ban remain separate. Initial official source indexed; repeal partially paywalled.</x:v>
      </x:c>
      <x:c r="I70" s="4" t="str">
        <x:v>Targeted source review (REC50-R04); retained with recorded qualifications; evidence limits retained.</x:v>
      </x:c>
      <x:c r="J70" s="18" t="d">
        <x:v>2026-10-25T00:00:00.000Z</x:v>
      </x:c>
      <x:c r="K70" s="21" t="str">
        <x:f>IFERROR(HYPERLINK("https://www.gov.kg/ru/npa/s/2321","Kyrgyz Cabinet"),"Kyrgyz Cabinet")</x:f>
        <x:v>Kyrgyz Cabinet</x:v>
      </x:c>
      <x:c r="L70" s="21" t="str">
        <x:f>IFERROR(HYPERLINK("https://base.spinform.ru/show_doc.fwx/show_doc.fwx?rgn=147138","Kyrgyz Cabinet of Ministers, text/metadata reproduced by SPINFORM"),"Kyrgyz Cabinet of Ministers, text/metadata reproduced by SPINFORM")</x:f>
        <x:v>Kyrgyz Cabinet of Ministers, text/metadata reproduced by SPINFORM</x:v>
      </x:c>
      <x:c r="M70" s="21" t="str">
        <x:f>IFERROR(HYPERLINK("https://base.spinform.ru/show_doc.fwx/show_doc.fwx?rgn=125428","Spinform"),"Spinform")</x:f>
        <x:v>Spinform</x:v>
      </x:c>
      <x:c r="N70" s="4" t="str">
        <x:v>https://www.gov.kg/ru/npa/s/2321
https://base.spinform.ru/show_doc.fwx/show_doc.fwx?rgn=147138
https://base.spinform.ru/show_doc.fwx/show_doc.fwx?rgn=125428
https://www.gov.kg/index.php/ru/npa/s/2321
https://prg.kz/Document/?doc_id=32279608
https://www.gov.kg/ru/post/s/uproshcheny-usloviya-vezda-v-stranu-grazhdan-inostrannykh-gosudarstv-i-lits-bez-grazhdanstva
https://www.alta.ru/tamdoc/20kg0084/
https://oper.vb.kg/doc/391271_kyrgyzstan_otkryl_granicy_dlia_grajdan_drygih_stran.html
https://24.kg/english/200989_List_of_countries_whose_citizens_can_come_to_Kyrgyzstan_by_land_to_be_expanded/
https://online.toktom.kg/NewsTopic/6655
https://cbd.minjust.gov.kg/57-17476/edition/1118287/ru
https://prg.kz/Document/?doc_id=32797089</x:v>
      </x:c>
      <x:c r="O70" s="4" t="str">
        <x:v>Source 1: indexed excerpt; failed
Source 2: full; indexed excerpt; partial metadata
Source 3: indexed excerpt</x:v>
      </x:c>
      <x:c r="P70" s="20" t="n">
        <x:v>1</x:v>
      </x:c>
      <x:c r="Q70" s="4" t="str">
        <x:v>Central Asia and Caucasus</x:v>
      </x:c>
      <x:c r="R70" s="4" t="str">
        <x:v>Included</x:v>
      </x:c>
    </x:row>
    <x:row r="71" ht="150" hidden="0" customHeight="1">
      <x:c r="A71" s="16" t="str">
        <x:v>CC013</x:v>
      </x:c>
      <x:c r="B71" s="4" t="str">
        <x:v>Turkmenistan pandemic foreign-passenger restrictions</x:v>
      </x:c>
      <x:c r="C71" s="4" t="str">
        <x:v>Turkmenistan; Iran; Uzbekistan; Kazakhstan; Afghanistan</x:v>
      </x:c>
      <x:c r="D71" s="4" t="str">
        <x:v>Not individually enumerated
National land-entry regime</x:v>
      </x:c>
      <x:c r="E71" s="4" t="str">
        <x:v>Foreign passengers/tourists
Direction: Foreign entry
Exceptions: Initial March report excepted diplomats, international-organisation personnel, transport crews and foreign business staff. Freight-carrier procedures subsequently changed; see CC014. Returning-citizen details remain incomplete.</x:v>
      </x:c>
      <x:c r="F71" s="4" t="str">
        <x:v>CC013-R1 — Announced window
Initial Turkmenistan foreign/stateless entry restriction including land crossings, with expressly listed exemptions
Start: 2020-03-20.
Scheduled endpoint: 2020-04-20.
Ordered window: 31 calendar-day difference; actual end not established</x:v>
      </x:c>
      <x:c r="G7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71" s="4" t="str">
        <x:v>CC013-R1: Scheduled through-date April 20 retained inclusively from Russian wording; exact expiry clock time is unspecified. This is not observed reopening. Subsequent extensions and 2023 land resumption unresolved; freight-carrier regime separate.</x:v>
      </x:c>
      <x:c r="I71" s="4" t="str">
        <x:v>Retained baseline assessment. Retained with recorded qualifications</x:v>
      </x:c>
      <x:c r="J71" s="18" t="d">
        <x:v>2026-10-23T00:00:00.000Z</x:v>
      </x:c>
      <x:c r="K71" s="21" t="str">
        <x:f>IFERROR(HYPERLINK("https://turkmenportal.com/ru/news/26238-turkmenistan-usilivaet-mery-po-predotvrashcheniyu-proniknoveniya-koronavirusa","Turkmenportal"),"Turkmenportal")</x:f>
        <x:v>Turkmenportal</x:v>
      </x:c>
      <x:c r="L71" s="21" t="str">
        <x:f>IFERROR(HYPERLINK("https://www.unescap.org/sites/default/d8files/2021-03/Turkmenistan_COVID%20Country%20profile%20230321.pdf","UNESCAP"),"UNESCAP")</x:f>
        <x:v>UNESCAP</x:v>
      </x:c>
      <x:c r="M71" s="21" t="str">
        <x:f>IFERROR(HYPERLINK("https://www.rferl.org/a/turkmenistan-tourism-thaw-locals-travel-visas-repression/33757731.html","RFE/RL"),"RFE/RL")</x:f>
        <x:v>RFE/RL</x:v>
      </x:c>
      <x:c r="N71" s="4" t="str">
        <x:v>https://turkmenportal.com/ru/news/26238-turkmenistan-usilivaet-mery-po-predotvrashcheniyu-proniknoveniya-koronavirusa
https://www.unescap.org/sites/default/d8files/2021-03/Turkmenistan_COVID%20Country%20profile%20230321.pdf
https://www.rferl.org/a/turkmenistan-tourism-thaw-locals-travel-visas-repression/33757731.html
https://nomadsland.travel/en/before-you-go/blog/turkmenistan-reopens-its-borders
https://www.advantour.com/turkmenistan/covid-19.htm
https://tdh.gov.tm/ru/post/22411/kompleksnye-mery-po-neproniknoveniyu-na-territoriyu-strany-koronavirusnoi-infektsii-obsuzhdeny-na-zasedanii-pravitelstva
https://koryogroup.com/blog/turkmenistan-opens-for-tourism
https://2021-2025.state.gov/reports/2021-country-reports-on-human-rights-practices/turkmenistan/
https://pmc.ncbi.nlm.nih.gov/articles/PMC8724746/</x:v>
      </x:c>
      <x:c r="O71" s="4" t="str">
        <x:v>Source 1: full
Source 2: indexed excerpt
Source 3: indexed excerpt</x:v>
      </x:c>
      <x:c r="P71" s="20" t="n">
        <x:v>1</x:v>
      </x:c>
      <x:c r="Q71" s="4" t="str">
        <x:v>Central Asia and Caucasus</x:v>
      </x:c>
      <x:c r="R71" s="4" t="str">
        <x:v>Included</x:v>
      </x:c>
    </x:row>
    <x:row r="72" ht="162" hidden="0" customHeight="1">
      <x:c r="A72" s="16" t="str">
        <x:v>CC014</x:v>
      </x:c>
      <x:c r="B72" s="4" t="str">
        <x:v>Turkmenistan bars foreign trucks/drivers while allowing cargo transfer</x:v>
      </x:c>
      <x:c r="C72" s="4" t="str">
        <x:v>Turkmenistan; Iran; Uzbekistan; Kazakhstan; Afghanistan</x:v>
      </x:c>
      <x:c r="D72" s="4" t="str">
        <x:v>Farap/Alat; Garabogaz; Sarakhs
Foreign road-carrier entry; later Uzbekistan–Iran transit corridor</x:v>
      </x:c>
      <x:c r="E72" s="4" t="str">
        <x:v>Foreign trucks and drivers
Direction: Entry/transit
Exceptions: Transloading at Farap/Garabogaz; rail cargo; later non-contact truck handovers</x:v>
      </x:c>
      <x:c r="F72" s="4" t="str">
        <x:v>CC014-D1 — Observed operation
Foreign-carrier through-road operation on the Uzbekistan–Farap–Sarakhs–Iran corridor, to officially reported resumed transit.
Start: 2020-03-23 to 2020-03-24.
Observed scoped reopening: 2022-06-01.
Contested: dated evidence; numeric duration withheld; see qualification
Held evidence: excluded from numeric duration and animation displays.</x:v>
      </x:c>
      <x:c r="G72" s="4" t="str">
        <x:v>Health and biosecurity / Human disease control
Reported reason
Applies to: Recorded episode; exact overlap not separately established
Pandemic controls and sanitary conditions support human disease control.
Trade and protectionism / Customs and transport rules
Reported reason
Applies to: Foreign-carrier exclusion and mandatory local cargo-transfer arrangement
CAREC documents exclusion of foreign trucks and transfer to Turkmen trucks. This codes transport policy content under the taxonomy, not a separate protectionist motive.</x:v>
      </x:c>
      <x:c r="H72" s="4" t="str">
        <x:v>CC014-D1: This is an authority-reported operational endpoint, not an independently observed first truck. Cargo transfer, rail and non-contact handovers continued; other Turkmen frontiers are not assigned this duration. CAREC dates March23; the contemporary Mission/IRU foreign-truck rule is effective March24. Retain this unresolved difference and withhold numeric duration.</x:v>
      </x:c>
      <x:c r="I72" s="4" t="str">
        <x:v>Retained baseline assessment. Amended after source reconciliation</x:v>
      </x:c>
      <x:c r="J72" s="18" t="d">
        <x:v>2026-10-23T00:00:00.000Z</x:v>
      </x:c>
      <x:c r="K72" s="21" t="str">
        <x:f>IFERROR(HYPERLINK("https://cpmm.carecprogram.org/2020-report/turkmenistan/","CAREC CPMM"),"CAREC CPMM")</x:f>
        <x:v>CAREC CPMM</x:v>
      </x:c>
      <x:c r="L72" s="21" t="str">
        <x:f>IFERROR(HYPERLINK("https://customs.gov.tm/en/news/328","Turkmen State Customs Service"),"Turkmen State Customs Service")</x:f>
        <x:v>Turkmen State Customs Service</x:v>
      </x:c>
      <x:c r="M72" s="21" t="str">
        <x:f>IFERROR(HYPERLINK("https://wiki.unece.org/plugins/viewsource/viewpagesrc.action?pageId=179700417","wiki.unece.org"),"wiki.unece.org")</x:f>
        <x:v>wiki.unece.org</x:v>
      </x:c>
      <x:c r="N72" s="4" t="str">
        <x:v>https://cpmm.carecprogram.org/2020-report/turkmenistan/
https://customs.gov.tm/en/news/328
https://wiki.unece.org/plugins/viewsource/viewpagesrc.action?pageId=179700417
https://ticaret.gov.tr/blog/ulkelerden-ticari-haberler/turkmenistan/turkmenistan-gecici-kargo-tasimaciligi-duzenlemelerini-uygulamaya-basladi
https://www.und.org.tr/medya-detay/duyurular/turkmenistan-iran-sinir-gecisleri-hakkinda
https://www.customs.gov.tm/en/news/328
https://www.turkmenportal.com/en/news/53797-dashary-yurt-awtoulaglaryna-surujileri-bilen-bilelikde-turkmenistana-girmage-rugsat-berildi</x:v>
      </x:c>
      <x:c r="O72" s="4" t="str">
        <x:v>Source 1: full page
Source 2: full page
Source 3: access detail is retained in the source catalogue.</x:v>
      </x:c>
      <x:c r="P72" s="20" t="n">
        <x:v>1</x:v>
      </x:c>
      <x:c r="Q72" s="4" t="str">
        <x:v>Central Asia and Caucasus</x:v>
      </x:c>
      <x:c r="R72" s="4" t="str">
        <x:v>Included</x:v>
      </x:c>
    </x:row>
    <x:row r="73" ht="102" hidden="0" customHeight="1">
      <x:c r="A73" s="16" t="str">
        <x:v>CC019</x:v>
      </x:c>
      <x:c r="B73" s="4" t="str">
        <x:v>Abkhaz pandemic entry restrictions on Russia-facing Psou frontier</x:v>
      </x:c>
      <x:c r="C73" s="4" t="str">
        <x:v>Georgia; Russia</x:v>
      </x:c>
      <x:c r="D73" s="4" t="str">
        <x:v>Psou
Psou frontier between Russia and Abkhazia</x:v>
      </x:c>
      <x:c r="E73" s="4" t="str">
        <x:v>Foreign passengers initially; broader categories later
Direction: Entry principally; later reciprocal travel restrictions
Exceptions: Diplomatic, Russian military, business and freight categories initially</x:v>
      </x:c>
      <x:c r="F73" s="4" t="str">
        <x:v>CC019-D1 — Formal policy
Ordinary Russian-citizen entry through Psou under the Abkhaz pandemic restriction.
Start: 2020-03-28.
Policy endpoint: 2020-08-01.
Formal policy: 126 calendar-day difference; operational continuity not established</x:v>
      </x:c>
      <x:c r="G7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73" s="4" t="str">
        <x:v>CC019-D1: Diplomatic, military, business and freight exceptions are excluded. Third-country nationals remained restricted. This is a scoped legal-permission phase, not all-nationality reopening or observed first passage.</x:v>
      </x:c>
      <x:c r="I73" s="4" t="str">
        <x:v>Retained baseline assessment. Retained with recorded qualifications</x:v>
      </x:c>
      <x:c r="J73" s="18" t="d">
        <x:v>2026-10-23T00:00:00.000Z</x:v>
      </x:c>
      <x:c r="K73" s="21" t="str">
        <x:f>IFERROR(HYPERLINK("https://mfaapsny.org/en/allnews/news/othernews/i-o-prezidenta-podpisal-rasporyazhenie-o-zakrytii-gosudarstvennoy-granitsy-po-reke-psou-dlya-inostra/","Abkhaz de facto MFA"),"Abkhaz de facto MFA")</x:f>
        <x:v>Abkhaz de facto MFA</x:v>
      </x:c>
      <x:c r="L73" s="21" t="str">
        <x:f>IFERROR(HYPERLINK("https://civil.ge/archives/361234","Civil.ge"),"Civil.ge")</x:f>
        <x:v>Civil.ge</x:v>
      </x:c>
      <x:c r="M73" s="21" t="str">
        <x:f>IFERROR(HYPERLINK("https://mfaapsny.org/en/allnews/news/othernews/kommentariy-konsulskogo-departamenta-mid-abkhazii-/","Abkhaz MFA"),"Abkhaz MFA")</x:f>
        <x:v>Abkhaz MFA</x:v>
      </x:c>
      <x:c r="N73" s="4" t="str">
        <x:v>https://mfaapsny.org/en/allnews/news/othernews/i-o-prezidenta-podpisal-rasporyazhenie-o-zakrytii-gosudarstvennoy-granitsy-po-reke-psou-dlya-inostra/
https://civil.ge/archives/361234
https://mfaapsny.org/en/allnews/news/othernews/kommentariy-konsulskogo-departamenta-mid-abkhazii-/
https://jam-news.net/abkhazia-closes-border-with-russia-to-prevent-spread-of-coronavirus/
https://civil.ge/archives/361234/amp
https://www.interfax-russia.ru/military/news_eng/344320</x:v>
      </x:c>
      <x:c r="O73" s="4" t="str">
        <x:v>Source 1: partial page; search extract
Source 2: full page
Source 3: search extract</x:v>
      </x:c>
      <x:c r="P73" s="20" t="n">
        <x:v>1</x:v>
      </x:c>
      <x:c r="Q73" s="4" t="str">
        <x:v>Central Asia and Caucasus</x:v>
      </x:c>
      <x:c r="R73" s="4" t="str">
        <x:v>Included</x:v>
      </x:c>
    </x:row>
    <x:row r="74" ht="246" hidden="0" customHeight="1">
      <x:c r="A74" s="16" t="str">
        <x:v>CC025</x:v>
      </x:c>
      <x:c r="B74" s="4" t="str">
        <x:v>Uzbekistan restricts Afghanistan passenger land crossing</x:v>
      </x:c>
      <x:c r="C74" s="4" t="str">
        <x:v>Uzbekistan; Afghanistan</x:v>
      </x:c>
      <x:c r="D74" s="4" t="str">
        <x:v>Termez/Ayritom–Hairatan Friendship Bridge
Termez/Ayritom–Hairatan crossing</x:v>
      </x:c>
      <x:c r="E74" s="4" t="str">
        <x:v>Private passengers, including Afghans seeking refuge
Direction: Passenger entry and travel through the crossing
Exceptions: Freight, authorized cases and later Airitom free-trade-zone visits; December 2021 operational reporting also noted possible non-Afghan passenger access.</x:v>
      </x:c>
      <x:c r="F74" s="4" t="str">
        <x:v>CC025-D1 — Observed operation
Ordinary Afghan civilian passenger entry into Uzbekistan through Termez/Ayritom–Hairatan, excluding freight, authorized cases and free-trade-zone visits.
Start: 2021-06-01 to 2021-08-31.
Observed scoped reopening: 2025-11-23.
1545–1636 calendar-day difference; scoped endpoint only</x:v>
      </x:c>
      <x:c r="G74" s="4" t="str">
        <x:v>Security / Armed conflict and military confrontation
Analytical interpretation of reported context
Applies to: August 2021 conflict/takeover phase
MFA expressly cited security during the Taliban takeover; no hidden objective is inferred.
Migration / Entry and asylum control
Attributed official justification
Applies to: August 2021 admission restriction
Uzbek MFA explicitly refused Afghan refugee accommodation and threatened to stop unauthorized crossings; evacuation transit was treated separately.
Health and biosecurity / Human disease control
Reported reason
Applies to: June 2021 health restriction announced June 23
Fresh full Kun.uz body quotes the Health Ministry; diplomatic, international-driver and citizen-return exemptions remained. Exact first enforcement day and overlap with later security restrictions are not established.</x:v>
      </x:c>
      <x:c r="H74" s="4" t="str">
        <x:v>June versus August 2021 may describe different phases. Operational reporting separately dates later complete inward restriction from October 29 and outward restriction from November 7, 2021 and notes possible non-Afghan passage. The timed phase is limited to ordinary Afghan entry into Uzbekistan. November 23, 2025 is the Chamber-confirmed resumption; third-country eligibility remains outside that claim.
CC025-D1: June–August 2021 bounds preserve conflicting onset retrospectives and may encompass distinct tightening phases. December 2021 operational reporting separately dates complete inward passenger closure from October 29 and outward closure from November 7, while noting possible non-Afghan passage. Those categories and the reverse direction are not timed by this phase. The November 23, 2025 endpoint is the Chamber-confirmed resumption, not the December announcement.</x:v>
      </x:c>
      <x:c r="I74" s="4" t="str">
        <x:v>Targeted source review (REC50-R24); retained with recorded qualifications; evidence limits retained.</x:v>
      </x:c>
      <x:c r="J74" s="18" t="d">
        <x:v>2026-10-25T00:00:00.000Z</x:v>
      </x:c>
      <x:c r="K74" s="21" t="str">
        <x:f>IFERROR(HYPERLINK("https://agerpres.ro/politic-extern/2025/12/03/uzbekistanul-si-a-redeschis-in-totalitate-granita-cu-afganistanul-inchisa-dupa-revenirea-la-putere-a--1508347","agerpres.ro"),"agerpres.ro")</x:f>
        <x:v>agerpres.ro</x:v>
      </x:c>
      <x:c r="L74" s="21" t="str">
        <x:f>IFERROR(HYPERLINK("https://tashkenttimes.uz/business/16542-termez-hayraton-bridge-opens-for-pedestrians-after-4-year-hiatus","tashkenttimes.uz"),"tashkenttimes.uz")</x:f>
        <x:v>tashkenttimes.uz</x:v>
      </x:c>
      <x:c r="M74" s="21" t="str">
        <x:f>IFERROR(HYPERLINK("https://kuwaittimes.com/article/36628/world/asia/uzbekistan-reopens-afghan-border-closed-since-2021/amp/","Kuwait Times"),"Kuwait Times")</x:f>
        <x:v>Kuwait Times</x:v>
      </x:c>
      <x:c r="N74" s="4" t="str">
        <x:v>https://agerpres.ro/politic-extern/2025/12/03/uzbekistanul-si-a-redeschis-in-totalitate-granita-cu-afganistanul-inchisa-dupa-revenirea-la-putere-a--1508347
https://tashkenttimes.uz/business/16542-termez-hayraton-bridge-opens-for-pedestrians-after-4-year-hiatus
https://kuwaittimes.com/article/36628/world/asia/uzbekistan-reopens-afghan-border-closed-since-2021/amp/
https://s3.eu-west-1.amazonaws.com/logcluster-web-prod-files/public/2021-12/afg_lwg_meeting_minutes_211215.pdf
https://apa.az/en/xeber/cis-countries-news/afghan-border-closed-no-traffic-through-termez-checkpoint-uzbek-foreign-ministry-356807
https://kun.uz/en/news/2021/06/23/coronavirus-movement-of-citizens-across-the-uzbek-afghan-border-will-be-suspended
https://kun.uz/en/news/2021/08/30/mfa-comments-on-reports-about-opening-of-borders-with-afghanistan
https://kun.uz/en/news/2025/12/02/uzbekistan-and-afghanistan-reopen-termez-hairaton-border-for-citizens
https://uz.kursiv.media/en/2025-12-03/uzbekistan-and-afghanistan-reopen-termez-hayraton-border-crossing/</x:v>
      </x:c>
      <x:c r="O74" s="4" t="str">
        <x:v>Source 1: full
Source 2: indexed excerpt
Source 3: body</x:v>
      </x:c>
      <x:c r="P74" s="20" t="n">
        <x:v>1</x:v>
      </x:c>
      <x:c r="Q74" s="4" t="str">
        <x:v>Central Asia and Caucasus</x:v>
      </x:c>
      <x:c r="R74" s="4" t="str">
        <x:v>Included</x:v>
      </x:c>
    </x:row>
    <x:row r="75" ht="162" hidden="0" customHeight="1">
      <x:c r="A75" s="16" t="str">
        <x:v>CC001</x:v>
      </x:c>
      <x:c r="B75" s="4" t="str">
        <x:v>Kyrgyzstan closure to Tajik nationals and goods after border fighting</x:v>
      </x:c>
      <x:c r="C75" s="4" t="str">
        <x:v>Kyrgyzstan; Tajikistan</x:v>
      </x:c>
      <x:c r="D75" s="4" t="str">
        <x:v>Kulundu; Kairagach; Kyzyl-Bel; Bordobo; Karamyk
Five Kyrgyz–Tajik land checkpoints</x:v>
      </x:c>
      <x:c r="E75" s="4" t="str">
        <x:v>Tajik nationals, goods and vehicles
Direction: Entry/exit/transit restrictions imposed by Kyrgyzstan
Exceptions: Diplomats and approved officials; citizens returning to their own country</x:v>
      </x:c>
      <x:c r="F75" s="4" t="str">
        <x:v>CC001-D1 — Formal policy
Additional Kyrgyz conflict-related restriction on Tajik nationals and goods at Kairagach and Kyzyl-Bel, to formal restoration at those posts.
Start: 2021-05-21.
Policy endpoint: 2025-03-13.
Formal policy: 1392 calendar-day difference; operational continuity not established</x:v>
      </x:c>
      <x:c r="G75"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Territorial and frontier disputes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75" s="4" t="str">
        <x:v>CC001-D1: Formal scope only: diplomats, approved officials and return-home travel were excepted. Earlier pandemic measures overlapped. The other three checkpoints and first actual ordinary traffic are not assigned this endpoint. A March 18 report attributes 4,414 land passages at these posts during March 13–17 to the Kyrgyz Border Service; 477 air travelers are excluded. Those counts establish reported use by the window, but not first passage of the previously barred Tajik cohort, all goods, or a continuous operational interval. Kazinform and Khovar cross-cite the same report.</x:v>
      </x:c>
      <x:c r="I75" s="4" t="str">
        <x:v>Targeted source review (REC50-R17); accepted qualification; evidence limits retained.</x:v>
      </x:c>
      <x:c r="J75" s="18" t="d">
        <x:v>2026-10-25T00:00:00.000Z</x:v>
      </x:c>
      <x:c r="K75" s="21" t="str">
        <x:f>IFERROR(HYPERLINK("https://24.kg/english/195054_Cabinet_of_Ministers_imposes_restrictions_on_border_with_Tajikistan/","24.kg"),"24.kg")</x:f>
        <x:v>24.kg</x:v>
      </x:c>
      <x:c r="L75" s="21" t="str">
        <x:f>IFERROR(HYPERLINK("https://en.kabar.kg/news/two-checkpoints-opened-on-kyrgyz-tajik-border/","Kabar"),"Kabar")</x:f>
        <x:v>Kabar</x:v>
      </x:c>
      <x:c r="M75" s="21" t="str">
        <x:f>IFERROR(HYPERLINK("https://eurasianet.org/kyrgyzstan-turns-back-tajik-nationals-as-tensions-persist","Eurasianet"),"Eurasianet")</x:f>
        <x:v>Eurasianet</x:v>
      </x:c>
      <x:c r="N75" s="4" t="str">
        <x:v>https://24.kg/english/195054_Cabinet_of_Ministers_imposes_restrictions_on_border_with_Tajikistan/
https://en.kabar.kg/news/two-checkpoints-opened-on-kyrgyz-tajik-border/
https://eurasianet.org/kyrgyzstan-turns-back-tajik-nationals-as-tensions-persist
https://qazinform.com/news/some-5000-people-cross-kyrgyz-tajik-border-since-its-reopening-3ba202
https://khovar.tj/rus/2025/03/okolo-5-tysyach-chelovek-peresekli-kyrgyzsko-tadzhikskuyu-granitsu-s-momenta-otkrytiya/
https://www.rferl.org/a/kyrgyzstan-tajik-passengers-ban/31274399.html
https://invest.gov.kg/en/news/vozobnovlena-rabota-kpp-todzhvaron-k</x:v>
      </x:c>
      <x:c r="O75" s="4" t="str">
        <x:v>Source 1: blocked page; search extract
Source 2: full text
Source 3: full page</x:v>
      </x:c>
      <x:c r="P75" s="20" t="n">
        <x:v>1</x:v>
      </x:c>
      <x:c r="Q75" s="4" t="str">
        <x:v>Central Asia and Caucasus</x:v>
      </x:c>
      <x:c r="R75" s="4" t="str">
        <x:v>Included</x:v>
      </x:c>
    </x:row>
    <x:row r="76" ht="186" hidden="0" customHeight="1">
      <x:c r="A76" s="16" t="str">
        <x:v>CC024</x:v>
      </x:c>
      <x:c r="B76" s="4" t="str">
        <x:v>Aqina trade disruption with reported Taliban access-road blockade</x:v>
      </x:c>
      <x:c r="C76" s="4" t="str">
        <x:v>Afghanistan; Turkmenistan</x:v>
      </x:c>
      <x:c r="D76" s="4" t="str">
        <x:v>Aqina–Ymamnazar
Reported cargo-access road obstruction affecting Aqina–Ymamnazar trade; exact roadblock location unresolved</x:v>
      </x:c>
      <x:c r="E76" s="4" t="str">
        <x:v>International transit and imports
Direction: Trade between Afghanistan and Turkmenistan
Exceptions: Not established</x:v>
      </x:c>
      <x:c r="F76" s="4" t="str">
        <x:v>CC024-FU1 — Observed operation
Reported road obstruction affecting cargo access to Aqina; exact roadblock location unresolved
Start: unknown.
Last confirmed: 2021-07-04. Reopening is not established.
dated evidence; numeric duration withheld; see qualification</x:v>
      </x:c>
      <x:c r="G76"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76" s="4" t="str">
        <x:v>Dari source recovered; access obstruction remains attributed to a named provincial official. Onset, clearance, precise roadblock location and independent corroboration remain missing.
CC024-FU1: Attributed road-obstruction observation only. Exact roadblock geometry, onset, clearance and continuity unknown; not independently verified and not a demonstrated border-gate closure.
duration: A July 4 dated roadblock allegation supports a censored observation, not an onset or continuous duration. July 11 port disruption is not proof the same roadblock persisted.
Current onset finding: July4 is a report-date confirmation only. Exact obstruction onset, clearance and uninterrupted duration remain unknown.
Current continuity finding: July4 is a report-date confirmation only. Exact obstruction onset, clearance and uninterrupted duration remain unknown.
endpoint: July4 is a report-date confirmation only. Exact obstruction onset, clearance and uninterrupted duration remain unknown.</x:v>
      </x:c>
      <x:c r="I76" s="4" t="str">
        <x:v>Retained baseline assessment. Correction pass: amended with stated qualifications</x:v>
      </x:c>
      <x:c r="J76" s="18" t="d">
        <x:v>2026-10-23T00:00:00.000Z</x:v>
      </x:c>
      <x:c r="K76" s="21" t="str">
        <x:f>IFERROR(HYPERLINK("https://da.azadiradio.com/a/31340108.html","Radio Azadi"),"Radio Azadi")</x:f>
        <x:v>Radio Azadi</x:v>
      </x:c>
      <x:c r="L76" s="21" t="str">
        <x:f>IFERROR(HYPERLINK("https://swn.af/en/2021/07/5296/","Salam Watandar"),"Salam Watandar")</x:f>
        <x:v>Salam Watandar</x:v>
      </x:c>
      <x:c r="M76" s="21" t="str">
        <x:f>IFERROR(HYPERLINK("https://wiki.unece.org/pages/viewpage.action?navigatingVersions=true&amp;pageId=172852545","UNECE"),"UNECE")</x:f>
        <x:v>UNECE</x:v>
      </x:c>
      <x:c r="N76" s="4" t="str">
        <x:v>https://da.azadiradio.com/a/31340108.html
https://swn.af/en/2021/07/5296/
https://wiki.unece.org/pages/viewpage.action?navigatingVersions=true&amp;pageId=172852545
https://www.mfa.gov.tm/ru/news/2750
https://www.mfa.gov.tm/index.php/en/news/2758
https://wiki.unece.org/pages/viewpage.action?navigatingVersions=true&amp;pageId=166723685
https://menafn.com/1102390651/Famine-feared-in-Faryab-after-rebels-seize-key-port
https://www.und.org.tr/medya-detay/duyurular/afganistan-turkmenistan-sinir-gecisi-aqina-gumruk-kapali
https://www.etilaatroz.com/130161/despite-collapse-of-ports-commercial-activity-continues-as-before/
https://www.mfa.gov.tm/en/news/2750
https://www.iru.org/intelligence/operational/flash-info/aqina-customs-office-border-crossing-point-between-afghanistan-and-turkmenistan-closed-international-transit</x:v>
      </x:c>
      <x:c r="O76" s="4" t="str">
        <x:v>Source 1: full page
Source 2: full
Source 3: indexed excerpt</x:v>
      </x:c>
      <x:c r="P76" s="20" t="n">
        <x:v>1</x:v>
      </x:c>
      <x:c r="Q76" s="4" t="str">
        <x:v>Central Asia and Caucasus</x:v>
      </x:c>
      <x:c r="R76" s="4" t="str">
        <x:v>Included</x:v>
      </x:c>
    </x:row>
    <x:row r="77" ht="162" hidden="0" customHeight="1">
      <x:c r="A77" s="16" t="str">
        <x:v>CC022</x:v>
      </x:c>
      <x:c r="B77" s="4" t="str">
        <x:v>Islam Qala–Dogharoun closure after road-construction standoff</x:v>
      </x:c>
      <x:c r="C77" s="4" t="str">
        <x:v>Afghanistan; Iran</x:v>
      </x:c>
      <x:c r="D77" s="4" t="str">
        <x:v>Islam Qala–Dogharoun
Islam Qala–Dogharoun crossing</x:v>
      </x:c>
      <x:c r="E77" s="4" t="str">
        <x:v>Crossing traffic; the specific documented reopening movement was freight. Passenger return was not separately established.
Direction: Restriction direction was not separately enumerated; the first documented return was from Iran to Afghanistan.
Exceptions: Not established</x:v>
      </x:c>
      <x:c r="F77" s="4" t="str">
        <x:v>CC022-D1 — Observed operation
Islam Qala–Dogharoun crossing interruption; reopening reported on 24 April, with the first specifically documented return a cargo truck from Iran into Afghanistan.
Start: 2022-04-23.
Observed scoped reopening: 2022-04-24.
1 calendar-day difference; scoped endpoint only</x:v>
      </x:c>
      <x:c r="G77"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Territorial and frontier disputes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77" s="4" t="str">
        <x:v>CC022-D1: Officials reported reopening on 24 April; the specifically documented return is an Iran-to-Afghanistan cargo truck. Passenger and reverse-direction resumption are not separately documented. The dates give a one-calendar-day difference, not measured elapsed hours.</x:v>
      </x:c>
      <x:c r="I77" s="4" t="str">
        <x:v>Targeted source review (REC50-R19); accepted qualification; evidence limits retained.</x:v>
      </x:c>
      <x:c r="J77" s="18" t="d">
        <x:v>2026-10-25T00:00:00.000Z</x:v>
      </x:c>
      <x:c r="K77" s="21" t="str">
        <x:f>IFERROR(HYPERLINK("https://www.aa.com.tr/en/asia-pacific/iran-closes-afghan-border-crossing-after-skirmishes-with-taliban/2571219","Anadolu Agency"),"Anadolu Agency")</x:f>
        <x:v>Anadolu Agency</x:v>
      </x:c>
      <x:c r="L77" s="21" t="str">
        <x:f>IFERROR(HYPERLINK("https://pajhwok.com/2022/04/25/afghanistan-iran-border-crossing-reopens/","Pajhwok Afghan News"),"Pajhwok Afghan News")</x:f>
        <x:v>Pajhwok Afghan News</x:v>
      </x:c>
      <x:c r="M77" s="21" t="str">
        <x:f>IFERROR(HYPERLINK("https://tribune.com.pk/story/2353942/iran-closes-afghan-border-crossing-after-skirmishes-with-taliban?amp=1","tribune.com.pk"),"tribune.com.pk")</x:f>
        <x:v>tribune.com.pk</x:v>
      </x:c>
      <x:c r="N77" s="4" t="str">
        <x:v>https://www.aa.com.tr/en/asia-pacific/iran-closes-afghan-border-crossing-after-skirmishes-with-taliban/2571219
https://pajhwok.com/2022/04/25/afghanistan-iran-border-crossing-reopens/
https://tribune.com.pk/story/2353942/iran-closes-afghan-border-crossing-after-skirmishes-with-taliban?amp=1</x:v>
      </x:c>
      <x:c r="O77" s="4" t="str">
        <x:v>Source 1: full text
Source 2: full text
Source 3: access detail is retained in the source catalogue.</x:v>
      </x:c>
      <x:c r="P77" s="20" t="n">
        <x:v>1</x:v>
      </x:c>
      <x:c r="Q77" s="4" t="str">
        <x:v>Central Asia and Caucasus</x:v>
      </x:c>
      <x:c r="R77" s="4" t="str">
        <x:v>Included</x:v>
      </x:c>
    </x:row>
    <x:row r="78" ht="318" hidden="0" customHeight="1">
      <x:c r="A78" s="16" t="str">
        <x:v>CC020</x:v>
      </x:c>
      <x:c r="B78" s="4" t="str">
        <x:v>Lachin corridor obstruction and tightening access restrictions</x:v>
      </x:c>
      <x:c r="C78" s="4" t="str">
        <x:v>Armenia; Azerbaijan</x:v>
      </x:c>
      <x:c r="D78" s="4" t="str">
        <x:v>Lachin corridor
Road linking Armenia with Nagorno-Karabakh</x:v>
      </x:c>
      <x:c r="E78" s="4" t="str">
        <x:v>Civilian movement, essential goods and humanitarian relief
Direction: Both directions; scope varied by phase
Exceptions: Intermittent ICRC aid and medical evacuations; aid passage on 18 September 2023</x:v>
      </x:c>
      <x:c r="F78" s="4" t="str">
        <x:v>CC020-D1 — Intermittent regime
Phased restriction of ordinary and humanitarian access along Lachin from the December protest obstruction through the August aid-access crisis; movement classes and mechanisms changed.
Start: 2022-12-12.
Last confirmed: 2023-08-18. Reopening is not established.
Intermittent regime envelope; total closed days unknown</x:v>
      </x:c>
      <x:c r="G78" s="4" t="str">
        <x:v>Policy and socioeconomic demands / Rights and other policy grievances
Reported reason
Applies to: December 2022–April 2023 protest obstruction
Self-described environmental protesters objected to alleged illegal mining and denied inspections; authenticity and state sponsorship remain contested.
Security / Smuggling and illicit trafficking
Attributed official justification
Applies to: April 23, 2023 checkpoint-control phase
Azerbaijan MFA alleged illicit movement of weapons, mines, natural resources and cultural property; the allegations are not treated as proved.
Security / Public order and immediate safety
Attributed official justification
Applies to: April 23, 2023 checkpoint-control phase
Azerbaijan MFA expressly described the checkpoint as ensuring security and safety of movement.
Interstate disputes and pressure / Territorial and frontier disputes
Attributed official justification
Applies to: April 23, 2023 checkpoint-control phase
Azerbaijan linked control to disputed military infrastructure, state sovereignty and the frontier; coding does not determine sovereignty or legality.</x:v>
      </x:c>
      <x:c r="H78" s="4" t="str">
        <x:v>CC020-D1: An envelope of protest obstruction, checkpoint control and tightening aid restrictions. Medical and family passage occurred, and ordinary passage in May/June was contested. August 18 is a last confirmation, not a reopening. Envelope length is not days fully closed.</x:v>
      </x:c>
      <x:c r="I78" s="4" t="str">
        <x:v>Retained baseline assessment. Amended after source reconciliation</x:v>
      </x:c>
      <x:c r="J78" s="18" t="d">
        <x:v>2026-10-23T00:00:00.000Z</x:v>
      </x:c>
      <x:c r="K78" s="21" t="str">
        <x:f>IFERROR(HYPERLINK("https://www.icj-cij.org/node/202558","icj-cij.org"),"icj-cij.org")</x:f>
        <x:v>icj-cij.org</x:v>
      </x:c>
      <x:c r="L78" s="21" t="str">
        <x:f>IFERROR(HYPERLINK("https://www.icrc.org/en/document/azerbaijan-armenia-sides-must-reach-humanitarian-consensus-to-ease-suffering","ICRC"),"ICRC")</x:f>
        <x:v>ICRC</x:v>
      </x:c>
      <x:c r="M78" s="21" t="str">
        <x:f>IFERROR(HYPERLINK("https://www.icrc.org/en/document/azerbaijanarmenia-icrc-calls-civilians-be-protected","ICRC"),"ICRC")</x:f>
        <x:v>ICRC</x:v>
      </x:c>
      <x:c r="N78" s="4" t="str">
        <x:v>https://www.icj-cij.org/node/202558
https://www.icrc.org/en/document/azerbaijan-armenia-sides-must-reach-humanitarian-consensus-to-ease-suffering
https://www.icrc.org/en/document/azerbaijanarmenia-icrc-calls-civilians-be-protected
https://www.icj-cij.org/node/202958
https://www.icrc.org/en/document/operational-update-situation-along-lachin-corridor
https://eurasianet.org/azerbaijani-activists-end-blockade-of-nagorno-karabakh
https://commonslibrary.parliament.uk/research-briefings/cdp-2023-0015/
https://www.icrc.org/en/document/operational-update-icrcs-work-across-lachin-corridor
https://efe.com/latest-news/2023-09-24/armenians-in-karabakh-to-leave-amid-ethnic-cleansing-fears-after-azerbaijans-victory/
https://www.icj-cij.org/node/202552
https://www.mfa.gov.az/en/news/no22023
https://berlin.mfa.gov.az/en/news/ministry-of-foreign-affairs-of-the-republic-of-azerbaijan-has-issued-a-statement-on-the-establishment-of-a-border-checkpoint-at-the-beginning-of-the-lachin-khankandi-road</x:v>
      </x:c>
      <x:c r="O78" s="4" t="str">
        <x:v>Source 1: indexed excerpt
Source 2: full
Source 3: full page</x:v>
      </x:c>
      <x:c r="P78" s="20" t="n">
        <x:v>1</x:v>
      </x:c>
      <x:c r="Q78" s="4" t="str">
        <x:v>Central Asia and Caucasus</x:v>
      </x:c>
      <x:c r="R78" s="4" t="str">
        <x:v>Included</x:v>
      </x:c>
    </x:row>
    <x:row r="79" ht="126" hidden="0" customHeight="1">
      <x:c r="A79" s="16" t="str">
        <x:v>CC032</x:v>
      </x:c>
      <x:c r="B79" s="4" t="str">
        <x:v>Abkhaz restriction on exit via Enguri ahead of Tbilisi opposition rally</x:v>
      </x:c>
      <x:c r="C79" s="4" t="str">
        <x:v>Georgia</x:v>
      </x:c>
      <x:c r="D79" s="4" t="str">
        <x:v>Enguri bridge
Enguri crossing exit towards Georgian-controlled territory</x:v>
      </x:c>
      <x:c r="E79" s="4" t="str">
        <x:v>People leaving Abkhazia
Direction: One-way exit restriction
Exceptions: Medical travellers, elderly and Enguri hydropower staff; entry into Abkhazia unchanged</x:v>
      </x:c>
      <x:c r="F79" s="4" t="str">
        <x:v>CC032-D1 — Formal policy
Exit from Abkhazia through Enguri under the rally-related restriction.
Start: 2023-04-07.
Policy endpoint: 2023-04-10.
Formal policy: 3 calendar-day difference; operational continuity not established</x:v>
      </x:c>
      <x:c r="G79" s="4" t="str">
        <x:v>Power and regime politics / Opposition and political reform
Reported reason
Applies to: April 2023 rally-related restriction
Authority explicitly linked the restriction to the April 9 opposition rally; no hidden motive is inferred.
Security / Public order and immediate safety
Attributed official justification
Applies to: April 2023 rally-related restriction
Latipov cited possible destabilization and safety of the population.</x:v>
      </x:c>
      <x:c r="H79" s="4" t="str">
        <x:v>CC032-D1: Formal policy dates only, from one authority-reporting chain. Entry into Abkhazia remained unchanged; medical travellers, older people and hydropower staff had exceptions. Physical resumption is not observed.</x:v>
      </x:c>
      <x:c r="I79" s="4" t="str">
        <x:v>Retained baseline assessment. Amended after source reconciliation</x:v>
      </x:c>
      <x:c r="J79" s="18" t="d">
        <x:v>2026-10-23T00:00:00.000Z</x:v>
      </x:c>
      <x:c r="K79" s="21" t="str">
        <x:f>IFERROR(HYPERLINK("https://civil.ge/archives/536797","Civil.ge"),"Civil.ge")</x:f>
        <x:v>Civil.ge</x:v>
      </x:c>
      <x:c r="L79" s="21" t="str">
        <x:f>IFERROR(HYPERLINK("https://civil.ge/archives/537045","Civil.ge"),"Civil.ge")</x:f>
        <x:v>Civil.ge</x:v>
      </x:c>
      <x:c r="M79" s="21" t="str">
        <x:f>IFERROR(HYPERLINK("https://www.apsnypress.info/ru/item/4821-snyaty-ogranicheniya-na-vyezd-iz-abkhazii-cherez-reku-ingur","Apsnypress"),"Apsnypress")</x:f>
        <x:v>Apsnypress</x:v>
      </x:c>
      <x:c r="N79" s="4" t="str">
        <x:v>https://civil.ge/archives/536797
https://civil.ge/archives/537045
https://www.apsnypress.info/ru/item/4821-snyaty-ogranicheniya-na-vyezd-iz-abkhazii-cherez-reku-ingur
https://civil.ge/archives/536797/amp
https://civil.ge/archives/537045/amp
https://sovanews.tv/2023/04/08/de-fakto-vlasti-abhazii-zakryli-graniczu-opasayas-destabilizaczii-v-gruzii-iz-za-protestov/</x:v>
      </x:c>
      <x:c r="O79" s="4" t="str">
        <x:v>Source 1: full page
Source 2: full page
Source 3: full page</x:v>
      </x:c>
      <x:c r="P79" s="20" t="n">
        <x:v>1</x:v>
      </x:c>
      <x:c r="Q79" s="4" t="str">
        <x:v>Central Asia and Caucasus</x:v>
      </x:c>
      <x:c r="R79" s="4" t="str">
        <x:v>Included</x:v>
      </x:c>
    </x:row>
    <x:row r="80" ht="78" hidden="0" customHeight="1">
      <x:c r="A80" s="16" t="str">
        <x:v>CC023</x:v>
      </x:c>
      <x:c r="B80" s="4" t="str">
        <x:v>Milak–Zaranj closure after Iran–Taliban clashes</x:v>
      </x:c>
      <x:c r="C80" s="4" t="str">
        <x:v>Afghanistan; Iran</x:v>
      </x:c>
      <x:c r="D80" s="4" t="str">
        <x:v>Milak–Zaranj
Milak–Zaranj commercial crossing</x:v>
      </x:c>
      <x:c r="E80" s="4" t="str">
        <x:v>Cross-border trade; passenger scope unverified
Direction: Commercial crossing closed
Exceptions: Not established</x:v>
      </x:c>
      <x:c r="F80" s="4" t="str">
        <x:v>CC023-D1 — Observed operation
Milak–Zaranj commercial crossing; Cross-border trade; passenger scope unverified; Commercial crossing closed
Start: 2023-05-27.
Observed scoped reopening: 2023-05-28.
1 calendar-day difference; scoped endpoint only</x:v>
      </x:c>
      <x:c r="G80"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80" s="4" t="str">
        <x:v>CC023-D1: One official reporting lineage for the trade endpoint; do not generalise to the entire Iran–Afghan frontier. Not established</x:v>
      </x:c>
      <x:c r="I80" s="4" t="str">
        <x:v>Targeted source review (REC50-R34); retained with recorded qualifications; evidence limits retained.</x:v>
      </x:c>
      <x:c r="J80" s="18" t="d">
        <x:v>2026-10-25T00:00:00.000Z</x:v>
      </x:c>
      <x:c r="K80" s="21" t="str">
        <x:f>IFERROR(HYPERLINK("https://kabulnow.com/2023/05/afghanistan-iran-nimroz-crossing-reopens-day-after-border-clashes/","KabulNow"),"KabulNow")</x:f>
        <x:v>KabulNow</x:v>
      </x:c>
      <x:c r="L80" s="21"/>
      <x:c r="M80" s="21"/>
      <x:c r="N80" s="4" t="str">
        <x:v>https://kabulnow.com/2023/05/afghanistan-iran-nimroz-crossing-reopens-day-after-border-clashes/</x:v>
      </x:c>
      <x:c r="O80" s="4" t="str">
        <x:v>Source 1: full text</x:v>
      </x:c>
      <x:c r="P80" s="20" t="n">
        <x:v>1</x:v>
      </x:c>
      <x:c r="Q80" s="4" t="str">
        <x:v>Central Asia and Caucasus</x:v>
      </x:c>
      <x:c r="R80" s="4" t="str">
        <x:v>Included</x:v>
      </x:c>
    </x:row>
    <x:row r="81" ht="162" hidden="0" customHeight="1">
      <x:c r="A81" s="16" t="str">
        <x:v>CC031</x:v>
      </x:c>
      <x:c r="B81" s="4" t="str">
        <x:v>South Ossetian election-period closure of normally limited crossings</x:v>
      </x:c>
      <x:c r="C81" s="4" t="str">
        <x:v>Georgia</x:v>
      </x:c>
      <x:c r="D81" s="4" t="str">
        <x:v>Odzisi/Akhalgori; wider simplified crossing points
Crossings with Georgian-controlled territory; Akhalgori specifically verified</x:v>
      </x:c>
      <x:c r="E81" s="4" t="str">
        <x:v>Local residents ordinarily eligible to cross
Direction: Both directions
Exceptions: Not established</x:v>
      </x:c>
      <x:c r="F81" s="4" t="str">
        <x:v>CC031-R1 — Announced window
Election-specific suspension of Razdakhan/Akhalgori and Pereu simplified crossings
Start: 2024-10-25.
Scheduled endpoint: 2024-10-28.
Contested: Ordered window: dated evidence; numeric duration withheld; see qualification
Held evidence: excluded from numeric duration and animation displays.</x:v>
      </x:c>
      <x:c r="G81"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81" s="4" t="str">
        <x:v>CC031-R1: Interfax assigns October 25–28 at 08:00 to crossing closure; the original October 10 KGB notice and its English translation assign those times to enhanced service and state that the crossings will not operate in October. Exact special-closure bounds remain unresolved.
phase CC031-R1 start/end: Fresh original-language retrieval sustains the conflict: precise October 25–28 times describe enhanced security service. No new original operating order resolves crossing onset/reopening; retain existing contested phase hold.</x:v>
      </x:c>
      <x:c r="I81" s="4" t="str">
        <x:v>Retained baseline assessment. Follow-up adjudicated; retain</x:v>
      </x:c>
      <x:c r="J81" s="18" t="d">
        <x:v>2026-10-23T00:00:00.000Z</x:v>
      </x:c>
      <x:c r="K81" s="21" t="str">
        <x:f>IFERROR(HYPERLINK("https://civil.ge/archives/628008","Civil Georgia"),"Civil Georgia")</x:f>
        <x:v>Civil Georgia</x:v>
      </x:c>
      <x:c r="L81" s="21" t="str">
        <x:f>IFERROR(HYPERLINK("https://interfax.com/newsroom/top-stories/106488/","Interfax"),"Interfax")</x:f>
        <x:v>Interfax</x:v>
      </x:c>
      <x:c r="M81" s="21" t="str">
        <x:f>IFERROR(HYPERLINK("https://cominf.org/en/node/1166559168","RES"),"RES")</x:f>
        <x:v>RES</x:v>
      </x:c>
      <x:c r="N81" s="4" t="str">
        <x:v>https://civil.ge/archives/628008
https://interfax.com/newsroom/top-stories/106488/
https://cominf.org/en/node/1166559168
https://cominf.org/node/1166559172
https://www.ombudsman.ge/res/docs/2025091211433999093.pdf
https://www.theioi.org/downloads/a78qh/Georgia%20-%20Annual%20report%20-%202024.pdf
https://cominf.org/en/node/1166559205</x:v>
      </x:c>
      <x:c r="O81" s="4" t="str">
        <x:v>Source 1: full
Source 2: full
Source 3: indexed excerpt; full</x:v>
      </x:c>
      <x:c r="P81" s="20" t="n">
        <x:v>1</x:v>
      </x:c>
      <x:c r="Q81" s="4" t="str">
        <x:v>Central Asia and Caucasus</x:v>
      </x:c>
      <x:c r="R81" s="4" t="str">
        <x:v>Included</x:v>
      </x:c>
    </x:row>
    <x:row r="82" ht="162" hidden="0" customHeight="1">
      <x:c r="A82" s="16" t="str">
        <x:v>CC030</x:v>
      </x:c>
      <x:c r="B82" s="4" t="str">
        <x:v>Abkhaz election-period restriction ordered at Enguri</x:v>
      </x:c>
      <x:c r="C82" s="4" t="str">
        <x:v>Georgia</x:v>
      </x:c>
      <x:c r="D82" s="4" t="str">
        <x:v>Enguri bridge
Enguri crossing</x:v>
      </x:c>
      <x:c r="E82" s="4" t="str">
        <x:v>Ordinary non-exempt travellers; duration scope is departures from Abkhazia via Enguri
Direction: Movement restricted; returning residents exempt
Exceptions: Returning residents and electricity-system personnel</x:v>
      </x:c>
      <x:c r="F82" s="4" t="str">
        <x:v>CC030-D1 — Observed operation
Enguri crossing; Ordinary non-exempt travellers; duration scope is departures from Abkhazia via Enguri; Movement restricted; returning residents exempt
Start: 2024-10-23.
Observed scoped reopening: 2024-10-30.
7 calendar-day difference; scoped endpoint only</x:v>
      </x:c>
      <x:c r="G82"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82" s="4" t="str">
        <x:v>CC030-D1: Radio Atinati reports citizens crossing in both directions from the morning of 30 October and confirms closure began 23 October. Resident returns and electricity personnel were exceptions; this was not complete impermeability. Returning residents and electricity-system personnel</x:v>
      </x:c>
      <x:c r="I82" s="4" t="str">
        <x:v>Retained baseline assessment. Retained with recorded qualifications</x:v>
      </x:c>
      <x:c r="J82" s="18" t="d">
        <x:v>2026-10-23T00:00:00.000Z</x:v>
      </x:c>
      <x:c r="K82" s="21" t="str">
        <x:f>IFERROR(HYPERLINK("https://civil.ge/archives/628865","civil.ge"),"civil.ge")</x:f>
        <x:v>civil.ge</x:v>
      </x:c>
      <x:c r="L82" s="21" t="str">
        <x:f>IFERROR(HYPERLINK("https://www.radioatinati.ge/regioni/article/86460-enguris-khidi-gaikhsna.html","radioatinati.ge"),"radioatinati.ge")</x:f>
        <x:v>radioatinati.ge</x:v>
      </x:c>
      <x:c r="M82" s="21" t="str">
        <x:f>IFERROR(HYPERLINK("https://archive20222024.apsnypress.info/ru/home/novosti/item/13473-s-23-po-30-oktyabrya-budet-priostanovlen-propusk-grazhdan-cherez-kpp-ingur","archive20222024.apsnypress.info"),"archive20222024.apsnypress.info")</x:f>
        <x:v>archive20222024.apsnypress.info</x:v>
      </x:c>
      <x:c r="N82" s="4" t="str">
        <x:v>https://civil.ge/archives/628865
https://www.radioatinati.ge/regioni/article/86460-enguris-khidi-gaikhsna.html
https://archive20222024.apsnypress.info/ru/home/novosti/item/13473-s-23-po-30-oktyabrya-budet-priostanovlen-propusk-grazhdan-cherez-kpp-ingur</x:v>
      </x:c>
      <x:c r="O82" s="4" t="str">
        <x:v>Source 1: full
Source 2: full
Source 3: access detail is retained in the source catalogue.</x:v>
      </x:c>
      <x:c r="P82" s="20" t="n">
        <x:v>1</x:v>
      </x:c>
      <x:c r="Q82" s="4" t="str">
        <x:v>Central Asia and Caucasus</x:v>
      </x:c>
      <x:c r="R82" s="4" t="str">
        <x:v>Included</x:v>
      </x:c>
    </x:row>
    <x:row r="83" ht="282" hidden="0" customHeight="1">
      <x:c r="A83" s="16" t="str">
        <x:v>CC012</x:v>
      </x:c>
      <x:c r="B83" s="4" t="str">
        <x:v>Tajikistan pandemic foreign entry/exit restrictions</x:v>
      </x:c>
      <x:c r="C83" s="4" t="str">
        <x:v>Tajikistan; Uzbekistan; Kyrgyzstan; China; Afghanistan</x:v>
      </x:c>
      <x:c r="D83" s="4" t="str">
        <x:v>Not individually enumerated
National foreign-traveller controls; verified easing on Uzbekistan frontier</x:v>
      </x:c>
      <x:c r="E83" s="4" t="str">
        <x:v>Foreign citizens and stateless travellers
Direction: Entry and exit
Exceptions: Diplomats, international organisations, international freight/rail crews; exceptional authorised departure</x:v>
      </x:c>
      <x:c r="F83" s="4" t="str">
        <x:v>CC012-FU1 — Formal policy
Tajik-side Uzbekistan-frontier checkpoints, normal crossing regime restored subject to health documents
Start: unknown.
Policy endpoint: 2022-03-15.
Formal policy: dated evidence; numeric duration withheld; see qualification</x:v>
      </x:c>
      <x:c r="G8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83" s="4" t="str">
        <x:v>CC012-FU1: Endpoint-only legal easing. Full page retrieval failed but substantial official indexed text is available. No operational first traveller, national onset, reciprocal Uzbek date, or other-frontier reopening inferred.
duration: A legal easing endpoint for the Uzbekistan frontier is supported. The national foreign-entry restriction’s exact onset and matched continuity remain unresolved.
Current onset finding: Official indexed Tajik embassy text confirms normal Uzbekistan-frontier regime from 15 March 2022 subject to health documents. Direct pages returned 503. No matched onset, other-frontier easing or first actual traveller is established, so endpoint-only policy treatment remains appropriate.
Current continuity finding: No evidence establishes uninterrupted enforcement between the dated observations or actual lifting of an announced order.</x:v>
      </x:c>
      <x:c r="I83" s="4" t="str">
        <x:v>Retained baseline assessment. Correction pass: reviewed; see attribute findings</x:v>
      </x:c>
      <x:c r="J83" s="18" t="d">
        <x:v>2026-10-23T00:00:00.000Z</x:v>
      </x:c>
      <x:c r="K83" s="21" t="str">
        <x:f>IFERROR(HYPERLINK("https://www.mfa.tj/ru/main/view/9890/reshenie-respublikanskogo-shtaba-po-predotvrashcheniyu-rasprostraneniya-koronavirusa-v-tadzhikistane","mfa.tj"),"mfa.tj")</x:f>
        <x:v>mfa.tj</x:v>
      </x:c>
      <x:c r="L83" s="21" t="str">
        <x:f>IFERROR(HYPERLINK("https://www.mfa.tj/ru/tashkent/view/9937/s-15-marta-deyatelnost-propusknykh-punktov-gosudarstvennoi-granitsy-tadzhikistana-s-uzbekistanom-perevoditsya-na-obychnyi-rezhim","mfa.tj"),"mfa.tj")</x:f>
        <x:v>mfa.tj</x:v>
      </x:c>
      <x:c r="M83" s="21" t="str">
        <x:f>IFERROR(HYPERLINK("https://www.mfa.tj/en/main/view/5919/temporary-restrictions-on-the-entry-and-exit-of-all-foreign-citizens-and-stateless-persons-through-all-checkpoints-on-the-state-border-of-tajikistan","Tajik MFA"),"Tajik MFA")</x:f>
        <x:v>Tajik MFA</x:v>
      </x:c>
      <x:c r="N83" s="4" t="str">
        <x:v>https://www.mfa.tj/ru/main/view/9890/reshenie-respublikanskogo-shtaba-po-predotvrashcheniyu-rasprostraneniya-koronavirusa-v-tadzhikistane
https://www.mfa.tj/ru/tashkent/view/9937/s-15-marta-deyatelnost-propusknykh-punktov-gosudarstvennoi-granitsy-tadzhikistana-s-uzbekistanom-perevoditsya-na-obychnyi-rezhim
https://www.mfa.tj/en/main/view/5919/temporary-restrictions-on-the-entry-and-exit-of-all-foreign-citizens-and-stateless-persons-through-all-checkpoints-on-the-state-border-of-tajikistan
https://www.mfa.tj/en/main/view/9890/decision-of-the-republican-task-force-to-strengthen-anti-epidemic-measures-to-prevent-the-spread-of-the-infectious-disease-covid-19
https://asiaplus.news/en/2022/03/29/majlisi-namoyandagon-board-approves-amendments-made-to-the-tajik-uzbek-agreement-on-mutual-travels/
https://asiaplus.news/en/2022/03/09/tajikistan-to-reopen-all-bcps-along-its-common-border-with-uzbekistan-on-march-15/
https://www.mfa.tj/ru/main/view/5919/vremennye-ogranicheniya-na-vezd-i-vyezd-inostrannykh-grazhdan-i-lits-bez-grazhdanstva-cherez-punkty-propuska-na-gosudarstvennoi-granitse-tadzhikistana
https://ghsindex.org/wp-content/uploads/2021/12/Tajikistan.pdf
https://kun.uz/en/news/2022/03/08/tajikistan-to-resume-normal-operation-of-checkpoints-on-border-with-uzbekistan
https://mfa.tj/ru/main/view/5890/soobshchenie-o-vremennom-zakrytii-gosudarstvennoi-granitsy-tadzhikistana-s-kyrgyzstanom
https://mid.tj/index.php/en/main/view/9890/decision-of-the-republican-task-force-to-strengthen-anti-epidemic-measures-to-prevent-the-spread-of-the-infectious-disease-covid-19
https://wiki.unece.org/spaces/CTRBSBC/pages/101548526/Tajikistan
https://interfax.com/newsroom/top-stories/68401/</x:v>
      </x:c>
      <x:c r="O83" s="4" t="str">
        <x:v>Source 1: access detail is retained in the source catalogue.
Source 2: access detail is retained in the source catalogue.
Source 3: indexed excerpt; failed</x:v>
      </x:c>
      <x:c r="P83" s="20" t="n">
        <x:v>1</x:v>
      </x:c>
      <x:c r="Q83" s="4" t="str">
        <x:v>Central Asia and Caucasus</x:v>
      </x:c>
      <x:c r="R83" s="4" t="str">
        <x:v>Included</x:v>
      </x:c>
    </x:row>
    <x:row r="84" ht="126" hidden="0" customHeight="1">
      <x:c r="A84" s="16" t="str">
        <x:v>CC027</x:v>
      </x:c>
      <x:c r="B84" s="4" t="str">
        <x:v>Uzbekistan–Tajikistan longstanding local checkpoint closures eased in 2018</x:v>
      </x:c>
      <x:c r="C84" s="4" t="str">
        <x:v>Uzbekistan; Tajikistan</x:v>
      </x:c>
      <x:c r="D84" s="4" t="str">
        <x:v>Jarteppa; Qushkent; Uchturgan; Khavastabad; Bekabad; Pap; Ravat; Gulbahor (spellings vary)
Selected road crossings; separate rail reopening phase</x:v>
      </x:c>
      <x:c r="E84" s="4" t="str">
        <x:v>Local passengers and trade at selected posts
Direction: Both directions at affected posts
Exceptions: Other crossings, including Dousti and Fotehobod, remained available</x:v>
      </x:c>
      <x:c r="F84" s="4" t="str">
        <x:v>CC027-FU1 — Formal policy
Jartepa, Kushkent, Uchkurgan, Khavastabad, Bekabad, Pap, Ravat and Gulbahor road checkpoints only
Start: unknown.
Policy endpoint: 2018-03-01.
Formal policy: dated evidence; numeric duration withheld; see qualification</x:v>
      </x:c>
      <x:c r="G84" s="4" t="str">
        <x:v>Interstate disputes and pressure / Diplomatic disputes and retaliation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84" s="4" t="str">
        <x:v>CC027-FU1: Endpoint-only formal reopening; individual onsets and prior exceptions are unknown. Excludes Amuzang rail and avoids treating mixed ten-post reporting or rounded years as a common interval.
duration: Eight named road posts have a March 1 permission endpoint, separate from railway operation. Their different historical onsets and any prior partial access remain unresolved.
Current onset finding: Two reports of the same Uzbek MFA announcement name eight road posts and one rail post reopened 1 March 2018. The road-only list is supported. Individual closure starts and prior access exceptions are unknown; the ceremony cannot supply a common multi-year duration.
Current continuity finding: No evidence establishes uninterrupted enforcement between the dated observations or actual lifting of an announced order.</x:v>
      </x:c>
      <x:c r="I84" s="4" t="str">
        <x:v>Retained baseline assessment. Correction pass: reviewed; see attribute findings</x:v>
      </x:c>
      <x:c r="J84" s="18" t="d">
        <x:v>2026-10-23T00:00:00.000Z</x:v>
      </x:c>
      <x:c r="K84" s="21" t="str">
        <x:f>IFERROR(HYPERLINK("https://www.uzdaily.uz/en/nine-checkpoints-at-uzbek-tajik-border-opened/","UzDaily"),"UzDaily")</x:f>
        <x:v>UzDaily</x:v>
      </x:c>
      <x:c r="L84" s="21" t="str">
        <x:f>IFERROR(HYPERLINK("https://en.archive.kabar.kg/news/nine-checkpoints-resume-operation-on-uzbek-tajik-border/","en.archive.kabar.kg"),"en.archive.kabar.kg")</x:f>
        <x:v>en.archive.kabar.kg</x:v>
      </x:c>
      <x:c r="M84" s="21" t="str">
        <x:f>IFERROR(HYPERLINK("https://asiaplus.news/en/2018/03/01/ten-border-crossing-points-reopen-along-tajik-uzbek-border/","Asia-Plus"),"Asia-Plus")</x:f>
        <x:v>Asia-Plus</x:v>
      </x:c>
      <x:c r="N84" s="4" t="str">
        <x:v>https://www.uzdaily.uz/en/nine-checkpoints-at-uzbek-tajik-border-opened/
https://en.archive.kabar.kg/news/nine-checkpoints-resume-operation-on-uzbek-tajik-border/
https://asiaplus.news/en/2018/03/01/ten-border-crossing-points-reopen-along-tajik-uzbek-border/
https://mfa.tj/ru/main/view/2993/informatsionnoe-soobshchenie-ob-otkrytii-punktov-propuska-cherez-tadzhiksko-uzbekskuyu-gosudarstvennuyu-granitsu
https://www.aa.com.tr/tr/dunya/ozbekistan-tacikistan-sinir-kapilari-10-yil-sonra-yeniden-acildi/1077528</x:v>
      </x:c>
      <x:c r="O84" s="4" t="str">
        <x:v>Source 1: indexed excerpt
Source 2: access detail is retained in the source catalogue.
Source 3: full</x:v>
      </x:c>
      <x:c r="P84" s="20" t="n">
        <x:v>1</x:v>
      </x:c>
      <x:c r="Q84" s="4" t="str">
        <x:v>Central Asia and Caucasus</x:v>
      </x:c>
      <x:c r="R84" s="4" t="str">
        <x:v>Included</x:v>
      </x:c>
    </x:row>
    <x:row r="85" ht="258" hidden="0" customHeight="1">
      <x:c r="A85" s="16" t="str">
        <x:v>EA025</x:v>
      </x:c>
      <x:c r="B85" s="4" t="str">
        <x:v>Kaesong industrial complex cross-border access shutdown</x:v>
      </x:c>
      <x:c r="C85" s="4" t="str">
        <x:v>South Korea; North Korea</x:v>
      </x:c>
      <x:c r="D85" s="4" t="str">
        <x:v>Kaesong industrial access across inter-Korean demarcation line; not every DMZ movement</x:v>
      </x:c>
      <x:c r="E85" s="4" t="str">
        <x:v>South Korean factory personnel and industrial flows
Direction: Both directions for complex operations
Exceptions: Subsequent diplomatic crossings elsewhere not part of industrial regime.</x:v>
      </x:c>
      <x:c r="F85" s="4" t="str">
        <x:v>EA025-D1 — Observed operation
Ordinary cross-border industrial access for the Kaesong complex, confirmed through the tenth-anniversary ministry account.
Start: 2016-02-11.
Last confirmed: 2026-02-10. Reopening is not established.
confirmed through 2026-02-10; at least 3652 calendar-day difference; reopening unknown</x:v>
      </x:c>
      <x:c r="G85" s="4" t="str">
        <x:v>Security / Armed conflict and military confrontation
Reported reason
Applies to: South Korean February 2016 suspension; later overlap not separately established
South Korean authorities linked suspension to nuclear/missile policy and cutting associated funding; North Korean retaliation is separately attributed.
Interstate disputes and pressure / Sanctions and coercive pressure
Reported reason
Applies to: South Korean February 2016 suspension; later overlap not separately established
South Korean authorities linked suspension to nuclear/missile policy and cutting associated funding; North Korean retaliation is separately attributed.
Interstate disputes and pressure / Diplomatic disputes and retaliation
Reported reason
Applies to: North Korean February 11, 2016 closure and expulsion
Yonhap explicitly attributes North Korea's measure to retaliation against Seoul's suspension; distinct from South Korea's funding-cutoff purpose.</x:v>
      </x:c>
      <x:c r="H85" s="4" t="str">
        <x:v>EA025-D1: Ordinary cross-border industrial production access only. Diplomatic liaison-office work, facility inspection and invited businessmen's ceremonial visits at Kaesong in 2018 are excluded; they do not establish industrial reopening. The 11 February onset is the reported North Korean closure/expulsion, not a precisely observed final-exit time. No status after 10 February 2026 is inferred.</x:v>
      </x:c>
      <x:c r="I85" s="4" t="str">
        <x:v>Targeted source review (REC50-R14); retained with recorded qualifications; evidence limits retained.</x:v>
      </x:c>
      <x:c r="J85" s="18" t="d">
        <x:v>2026-10-25T00:00:00.000Z</x:v>
      </x:c>
      <x:c r="K85" s="21" t="str">
        <x:f>IFERROR(HYPERLINK("https://en.yna.co.kr/view/AEN20160211009352315","en.yna.co.kr"),"en.yna.co.kr")</x:f>
        <x:v>en.yna.co.kr</x:v>
      </x:c>
      <x:c r="L85" s="21" t="str">
        <x:f>IFERROR(HYPERLINK("https://www.koreatimes.co.kr/amp/foreignaffairs/northkorea/20260210/s-korea-hopes-for-prompt-reopening-of-inter-korean-factory-zone-in-kaesong-ministry","The Korea Times / Yonhap"),"The Korea Times / Yonhap")</x:f>
        <x:v>The Korea Times / Yonhap</x:v>
      </x:c>
      <x:c r="M85" s="21" t="str">
        <x:f>IFERROR(HYPERLINK("https://m-en.yna.co.kr/view/AEN20260210005151315","m-en.yna.co.kr"),"m-en.yna.co.kr")</x:f>
        <x:v>m-en.yna.co.kr</x:v>
      </x:c>
      <x:c r="N85" s="4" t="str">
        <x:v>https://en.yna.co.kr/view/AEN20160211009352315
https://www.koreatimes.co.kr/amp/foreignaffairs/northkorea/20260210/s-korea-hopes-for-prompt-reopening-of-inter-korean-factory-zone-in-kaesong-ministry
https://m-en.yna.co.kr/view/AEN20260210005151315
https://en.yna.co.kr/view/AEN20180914001054315
https://en.yna.co.kr/view/AEN20260210005100315
https://www.nkleadershipwatch.org/2016/02/11/cprk-issues-statement-on-the-closure-of-kaesong-industrial-zone/
https://beyondparallel.csis.org/kaesong-industrial-complex-not-operational-despite-minor-activity/
https://isearch.ccourt.go.kr/download.do?filePath=%2Fst_xml%2Fsdata3%2Fccourt%2FxmlData_new%2FxmlFile%2F0%2F010400%2F2022%2Fpdf%2Fe2016m364_1.pdf</x:v>
      </x:c>
      <x:c r="O85" s="4" t="str">
        <x:v>Source 1: full
Source 2: full text
Source 3: full</x:v>
      </x:c>
      <x:c r="P85" s="20" t="n">
        <x:v>1</x:v>
      </x:c>
      <x:c r="Q85" s="4" t="str">
        <x:v>East and Southeast Asia and Oceania</x:v>
      </x:c>
      <x:c r="R85" s="4" t="str">
        <x:v>Included</x:v>
      </x:c>
    </x:row>
    <x:row r="86" ht="150" hidden="0" customHeight="1">
      <x:c r="A86" s="16" t="str">
        <x:v>EA034</x:v>
      </x:c>
      <x:c r="B86" s="4" t="str">
        <x:v>Myanmar closes Three Pagodas Pass in drainage and territorial dispute</x:v>
      </x:c>
      <x:c r="C86" s="4" t="str">
        <x:v>Myanmar; Thailand</x:v>
      </x:c>
      <x:c r="D86" s="4" t="str">
        <x:v>Payathonzu/Three Pagodas Pass temporary local crossing</x:v>
      </x:c>
      <x:c r="E86" s="4" t="str">
        <x:v>Daily commuters and local goods
Direction: Both directions at local crossing
Exceptions: Commuters resumed; large items still restricted in September report.</x:v>
      </x:c>
      <x:c r="F86" s="4" t="str">
        <x:v>EA034-D1 — Observed operation
Local commuter passage at Three Pagodas Pass during the drainage/construction dispute.
Start: 2017-07-01 to 2017-07-26.
Observed scoped reopening: 2017-07-26 to 2017-07-28.
0–27 calendar-day difference; scoped endpoint only</x:v>
      </x:c>
      <x:c r="G86" s="4" t="str">
        <x:v>Interstate disputes and pressure / Territorial and frontier disputes
Reported reason
Applies to: July 2017 closure
Drainage and road works allegedly encroached on Myanmar land and flooded Payathonzu.
Interstate disputes and pressure / Sanctions and coercive pressure
Analytical interpretation of reported context
Applies to: July 2017 closure and negotiations
KIC states objections were ignored, Myanmar closed the checkpoint, and subsequent talks secured a suspension of works. This supports coercive pressure without inferring an unrelated security purpose.</x:v>
      </x:c>
      <x:c r="H86" s="4" t="str">
        <x:v>EA034-D1: These are broad evidence bounds, not an exact estimate or ±3-day claim. Large goods remained restricted. Both articles share the KIC newsroom lineage and are not two independent confirmations.</x:v>
      </x:c>
      <x:c r="I86" s="4" t="str">
        <x:v>Retained baseline assessment. Amended after source reconciliation</x:v>
      </x:c>
      <x:c r="J86" s="18" t="d">
        <x:v>2026-10-23T00:00:00.000Z</x:v>
      </x:c>
      <x:c r="K86" s="21" t="str">
        <x:f>IFERROR(HYPERLINK("https://karennews.org/2017/09/thailand-requests-upgrading-three-pagodas-pass-to-an-official-permanent-border-crossing/","Karen News"),"Karen News")</x:f>
        <x:v>Karen News</x:v>
      </x:c>
      <x:c r="L86" s="21" t="str">
        <x:f>IFERROR(HYPERLINK("https://www.bnionline.net/en/news/karen-state/item/3303-thailand-halts-drainage-construction-at-three-pagodas-pass-after-flood-problems.html","Burma News International"),"Burma News International")</x:f>
        <x:v>Burma News International</x:v>
      </x:c>
      <x:c r="M86" s="21" t="str">
        <x:f>IFERROR(HYPERLINK("https://www.bnionline.net/en/news/karen-state/item/3444-thailand-requests-upgrading-three-pagodas-pass-to-an-official-permanent-border-crossing.html","bnionline.net"),"bnionline.net")</x:f>
        <x:v>bnionline.net</x:v>
      </x:c>
      <x:c r="N86" s="4" t="str">
        <x:v>https://karennews.org/2017/09/thailand-requests-upgrading-three-pagodas-pass-to-an-official-permanent-border-crossing/
https://www.bnionline.net/en/news/karen-state/item/3303-thailand-halts-drainage-construction-at-three-pagodas-pass-after-flood-problems.html
https://www.bnionline.net/en/news/karen-state/item/3444-thailand-requests-upgrading-three-pagodas-pass-to-an-official-permanent-border-crossing.html</x:v>
      </x:c>
      <x:c r="O86" s="4" t="str">
        <x:v>Source 1: full page
Source 2: search extract
Source 3: access detail is retained in the source catalogue.</x:v>
      </x:c>
      <x:c r="P86" s="20" t="n">
        <x:v>1</x:v>
      </x:c>
      <x:c r="Q86" s="4" t="str">
        <x:v>East and Southeast Asia and Oceania</x:v>
      </x:c>
      <x:c r="R86" s="4" t="str">
        <x:v>Included</x:v>
      </x:c>
    </x:row>
    <x:row r="87" ht="78" hidden="0" customHeight="1">
      <x:c r="A87" s="16" t="str">
        <x:v>EA032</x:v>
      </x:c>
      <x:c r="B87" s="4" t="str">
        <x:v>Myanmar military closes Kyin San Kyawt export gate after security incident</x:v>
      </x:c>
      <x:c r="C87" s="4" t="str">
        <x:v>Myanmar; China</x:v>
      </x:c>
      <x:c r="D87" s="4" t="str">
        <x:v>Kyin San Kyawt–Wanding export crossing near Muse</x:v>
      </x:c>
      <x:c r="E87" s="4" t="str">
        <x:v>Myanmar fruit and seafood export trucks
Direction: Myanmar exports to China
Exceptions: Diverted vehicles admitted at Kyukok-Pansai from December 29; other Muse gates operated.</x:v>
      </x:c>
      <x:c r="F87" s="4" t="str">
        <x:v>EA032-D1 — Observed operation
Myanmar export passage through Kyin San Kyawt, to the reported temporary reopening.
Start: 2018-12-01 to 2018-12-27.
Observed scoped reopening: 2019-01-10.
14–40 calendar-day difference; scoped endpoint only</x:v>
      </x:c>
      <x:c r="G87" s="4" t="str">
        <x:v>Security / Armed attacks and terrorism
Attributed official justification
Applies to: Recorded episode; exact overlap not separately established
The recorded rationale and claim assessment support the selected subcategories. All applicable broad categories are retained together; no primary rationale is imposed.</x:v>
      </x:c>
      <x:c r="H87" s="4" t="str">
        <x:v>EA032-D1: No exact onset is selected from conflicting accounts. Diversions through Kyukok-Pansai and other Muse gates continued; Chinese inspection delays are separate. Temporary reopening ends this selected phase only.</x:v>
      </x:c>
      <x:c r="I87" s="4" t="str">
        <x:v>Retained baseline assessment. Retained with recorded qualifications</x:v>
      </x:c>
      <x:c r="J87" s="18" t="d">
        <x:v>2026-10-23T00:00:00.000Z</x:v>
      </x:c>
      <x:c r="K87" s="21" t="str">
        <x:f>IFERROR(HYPERLINK("https://www.xinhuanet.com/english/2019-01/10/c_137734535.htm","Xinhua"),"Xinhua")</x:f>
        <x:v>Xinhua</x:v>
      </x:c>
      <x:c r="L87" s="21" t="str">
        <x:f>IFERROR(HYPERLINK("https://www.rfa.org/english/news/myanmar/myanmar-holds-talks-with-china-to-reopen-border-crossing-01082019165648.html","Radio Free Asia"),"Radio Free Asia")</x:f>
        <x:v>Radio Free Asia</x:v>
      </x:c>
      <x:c r="M87" s="21" t="str">
        <x:f>IFERROR(HYPERLINK("https://www.rfa.org/english/news/myanmar/myanmar-army-shuts-down-border-crossing-12272018161751.html","Radio Free Asia"),"Radio Free Asia")</x:f>
        <x:v>Radio Free Asia</x:v>
      </x:c>
      <x:c r="N87" s="4" t="str">
        <x:v>https://www.xinhuanet.com/english/2019-01/10/c_137734535.htm
https://www.rfa.org/english/news/myanmar/myanmar-holds-talks-with-china-to-reopen-border-crossing-01082019165648.html
https://www.rfa.org/english/news/myanmar/myanmar-army-shuts-down-border-crossing-12272018161751.html</x:v>
      </x:c>
      <x:c r="O87" s="4" t="str">
        <x:v>Source 1: full page
Source 2: full page
Source 3: search extract</x:v>
      </x:c>
      <x:c r="P87" s="20" t="n">
        <x:v>1</x:v>
      </x:c>
      <x:c r="Q87" s="4" t="str">
        <x:v>East and Southeast Asia and Oceania</x:v>
      </x:c>
      <x:c r="R87" s="4" t="str">
        <x:v>Included</x:v>
      </x:c>
    </x:row>
    <x:row r="88" ht="78" hidden="0" customHeight="1">
      <x:c r="A88" s="16" t="str">
        <x:v>EA005</x:v>
      </x:c>
      <x:c r="B88" s="4" t="str">
        <x:v>Zabaikalsk Manzhouli passenger crossing suspended during COVID</x:v>
      </x:c>
      <x:c r="C88" s="4" t="str">
        <x:v>Russia; China</x:v>
      </x:c>
      <x:c r="D88" s="4" t="str">
        <x:v>Zabaikalsk Manzhouli road crossing</x:v>
      </x:c>
      <x:c r="E88" s="4" t="str">
        <x:v>Road passengers
Direction: Both-way road passenger service; first trips largely Chinese nationals
Exceptions: Freight continued using restricted driver arrangements</x:v>
      </x:c>
      <x:c r="F88" s="4" t="str">
        <x:v>EA005-D1 — Observed operation
Ordinary road-passenger service at Zabaikalsk–Manzhouli, to the first restored passenger buses, chiefly for Chinese nationals.
Start: 2020-02-01 to 2020-04-30.
Observed scoped reopening: 2023-01-08.
983–1072 calendar-day difference; scoped endpoint only</x:v>
      </x:c>
      <x:c r="G8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88" s="4" t="str">
        <x:v>EA005-D1: The onset disagreement may concern different sides/phases and is not resolved. Freight continued under special arrangements. The endpoint is initial passenger-service restoration, not unrestricted tourism or all-nationality entry.</x:v>
      </x:c>
      <x:c r="I88" s="4" t="str">
        <x:v>Targeted source review (REC50-R29); accepted qualification; evidence limits retained.</x:v>
      </x:c>
      <x:c r="J88" s="18" t="d">
        <x:v>2026-10-25T00:00:00.000Z</x:v>
      </x:c>
      <x:c r="K88" s="21" t="str">
        <x:f>IFERROR(HYPERLINK("https://interfax.com/newsroom/top-stories/86739/","Interfax"),"Interfax")</x:f>
        <x:v>Interfax</x:v>
      </x:c>
      <x:c r="L88" s="21" t="str">
        <x:f>IFERROR(HYPERLINK("https://english.scio.gov.cn/in-depth/2023-01/13/content_85057935.htm","State Council Information Office"),"State Council Information Office")</x:f>
        <x:v>State Council Information Office</x:v>
      </x:c>
      <x:c r="M88" s="21" t="str">
        <x:f>IFERROR(HYPERLINK("https://www.nia.gov.cn/n741435/n741532/c1554902/content.html","National Immigration Administration / People’s Daily"),"National Immigration Administration / People’s Daily")</x:f>
        <x:v>National Immigration Administration / People’s Daily</x:v>
      </x:c>
      <x:c r="N88" s="4" t="str">
        <x:v>https://interfax.com/newsroom/top-stories/86739/
https://english.scio.gov.cn/in-depth/2023-01/13/content_85057935.htm
https://www.nia.gov.cn/n741435/n741532/c1554902/content.html
https://interfax.com/newsroom/top-stories/86703/
https://en.apa.az/asia/China-to-close-last-passenger-checkpoint-on-Russian-border-317449</x:v>
      </x:c>
      <x:c r="O88" s="4" t="str">
        <x:v>Source 1: full text
Source 2: unavailable
Source 3: full text</x:v>
      </x:c>
      <x:c r="P88" s="20" t="n">
        <x:v>1</x:v>
      </x:c>
      <x:c r="Q88" s="4" t="str">
        <x:v>East and Southeast Asia and Oceania</x:v>
      </x:c>
      <x:c r="R88" s="4" t="str">
        <x:v>Included</x:v>
      </x:c>
    </x:row>
    <x:row r="89" ht="90" hidden="0" customHeight="1">
      <x:c r="A89" s="16" t="str">
        <x:v>EA006</x:v>
      </x:c>
      <x:c r="B89" s="4" t="str">
        <x:v>Primorye China passenger checkpoints COVID closure</x:v>
      </x:c>
      <x:c r="C89" s="4" t="str">
        <x:v>Russia; China</x:v>
      </x:c>
      <x:c r="D89" s="4" t="str">
        <x:v>Kraskino and other Primorye road crossings</x:v>
      </x:c>
      <x:c r="E89" s="4" t="str">
        <x:v>Passenger buses
Direction: Both directions at Kraskino: first reported buses carried Chinese citizens entering and leaving Russia; broader eligibility limited.
Exceptions: Freight retained; first resumed buses carried Chinese citizens</x:v>
      </x:c>
      <x:c r="F89" s="4" t="str">
        <x:v>EA006-D1 — Observed operation
Kraskino road-passenger bus service, to observed Chinese-national buses in both directions.
Start: 2020-01-01 to 2020-12-31.
Observed scoped reopening: 2023-01-09.
739–1104 calendar-day difference; scoped endpoint only</x:v>
      </x:c>
      <x:c r="G8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89" s="4" t="str">
        <x:v>Kraskino passenger channel was authorised to resume January 8; the specifically reported four buses crossed January 9, not the January 10 publication date. Other Primorye posts and tourist groups had different arrangements.
EA006-D1: Endpoint is the documented Chinese-national bus passage, distinct from January 8 authorised restoration and January 10 publication. Other Primorye posts, tourist groups and freight remain outside this phase.</x:v>
      </x:c>
      <x:c r="I89" s="4" t="str">
        <x:v>Retained baseline assessment. Amended after source reconciliation</x:v>
      </x:c>
      <x:c r="J89" s="18" t="d">
        <x:v>2026-10-23T00:00:00.000Z</x:v>
      </x:c>
      <x:c r="K89" s="21" t="str">
        <x:f>IFERROR(HYPERLINK("https://interfax.com/newsroom/top-stories/86739/","Interfax"),"Interfax")</x:f>
        <x:v>Interfax</x:v>
      </x:c>
      <x:c r="L89" s="21" t="str">
        <x:f>IFERROR(HYPERLINK("https://www.akm.ru/eng/press/in-primorye-after-a-three-year-break-passenger-traffic-with-china-resumed-at-the-turiy-rog-checkpoin/","AK&amp;M"),"AK&amp;M")</x:f>
        <x:v>AK&amp;M</x:v>
      </x:c>
      <x:c r="M89" s="21" t="str">
        <x:f>IFERROR(HYPERLINK("https://primamedia.ru/news/1430815/","primamedia.ru"),"primamedia.ru")</x:f>
        <x:v>primamedia.ru</x:v>
      </x:c>
      <x:c r="N89" s="4" t="str">
        <x:v>https://interfax.com/newsroom/top-stories/86739/
https://www.akm.ru/eng/press/in-primorye-after-a-three-year-break-passenger-traffic-with-china-resumed-at-the-turiy-rog-checkpoin/
https://primamedia.ru/news/1430815/
https://www.vedomosti.ru/society/news/2023/01/10/958444-passazhirskie-avtobusi-peresekli-granitsu-rossii-i-kitaya
https://dvtu.customs.gov.ru/news/document/375161</x:v>
      </x:c>
      <x:c r="O89" s="4" t="str">
        <x:v>Source 1: full page
Source 2: full page
Source 3: access detail is retained in the source catalogue.</x:v>
      </x:c>
      <x:c r="P89" s="20" t="n">
        <x:v>1</x:v>
      </x:c>
      <x:c r="Q89" s="4" t="str">
        <x:v>East and Southeast Asia and Oceania</x:v>
      </x:c>
      <x:c r="R89" s="4" t="str">
        <x:v>Included</x:v>
      </x:c>
    </x:row>
    <x:row r="90" ht="138" hidden="0" customHeight="1">
      <x:c r="A90" s="16" t="str">
        <x:v>EA018</x:v>
      </x:c>
      <x:c r="B90" s="4" t="str">
        <x:v>Papua New Guinea Indonesia Wutung Skouw COVID closure</x:v>
      </x:c>
      <x:c r="C90" s="4" t="str">
        <x:v>Papua New Guinea; Indonesia</x:v>
      </x:c>
      <x:c r="D90" s="4" t="str">
        <x:v>Wutung Skouw</x:v>
      </x:c>
      <x:c r="E90" s="4" t="str">
        <x:v>Ordinary cross-border travellers and goods
Direction: Initial PNG gate closure blocked travel and trade, including entry by returning PNG citizens; endpoint is partial restored bilateral operation.
Exceptions: Initial PNG order expressly excepted World Health Organization and International Committee of the Red Cross officials. Later authorized exceptions are not fully reconstructed.</x:v>
      </x:c>
      <x:c r="F90" s="4" t="str">
        <x:v>EA018-D1 — Observed operation
Initial PNG Wutung gate closure, ending at the minister-reported lifting by 11 February 2020.
Start: 2020-01-29.
Observed scoped reopening: 2020-01-29 to 2020-02-11.
0–13 calendar-day difference; scoped endpoint only</x:v>
      </x:c>
      <x:c r="G9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90" s="4" t="str">
        <x:v>EA018-D1: The endpoint is broadly bounded, with no positive minimum day count asserted. This is only the initial spell: the October 2022 reopening belongs to a later, unresolved reclosure phase. WHO/ICRC exceptions and Indonesian-side rules remain separate.</x:v>
      </x:c>
      <x:c r="I90" s="4" t="str">
        <x:v>Retained baseline assessment. Retained with recorded qualifications</x:v>
      </x:c>
      <x:c r="J90" s="18" t="d">
        <x:v>2026-10-23T00:00:00.000Z</x:v>
      </x:c>
      <x:c r="K90" s="21" t="str">
        <x:f>IFERROR(HYPERLINK("https://www.thenational.com.pg/stranded-at-border/","The National PNG"),"The National PNG")</x:f>
        <x:v>The National PNG</x:v>
      </x:c>
      <x:c r="L90" s="21" t="str">
        <x:f>IFERROR(HYPERLINK("https://www.thenational.com.pg/border-crossing-between-png-indonesia-closed/","The National PNG"),"The National PNG")</x:f>
        <x:v>The National PNG</x:v>
      </x:c>
      <x:c r="M90" s="21" t="str">
        <x:f>IFERROR(HYPERLINK("https://www.thenational.com.pg/my-blog-page/page/9821/?PageSpeed=noscript","The National"),"The National")</x:f>
        <x:v>The National</x:v>
      </x:c>
      <x:c r="N90" s="4" t="str">
        <x:v>https://www.thenational.com.pg/stranded-at-border/
https://www.thenational.com.pg/border-crossing-between-png-indonesia-closed/
https://www.thenational.com.pg/my-blog-page/page/9821/?PageSpeed=noscript
https://bnpp.go.id/berita/menanti-2-tahun-border-post-wutung-png-dibuka-kini-jalur-perlintasan-plbn-skouw-papua-resmi-beroperasi
https://www.thenational.com.pg/border-post-at-wutung-re-opens/
https://www.papuatimes.co.id/2022/10/27/png-buka-kembali-pos-perbatasan-wutung/
https://www.thenational.com.pg/png-citizens-given-until-feb-9-to-return/
https://papuatengah.antaranews.com/berita/21365/pintu-perbatasan-indonesia-png-di-wutung-kembali-dibuka
https://www.medcom.id/english/world/Rkje99Gb-papua-new-guinea-reopens-wutung-border-post</x:v>
      </x:c>
      <x:c r="O90" s="4" t="str">
        <x:v>Source 1: full page
Source 2: full page
Source 3: indexed only</x:v>
      </x:c>
      <x:c r="P90" s="20" t="n">
        <x:v>1</x:v>
      </x:c>
      <x:c r="Q90" s="4" t="str">
        <x:v>East and Southeast Asia and Oceania</x:v>
      </x:c>
      <x:c r="R90" s="4" t="str">
        <x:v>Included</x:v>
      </x:c>
    </x:row>
    <x:row r="91" ht="90" hidden="0" customHeight="1">
      <x:c r="A91" s="16" t="str">
        <x:v>EA022</x:v>
      </x:c>
      <x:c r="B91" s="4" t="str">
        <x:v>Russia North Korea rail freight COVID suspension</x:v>
      </x:c>
      <x:c r="C91" s="4" t="str">
        <x:v>Russia; North Korea</x:v>
      </x:c>
      <x:c r="D91" s="4" t="str">
        <x:v>Khasan–Tumangang railway</x:v>
      </x:c>
      <x:c r="E91" s="4" t="str">
        <x:v>Rail freight
Direction: Both directions; verified first shipment Russia to North Korea</x:v>
      </x:c>
      <x:c r="F91" s="4" t="str">
        <x:v>EA022-D1 — Observed operation
Khasan–Tumangang rail freight suspension, to the railway-reported first resumed shipment.
Start: 2020-02-01 to 2020-02-29.
Observed scoped reopening: 2022-11-01.
976–1004 calendar-day difference; scoped endpoint only</x:v>
      </x:c>
      <x:c r="G9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91" s="4" t="str">
        <x:v>Far East Railways told Kommersant freight ceased in February 2020 and the first resumed train departed through the crossing November 1, 2022. November 2 is the report date; February 3, 2020 applies specifically to passengers.
EA022-D1: Freight onset remains month precision; February 3 is the passenger suspension date. November 1 is authority-reported first freight passage, not independently observed imagery; November 4 imagery is later corroboration. Passenger service excluded.</x:v>
      </x:c>
      <x:c r="I91" s="4" t="str">
        <x:v>Retained baseline assessment. Amended after source reconciliation</x:v>
      </x:c>
      <x:c r="J91" s="18" t="d">
        <x:v>2026-10-23T00:00:00.000Z</x:v>
      </x:c>
      <x:c r="K91" s="21" t="str">
        <x:f>IFERROR(HYPERLINK("https://interfax.com/newsroom/top-stories/84561/","Interfax"),"Interfax")</x:f>
        <x:v>Interfax</x:v>
      </x:c>
      <x:c r="L91" s="21" t="str">
        <x:f>IFERROR(HYPERLINK("https://www.38north.org/2022/11/first-traffic-observed-on-north-korea-russia-railway-link-in-several-years/","38 North"),"38 North")</x:f>
        <x:v>38 North</x:v>
      </x:c>
      <x:c r="M91" s="21" t="str">
        <x:f>IFERROR(HYPERLINK("https://www.kommersant.ru/doc/5646308","kommersant.ru"),"kommersant.ru")</x:f>
        <x:v>kommersant.ru</x:v>
      </x:c>
      <x:c r="N91" s="4" t="str">
        <x:v>https://interfax.com/newsroom/top-stories/84561/
https://www.38north.org/2022/11/first-traffic-observed-on-north-korea-russia-railway-link-in-several-years/
https://www.kommersant.ru/doc/5646308
https://mintrans.gov.ru/press-center/branch-news/5782</x:v>
      </x:c>
      <x:c r="O91" s="4" t="str">
        <x:v>Source 1: full page
Source 2: full relevant article text
Source 3: access detail is retained in the source catalogue.</x:v>
      </x:c>
      <x:c r="P91" s="20" t="n">
        <x:v>1</x:v>
      </x:c>
      <x:c r="Q91" s="4" t="str">
        <x:v>East and Southeast Asia and Oceania</x:v>
      </x:c>
      <x:c r="R91" s="4" t="str">
        <x:v>Included</x:v>
      </x:c>
    </x:row>
    <x:row r="92" ht="90" hidden="0" customHeight="1">
      <x:c r="A92" s="16" t="str">
        <x:v>EA028</x:v>
      </x:c>
      <x:c r="B92" s="4" t="str">
        <x:v>China Laos Boten Mohan passenger restrictions persist after Laos reopening</x:v>
      </x:c>
      <x:c r="C92" s="4" t="str">
        <x:v>China; Laos</x:v>
      </x:c>
      <x:c r="D92" s="4" t="str">
        <x:v>Boten–Mohan road checkpoint</x:v>
      </x:c>
      <x:c r="E92" s="4" t="str">
        <x:v>Ordinary cross-border passengers
Direction: Both directions, asymmetrical eligibility
Exceptions: Approved business and essential travel existed before 2023, including November 2020 fast-track arrangements. Broader January 2023 eligible non-tourist restoration did not establish tourist-visa entry into China.</x:v>
      </x:c>
      <x:c r="F92" s="4" t="str">
        <x:v>EA028-D1 — Observed operation
Restriction on ordinary non-exempt road passengers at Boten–Mohan, to broader eligible non-tourist restoration on January 8, 2023; approved business, official and project travellers excluded.
Start: 2020-01-01 to 2020-12-31.
Observed scoped reopening: 2023-01-08.
738–1103 calendar-day difference; scoped endpoint only</x:v>
      </x:c>
      <x:c r="G9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92" s="4" t="str">
        <x:v>EA028-D1: Approved business and essential movement existed before 2023, including fast-track arrangements from November 2020. Laos reopened May 9, 2022; Chinese tourist-visa entry remained excluded after January 8, 2023. This phase does not assert an uninterrupted ban on all business travellers or all two-way movement. Freight and the new April 2023 railway service are excluded.</x:v>
      </x:c>
      <x:c r="I92" s="4" t="str">
        <x:v>Retained baseline assessment. Amended after source reconciliation</x:v>
      </x:c>
      <x:c r="J92" s="18" t="d">
        <x:v>2026-10-23T00:00:00.000Z</x:v>
      </x:c>
      <x:c r="K92" s="21" t="str">
        <x:f>IFERROR(HYPERLINK("https://kpl.gov.la/en/detail.aspx?id=70945","KPL"),"KPL")</x:f>
        <x:v>KPL</x:v>
      </x:c>
      <x:c r="L92" s="21" t="str">
        <x:f>IFERROR(HYPERLINK("https://www.rfa.org/english/news/laos/laos-china-border-01092023033743.html","Radio Free Asia"),"Radio Free Asia")</x:f>
        <x:v>Radio Free Asia</x:v>
      </x:c>
      <x:c r="M92" s="21" t="str">
        <x:f>IFERROR(HYPERLINK("https://www.vientianetimes.org.la/sub-new/Previous_07_y23/freeContent/FreeConten07_More_y23.php","Vientiane Times"),"Vientiane Times")</x:f>
        <x:v>Vientiane Times</x:v>
      </x:c>
      <x:c r="N92" s="4" t="str">
        <x:v>https://kpl.gov.la/en/detail.aspx?id=70945
https://www.rfa.org/english/news/laos/laos-china-border-01092023033743.html
https://www.vientianetimes.org.la/sub-new/Previous_07_y23/freeContent/FreeConten07_More_y23.php
https://kpl.gov.la/en/detail.aspx?id=55410
https://www.rfa.org/english/news/laos/border-11052020184350.html
https://jclao.com/idle-factories-empty-trade-zone-highlight-coronavirus-impact-on-southeast-asia/</x:v>
      </x:c>
      <x:c r="O92" s="4" t="str">
        <x:v>Source 1: search extract
Source 2: search extract
Source 3: search extract</x:v>
      </x:c>
      <x:c r="P92" s="20" t="n">
        <x:v>1</x:v>
      </x:c>
      <x:c r="Q92" s="4" t="str">
        <x:v>East and Southeast Asia and Oceania</x:v>
      </x:c>
      <x:c r="R92" s="4" t="str">
        <x:v>Included</x:v>
      </x:c>
    </x:row>
    <x:row r="93" ht="78" hidden="0" customHeight="1">
      <x:c r="A93" s="16" t="str">
        <x:v>EA023</x:v>
      </x:c>
      <x:c r="B93" s="4" t="str">
        <x:v>North Korea suspends international tourist entry including land routes</x:v>
      </x:c>
      <x:c r="C93" s="4" t="str">
        <x:v>North Korea; China; Russia</x:v>
      </x:c>
      <x:c r="D93" s="4" t="str">
        <x:v>International tourist land entries; Rason via Quanhe–Wonjong is documented partial reopening</x:v>
      </x:c>
      <x:c r="E93" s="4" t="str">
        <x:v>Foreign tourists; initial restrictions also affected delegations
Direction: Entry to North Korea
Exceptions: Later repatriations and diplomatic visits; Russian air tours in 2024 do not establish land reopening. Staff inspection visit February 13 2025.</x:v>
      </x:c>
      <x:c r="F93" s="4" t="str">
        <x:v>EA023-D1 — Observed operation
Ordinary international land tours to Rason via Quanhe–Wonjong, to the first documented resumed tour group.
Start: 2020-01-22.
Observed scoped reopening: 2025-02-20.
1856 calendar-day difference; scoped endpoint only</x:v>
      </x:c>
      <x:c r="G9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93" s="4" t="str">
        <x:v>EA023-D1: The staff inspection on February 13 is an exception, not ordinary tourist reopening. Russian air tours, diplomatic travel and repatriations are excluded. The March 2025 reclosure is a separate phase; other North Korean tourist regions are not assigned this endpoint.</x:v>
      </x:c>
      <x:c r="I93" s="4" t="str">
        <x:v>Targeted source review (REC50-R49); retained with recorded qualifications; evidence limits retained.</x:v>
      </x:c>
      <x:c r="J93" s="18" t="d">
        <x:v>2026-10-25T00:00:00.000Z</x:v>
      </x:c>
      <x:c r="K93" s="21" t="str">
        <x:f>IFERROR(HYPERLINK("https://www.uritours.com/blog/coronavirus-north-korea-temporarily-closes-borders/","Uri Tours"),"Uri Tours")</x:f>
        <x:v>Uri Tours</x:v>
      </x:c>
      <x:c r="L93" s="21" t="str">
        <x:f>IFERROR(HYPERLINK("https://koryogroup.com/blog/north-korea-borders-to-reopen/","Koryo Tours"),"Koryo Tours")</x:f>
        <x:v>Koryo Tours</x:v>
      </x:c>
      <x:c r="M93" s="21" t="str">
        <x:f>IFERROR(HYPERLINK("https://www.channelnewsasia.com/east-asia/north-korea-reopens-foreign-tourists-special-economic-zone-pyongyang-closed-4966381","CNA"),"CNA")</x:f>
        <x:v>CNA</x:v>
      </x:c>
      <x:c r="N93" s="4" t="str">
        <x:v>https://www.uritours.com/blog/coronavirus-north-korea-temporarily-closes-borders/
https://koryogroup.com/blog/north-korea-borders-to-reopen/
https://www.channelnewsasia.com/east-asia/north-korea-reopens-foreign-tourists-special-economic-zone-pyongyang-closed-4966381
https://koryogroup.com/blog/north-korea-borders-open-rason</x:v>
      </x:c>
      <x:c r="O93" s="4" t="str">
        <x:v>Source 1: full; full text
Source 2: full page
Source 3: full; full text</x:v>
      </x:c>
      <x:c r="P93" s="20" t="n">
        <x:v>1</x:v>
      </x:c>
      <x:c r="Q93" s="4" t="str">
        <x:v>East and Southeast Asia and Oceania</x:v>
      </x:c>
      <x:c r="R93" s="4" t="str">
        <x:v>Included</x:v>
      </x:c>
    </x:row>
    <x:row r="94" ht="174" hidden="0" customHeight="1">
      <x:c r="A94" s="16" t="str">
        <x:v>EA003</x:v>
      </x:c>
      <x:c r="B94" s="4" t="str">
        <x:v>Mongolia China COVID passenger closure with phased reopening</x:v>
      </x:c>
      <x:c r="C94" s="4" t="str">
        <x:v>Mongolia; China</x:v>
      </x:c>
      <x:c r="D94" s="4" t="str">
        <x:v>Land passenger crossings including Zamiin Uud Erenhot</x:v>
      </x:c>
      <x:c r="E94" s="4" t="str">
        <x:v>Pedestrians road passengers and subsequently other passenger modes
Direction: China–Mongolia passenger movements; nationality and direction exceptions in official rules
Exceptions: Named freight crossings remained exempt; specified return routes for citizens</x:v>
      </x:c>
      <x:c r="F94" s="4" t="str">
        <x:v>EA003-D1 — Observed operation
Ordinary road-passenger service at Zamiin Uud–Erenhot, to the first resumed passenger coach.
Start: 2020-01-27.
Observed scoped reopening: 2023-01-08.
1077 calendar-day difference; scoped endpoint only
REC50-R11-EA003-P1 — Observed operation
Regional Erenhot–Ulaanbaatar international passenger-train suspension, to the first observed Ulaanbaatar-to-Erenhot return
Start: 2020-02-14.
Observed scoped reopening: 2023-08-30.
Contested: dated evidence; numeric duration withheld; see qualification
Held evidence: excluded from numeric duration and animation displays.</x:v>
      </x:c>
      <x:c r="G94" s="4" t="str">
        <x:v>Health and biosecurity / Human disease control
Inherited road-phase reason retained; the official Grassland Railway account expressly attributes the newly documented regional train suspension to pandemic-control needs.
Applies to: EA003-D1 road-passenger phase retained; REC50-R11-EA003-P1 separately documents regional passenger rail. Overlapping phases are not additive closure counts.
Human disease control remains the attributed rationale. The new official railway report supplies phase-specific support for the regional passenger-train suspension; it does not establish other motives or uniform rules across every train route.</x:v>
      </x:c>
      <x:c r="H94" s="4" t="str">
        <x:v>EA003-D1: Specified citizen returns and freight exceptions are excluded; nationality and direction rules changed. This is the named principal road route, not every frontier post or the later rail service. NIA republication shares the People's Daily origin.
REC50-R11-EA003-P1: The regional Erenhot–Ulaanbaatar suspension is reported from 14 February 2020 and the first inbound return is observed on 30 August 2023. Those dates differ by 1,293 days, while a CCTV account reports a 1,295-day pause. Numeric duration is withheld pending reconciliation; the January road endpoint is unchanged. The Beijing train has a different suspension date; earlier nationality-specific ticket limits and the future two-way timetable are distinct. This adds evidence to the existing parent rather than creating another parent.
Rail duration and temporal anchor: Reconcile the 1,295-day reported passenger-train pause with the 1,293-day difference between the separately reported dates; preserve the regional route and first inbound-return scope.</x:v>
      </x:c>
      <x:c r="I94" s="4" t="str">
        <x:v>Targeted source review (REC50-R29); accepted qualification; evidence limits retained.</x:v>
      </x:c>
      <x:c r="J94" s="18" t="d">
        <x:v>2026-10-25T00:00:00.000Z</x:v>
      </x:c>
      <x:c r="K94" s="21" t="str">
        <x:f>IFERROR(HYPERLINK("https://www.thestar.com.my/news/world/2020/01/27/mongolia-shuts-universities-border-crossings-to-halt-virus-spread","The Star Malaysia"),"The Star Malaysia")</x:f>
        <x:v>The Star Malaysia</x:v>
      </x:c>
      <x:c r="L94" s="21" t="str">
        <x:f>IFERROR(HYPERLINK("https://en.embassyofmongolia.co.uk/5612","Embassy of Mongolia UK"),"Embassy of Mongolia UK")</x:f>
        <x:v>Embassy of Mongolia UK</x:v>
      </x:c>
      <x:c r="M94" s="21" t="str">
        <x:f>IFERROR(HYPERLINK("https://english.www.gov.cn/archive/statistics/202312/04/content_WS656d52b2c6d0868f4e8e1df9.html","China State Council"),"China State Council")</x:f>
        <x:v>China State Council</x:v>
      </x:c>
      <x:c r="N94" s="4" t="str">
        <x:v>https://www.thestar.com.my/news/world/2020/01/27/mongolia-shuts-universities-border-crossings-to-halt-virus-spread
https://en.embassyofmongolia.co.uk/5612
https://english.www.gov.cn/archive/statistics/202312/04/content_WS656d52b2c6d0868f4e8e1df9.html
https://en.iss.gov.mn/?p=1089
https://www.nia.gov.cn/n741435/n741532/c1554902/content.html
https://m.thepaper.cn/newsDetail_forward_24430767
https://www.thepaper.cn/newsDetail_forward_6032808
https://news.china.com.cn/2023-08/31/content_110221071.htm
https://archive.timesleader.com/article/770790/report-mongolia-closes-border-with-china-amid-virus-fears
https://en.apa.az/asia/Mongolia-shuts-universities-border-crossings-to-halt-virus-spread-309339</x:v>
      </x:c>
      <x:c r="O94" s="4" t="str">
        <x:v>Source 1: search extract
Source 2: search extract
Source 3: search extract</x:v>
      </x:c>
      <x:c r="P94" s="20" t="n">
        <x:v>2</x:v>
      </x:c>
      <x:c r="Q94" s="4" t="str">
        <x:v>East and Southeast Asia and Oceania</x:v>
      </x:c>
      <x:c r="R94" s="4" t="str">
        <x:v>Included</x:v>
      </x:c>
    </x:row>
    <x:row r="95" ht="102" hidden="0" customHeight="1">
      <x:c r="A95" s="16" t="str">
        <x:v>EA004</x:v>
      </x:c>
      <x:c r="B95" s="4" t="str">
        <x:v>Russia Mongolia COVID road passenger closure</x:v>
      </x:c>
      <x:c r="C95" s="4" t="str">
        <x:v>Mongolia; Russia</x:v>
      </x:c>
      <x:c r="D95" s="4" t="str">
        <x:v>Road border crossings</x:v>
      </x:c>
      <x:c r="E95" s="4" t="str">
        <x:v>Ordinary passenger travel
Direction: Cross-border road passengers, subject to citizenship-specific permission</x:v>
      </x:c>
      <x:c r="F95" s="4" t="str">
        <x:v>EA004-R1 — Announced window
Mongolian restrictions at Russia road crossings; Mongolian outward passengers and foreign/stateless inward passengers
Start: 2020-03-11.
Scheduled endpoint: 2020-03-31.
Ordered window: 20 calendar-day difference; actual end not established</x:v>
      </x:c>
      <x:c r="G9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95" s="4" t="str">
        <x:v>EA004-R1: Starts at 20:00; end is the order's original scheduled limit, not reopening. Russian-side onset and later extensions are separate.</x:v>
      </x:c>
      <x:c r="I95" s="4" t="str">
        <x:v>Full-record source audit (REC50-R45); accepted corrections; evidence limits retained.</x:v>
      </x:c>
      <x:c r="J95" s="18" t="d">
        <x:v>2026-10-25T00:00:00.000Z</x:v>
      </x:c>
      <x:c r="K95" s="21" t="str">
        <x:f>IFERROR(HYPERLINK("https://mongolianembassy.us/wp-content/uploads/2020/03/English-translation.pdf","Embassy of Mongolia in the United States"),"Embassy of Mongolia in the United States")</x:f>
        <x:v>Embassy of Mongolia in the United States</x:v>
      </x:c>
      <x:c r="L95" s="21" t="str">
        <x:f>IFERROR(HYPERLINK("https://www.eeas.europa.eu/delegations/mongolia/covid-19-update-23-march_und_en","EU Delegation Mongolia"),"EU Delegation Mongolia")</x:f>
        <x:v>EU Delegation Mongolia</x:v>
      </x:c>
      <x:c r="M95" s="21" t="str">
        <x:f>IFERROR(HYPERLINK("https://interfax.com/newsroom/top-stories/77295/","Interfax"),"Interfax")</x:f>
        <x:v>Interfax</x:v>
      </x:c>
      <x:c r="N95" s="4" t="str">
        <x:v>https://mongolianembassy.us/wp-content/uploads/2020/03/English-translation.pdf
https://www.eeas.europa.eu/delegations/mongolia/covid-19-update-23-march_und_en
https://interfax.com/newsroom/top-stories/77295/
https://documents1.worldbank.org/curated/en/099061424103023489/pdf/P174453-bf0b9d17-e860-4a94-98f7-28a4c643b9c3.pdf
https://mongolia.gogo.mn/r/ym0nd
https://en.embassyofmongolia.co.uk/5614
https://en.iss.gov.mn/?p=1539</x:v>
      </x:c>
      <x:c r="O95" s="4" t="str">
        <x:v>Source 1: full; full text
Source 2: indexed excerpt
Source 3: full text</x:v>
      </x:c>
      <x:c r="P95" s="20" t="n">
        <x:v>1</x:v>
      </x:c>
      <x:c r="Q95" s="4" t="str">
        <x:v>East and Southeast Asia and Oceania</x:v>
      </x:c>
      <x:c r="R95" s="4" t="str">
        <x:v>Included</x:v>
      </x:c>
    </x:row>
    <x:row r="96" ht="162" hidden="0" customHeight="1">
      <x:c r="A96" s="16" t="str">
        <x:v>EA007</x:v>
      </x:c>
      <x:c r="B96" s="4" t="str">
        <x:v>Myawaddy Mae Sot Friendship Bridge I COVID closure</x:v>
      </x:c>
      <x:c r="C96" s="4" t="str">
        <x:v>Myanmar; Thailand</x:v>
      </x:c>
      <x:c r="D96" s="4" t="str">
        <x:v>First Friendship Bridge</x:v>
      </x:c>
      <x:c r="E96" s="4" t="str">
        <x:v>Passenger and private vehicle crossing
Direction: Both directions at Bridge I
Exceptions: Freight routed through Bridge II</x:v>
      </x:c>
      <x:c r="F96" s="4" t="str">
        <x:v>EA007-D1 — Observed operation
Ordinary passenger/private-car passage on Myawaddy–Mae Sot Friendship Bridge I.
Start: 2020-03-21 to 2020-03-23.
Observed scoped reopening: 2023-01-12.
1025–1027 calendar-day difference; scoped endpoint only</x:v>
      </x:c>
      <x:c r="G96" s="4" t="str">
        <x:v>Health and biosecurity / Human disease control
Reported reason
Applies to: Initial closure
The recorded rationale and claim assessment support the selected subcategories. All applicable broad categories are retained together; no primary rationale is imposed.
Security / Unspecified security
Analytical interpretation of reported context
Applies to: Later continuation or delayed reopening
The recorded rationale and claim assessment support the selected subcategories. All applicable broad categories are retained together; no primary rationale is imposed.</x:v>
      </x:c>
      <x:c r="H96" s="4" t="str">
        <x:v>Closure onset is bounded March 21–23, 2020: contemporary Eleven report says March 21, another contemporary official report says March 22, and the 2023 retrospective says March 23. Bridge I passenger/private-car reopening occurred January 12, 2023.
EA007-D1: The two-day onset range preserves contradictory reports. Ordinary passenger/private-car scope excludes Bridge II freight and early diversions; border-pass conditions remained after reopening.</x:v>
      </x:c>
      <x:c r="I96" s="4" t="str">
        <x:v>Full-record source audit (REC50-R10); retained with recorded qualifications; evidence limits retained.</x:v>
      </x:c>
      <x:c r="J96" s="18" t="d">
        <x:v>2026-10-25T00:00:00.000Z</x:v>
      </x:c>
      <x:c r="K96" s="21" t="str">
        <x:f>IFERROR(HYPERLINK("https://www.moi.gov.mm/moi:eng/news/9198","Myanmar Ministry of Information"),"Myanmar Ministry of Information")</x:f>
        <x:v>Myanmar Ministry of Information</x:v>
      </x:c>
      <x:c r="L96" s="21" t="str">
        <x:f>IFERROR(HYPERLINK("https://thailand.go.th/public/issue-focus-detail/001_08_032","Thailand government / Tourism Authority of Thailand"),"Thailand government / Tourism Authority of Thailand")</x:f>
        <x:v>Thailand government / Tourism Authority of Thailand</x:v>
      </x:c>
      <x:c r="M96" s="21" t="str">
        <x:f>IFERROR(HYPERLINK("https://www.mdn.gov.mm/en/myawady-thai-border-gates-closed","Myanmar Digital News"),"Myanmar Digital News")</x:f>
        <x:v>Myanmar Digital News</x:v>
      </x:c>
      <x:c r="N96" s="4" t="str">
        <x:v>https://www.moi.gov.mm/moi:eng/news/9198
https://thailand.go.th/public/issue-focus-detail/001_08_032
https://www.mdn.gov.mm/en/myawady-thai-border-gates-closed
https://elevenmyanmar.com/news/myanmar-migrant-workers-return-before-border-gates-are-closed
https://www.moi.gov.mm/moi%3Aeng/news/9198
https://www.mdn.gov.mm/en/thai-myanmar-friendship-bridge-1-closed-14-days
https://thailand.go.th/issue-focus-detail/001_08_032?hl=en</x:v>
      </x:c>
      <x:c r="O96" s="4" t="str">
        <x:v>Source 1: full page
Source 2: full text
Source 3: full text</x:v>
      </x:c>
      <x:c r="P96" s="20" t="n">
        <x:v>1</x:v>
      </x:c>
      <x:c r="Q96" s="4" t="str">
        <x:v>East and Southeast Asia and Oceania</x:v>
      </x:c>
      <x:c r="R96" s="4" t="str">
        <x:v>Included</x:v>
      </x:c>
    </x:row>
    <x:row r="97" ht="162" hidden="0" customHeight="1">
      <x:c r="A97" s="16" t="str">
        <x:v>EA026</x:v>
      </x:c>
      <x:c r="B97" s="4" t="str">
        <x:v>Mae Sai Tachileik Bridge I COVID passenger closure</x:v>
      </x:c>
      <x:c r="C97" s="4" t="str">
        <x:v>Thailand; Myanmar</x:v>
      </x:c>
      <x:c r="D97" s="4" t="str">
        <x:v>First Friendship Bridge Mae Sai–Tachileik</x:v>
      </x:c>
      <x:c r="E97" s="4" t="str">
        <x:v>Pedestrians, motorcycles and small vehicles
Direction: Both directions
Exceptions: Bridge II trucks remained a separate route. More than 200 returning migrant workers were specially admitted over Bridge I on March 23, 2020 after health checks.</x:v>
      </x:c>
      <x:c r="F97" s="4" t="str">
        <x:v>EA026-D1 — Observed operation
Ordinary people/small-vehicle passage on Mae Sai–Tachileik Bridge I.
Start: 2020-03-23 to 2020-03-24.
Observed scoped reopening: 2023-02-20.
1063–1064 calendar-day difference; scoped endpoint only</x:v>
      </x:c>
      <x:c r="G97" s="4" t="str">
        <x:v>Health and biosecurity / Human disease control
Reported reason
Applies to: Initial closure
The recorded rationale and claim assessment support the selected subcategories. All applicable broad categories are retained together; no primary rationale is imposed.
Security / Unspecified security
Analytical interpretation of reported context
Applies to: Later continuation or delayed reopening
The recorded rationale and claim assessment support the selected subcategories. All applicable broad categories are retained together; no primary rationale is imposed.</x:v>
      </x:c>
      <x:c r="H97" s="4" t="str">
        <x:v>EA026-D1: March 23–24 onset range preserved. SHAN reports special reopening on March 23 to admit more than 200 returning migrant workers after health checks; this is excluded from ordinary travel. February 20 restoration retained trial hours, border passes and health conditions. Bridge II freight is separate.</x:v>
      </x:c>
      <x:c r="I97" s="4" t="str">
        <x:v>Retained baseline assessment. Amended after source reconciliation</x:v>
      </x:c>
      <x:c r="J97" s="18" t="d">
        <x:v>2026-10-23T00:00:00.000Z</x:v>
      </x:c>
      <x:c r="K97" s="21" t="str">
        <x:f>IFERROR(HYPERLINK("https://www.nationthailand.com/thailand/general/40025038","The Nation Thailand"),"The Nation Thailand")</x:f>
        <x:v>The Nation Thailand</x:v>
      </x:c>
      <x:c r="L97" s="21" t="str">
        <x:f>IFERROR(HYPERLINK("https://www.bnionline.net/en/news/tachileik-mae-sai-bridge-reopens-after-3-years-closure","Burma News International"),"Burma News International")</x:f>
        <x:v>Burma News International</x:v>
      </x:c>
      <x:c r="M97" s="21" t="str">
        <x:f>IFERROR(HYPERLINK("https://coconuts.co/bangkok/news/thai-myanmar-crossing-reopens-at-mae-sai-after-3-years/","Coconuts Bangkok"),"Coconuts Bangkok")</x:f>
        <x:v>Coconuts Bangkok</x:v>
      </x:c>
      <x:c r="N97" s="4" t="str">
        <x:v>https://www.nationthailand.com/thailand/general/40025038
https://www.bnionline.net/en/news/tachileik-mae-sai-bridge-reopens-after-3-years-closure
https://coconuts.co/bangkok/news/thai-myanmar-crossing-reopens-at-mae-sai-after-3-years/
https://english.shannews.org/archives/20537</x:v>
      </x:c>
      <x:c r="O97" s="4" t="str">
        <x:v>Source 1: search extract
Source 2: full page
Source 3: search extract</x:v>
      </x:c>
      <x:c r="P97" s="20" t="n">
        <x:v>1</x:v>
      </x:c>
      <x:c r="Q97" s="4" t="str">
        <x:v>East and Southeast Asia and Oceania</x:v>
      </x:c>
      <x:c r="R97" s="4" t="str">
        <x:v>Included</x:v>
      </x:c>
    </x:row>
    <x:row r="98" ht="366" hidden="0" customHeight="1">
      <x:c r="A98" s="16" t="str">
        <x:v>EA013</x:v>
      </x:c>
      <x:c r="B98" s="4" t="str">
        <x:v>Malaysia COVID ordinary passenger land-border restrictions</x:v>
      </x:c>
      <x:c r="C98" s="4" t="str">
        <x:v>Malaysia; Singapore; Thailand; Indonesia; Brunei</x:v>
      </x:c>
      <x:c r="D98" s="4" t="str">
        <x:v>Malaysian land borders; Woodlands Tuas reopening directly observed</x:v>
      </x:c>
      <x:c r="E98" s="4" t="str">
        <x:v>Ordinary international passengers
Direction: Malaysian outward and foreign inward ordinary travel; authorised returns and freight excepted
Exceptions: Freight repatriation approved travel and later limited travel corridors</x:v>
      </x:c>
      <x:c r="F98" s="4" t="str">
        <x:v>EA013-R1 — Announced window
Malaysian land-entry restrictions on foreign visitors and outward social travel by Malaysians/permanent residents
Start: 2020-03-18.
Scheduled endpoint: 2020-03-31.
Ordered window: 13 calendar-day difference; actual end not established
EA013-C7P1 — Announced window
Selected extension of Malaysian foreign-tourist/visitor admission suspension
Start: 2020-04-01.
Scheduled endpoint: 2020-04-14.
Ordered window: 13 calendar-day difference; actual end not established
EA013-C7P2 — Formal policy
Selected May15 observation of Malaysian foreign-passenger admission restrictions
Start: unknown.
Last confirmed: 2020-05-15. Reopening is not established.
Formal policy: dated evidence; numeric duration withheld; see qualification
EA013-C7P3 — Announced window
RMCO announced window for restricted ordinary foreign entry, conditional approvals excepted
Start: 2020-06-10.
Scheduled endpoint: 2020-08-31.
Ordered window: 82 calendar-day difference; actual end not established
EA013-C7P4 — Formal policy
Permission-controlled expatriate entry/exit documented at MYEntry introduction
Start: unknown.
Last confirmed: 2020-08-10. Reopening is not established.
Formal policy: dated evidence; numeric duration withheld; see qualification</x:v>
      </x:c>
      <x:c r="G9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98" s="4" t="str">
        <x:v>EA013-R1: Scheduled original order only; March 31 does not signify actual reopening. Freight, returns, diplomats and authorised classes excepted; transit across Brunei subject to state rules.
EA013-C7P1: Announced extension only. Domestic MCO chronology does not prove every land post closed or unchanged permissions for all passenger classes. NoApril14 physical reopening inferred.
EA013-C7P2: Observation only; exact effective start and end of this eligibility version remain unknown. Airport-specific quarantine references do not establish individual land-post implementation.
EA013-C7P3: Selected announced policy envelope. Subsequent expatriate/category amendments are not treated as unchanged within this window; see August10 observation. NoAugust31 observed reopening or continuous all-passenger closure inferred.
EA013-C7P4: Observation of a category-based administrative restriction, not a newly closed border or proof all expatriates required identical permissions at every land post. No repeal or total operational duration established.</x:v>
      </x:c>
      <x:c r="I98" s="4" t="str">
        <x:v>Retained baseline assessment. Retained with recorded qualifications</x:v>
      </x:c>
      <x:c r="J98" s="18" t="d">
        <x:v>2026-10-23T00:00:00.000Z</x:v>
      </x:c>
      <x:c r="K98" s="21" t="str">
        <x:f>IFERROR(HYPERLINK("https://www.my.emb-japan.go.jp/files/100047030.pdf","Malaysian Immigration / Japan Embassy host"),"Malaysian Immigration / Japan Embassy host")</x:f>
        <x:v>Malaysian Immigration / Japan Embassy host</x:v>
      </x:c>
      <x:c r="L98" s="21" t="str">
        <x:f>IFERROR(HYPERLINK("https://www.kln.gov.my/web/usa_los-angeles/home/-/asset_publisher/0mrKQjpIuehK/blog/announcement-temporarily?inheritRedirect=false","kln.gov.my"),"kln.gov.my")</x:f>
        <x:v>kln.gov.my</x:v>
      </x:c>
      <x:c r="M98" s="21" t="str">
        <x:f>IFERROR(HYPERLINK("https://www.kln.gov.my/web/vnm_hanoi/post/latest-update-for-foreigners-travelling-to-malays-2","kln.gov.my"),"kln.gov.my")</x:f>
        <x:v>kln.gov.my</x:v>
      </x:c>
      <x:c r="N98" s="4" t="str">
        <x:v>https://www.my.emb-japan.go.jp/files/100047030.pdf
https://www.kln.gov.my/web/usa_los-angeles/home/-/asset_publisher/0mrKQjpIuehK/blog/announcement-temporarily?inheritRedirect=false
https://www.kln.gov.my/web/vnm_hanoi/post/latest-update-for-foreigners-travelling-to-malays-2
https://www.kln.gov.my/web/vnm_hanoi/post/latest-procedure-for-visa-issuance-foreigners-entry-to-malaysia-recovery-movement-control-order-phase-10-june-until-31-august-20-1
https://esd.imi.gov.my/portal/latest-news/announcement-2020/announcement-myentry/
https://www.ica.gov.sg/news-and-publications/newsroom/media-release/statement-on-clearance-of-travellers-for-land-border-reopening
https://www.mti.gov.sg/newsroom/reopening-of-land-borders-between-singapore-and-malaysia-from-1-april-2022/
https://www.dosm.gov.my/uploads/publications/20221018154017.pdf
https://www.channelnewsasia.com/asia/malaysia-reopen-border-fully-apr-1-2551491
https://www.tourism.gov.my/index.php/media/view/malaysia-ready-to-welcome-international-travellers-as-borders-fully-reopen-on-1-april
https://www.mti.gov.sg/newsroom/written-reply-to-pq-on-vtl-1/
https://www.bernama.com/en/news.php?id=1821855
https://www.pmo.gov.sg/newsroom/singapore-and-malaysia-to-launch-vtl-land-nov-2021/
https://covid-19.moh.gov.my/terkini/032020/situasi-terkini-25-mac-2020/64Kenyataan%20Akhbar%20KPK%20COVID-19%20%2825%20Mac%202020%29%20-%20EN.pdf
https://www.dosm.gov.my/uploads/publications/20221020145906.pdf</x:v>
      </x:c>
      <x:c r="O98" s="4" t="str">
        <x:v>Source 1: full
Source 2: access detail is retained in the source catalogue.
Source 3: access detail is retained in the source catalogue.</x:v>
      </x:c>
      <x:c r="P98" s="20" t="n">
        <x:v>5</x:v>
      </x:c>
      <x:c r="Q98" s="4" t="str">
        <x:v>East and Southeast Asia and Oceania</x:v>
      </x:c>
      <x:c r="R98" s="4" t="str">
        <x:v>Included</x:v>
      </x:c>
    </x:row>
    <x:row r="99" ht="174" hidden="0" customHeight="1">
      <x:c r="A99" s="16" t="str">
        <x:v>EA017</x:v>
      </x:c>
      <x:c r="B99" s="4" t="str">
        <x:v>Timor Leste COVID entry restrictions at Indonesian land border</x:v>
      </x:c>
      <x:c r="C99" s="4" t="str">
        <x:v>Timor-Leste; Indonesia</x:v>
      </x:c>
      <x:c r="D99" s="4" t="str">
        <x:v>Motaain–Batugade directly observed at onset; later national entry measures and daily land-admission regime.
Timor-Leste entry restrictions at the Indonesian land frontier; first-day operational observation specifically at Motaain–Batugade.</x:v>
      </x:c>
      <x:c r="E99" s="4" t="str">
        <x:v>Foreign ordinary travellers
Direction: Entry into Timor-Leste; Indonesian exit/entry governed separately
Exceptions: Residents specified family ties and approved cases; essential goods arrangements</x:v>
      </x:c>
      <x:c r="F99" s="4" t="str">
        <x:v>EA017-R1 — Formal policy
Weekly-hours legal restriction at Timor-Leste land posts under Decree26/2021 Article18, until repeal by Decree12/2022
Start: 2021-11-29.
Policy endpoint: 2022-03-18.
Formal policy: dated evidence; numeric duration withheld; see qualification
EA017-C7P1 — Observed operation
Reported return to daily land entry for eligible Indonesian citizens into Timor-Leste
Start: unknown.
Observed scoped reopening: 2022-03-21.
dated evidence; numeric duration withheld; see qualification</x:v>
      </x:c>
      <x:c r="G9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99" s="4" t="str">
        <x:v>EA017-R1: This is the legal envelope of recurring Monday-exit/Wednesday-entry access, not continuous closure or summed closed days. Original March19 expiry was superseded on March18. Tatoli separately reports daily operations from March21; no March18 physical reopening is inferred.
EA017-C7P1: Endpoint-only operational transition. Initial implementation of the preceding weekly-hours regime is not separately observed. No continuous closed interval, unrestricted admission or blanket bilateral reopening inferred.</x:v>
      </x:c>
      <x:c r="I99" s="4" t="str">
        <x:v>Retained baseline assessment. Retained with recorded qualifications</x:v>
      </x:c>
      <x:c r="J99" s="18" t="d">
        <x:v>2026-10-23T00:00:00.000Z</x:v>
      </x:c>
      <x:c r="K99" s="21" t="str">
        <x:f>IFERROR(HYPERLINK("https://www.laohamutuk.org/Justice/2022/PresElec/DL26-2021%20on%20exceptional%20and%20temporary%20health%20surveillance%20measuresEn.pdf","Timor-Leste government / La'o Hamutuk host"),"Timor-Leste government / La'o Hamutuk host")</x:f>
        <x:v>Timor-Leste government / La'o Hamutuk host</x:v>
      </x:c>
      <x:c r="L99" s="21" t="str">
        <x:f>IFERROR(HYPERLINK("https://mj.gov.tl/jornal/public/docs/2022/serie_1/SERIE_I_NO_12_A.pdf","mj.gov.tl"),"mj.gov.tl")</x:f>
        <x:v>mj.gov.tl</x:v>
      </x:c>
      <x:c r="M99" s="21" t="str">
        <x:f>IFERROR(HYPERLINK("https://en.tatoli.tl/2022/03/28/indonesian-citizens-are-free-to-enter-timor-leste-in-every-day/18/","Tatoli"),"Tatoli")</x:f>
        <x:v>Tatoli</x:v>
      </x:c>
      <x:c r="N99" s="4" t="str">
        <x:v>https://www.laohamutuk.org/Justice/2022/PresElec/DL26-2021%20on%20exceptional%20and%20temporary%20health%20surveillance%20measuresEn.pdf
https://mj.gov.tl/jornal/public/docs/2022/serie_1/SERIE_I_NO_12_A.pdf
https://en.tatoli.tl/2022/03/28/indonesian-citizens-are-free-to-enter-timor-leste-in-every-day/18/
https://timor-leste.gov.tl/?p=30240
https://mj.gov.tl/jornal/?q=node/13
https://www.antaranews.com/berita/1367290/timor-leste-lakukan-lockdown-wni-tertahan-di-perbatasan
https://timor-leste.gov.tl/?lang=en&amp;p=23927
https://id.tatoli.tl/2022/03/28/mulai-21-maret-wni-bebas-melintasi-batas-timor-leste/
https://www.antaranews.com/berita/2783633/plbn-motaain-pelayanan-lintas-batas-kembali-dibuka-secara-normal
https://www.antaranews.com/berita/1367114/timor-leste-tutup-perbatasan-cegah-covid-19-masuk
https://timor-leste.gov.tl/?lang=en&amp;p=30240</x:v>
      </x:c>
      <x:c r="O99" s="4" t="str">
        <x:v>Source 1: full
Source 2: access detail is retained in the source catalogue.
Source 3: full</x:v>
      </x:c>
      <x:c r="P99" s="20" t="n">
        <x:v>2</x:v>
      </x:c>
      <x:c r="Q99" s="4" t="str">
        <x:v>East and Southeast Asia and Oceania</x:v>
      </x:c>
      <x:c r="R99" s="4" t="str">
        <x:v>Included</x:v>
      </x:c>
    </x:row>
    <x:row r="100" ht="246" hidden="0" customHeight="1">
      <x:c r="A100" s="16" t="str">
        <x:v>EA015</x:v>
      </x:c>
      <x:c r="B100" s="4" t="str">
        <x:v>Cambodia restricts reciprocal citizen travel with Vietnam</x:v>
      </x:c>
      <x:c r="C100" s="4" t="str">
        <x:v>Cambodia; Vietnam</x:v>
      </x:c>
      <x:c r="D100" s="4" t="str">
        <x:v>Cambodia Vietnam land crossing component of broader order</x:v>
      </x:c>
      <x:c r="E100" s="4" t="str">
        <x:v>Vietnamese and Cambodian ordinary-passport travellers
Direction: Reciprocal ordinary-passport citizen travel between Cambodia and Vietnam
Exceptions: Diplomatic/official passports; goods transport protected</x:v>
      </x:c>
      <x:c r="F100" s="4" t="str">
        <x:v>EA015-D1 — Formal policy
Cambodia's note restricting reciprocal ordinary-passport citizen travel with Vietnam, land component only.
Start: 2020-03-20.
Policy endpoint: 2020-06-19.
Formal policy: 91 calendar-day difference; operational continuity not established</x:v>
      </x:c>
      <x:c r="G100" s="4" t="str">
        <x:v>Health and biosecurity / Human disease control
Reported reason
Applies to: Recorded episode; exact overlap not separately established
COVID rationale explicit.
Migration / Admission and document disputes
Attributed official justification
Applies to: March 2020 Cambodian response
Hun Sen explicitly discussed Vietnamese nationals becoming stranded or irregular in Cambodia if Vietnam refused their return after quarantine; this is an admission/repatriation concern, not inferred simply from traveller nationality.
Interstate disputes and pressure / Diplomatic disputes and retaliation
Analytical interpretation of reported context
Applies to: March 2020 Cambodian response
RFA describes the order as apparently responding to Vietnam's unnotified unilateral ban; Hun Sen linked enforcement to that ban but expressly denied revenge. Preserve this qualification rather than asserting a proved retaliatory intent.</x:v>
      </x:c>
      <x:c r="H100" s="4" t="str">
        <x:v>EA015-D1: This times the Cambodian measure, not observed unrestricted bilateral passage. Diplomatic/official passports and goods were exempt; Vietnamese restrictions and general health rules persisted.</x:v>
      </x:c>
      <x:c r="I100" s="4" t="str">
        <x:v>Targeted source review (REC50-R24); retained with recorded qualifications; evidence limits retained.</x:v>
      </x:c>
      <x:c r="J100" s="18" t="d">
        <x:v>2026-10-25T00:00:00.000Z</x:v>
      </x:c>
      <x:c r="K100" s="21" t="str">
        <x:f>IFERROR(HYPERLINK("https://en.vietnamplus.vn/cambodia-lifts-restriction-on-cross-border-travel-with-vietnam-post177266.vnp","Vietnam News Agency"),"Vietnam News Agency")</x:f>
        <x:v>Vietnam News Agency</x:v>
      </x:c>
      <x:c r="L100" s="21" t="str">
        <x:f>IFERROR(HYPERLINK("https://www.rfa.org/english/news/cambodia/border-03192020162112.html","Radio Free Asia"),"Radio Free Asia")</x:f>
        <x:v>Radio Free Asia</x:v>
      </x:c>
      <x:c r="M100" s="21" t="str">
        <x:f>IFERROR(HYPERLINK("https://baochinhphu.vn/dieu-chinh-quy-dinh-qua-lai-tai-cac-cua-khau-bien-gioi-voi-campuchia-va-lao-102270397.htm","baochinhphu.vn"),"baochinhphu.vn")</x:f>
        <x:v>baochinhphu.vn</x:v>
      </x:c>
      <x:c r="N100" s="4" t="str">
        <x:v>https://en.vietnamplus.vn/cambodia-lifts-restriction-on-cross-border-travel-with-vietnam-post177266.vnp
https://www.rfa.org/english/news/cambodia/border-03192020162112.html
https://baochinhphu.vn/dieu-chinh-quy-dinh-qua-lai-tai-cac-cua-khau-bien-gioi-voi-campuchia-va-lao-102270397.htm
https://vietnamnews.vn/politics-laws/653834/cambodia-temporarily-shuts-border-with-viet-nam-over-covid-19.html</x:v>
      </x:c>
      <x:c r="O100" s="4" t="str">
        <x:v>Source 1: full text
Source 2: full text
Source 3: access detail is retained in the source catalogue.</x:v>
      </x:c>
      <x:c r="P100" s="20" t="n">
        <x:v>1</x:v>
      </x:c>
      <x:c r="Q100" s="4" t="str">
        <x:v>East and Southeast Asia and Oceania</x:v>
      </x:c>
      <x:c r="R100" s="4" t="str">
        <x:v>Included</x:v>
      </x:c>
    </x:row>
    <x:row r="101" ht="198" hidden="0" customHeight="1">
      <x:c r="A101" s="16" t="str">
        <x:v>EA035</x:v>
      </x:c>
      <x:c r="B101" s="4" t="str">
        <x:v>Thailand national COVID land passenger closure and staged reopening</x:v>
      </x:c>
      <x:c r="C101" s="4" t="str">
        <x:v>Thailand; Myanmar; Laos; Cambodia; Malaysia</x:v>
      </x:c>
      <x:c r="D101" s="4" t="str">
        <x:v>Thai international land checkpoints; national umbrella with crossing-specific phases</x:v>
      </x:c>
      <x:c r="E101" s="4" t="str">
        <x:v>Thai and foreign ordinary travellers
Direction: Both-way ordinary passenger movements
Exceptions: Designated freight routes and drivers; limited citizen returns; later approved traveller schemes.</x:v>
      </x:c>
      <x:c r="F101" s="4" t="str">
        <x:v>EA035-D1 — Observed operation
Selected national-order phase restricting ordinary non-repatriation passenger admission at Sadao, to the documented passenger pilot.
Start: by 2020-03-23; earliest bound unknown.
Observed scoped reopening: 2022-04-01.
dated evidence; numeric duration withheld; see qualification</x:v>
      </x:c>
      <x:c r="G10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01" s="4" t="str">
        <x:v>EA035-D1: The 23 March date is a latest-confirmed national marker, not an exact first Sadao closure. An indexed Songkhla policy report points to 21 March, but original access and first gate-level denial remain unresolved. The 739-day difference from the selected marker is not a complete observed closure length. Limited Thai returns and freight continued; 1 April 2022 is the Sadao passenger pilot endpoint, not unrestricted entry or every Thai post.
first local operational onset / complete-duration eligibility: The selected 23 March 2020 marker dates national implementation by that day, not first Sadao denial. Earlier local policy is reported, but the original source and a first gate-level observation remain unresolved. The observed 1 April 2022 pilot endpoint is retained.</x:v>
      </x:c>
      <x:c r="I101" s="4" t="str">
        <x:v>Full-record source audit (REC50-R05); accepted corrections; evidence limits retained.</x:v>
      </x:c>
      <x:c r="J101" s="18" t="d">
        <x:v>2026-10-25T00:00:00.000Z</x:v>
      </x:c>
      <x:c r="K101" s="21" t="str">
        <x:f>IFERROR(HYPERLINK("https://www.malaymail.com/news/malaysia/2020/03/23/covid-19-thailand-closes-nine-border-checkpoints-to-malaysia/1849411","Malay Mail / Bernama"),"Malay Mail / Bernama")</x:f>
        <x:v>Malay Mail / Bernama</x:v>
      </x:c>
      <x:c r="L101" s="21" t="str">
        <x:f>IFERROR(HYPERLINK("https://www.nationthailand.com/in-focus/40014082","The Nation Thailand"),"The Nation Thailand")</x:f>
        <x:v>The Nation Thailand</x:v>
      </x:c>
      <x:c r="M101" s="21" t="str">
        <x:f>IFERROR(HYPERLINK("https://www.xinhuanet.com/english/2020-03/21/c_138900181.htm","Xinhua"),"Xinhua")</x:f>
        <x:v>Xinhua</x:v>
      </x:c>
      <x:c r="N101" s="4" t="str">
        <x:v>https://www.malaymail.com/news/malaysia/2020/03/23/covid-19-thailand-closes-nine-border-checkpoints-to-malaysia/1849411
https://www.nationthailand.com/in-focus/40014082
https://www.xinhuanet.com/english/2020-03/21/c_138900181.htm
https://aseannow.com/topic/1154872-songkhla-bars-foreigners-from-use-of-border-crossings/
https://www.nationthailand.com/in-focus/40015141
https://mfa.go.th/en/content/press-briefing-25may22?page=5d5bd3da15e39c306002aaf9
https://thailand.iom.int/sites/g/files/tmzbdl1371/files/documents/unnm-covid19-sitrep_may-2022.pdf
https://www.nationthailand.com/news/30384573
https://www.caat.or.th/en/caat-media/173984/
https://www.mdn.gov.mm/en/myawady-thai-border-gates-closed
https://www.moi.gov.mm/moi%3Aeng/news/9198
https://www.nationthailand.com/thailand/general/40025038
https://elevenmyanmar.com/news/thailand-temporarily-closes-all-nine-border-checkpoints-due-to-covid-19</x:v>
      </x:c>
      <x:c r="O101" s="4" t="str">
        <x:v>Source 1: full text
Source 2: full text
Source 3: full text</x:v>
      </x:c>
      <x:c r="P101" s="20" t="n">
        <x:v>1</x:v>
      </x:c>
      <x:c r="Q101" s="4" t="str">
        <x:v>East and Southeast Asia and Oceania</x:v>
      </x:c>
      <x:c r="R101" s="4" t="str">
        <x:v>Included</x:v>
      </x:c>
    </x:row>
    <x:row r="102" ht="222" hidden="0" customHeight="1">
      <x:c r="A102" s="16" t="str">
        <x:v>EA016</x:v>
      </x:c>
      <x:c r="B102" s="4" t="str">
        <x:v>Laos COVID closure of international passenger border gates</x:v>
      </x:c>
      <x:c r="C102" s="4" t="str">
        <x:v>Laos; Thailand; China; Vietnam; Cambodia; Myanmar</x:v>
      </x:c>
      <x:c r="D102" s="4" t="str">
        <x:v>All international gates; land component</x:v>
      </x:c>
      <x:c r="E102" s="4" t="str">
        <x:v>International passengers
Direction: International passenger crossing; detailed direction exemptions require order-level review
Exceptions: The April 2020 foreign-ministry account excepts goods transport and emergency entry/exit. Later authorised tourist categories and route-specific permissions require separate reconstruction; the First Friendship Bridge pilot does not establish the selected Second Bridge chronology.</x:v>
      </x:c>
      <x:c r="F102" s="4" t="str">
        <x:v>EA016-D1 — Observed operation
Selected Laos national-order phase restricting ordinary passengers on Mukdahan–Savannakhet's Second Friendship Bridge, to observed reopening.
Start: 2020-03-30.
Observed scoped reopening: 2022-05-09.
Contested: dated evidence; numeric duration withheld; see qualification
Held evidence: excluded from numeric duration and animation displays.</x:v>
      </x:c>
      <x:c r="G10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02" s="4" t="str">
        <x:v>EA016-D1: Earlier local measures are not assigned the national date. The earlier First Friendship Bridge tourism pilot was a different route. Authorised exceptions remain excluded, and Chinese-side Boten restrictions did not end on this date. The saved full audit recovered competing March19, March30 and April3 passenger-rule dates. Their application to the Second Friendship Bridge and uninterrupted ordinary-passenger restriction until May9,2022 are not established. Retain the claimed date as disputed evidence; withhold the apparent 770-day operational duration.
onset: VietnamPlus dates Laos international passenger closure to March 30, 2020, but an April 5 Vietnamese government account describes April 3–19 international restrictions and March 19–April 20 bilateral smaller-gate rules. RFA observes Mukdahan–Savannakhet traffic on May 9, 2022. The exact beginning and uninterrupted ordinary-passenger regime for that bridge need reconciliation; the observed endpoint does not validate the entire 770-day span.
continuity: VietnamPlus dates Laos international passenger closure to March 30, 2020, but an April 5 Vietnamese government account describes April 3–19 international restrictions and March 19–April 20 bilateral smaller-gate rules. RFA observes Mukdahan–Savannakhet traffic on May 9, 2022. The exact beginning and uninterrupted ordinary-passenger regime for that bridge need reconciliation; the observed endpoint does not validate the entire 770-day span.</x:v>
      </x:c>
      <x:c r="I102" s="4" t="str">
        <x:v>Full-record source audit (REC50-R50); accepted corrections; evidence limits retained.</x:v>
      </x:c>
      <x:c r="J102" s="18" t="d">
        <x:v>2026-10-25T00:00:00.000Z</x:v>
      </x:c>
      <x:c r="K102" s="21" t="str">
        <x:f>IFERROR(HYPERLINK("https://en.vietnamplus.vn/vietnam-suspends-residents-border-crossing-fromto-laos-cambodia-over-covid-19-post170993.vnp","Vietnam News Agency / VietnamPlus"),"Vietnam News Agency / VietnamPlus")</x:f>
        <x:v>Vietnam News Agency / VietnamPlus</x:v>
      </x:c>
      <x:c r="L102" s="21" t="str">
        <x:f>IFERROR(HYPERLINK("https://laoairlines.com/en/entry-requirements-to-the-lao/?paged=4","Lao Airlines"),"Lao Airlines")</x:f>
        <x:v>Lao Airlines</x:v>
      </x:c>
      <x:c r="M102" s="21" t="str">
        <x:f>IFERROR(HYPERLINK("https://www.tourismlaos.org/2021/12/24/2869/","Tourism Laos"),"Tourism Laos")</x:f>
        <x:v>Tourism Laos</x:v>
      </x:c>
      <x:c r="N102" s="4" t="str">
        <x:v>https://en.vietnamplus.vn/vietnam-suspends-residents-border-crossing-fromto-laos-cambodia-over-covid-19-post170993.vnp
https://laoairlines.com/en/entry-requirements-to-the-lao/?paged=4
https://www.tourismlaos.org/2021/12/24/2869/
https://www.rfa.org/english/news/laos/reopen-05102022163318.html
https://baochinhphu.vn/thay-doi-trong-quy-dinh-xuat-nhap-canh-giua-viet-nam-lao-de-phong-chong-covid-19-102270684.htm
https://kpl.gov.la/En/detail.aspx?id=51331
https://kpl.gov.la/en/detail.aspx?id=54568
https://laotiantimes.com/2022/05/10/quiet-at-laos-border-checkpoints-on-first-day-of-full-reopening/
https://jclao.com/lockdown-govt-toughens-virus-prevention-measures/</x:v>
      </x:c>
      <x:c r="O102" s="4" t="str">
        <x:v>Source 1: full text
Source 2: full page
Source 3: indexed extract</x:v>
      </x:c>
      <x:c r="P102" s="20" t="n">
        <x:v>1</x:v>
      </x:c>
      <x:c r="Q102" s="4" t="str">
        <x:v>East and Southeast Asia and Oceania</x:v>
      </x:c>
      <x:c r="R102" s="4" t="str">
        <x:v>Included</x:v>
      </x:c>
    </x:row>
    <x:row r="103" ht="126" hidden="0" customHeight="1">
      <x:c r="A103" s="16" t="str">
        <x:v>EA014</x:v>
      </x:c>
      <x:c r="B103" s="4" t="str">
        <x:v>Vietnam suspends individual crossings with Laos and Cambodia</x:v>
      </x:c>
      <x:c r="C103" s="4" t="str">
        <x:v>Vietnam; Laos; Cambodia</x:v>
      </x:c>
      <x:c r="D103" s="4" t="str">
        <x:v>Main secondary and trail crossings withLaos/Cambodia</x:v>
      </x:c>
      <x:c r="E103" s="4" t="str">
        <x:v>Individuals crossing land borders
Direction: Individual entry and exit on Vietnam side</x:v>
      </x:c>
      <x:c r="F103" s="4" t="str">
        <x:v>EA014-R1 — Formal policy
Vietnam-side main/secondary gates and trails on Laos frontier, individual travel
Start: 2020-04-01.
Last confirmed: 2020-04-05. Reopening is not established.
Formal policy: confirmed through 2020-04-05; at least 4 calendar-day difference; reopening unknown</x:v>
      </x:c>
      <x:c r="G10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03" s="4" t="str">
        <x:v>EA014-R1: April 5 is substantive policy observation cutoff, not reopening. Official Government News republication was fully inspected in review; original consular URL timed out. No international-gate-wide or freight ban inferred.</x:v>
      </x:c>
      <x:c r="I103" s="4" t="str">
        <x:v>Targeted source review (REC50-R19); retained with recorded qualifications; evidence limits retained.</x:v>
      </x:c>
      <x:c r="J103" s="18" t="d">
        <x:v>2026-10-25T00:00:00.000Z</x:v>
      </x:c>
      <x:c r="K103" s="21" t="str">
        <x:f>IFERROR(HYPERLINK("https://en.vietnamplus.vn/vietnam-suspends-residents-border-crossing-fromto-laos-cambodia-over-covid-19-post170993.vnp","VietnamPlus / Vietnam News Agency"),"VietnamPlus / Vietnam News Agency")</x:f>
        <x:v>VietnamPlus / Vietnam News Agency</x:v>
      </x:c>
      <x:c r="L103" s="21" t="str">
        <x:f>IFERROR(HYPERLINK("https://lanhsuvietnam.gov.vn/Lists/BaiViet/B%C3%A0i%20vi%E1%BA%BFt/DispForm.aspx?ID=1048&amp;List=dc7c7d75-6a32-4215-afeb-47d4bee70eee","Vietnam Consular Department"),"Vietnam Consular Department")</x:f>
        <x:v>Vietnam Consular Department</x:v>
      </x:c>
      <x:c r="M103" s="21" t="str">
        <x:f>IFERROR(HYPERLINK("https://baochinhphu.vn/thay-doi-trong-quy-dinh-xuat-nhap-canh-giua-viet-nam-lao-de-phong-chong-covid-19-102270684.htm","Vietnam Government News"),"Vietnam Government News")</x:f>
        <x:v>Vietnam Government News</x:v>
      </x:c>
      <x:c r="N103" s="4" t="str">
        <x:v>https://en.vietnamplus.vn/vietnam-suspends-residents-border-crossing-fromto-laos-cambodia-over-covid-19-post170993.vnp
https://lanhsuvietnam.gov.vn/Lists/BaiViet/B%C3%A0i%20vi%E1%BA%BFt/DispForm.aspx?ID=1048&amp;List=dc7c7d75-6a32-4215-afeb-47d4bee70eee
https://baochinhphu.vn/thay-doi-trong-quy-dinh-xuat-nhap-canh-giua-viet-nam-lao-de-phong-chong-covid-19-102270684.htm
https://baochinhphu.vn/dieu-chinh-quy-dinh-qua-lai-tai-cac-cua-khau-bien-gioi-voi-campuchia-va-lao-102270397.htm
https://baochinhphu.vn/khoi-phuc-chinh-sach-xuat-nhap-canh-tu-ngay-15-3-102220315170507391.htm</x:v>
      </x:c>
      <x:c r="O103" s="4" t="str">
        <x:v>Source 1: full; full text
Source 2: indexed excerpt; failed
Source 3: full; full text</x:v>
      </x:c>
      <x:c r="P103" s="20" t="n">
        <x:v>1</x:v>
      </x:c>
      <x:c r="Q103" s="4" t="str">
        <x:v>East and Southeast Asia and Oceania</x:v>
      </x:c>
      <x:c r="R103" s="4" t="str">
        <x:v>Included</x:v>
      </x:c>
    </x:row>
    <x:row r="104" ht="282" hidden="0" customHeight="1">
      <x:c r="A104" s="16" t="str">
        <x:v>EA020</x:v>
      </x:c>
      <x:c r="B104" s="4" t="str">
        <x:v>North Korea China rail freight COVID suspension</x:v>
      </x:c>
      <x:c r="C104" s="4" t="str">
        <x:v>North Korea; China</x:v>
      </x:c>
      <x:c r="D104" s="4" t="str">
        <x:v>Sinuiju–Dandong railway</x:v>
      </x:c>
      <x:c r="E104" s="4" t="str">
        <x:v>Rail cargo
Direction: Both directions
Exceptions: Other modes not assessed; passenger controls separately recorded.</x:v>
      </x:c>
      <x:c r="F104" s="4" t="str">
        <x:v>EA020-D1 — Observed operation
Cross-border freight-train movements on Sinuiju–Dandong, to the first reported resumed train.
Start: 2020-08-01 to 2020-08-31.
Observed scoped reopening: 2022-01-16.
Contested: dated evidence; numeric duration withheld; see qualification
Held evidence: excluded from numeric duration and animation displays.</x:v>
      </x:c>
      <x:c r="G10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04" s="4" t="str">
        <x:v>January 16, 2022 train movement is documented, but RFA reports a short November 2021 rail reopening and an earlier aid exception. The conflict with Yonhap's first formal opening account remains unresolved; do not count August 2020–January 2022 as an uninterrupted operational closure.
EA020-D1: January 16, 2022 movement is documented, but two contemporary RFA reports describe a November 2021 reopening and interruption; an earlier aid exception is also reported. These conflict with the later first-formal-opening account. Continuous operational duration is withheld pending reconciliation.
continuity: Fresh retrieval confirms the contrary November account is substantive. The Chinese-language targeted pass did not produce independent operating records resolving the conflict or April exception. Existing duration hold remains necessary.
Current finding: Yonhap observes January 16, 2022 Dandong freight, while RFA reports November 1, 2021 restart followed by suspension eight days later. The existing contested chronology rightly withholds a continuous interval; November movements must be resolved rather than erased by the January first-train claim.
source verification: Fresh retrieval confirms the contrary November account is substantive. The Chinese-language targeted pass did not produce independent operating records resolving the conflict or April exception. Existing duration hold remains necessary.
onset: Yonhap observes January 16, 2022 Dandong freight, while RFA reports November 1, 2021 restart followed by suspension eight days later. The existing contested chronology rightly withholds a continuous interval; November movements must be resolved rather than erased by the January first-train claim.</x:v>
      </x:c>
      <x:c r="I104" s="4" t="str">
        <x:v>Retained baseline assessment. Correction pass: reviewed; see attribute findings</x:v>
      </x:c>
      <x:c r="J104" s="18" t="d">
        <x:v>2026-10-23T00:00:00.000Z</x:v>
      </x:c>
      <x:c r="K104" s="21" t="str">
        <x:f>IFERROR(HYPERLINK("https://en.yna.co.kr/view/AEN20220618001900315","Yonhap"),"Yonhap")</x:f>
        <x:v>Yonhap</x:v>
      </x:c>
      <x:c r="L104" s="21" t="str">
        <x:f>IFERROR(HYPERLINK("https://en.yna.co.kr/view/AEN20220116001352325","Yonhap"),"Yonhap")</x:f>
        <x:v>Yonhap</x:v>
      </x:c>
      <x:c r="M104" s="21" t="str">
        <x:f>IFERROR(HYPERLINK("https://www.rfa.org/english/news/korea/freight-11022021193033.html","rfa.org"),"rfa.org")</x:f>
        <x:v>rfa.org</x:v>
      </x:c>
      <x:c r="N104" s="4" t="str">
        <x:v>https://en.yna.co.kr/view/AEN20220618001900315
https://en.yna.co.kr/view/AEN20220116001352325
https://www.rfa.org/english/news/korea/freight-11022021193033.html
https://www.rfa.org/english/news/korea/virus-11082021185243.html
https://en.yna.co.kr/view/AEN20220117003200325
https://www.fmprc.gov.cn/eng./xw/fyrbt/lxjzh/202405/t20240530_11347208.html</x:v>
      </x:c>
      <x:c r="O104" s="4" t="str">
        <x:v>Source 1: full page
Source 2: full page
Source 3: access detail is retained in the source catalogue.</x:v>
      </x:c>
      <x:c r="P104" s="20" t="n">
        <x:v>1</x:v>
      </x:c>
      <x:c r="Q104" s="4" t="str">
        <x:v>East and Southeast Asia and Oceania</x:v>
      </x:c>
      <x:c r="R104" s="4" t="str">
        <x:v>Included</x:v>
      </x:c>
    </x:row>
    <x:row r="105" ht="114" hidden="0" customHeight="1">
      <x:c r="A105" s="16" t="str">
        <x:v>EA033</x:v>
      </x:c>
      <x:c r="B105" s="4" t="str">
        <x:v>China closes remaining Kyinsankyawt Pangsai Muse freight gates during COVID surge</x:v>
      </x:c>
      <x:c r="C105" s="4" t="str">
        <x:v>China; Myanmar</x:v>
      </x:c>
      <x:c r="D105" s="4" t="str">
        <x:v>Kyinsankyawt–Wamting and Pangsai–Wamting cargo gates</x:v>
      </x:c>
      <x:c r="E105" s="4" t="str">
        <x:v>Cargo crossings at remaining operating Muse gates
Direction: Both-way trade; initially separately routed entry/exit
Exceptions: Reopening trial used containers and driver substitution; other Muse gates stayed restricted.</x:v>
      </x:c>
      <x:c r="F105" s="4" t="str">
        <x:v>EA033-D1 — Observed operation
Kyinsankyawt cargo-gate closure, to the limited container/driver-substitution reopening.
Start: 2021-07-08.
Observed scoped reopening: 2021-11-26.
141 calendar-day difference; scoped endpoint only</x:v>
      </x:c>
      <x:c r="G10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05" s="4" t="str">
        <x:v>Kyinsankyawt's qualified reopening date is November 26, 2021. A January 2023 state article prints 2022 and a December 1, 2021 article prints September 26; contemporary November 25 closed-since-July reporting, actual November 27 cargo and later operational chronology favour November 2021. Pangsai remained closed in January 2022 and has no shared endpoint.
EA033-D1: The November 26, 2021 reopening is supported by contemporary November 25 planning, November 27 actual cargo and later operational reporting. One state article prints 2022 and another prints September 26; these appear to be year/month errors and are preserved as conflicts. Pangsai is excluded from this endpoint. State-media repetitions are one lineage.</x:v>
      </x:c>
      <x:c r="I105" s="4" t="str">
        <x:v>Retained baseline assessment. Amended after source reconciliation</x:v>
      </x:c>
      <x:c r="J105" s="18" t="d">
        <x:v>2026-10-23T00:00:00.000Z</x:v>
      </x:c>
      <x:c r="K105" s="21" t="str">
        <x:f>IFERROR(HYPERLINK("https://www.moi.gov.mm/moi%3Aeng/news/4027","Myanmar Ministry of Information"),"Myanmar Ministry of Information")</x:f>
        <x:v>Myanmar Ministry of Information</x:v>
      </x:c>
      <x:c r="L105" s="21" t="str">
        <x:f>IFERROR(HYPERLINK("https://myanmar-now.org/en/news/limited-trade-to-restart-on-china-myanmar-border/?tztc=1","Myanmar Now"),"Myanmar Now")</x:f>
        <x:v>Myanmar Now</x:v>
      </x:c>
      <x:c r="M105" s="21" t="str">
        <x:f>IFERROR(HYPERLINK("https://www.moi.gov.mm/moi:eng/news/9216","Myanmar Ministry of Information"),"Myanmar Ministry of Information")</x:f>
        <x:v>Myanmar Ministry of Information</x:v>
      </x:c>
      <x:c r="N105" s="4" t="str">
        <x:v>https://www.moi.gov.mm/moi%3Aeng/news/4027
https://myanmar-now.org/en/news/limited-trade-to-restart-on-china-myanmar-border/?tztc=1
https://www.moi.gov.mm/moi:eng/news/9216
https://www.moi.gov.mm/moi%3Aeng/news/9127
https://myanmar-now.org/en/news/limited-trade-to-restart-on-china-myanmar-border/
https://mdn.gov.mm/en/chinese-drivers-bring-back-myanmar-watermelon-unloading-goods
https://www.moi.gov.mm/moi%3Aeng/news/11742
https://ispmyanmar.com/myanmar-china-border-trade-crisis-continues/</x:v>
      </x:c>
      <x:c r="O105" s="4" t="str">
        <x:v>Source 1: full page
Source 2: search extract
Source 3: full page</x:v>
      </x:c>
      <x:c r="P105" s="20" t="n">
        <x:v>1</x:v>
      </x:c>
      <x:c r="Q105" s="4" t="str">
        <x:v>East and Southeast Asia and Oceania</x:v>
      </x:c>
      <x:c r="R105" s="4" t="str">
        <x:v>Included</x:v>
      </x:c>
    </x:row>
    <x:row r="106" ht="78" hidden="0" customHeight="1">
      <x:c r="A106" s="16" t="str">
        <x:v>EA031</x:v>
      </x:c>
      <x:c r="B106" s="4" t="str">
        <x:v>Cambodia temporarily blocks returnees from Thailand during Delta surge</x:v>
      </x:c>
      <x:c r="C106" s="4" t="str">
        <x:v>Cambodia; Thailand</x:v>
      </x:c>
      <x:c r="D106" s="4" t="str">
        <x:v>Cambodian land checkpoints with Thailand; Banteay Meanchey/Sa Kaeo and O’Smach reopening documented</x:v>
      </x:c>
      <x:c r="E106" s="4" t="str">
        <x:v>Cambodian returning migrants, vendors and other travellers
Direction: Both-way passenger order; documented impact chiefly return to Cambodia
Exceptions: Freight and authorised emergencies.</x:v>
      </x:c>
      <x:c r="F106" s="4" t="str">
        <x:v>EA031-D1 — Observed operation
Ordinary returnee admission into Cambodia through Banteay Meanchey, to the first reported resumed returns.
Start: 2021-07-29 to 2021-07-30.
Observed scoped reopening: 2021-08-12.
13–14 calendar-day difference; scoped endpoint only</x:v>
      </x:c>
      <x:c r="G10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06" s="4" t="str">
        <x:v>EA031-D1: Goods and authorised emergencies were exempt. O'Smach resumed on August 13 and is not assigned this endpoint. Day bounds do not imply full 24-hour days of closure.</x:v>
      </x:c>
      <x:c r="I106" s="4" t="str">
        <x:v>Retained baseline assessment. Retained with recorded qualifications</x:v>
      </x:c>
      <x:c r="J106" s="18" t="d">
        <x:v>2026-10-23T00:00:00.000Z</x:v>
      </x:c>
      <x:c r="K106" s="21" t="str">
        <x:f>IFERROR(HYPERLINK("https://cambojanews.com/govt-locks-down-border-provinces-and-announces-new-nationwide-restrictions-amid-fears-of-spreading-delta-variant/","CamboJA News"),"CamboJA News")</x:f>
        <x:v>CamboJA News</x:v>
      </x:c>
      <x:c r="L106" s="21" t="str">
        <x:f>IFERROR(HYPERLINK("https://cambojanews.com/cambodian-migrant-workers-start-coming-home-as-border-reopens/","CamboJA News"),"CamboJA News")</x:f>
        <x:v>CamboJA News</x:v>
      </x:c>
      <x:c r="M106" s="21" t="str">
        <x:f>IFERROR(HYPERLINK("https://www.thejakartapost.com/seasia/2021/07/29/cambodia-to-impose-covid-19-lockdowns-in-areas-bordering-thailand.html","The Jakarta Post"),"The Jakarta Post")</x:f>
        <x:v>The Jakarta Post</x:v>
      </x:c>
      <x:c r="N106" s="4" t="str">
        <x:v>https://cambojanews.com/govt-locks-down-border-provinces-and-announces-new-nationwide-restrictions-amid-fears-of-spreading-delta-variant/
https://cambojanews.com/cambodian-migrant-workers-start-coming-home-as-border-reopens/
https://www.thejakartapost.com/seasia/2021/07/29/cambodia-to-impose-covid-19-lockdowns-in-areas-bordering-thailand.html</x:v>
      </x:c>
      <x:c r="O106" s="4" t="str">
        <x:v>Source 1: full page
Source 2: full page
Source 3: search extract</x:v>
      </x:c>
      <x:c r="P106" s="20" t="n">
        <x:v>1</x:v>
      </x:c>
      <x:c r="Q106" s="4" t="str">
        <x:v>East and Southeast Asia and Oceania</x:v>
      </x:c>
      <x:c r="R106" s="4" t="str">
        <x:v>Included</x:v>
      </x:c>
    </x:row>
    <x:row r="107" ht="150" hidden="0" customHeight="1">
      <x:c r="A107" s="16" t="str">
        <x:v>EA029</x:v>
      </x:c>
      <x:c r="B107" s="4" t="str">
        <x:v>Erenhot Zamyn Uud road freight stopped during COVID outbreak</x:v>
      </x:c>
      <x:c r="C107" s="4" t="str">
        <x:v>China; Mongolia</x:v>
      </x:c>
      <x:c r="D107" s="4" t="str">
        <x:v>Erenhot–Zamyn-Uud road freight</x:v>
      </x:c>
      <x:c r="E107" s="4" t="str">
        <x:v>Road cargo
Direction: Initial reopening China to Mongolia only
Exceptions: Rail traffic operated under different arrangements; no full rail closure inferred.</x:v>
      </x:c>
      <x:c r="F107" s="4" t="str">
        <x:v>EA029-D1 — Observed operation
China-to-Mongolia road-freight restriction through Erenhot–Zamyn-Uud until the first documented limited December trial and stranded-vehicle admissions.
Start: 2021-10-13 to 2021-10-14.
Observed scoped reopening: 2021-12-08 to 2021-12-11.
55–59 calendar-day difference; scoped endpoint only</x:v>
      </x:c>
      <x:c r="G10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07" s="4" t="str">
        <x:v>October 13–14 onset conflict remains. A December 8 border-area container trial and documented December 11 goods/vehicle admissions establish an earlier partial endpoint, bounded December 8–11. January 11, 2022 is later regular-container resumption, not the first partial road opening. Passenger and rail policies are distinct.
EA029-D1: The endpoint is bounded December 8–11 because the trial's precise passage across the boundary is not resolved, whereas December 11 entry is explicit. These limited admissions preceded regular container operations beginning January 11, 2022. Rail and passengers are separate; no uninterrupted closure through January is retained.</x:v>
      </x:c>
      <x:c r="I107" s="4" t="str">
        <x:v>Targeted source review (REC50-R29); accepted qualification; evidence limits retained.</x:v>
      </x:c>
      <x:c r="J107" s="18" t="d">
        <x:v>2026-10-25T00:00:00.000Z</x:v>
      </x:c>
      <x:c r="K107" s="21" t="str">
        <x:f>IFERROR(HYPERLINK("https://www.mysteel.net/news/5026867-china-mongolia-border-trade-reviving-raw-mats-to-benefit","Mysteel"),"Mysteel")</x:f>
        <x:v>Mysteel</x:v>
      </x:c>
      <x:c r="L107" s="21" t="str">
        <x:f>IFERROR(HYPERLINK("https://wiki.unece.org/spaces/CTRBSBC/pages/101548480/Mongolia","UNECE border observatory"),"UNECE border observatory")</x:f>
        <x:v>UNECE border observatory</x:v>
      </x:c>
      <x:c r="M107" s="21" t="str">
        <x:f>IFERROR(HYPERLINK("https://wsb.xlgl.gov.cn/wsb/zwgk/zfxxgk/fdzdgknr/ywgz/d5e50e4ebfee41c797ee35fbfa6247f4/index.html","Xilin Gol Foreign Affairs Office"),"Xilin Gol Foreign Affairs Office")</x:f>
        <x:v>Xilin Gol Foreign Affairs Office</x:v>
      </x:c>
      <x:c r="N107" s="4" t="str">
        <x:v>https://www.mysteel.net/news/5026867-china-mongolia-border-trade-reviving-raw-mats-to-benefit
https://wiki.unece.org/spaces/CTRBSBC/pages/101548480/Mongolia
https://wsb.xlgl.gov.cn/wsb/zwgk/zfxxgk/fdzdgknr/ywgz/d5e50e4ebfee41c797ee35fbfa6247f4/index.html
https://www.ubpost.mn/a/12356
https://mongolia.gogo.mn/r/80mq6
https://itoim.mn/article/TG9WR/30855
https://ikon.mn/n/2eno
https://ikon.mn/n/2fu4
https://cabinet.gov.mn/6050.html
https://mrt.gov.mn/i/2914
https://updown.mn/178593.html</x:v>
      </x:c>
      <x:c r="O107" s="4" t="str">
        <x:v>Source 1: partial metadata
Source 2: substantive indexed extract
Source 3: full text</x:v>
      </x:c>
      <x:c r="P107" s="20" t="n">
        <x:v>1</x:v>
      </x:c>
      <x:c r="Q107" s="4" t="str">
        <x:v>East and Southeast Asia and Oceania</x:v>
      </x:c>
      <x:c r="R107" s="4" t="str">
        <x:v>Included</x:v>
      </x:c>
    </x:row>
    <x:row r="108" ht="78" hidden="0" customHeight="1">
      <x:c r="A108" s="16" t="str">
        <x:v>EA027</x:v>
      </x:c>
      <x:c r="B108" s="4" t="str">
        <x:v>China suspends Dongxing Mong Cai customs clearance during COVID outbreak</x:v>
      </x:c>
      <x:c r="C108" s="4" t="str">
        <x:v>China; Vietnam</x:v>
      </x:c>
      <x:c r="D108" s="4" t="str">
        <x:v>Dongxing–Mong Cai: Bac Luan I, Bac Luan II, Km 3+4 pontoon crossings</x:v>
      </x:c>
      <x:c r="E108" s="4" t="str">
        <x:v>Goods and trucks; passenger policy not established here
Direction: Both-way customs processing</x:v>
      </x:c>
      <x:c r="F108" s="4" t="str">
        <x:v>EA027-D1 — Observed operation
Dongxing–Mong Cai: Bac Luan I, Bac Luan II, Km 3+4 pontoon crossings; Goods and trucks; passenger policy not established here; Both-way customs processing
Start: 2021-12-21.
Observed scoped reopening: 2022-01-10.
20 calendar-day difference; scoped endpoint only</x:v>
      </x:c>
      <x:c r="G10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08" s="4" t="str">
        <x:v>EA027-D1: One state news origin relaying Vietnamese ministry and Chinese provincial information. Reopening is customs processing, not unrestricted passenger movement.</x:v>
      </x:c>
      <x:c r="I108" s="4" t="str">
        <x:v>Full-record source audit (REC50-R10); retained with recorded qualifications; evidence limits retained.</x:v>
      </x:c>
      <x:c r="J108" s="18" t="d">
        <x:v>2026-10-25T00:00:00.000Z</x:v>
      </x:c>
      <x:c r="K108" s="21" t="str">
        <x:f>IFERROR(HYPERLINK("https://en.vietnamplus.vn/customs-clearance-resumed-at-border-gates-crossings-with-china-post220472.vnp","Vietnam News Agency / VietnamPlus"),"Vietnam News Agency / VietnamPlus")</x:f>
        <x:v>Vietnam News Agency / VietnamPlus</x:v>
      </x:c>
      <x:c r="L108" s="21" t="str">
        <x:f>IFERROR(HYPERLINK("https://www.quangninh.gov.vn/Sites/en-us/Trang/ChiTietTinTuc.aspx?nid=5655","Quang Ninh province / Nhan Dan"),"Quang Ninh province / Nhan Dan")</x:f>
        <x:v>Quang Ninh province / Nhan Dan</x:v>
      </x:c>
      <x:c r="M108" s="21" t="str">
        <x:f>IFERROR(HYPERLINK("https://en.vietnamplus.vn/quang-ninh-sees-clearance-of-nearly-200-trucks-via-border-gates-crossings-with-china-post220487.vnp","Vietnam News Agency / VietnamPlus"),"Vietnam News Agency / VietnamPlus")</x:f>
        <x:v>Vietnam News Agency / VietnamPlus</x:v>
      </x:c>
      <x:c r="N108" s="4" t="str">
        <x:v>https://en.vietnamplus.vn/customs-clearance-resumed-at-border-gates-crossings-with-china-post220472.vnp
https://www.quangninh.gov.vn/Sites/en-us/Trang/ChiTietTinTuc.aspx?nid=5655
https://en.vietnamplus.vn/quang-ninh-sees-clearance-of-nearly-200-trucks-via-border-gates-crossings-with-china-post220487.vnp
https://quangninh.gov.vn/So/socongthuong/Trang/ChiTietTinTuc.aspx?nid=3268</x:v>
      </x:c>
      <x:c r="O108" s="4" t="str">
        <x:v>Source 1: full text
Source 2: full text
Source 3: full text</x:v>
      </x:c>
      <x:c r="P108" s="20" t="n">
        <x:v>1</x:v>
      </x:c>
      <x:c r="Q108" s="4" t="str">
        <x:v>East and Southeast Asia and Oceania</x:v>
      </x:c>
      <x:c r="R108" s="4" t="str">
        <x:v>Included</x:v>
      </x:c>
    </x:row>
    <x:row r="109" ht="114" hidden="0" customHeight="1">
      <x:c r="A109" s="16" t="str">
        <x:v>EA021</x:v>
      </x:c>
      <x:c r="B109" s="4" t="str">
        <x:v>North Korea China rail freight suspended again after Dandong outbreak</x:v>
      </x:c>
      <x:c r="C109" s="4" t="str">
        <x:v>North Korea; China</x:v>
      </x:c>
      <x:c r="D109" s="4" t="str">
        <x:v>Dandong–Sinuiju railway</x:v>
      </x:c>
      <x:c r="E109" s="4" t="str">
        <x:v>Rail freight
Direction: Both directions
Exceptions: KBS reports two exceptional medical-aid trains from Dandong to Sinuiju on May 26, 2022, citing multiple sources.</x:v>
      </x:c>
      <x:c r="F109" s="4" t="str">
        <x:v>EA021-D1 — Observed operation
Suspension of ordinary Dandong–Sinuiju freight-train service, excluding reported exceptional medical-aid trains, to observed September 26 resumption.
Start: 2022-04-25 to 2022-04-29.
Observed scoped reopening: 2022-09-26.
150–154 calendar-day difference; scoped endpoint only</x:v>
      </x:c>
      <x:c r="G10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09" s="4" t="str">
        <x:v>Onset remains bounded April 25–29. Ordinary freight service resumed September 26, but reported May 26 medical-aid trains prevent describing the interval as absence of all freight movements. August resumption forecasts and May 1 suspension expectations are not observed traffic. Passenger service is separate.
EA021-D1: April 25–29 onset disagreement is retained. KBS reports two medical-supply trains crossed May 26, 2022; this is an exception to the ordinary-service restriction, so the phase cannot mean no train movements. August reopening forecasts do not establish ordinary resumption. Passenger service and subsequent regularity are not inferred.</x:v>
      </x:c>
      <x:c r="I109" s="4" t="str">
        <x:v>Retained baseline assessment. Amended after source reconciliation</x:v>
      </x:c>
      <x:c r="J109" s="18" t="d">
        <x:v>2026-10-23T00:00:00.000Z</x:v>
      </x:c>
      <x:c r="K109" s="21" t="str">
        <x:f>IFERROR(HYPERLINK("https://en.yna.co.kr/view/AEN20220618001900315","Yonhap"),"Yonhap")</x:f>
        <x:v>Yonhap</x:v>
      </x:c>
      <x:c r="L109" s="21" t="str">
        <x:f>IFERROR(HYPERLINK("https://en.yna.co.kr/view/AEN20220926004200325","Yonhap"),"Yonhap")</x:f>
        <x:v>Yonhap</x:v>
      </x:c>
      <x:c r="M109" s="21" t="str">
        <x:f>IFERROR(HYPERLINK("https://www.rfa.org/english/news/korea/freight-railway-08052022170439.html","Radio Free Asia"),"Radio Free Asia")</x:f>
        <x:v>Radio Free Asia</x:v>
      </x:c>
      <x:c r="N109" s="4" t="str">
        <x:v>https://en.yna.co.kr/view/AEN20220618001900315
https://en.yna.co.kr/view/AEN20220926004200325
https://www.rfa.org/english/news/korea/freight-railway-08052022170439.html
https://www.fmprc.gov.cn/mfa_eng./xw/fyrbt/lxjzh/202405/t20240530_11347274.html
https://www.mfa.gov.cn/eng/xw/fyrbt/lxjzh/202405/t20240530_11347371.html
https://world.kbs.co.kr/service/news_view.htm?lang=e&amp;Seq_Code=169950
https://www.fmprc.gov.cn/web/fyrbt_673021/jzhsl_673025/202204/t20220429_10680663.shtml
https://www.fmprc.gov.cn/eng./xw/fyrbt/lxjzh/202405/t20240530_11347371.html
https://www.rfa.org/english/news/korea/train-05022022184520.html</x:v>
      </x:c>
      <x:c r="O109" s="4" t="str">
        <x:v>Source 1: full page
Source 2: full page
Source 3: full relevant article text</x:v>
      </x:c>
      <x:c r="P109" s="20" t="n">
        <x:v>1</x:v>
      </x:c>
      <x:c r="Q109" s="4" t="str">
        <x:v>East and Southeast Asia and Oceania</x:v>
      </x:c>
      <x:c r="R109" s="4" t="str">
        <x:v>Included</x:v>
      </x:c>
    </x:row>
    <x:row r="110" ht="150" hidden="0" customHeight="1">
      <x:c r="A110" s="16" t="str">
        <x:v>EA030</x:v>
      </x:c>
      <x:c r="B110" s="4" t="str">
        <x:v>Zokhawthar Rikhawdar election closure extended on security grounds</x:v>
      </x:c>
      <x:c r="C110" s="4" t="str">
        <x:v>India; Myanmar</x:v>
      </x:c>
      <x:c r="D110" s="4" t="str">
        <x:v>Bridge/gate over Tiau River at Zokhawthar–Rikhawdar/Khawmawi</x:v>
      </x:c>
      <x:c r="E110" s="4" t="str">
        <x:v>Local residents, workers and cross-border trade
Direction: Both directions
Exceptions: April 20 limited medical travel, essential food and medicines; Mizzima also mentions students.</x:v>
      </x:c>
      <x:c r="F110" s="4" t="str">
        <x:v>EA030-D1 — Observed operation
Zokhawthar–Rikhawdar gate restriction, to limited medical/essential passenger restoration on April 20.
Start: 2024-04-01 to 2024-04-19.
Observed scoped reopening: 2024-04-20.
1–19 calendar-day difference; scoped endpoint only</x:v>
      </x:c>
      <x:c r="G110" s="4" t="str">
        <x:v>Electoral politics / Election administration and security
Reported reason
Applies to: Initial election closure
District authority describes preventing disruption of polling.
Security / Unspecified security
Reported reason
Applies to: Extension after polling
Assam Rifles cites the present security situation without a narrower threat or protective purpose.</x:v>
      </x:c>
      <x:c r="H110" s="4" t="str">
        <x:v>Competing April onset accounts remain bounded. April 20 restoration was limited. The announced May 1 closure was cancelled in an April 30 follow-up, with officials confirming FMR would continue; no implemented May episode is inferred. Inherited Migration coding is preserved in history but withheld from active assignments pending episode-specific support.
EA030-D1: Broad April onset bounds preserve competing district, force and local accounts. April 20 is limited medical/student/essential access, not unrestricted all-traveller reopening. The projected May 1 resealing was explicitly cancelled on April 30, when Assam Rifles said the gate would remain open under FMR as before.
rationale: A separate migration rationale for the April election/security closure remains unsupported. Proposed May restrictions and broad FMR debate cannot establish the motive of this actual April spell.</x:v>
      </x:c>
      <x:c r="I110" s="4" t="str">
        <x:v>Retained baseline assessment. Follow-up adjudicated; retain</x:v>
      </x:c>
      <x:c r="J110" s="18" t="d">
        <x:v>2026-10-23T00:00:00.000Z</x:v>
      </x:c>
      <x:c r="K110" s="21" t="str">
        <x:f>IFERROR(HYPERLINK("https://timesofindia.indiatimes.com/city/guwahati/assam-rifles-keeps-mizoram-myanmar-border-gate-closed-even-after-election-locals-unhappy/articleshow/109473777.cms","Times of India"),"Times of India")</x:f>
        <x:v>Times of India</x:v>
      </x:c>
      <x:c r="L110" s="21" t="str">
        <x:f>IFERROR(HYPERLINK("https://eng.mizzima.com/2024/04/24/9276","Mizzima"),"Mizzima")</x:f>
        <x:v>Mizzima</x:v>
      </x:c>
      <x:c r="M110" s="21" t="str">
        <x:f>IFERROR(HYPERLINK("https://www.indiatodayne.in/amp/mizoram/story/mizoram-friendship-gate-at-zokhawthar-opens-for-the-public-985210-2024-04-21","India Today NE"),"India Today NE")</x:f>
        <x:v>India Today NE</x:v>
      </x:c>
      <x:c r="N110" s="4" t="str">
        <x:v>https://timesofindia.indiatimes.com/city/guwahati/assam-rifles-keeps-mizoram-myanmar-border-gate-closed-even-after-election-locals-unhappy/articleshow/109473777.cms
https://eng.mizzima.com/2024/04/24/9276
https://www.indiatodayne.in/amp/mizoram/story/mizoram-friendship-gate-at-zokhawthar-opens-for-the-public-985210-2024-04-21
https://www.indiatodayne.in/amp/mizoram/story/mizoram-myanmar-border-to-remain-open-fmr-in-place-as-before-995393-2024-04-30
https://timesofindia.indiatimes.com/city/guwahati/assam-rifles-keeps-mizoram-myanmar-border-gate-closed-even-after-election-locals-unhappy/amp_articleshow/109473777.cms
https://www.indiatodayne.in/mizoram/story/mizoram-friendship-gate-at-zokhawthar-opens-for-the-public-985210-2024-04-21
https://northeastlivetv.com/topnews/mizoram-zokhawthar-bridge-closed-due-to-ls-polls-reopens/</x:v>
      </x:c>
      <x:c r="O110" s="4" t="str">
        <x:v>Source 1: full page
Source 2: search extract
Source 3: full relevant article text</x:v>
      </x:c>
      <x:c r="P110" s="20" t="n">
        <x:v>1</x:v>
      </x:c>
      <x:c r="Q110" s="4" t="str">
        <x:v>East and Southeast Asia and Oceania</x:v>
      </x:c>
      <x:c r="R110" s="4" t="str">
        <x:v>Included</x:v>
      </x:c>
    </x:row>
    <x:row r="111" ht="162" hidden="0" customHeight="1">
      <x:c r="A111" s="16" t="str">
        <x:v>EA012</x:v>
      </x:c>
      <x:c r="B111" s="4" t="str">
        <x:v>China’s phased restrictions on northern and eastern Shan border gates</x:v>
      </x:c>
      <x:c r="C111" s="4" t="str">
        <x:v>China; Myanmar</x:v>
      </x:c>
      <x:c r="D111" s="4" t="str">
        <x:v>Among reported gates: Manhkar/Namtit, Chinshwehaw, Panghseng, Kyinsankyawt and Nawngtawng; later Mong La and selected Kyalgaung goods
Selected northern/eastern Shan gates, with timing and commodity exceptions varying; not all of Muse township exempt</x:v>
      </x:c>
      <x:c r="E111" s="4" t="str">
        <x:v>Cross-border goods and travellers
Direction: Trade into Myanmar chiefly documented; general traveller direction unresolved
Exceptions: Pangkham and Shawba still open on August 28, 2024; later six restricted reopenings reported.</x:v>
      </x:c>
      <x:c r="F111" s="4" t="str">
        <x:v>EA012-R1 — Observed operation
Manhkar–Namtit gate; reported complete closure affecting supplies and medical travel
Start: 2024-08-24.
Last confirmed: 2024-08-28. Reopening is not established.
confirmed through 2024-08-28; at least 4 calendar-day difference; reopening unknown</x:v>
      </x:c>
      <x:c r="G111"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Sanctions and coercive pressure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111" s="4" t="str">
        <x:v>EA012-R1: Short reporting-supported segment only; January 2025 reopening is not assumed to prove continuous closure from August.
continuity: Later gate-specific intervals remain incomplete, as already qualified.</x:v>
      </x:c>
      <x:c r="I111" s="4" t="str">
        <x:v>Retained baseline assessment. Retained with recorded qualifications</x:v>
      </x:c>
      <x:c r="J111" s="18" t="d">
        <x:v>2026-10-23T00:00:00.000Z</x:v>
      </x:c>
      <x:c r="K111" s="21" t="str">
        <x:f>IFERROR(HYPERLINK("https://www.bnionline.net/en/news/china-shuts-border-gate-uwsa-controlled-namtit-town","BNI / Shan Herald"),"BNI / Shan Herald")</x:f>
        <x:v>BNI / Shan Herald</x:v>
      </x:c>
      <x:c r="L111" s="21" t="str">
        <x:f>IFERROR(HYPERLINK("https://english.shannews.org/archives/27697","Shan Herald"),"Shan Herald")</x:f>
        <x:v>Shan Herald</x:v>
      </x:c>
      <x:c r="M111" s="21" t="str">
        <x:f>IFERROR(HYPERLINK("https://ispmyanmar.com/mp-84/","ISP-Myanmar"),"ISP-Myanmar")</x:f>
        <x:v>ISP-Myanmar</x:v>
      </x:c>
      <x:c r="N111" s="4" t="str">
        <x:v>https://www.bnionline.net/en/news/china-shuts-border-gate-uwsa-controlled-namtit-town
https://english.shannews.org/archives/27697
https://ispmyanmar.com/mp-84/
https://www.nationthailand.com/news/asean/40040958
https://www.rfa.org/english/myanmar/2024/12/02/myanmar-border-controls/
https://www.rfa.org/english/myanmar/2024/10/24/myanmar-china-closes-border/
https://www.bnionline.net/en/news/china-reopens-border-crossings-mndaa-controlled-areas</x:v>
      </x:c>
      <x:c r="O111" s="4" t="str">
        <x:v>Source 1: full
Source 2: full
Source 3: full</x:v>
      </x:c>
      <x:c r="P111" s="20" t="n">
        <x:v>1</x:v>
      </x:c>
      <x:c r="Q111" s="4" t="str">
        <x:v>East and Southeast Asia and Oceania</x:v>
      </x:c>
      <x:c r="R111" s="4" t="str">
        <x:v>Included</x:v>
      </x:c>
    </x:row>
    <x:row r="112" ht="162" hidden="0" customHeight="1">
      <x:c r="A112" s="16" t="str">
        <x:v>EA011</x:v>
      </x:c>
      <x:c r="B112" s="4" t="str">
        <x:v>China closes other Kachin crossings amid rebel advances</x:v>
      </x:c>
      <x:c r="C112" s="4" t="str">
        <x:v>China; Myanmar</x:v>
      </x:c>
      <x:c r="D112" s="4" t="str">
        <x:v>Kachin gates other thanKanPaikTi; Laiza Lweje PangWar Phimaw</x:v>
      </x:c>
      <x:c r="E112" s="4" t="str">
        <x:v>Goods and local travellers
Direction: Chinese exports to Myanmar and Myanmar residents seeking visits or treatment in China; commodity exemptions asymmetric
Exceptions: Selected imports continued; reopening allowed food construction materials visits and medical care, fuel ban remained.</x:v>
      </x:c>
      <x:c r="F112" s="4" t="str">
        <x:v>EA011-D1 — Observed operation
Laiza restriction on the ordinary goods/visit categories reportedly restored in October 2025, excluding the continuing fuel ban.
Start: 2024-10-18 to 2024-10-19.
Observed scoped reopening: 2025-10-24 to 2025-10-25.
370–372 calendar-day difference; scoped endpoint only</x:v>
      </x:c>
      <x:c r="G112"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Sanctions and coercive pressure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112" s="4" t="str">
        <x:v>EA011-D1: The day-boundary range preserves late-night endpoint precision. This is a qualified spokesperson-reported period, not independently observed universal traffic. Kan Paik Ti's earlier reopening and other differently timed gates are excluded.
end: Mizzima indexed October 26 differs from KIO's October 24 23:59; direct article inaccessible.</x:v>
      </x:c>
      <x:c r="I112" s="4" t="str">
        <x:v>Retained baseline assessment. Retained with recorded qualifications</x:v>
      </x:c>
      <x:c r="J112" s="18" t="d">
        <x:v>2026-10-23T00:00:00.000Z</x:v>
      </x:c>
      <x:c r="K112" s="21" t="str">
        <x:f>IFERROR(HYPERLINK("https://www.rfa.org/english/myanmar/2024/12/02/myanmar-border-controls/","Radio Free Asia"),"Radio Free Asia")</x:f>
        <x:v>Radio Free Asia</x:v>
      </x:c>
      <x:c r="L112" s="21" t="str">
        <x:f>IFERROR(HYPERLINK("https://www.bnionline.net/en/news/china-reopens-border-trading-gates-kachin-state-maintains-fuel-export-ban","Burma News International"),"Burma News International")</x:f>
        <x:v>Burma News International</x:v>
      </x:c>
      <x:c r="M112" s="21" t="str">
        <x:f>IFERROR(HYPERLINK("https://www.bnionline.net/en/news/chinese-border-closures-cause-price-rises-myitkyina-city","BNI / Kachin News Group"),"BNI / Kachin News Group")</x:f>
        <x:v>BNI / Kachin News Group</x:v>
      </x:c>
      <x:c r="N112" s="4" t="str">
        <x:v>https://www.rfa.org/english/myanmar/2024/12/02/myanmar-border-controls/
https://www.bnionline.net/en/news/china-reopens-border-trading-gates-kachin-state-maintains-fuel-export-ban
https://www.bnionline.net/en/news/chinese-border-closures-cause-price-rises-myitkyina-city
https://eng.mizzima.com/2025/10/30/27768</x:v>
      </x:c>
      <x:c r="O112" s="4" t="str">
        <x:v>Source 1: search extract
Source 2: full page
Source 3: full relevant article text</x:v>
      </x:c>
      <x:c r="P112" s="20" t="n">
        <x:v>1</x:v>
      </x:c>
      <x:c r="Q112" s="4" t="str">
        <x:v>East and Southeast Asia and Oceania</x:v>
      </x:c>
      <x:c r="R112" s="4" t="str">
        <x:v>Included</x:v>
      </x:c>
    </x:row>
    <x:row r="113" ht="162" hidden="0" customHeight="1">
      <x:c r="A113" s="16" t="str">
        <x:v>EA010</x:v>
      </x:c>
      <x:c r="B113" s="4" t="str">
        <x:v>China closes Kan Paik Ti crossing during Kachin conflict</x:v>
      </x:c>
      <x:c r="C113" s="4" t="str">
        <x:v>China; Myanmar</x:v>
      </x:c>
      <x:c r="D113" s="4" t="str">
        <x:v>KanPaikTi Kachin State crossing</x:v>
      </x:c>
      <x:c r="E113" s="4" t="str">
        <x:v>Trade and local movement
Direction: Cross-border local vehicles and goods; full directional scope not established
Exceptions: Limited goods and small vehicles admitted after reopening</x:v>
      </x:c>
      <x:c r="F113" s="4" t="str">
        <x:v>EA010-D1 — Observed operation
KanPaikTi Kachin State crossing; Trade and local movement; Cross-border local vehicles and goods; full directional scope not established
Start: 2024-10-22.
Observed scoped reopening: 2024-12-13.
52 calendar-day difference; scoped endpoint only</x:v>
      </x:c>
      <x:c r="G113"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Sanctions and coercive pressure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113" s="4" t="str">
        <x:v>EA010-D1: Exact dates rely on Voice of Shan Ni; RFA corroborates broader Kachin closure. Do not treat later 2025 all-gate announcement as uninterrupted closure here. Limited goods and small vehicles admitted after reopening</x:v>
      </x:c>
      <x:c r="I113" s="4" t="str">
        <x:v>Retained baseline assessment. Retained with recorded qualifications</x:v>
      </x:c>
      <x:c r="J113" s="18" t="d">
        <x:v>2026-10-23T00:00:00.000Z</x:v>
      </x:c>
      <x:c r="K113" s="21" t="str">
        <x:f>IFERROR(HYPERLINK("https://www.bnionline.net/en/news/china-reopens-border-crossing-kan-paik-ti-kachin-state","Burma News International"),"Burma News International")</x:f>
        <x:v>Burma News International</x:v>
      </x:c>
      <x:c r="L113" s="21" t="str">
        <x:f>IFERROR(HYPERLINK("https://www.rfa.org/english/myanmar/2024/12/02/myanmar-border-controls/","Radio Free Asia"),"Radio Free Asia")</x:f>
        <x:v>Radio Free Asia</x:v>
      </x:c>
      <x:c r="M113" s="21" t="str">
        <x:f>IFERROR(HYPERLINK("https://www.bnionline.net/en/news/chinese-border-closures-cause-price-rises-myitkyina-city","BNI / Kachin News Group"),"BNI / Kachin News Group")</x:f>
        <x:v>BNI / Kachin News Group</x:v>
      </x:c>
      <x:c r="N113" s="4" t="str">
        <x:v>https://www.bnionline.net/en/news/china-reopens-border-crossing-kan-paik-ti-kachin-state
https://www.rfa.org/english/myanmar/2024/12/02/myanmar-border-controls/
https://www.bnionline.net/en/news/chinese-border-closures-cause-price-rises-myitkyina-city</x:v>
      </x:c>
      <x:c r="O113" s="4" t="str">
        <x:v>Source 1: search extract
Source 2: search extract
Source 3: full relevant article text</x:v>
      </x:c>
      <x:c r="P113" s="20" t="n">
        <x:v>1</x:v>
      </x:c>
      <x:c r="Q113" s="4" t="str">
        <x:v>East and Southeast Asia and Oceania</x:v>
      </x:c>
      <x:c r="R113" s="4" t="str">
        <x:v>Included</x:v>
      </x:c>
    </x:row>
    <x:row r="114" ht="66" hidden="0" customHeight="1">
      <x:c r="A114" s="16" t="str">
        <x:v>EA024</x:v>
      </x:c>
      <x:c r="B114" s="4" t="str">
        <x:v>Rason foreign tourist land access suspended after brief reopening</x:v>
      </x:c>
      <x:c r="C114" s="4" t="str">
        <x:v>North Korea; China</x:v>
      </x:c>
      <x:c r="D114" s="4" t="str">
        <x:v>Rason SEZ tourist access via Quanhe–Wonjong</x:v>
      </x:c>
      <x:c r="E114" s="4" t="str">
        <x:v>Foreign tourist groups
Direction: Entry to Rason
Exceptions: June 2025 selected Chinese tourism-industry visitors discussed; not general tourist access.</x:v>
      </x:c>
      <x:c r="F114" s="4" t="str">
        <x:v>EA024-D1 — Observed operation
Ordinary foreign land tours to Rason via Quanhe–Wonjong, through the operator's June update.
Start: 2025-03-05.
Last confirmed: 2025-06-16. Reopening is not established.
confirmed through 2025-06-16; at least 103 calendar-day difference; reopening unknown</x:v>
      </x:c>
      <x:c r="G114" s="4" t="str">
        <x:v>Uncoded / Unresolved rationale
Not assigned
Applies to: Not assigned
No additional motive inferred</x:v>
      </x:c>
      <x:c r="H114" s="4" t="str">
        <x:v>EA024-D1: Both operators may relay the same instruction. Industry/staff visits and tourism elsewhere are not ordinary Rason land tours. No status after June 16 is inferred and other traveller classes are not covered.
rationale: The direct tour operator’s dated notices still provide no reason. Do not inherit the 2020 COVID rationale or infer motives from later business exceptions.</x:v>
      </x:c>
      <x:c r="I114" s="4" t="str">
        <x:v>Retained baseline assessment. 23 October targeted review; retained with qualifications</x:v>
      </x:c>
      <x:c r="J114" s="18" t="d">
        <x:v>2026-10-23T00:00:00.000Z</x:v>
      </x:c>
      <x:c r="K114" s="21" t="str">
        <x:f>IFERROR(HYPERLINK("https://www.uritours.com/blog/coronavirus-north-korea-temporarily-closes-borders/","Uri Tours"),"Uri Tours")</x:f>
        <x:v>Uri Tours</x:v>
      </x:c>
      <x:c r="L114" s="21" t="str">
        <x:f>IFERROR(HYPERLINK("https://koryogroup.com/blog/north-korea-borders-to-reopen/","Koryo Tours"),"Koryo Tours")</x:f>
        <x:v>Koryo Tours</x:v>
      </x:c>
      <x:c r="M114" s="21"/>
      <x:c r="N114" s="4" t="str">
        <x:v>https://www.uritours.com/blog/coronavirus-north-korea-temporarily-closes-borders/
https://koryogroup.com/blog/north-korea-borders-to-reopen/</x:v>
      </x:c>
      <x:c r="O114" s="4" t="str">
        <x:v>Source 1: full page
Source 2: full page</x:v>
      </x:c>
      <x:c r="P114" s="20" t="n">
        <x:v>1</x:v>
      </x:c>
      <x:c r="Q114" s="4" t="str">
        <x:v>East and Southeast Asia and Oceania</x:v>
      </x:c>
      <x:c r="R114" s="4" t="str">
        <x:v>Included</x:v>
      </x:c>
    </x:row>
    <x:row r="115" ht="186" hidden="0" customHeight="1">
      <x:c r="A115" s="16" t="str">
        <x:v>EA001</x:v>
      </x:c>
      <x:c r="B115" s="4" t="str">
        <x:v>Thailand Cambodia closure following border confrontation</x:v>
      </x:c>
      <x:c r="C115" s="4" t="str">
        <x:v>Thailand; Cambodia</x:v>
      </x:c>
      <x:c r="D115" s="4" t="str">
        <x:v>Aranyaprathet–Poipet for the rule confirmed on 8 June; the 23 June phase covers checkpoints specified by the 1st/2nd Army regions and Chanthaburi–Trat command. Other posts and movements require their own phase evidence.
Thai-side checkpoint restrictions in seven border provinces; command, post and traffic scope differ by phase. The earlier Aranyaprathet–Poipet rule is not a whole-frontier closure.</x:v>
      </x:c>
      <x:c r="E115" s="4" t="str">
        <x:v>Passengers traders tourists and vehicles
Direction: Entry and exit at Thai checkpoints; humanitarian exceptions changed by phase
Exceptions: Discretionary medical, student and essential-life exemptions in June 23 directives; the second-region directive also described essential household trade. Repatriation and medical passages were later reported. July 24 advisory narrowed stated exceptions to humanitarian missions.</x:v>
      </x:c>
      <x:c r="F115" s="4" t="str">
        <x:v>EA001-FU1 — Formal policy
Thai-side checkpoints covered by June 23 directives: 1st and 2nd Army regions and Chanthaburi–Trat command
Start: 2025-06-23.
Last confirmed: 2025-06-23. Reopening is not established.
Formal policy: dated evidence; numeric duration withheld; see qualification
REC50-R28-PH001 — Formal policy
Aranyaprathet–Poipet rule restricting Thai outbound tourism and gambling, confirmed by the 8 June 2025 MFA briefing.
Start: unknown.
Last confirmed: 2025-06-08. Reopening is not established.
Formal policy: dated evidence; numeric duration withheld; see qualification</x:v>
      </x:c>
      <x:c r="G115" s="4" t="str">
        <x:v>Security / Armed conflict and military confrontation
Attributed official justification
Applies to: Recorded episode; exact overlap not separately established
The recorded rationale and claim assessment support the selected subcategories. All applicable broad categories are retained together; no primary rationale is imposed.
Security / Crime and law enforcement
Attributed official justification
Applies to: Recorded episode; exact overlap not separately established
The recorded rationale and claim assessment support the selected subcategories. All applicable broad categories are retained together; no primary rationale is imposed.</x:v>
      </x:c>
      <x:c r="H115" s="4" t="str">
        <x:v>EA001-FU1: Formal restriction confirmed on June 23 only. Later exceptions and uneven changes require separately matched phases; no uninterrupted whole-frontier operation or present closure inferred.
REC50-R28-PH001: The narrow rule is confirmed on 8 June; no exact effective time, first refusal, end or intervening continuity is supplied. Larger trucks can use the alternative Friendship Bridge checkpoint. The later June 23 command orders remain a separate existing phase. The official stated purpose here is peace, order and safety; the parent’s crime rationale is not automatically attributed to this early phase.
duration: The dated formal restriction can be represented as confirmed at June 23. Full-regime endpoint and operational continuity remain unresolved.</x:v>
      </x:c>
      <x:c r="I115" s="4" t="str">
        <x:v>Targeted source review (REC50-R28); accepted qualification; evidence limits retained.</x:v>
      </x:c>
      <x:c r="J115" s="18" t="d">
        <x:v>2026-10-25T00:00:00.000Z</x:v>
      </x:c>
      <x:c r="K115" s="21" t="str">
        <x:f>IFERROR(HYPERLINK("https://www.nationthailand.com/news/general/40051649","The Nation"),"The Nation")</x:f>
        <x:v>The Nation</x:v>
      </x:c>
      <x:c r="L115" s="21" t="str">
        <x:f>IFERROR(HYPERLINK("https://www.mfa.go.th/en/content/press-conf-devts-thailand-cambodia-situation-4?cate=5d5bcb4e15e39c306000683c","Thailand Ministry of Foreign Affairs"),"Thailand Ministry of Foreign Affairs")</x:f>
        <x:v>Thailand Ministry of Foreign Affairs</x:v>
      </x:c>
      <x:c r="M115" s="21" t="str">
        <x:f>IFERROR(HYPERLINK("https://www.nationthailand.com/news/general/40051684","The Nation"),"The Nation")</x:f>
        <x:v>The Nation</x:v>
      </x:c>
      <x:c r="N115" s="4" t="str">
        <x:v>https://www.nationthailand.com/news/general/40051649
https://www.mfa.go.th/en/content/press-conf-devts-thailand-cambodia-situation-4?cate=5d5bcb4e15e39c306000683c
https://www.nationthailand.com/news/general/40051684
https://www.rfa.org/english/cambodia/2025/06/25/cambodia-thailand-border-closures/
https://thailand.prd.go.th/en/content/category/detail/id/2874/iid/401051
https://www.reuters.com/world/asia-pacific/thailand-closes-border-crossings-with-cambodia-dispute-deepens-2025-06-24/
https://thailand.prd.go.th/en/content/category/detail/id/3243/iid/409121
https://thailand.prd.go.th/en/content/category/detail/id/48/iid/395870
https://www.nationthailand.com/news/asean/40066911
https://sakaeo.prd.go.th/th/content/category/detail/id/33/iid/508678
https://mwgthailand.org/sites/default/files/2025-07/30-mi-y-688cdhmaythuengrathbaleruuexngphlkrathbpiddanithykamphuucha-eng.pdf
https://www.nationthailand.com/news/asean/40066949</x:v>
      </x:c>
      <x:c r="O115" s="4" t="str">
        <x:v>Source 1: indexed excerpt; full text
Source 2: full text
Source 3: indexed excerpt; full; full text</x:v>
      </x:c>
      <x:c r="P115" s="20" t="n">
        <x:v>2</x:v>
      </x:c>
      <x:c r="Q115" s="4" t="str">
        <x:v>East and Southeast Asia and Oceania</x:v>
      </x:c>
      <x:c r="R115" s="4" t="str">
        <x:v>Included</x:v>
      </x:c>
    </x:row>
    <x:row r="116" ht="186" hidden="0" customHeight="1">
      <x:c r="A116" s="16" t="str">
        <x:v>EA008</x:v>
      </x:c>
      <x:c r="B116" s="4" t="str">
        <x:v>Myanmar closes Second Friendship Bridge cargo route</x:v>
      </x:c>
      <x:c r="C116" s="4" t="str">
        <x:v>Myanmar; Thailand</x:v>
      </x:c>
      <x:c r="D116" s="4" t="str">
        <x:v>Second Mae Sot Myawaddy Friendship Bridge</x:v>
      </x:c>
      <x:c r="E116" s="4" t="str">
        <x:v>Cargo trucks
Direction: Cargo across the Myanmar side of the bilateral bridge; closure affected trade in both directions. Initial May 28 reopening observation specifically confirms Myanmar-side truck traffic.</x:v>
      </x:c>
      <x:c r="F116" s="4" t="str">
        <x:v>EA008-D1 — Observed operation
Second Mae Sot Myawaddy Friendship Bridge; Cargo trucks; Cargo across the Myanmar side of the bilateral bridge; closure affected trade in both directions. Initial May 28 reopening observation specifically confirms Myanmar-side truck traffic.
Start: 2025-08-18.
Observed scoped reopening: 2026-05-28.
283 calendar-day difference; scoped endpoint only</x:v>
      </x:c>
      <x:c r="G116"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x:v>
      </x:c>
      <x:c r="H116" s="4" t="str">
        <x:v>EA008-D1: May 28 is initial partial cargo resumption, with observed Thai cargo entry into Myanmar as well as Eleven's Myanmar-side traffic account. Trial twice-daily operation and low volumes continued; neither full normalization nor every goods category is established. NationThailand's Eleven copy is not an independent origin.</x:v>
      </x:c>
      <x:c r="I116" s="4" t="str">
        <x:v>Targeted source review (REC50-R28); retained with recorded qualifications; evidence limits retained.</x:v>
      </x:c>
      <x:c r="J116" s="18" t="d">
        <x:v>2026-10-25T00:00:00.000Z</x:v>
      </x:c>
      <x:c r="K116" s="21" t="str">
        <x:f>IFERROR(HYPERLINK("https://mfa.go.th/en/content/temporary-closure-2nd-thai-myanmar-bridge-en?cate=5d5bcb4e15e39c306000683e","Thailand Ministry of Foreign Affairs"),"Thailand Ministry of Foreign Affairs")</x:f>
        <x:v>Thailand Ministry of Foreign Affairs</x:v>
      </x:c>
      <x:c r="L116" s="21" t="str">
        <x:f>IFERROR(HYPERLINK("https://elevenmyanmar.com/news/myawady-mae-sot-no-2-cargo-bridge-reopens-for-trade","Eleven Media"),"Eleven Media")</x:f>
        <x:v>Eleven Media</x:v>
      </x:c>
      <x:c r="M116" s="21" t="str">
        <x:f>IFERROR(HYPERLINK("https://www.khaosodenglish.com/news/2026/05/28/mae-sot-myawaddy-border-crossing-shut-by-myanmar-conflict-reopens-after-10-months/","Khaosod English"),"Khaosod English")</x:f>
        <x:v>Khaosod English</x:v>
      </x:c>
      <x:c r="N116" s="4" t="str">
        <x:v>https://mfa.go.th/en/content/temporary-closure-2nd-thai-myanmar-bridge-en?cate=5d5bcb4e15e39c306000683e
https://elevenmyanmar.com/news/myawady-mae-sot-no-2-cargo-bridge-reopens-for-trade
https://www.khaosodenglish.com/news/2026/05/28/mae-sot-myawaddy-border-crossing-shut-by-myanmar-conflict-reopens-after-10-months/
https://www.bnionline.net/en/news/myawaddy-mae-sot-friendship-bridge-no-2-reopens-limited-truck-traffic-resumes-myanmar
https://english.dvb.no/myanmar-thailand-friendship-bridge-no-2-reopens-after-9-month-long-closure/
https://elevenmyanmar.com/news/myanmar-temporarily-closes-myawaddy-mae-sot-friendship-bridge-no-2-stranding-over-500-trucks
https://www.khaosodenglish.com/news/2026/05/28/mae-sot-myawaddy-border-crossing-shut-by-myanmar-conflict-reopens-after-10-months/amp/
https://english.dvb.no/thai-myanmar-bridge-remains-closed-as-smuggling-continues-along-asia-highway/</x:v>
      </x:c>
      <x:c r="O116" s="4" t="str">
        <x:v>Source 1: full; full text
Source 2: full; full text
Source 3: full; full text</x:v>
      </x:c>
      <x:c r="P116" s="20" t="n">
        <x:v>1</x:v>
      </x:c>
      <x:c r="Q116" s="4" t="str">
        <x:v>East and Southeast Asia and Oceania</x:v>
      </x:c>
      <x:c r="R116" s="4" t="str">
        <x:v>Included</x:v>
      </x:c>
    </x:row>
    <x:row r="117" ht="162" hidden="0" customHeight="1">
      <x:c r="A117" s="16" t="str">
        <x:v>EA002</x:v>
      </x:c>
      <x:c r="B117" s="4" t="str">
        <x:v>Cambodian goods-crossing ban at Thailand frontier during dispute</x:v>
      </x:c>
      <x:c r="C117" s="4" t="str">
        <x:v>Cambodia; Thailand</x:v>
      </x:c>
      <x:c r="D117" s="4" t="str">
        <x:v>All international and regional Thai border gates</x:v>
      </x:c>
      <x:c r="E117" s="4" t="str">
        <x:v>Goods entering leaving or transiting
Direction: Goods entering, leaving or transiting Cambodian gates</x:v>
      </x:c>
      <x:c r="F117" s="4" t="str">
        <x:v>EA002-FU1 — Formal policy
Cambodian international and regional gates on the Thailand frontier
Start: unknown.
Last confirmed: 2025-06-29. Reopening is not established.
Formal policy: dated evidence; numeric duration withheld; see qualification</x:v>
      </x:c>
      <x:c r="G117" s="4" t="str">
        <x:v>Trade and protectionism / Import, export and production controls
Reported reason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Reported reason
Applies to: Recorded episode; exact overlap not separately established
The recorded rationale and claim assessment support the selected subcategories. All applicable broad categories are retained together; no primary rationale is imposed.</x:v>
      </x:c>
      <x:c r="H117" s="4" t="str">
        <x:v>EA002-FU1: Policy status at June 29 only; onset and repeal remain null. Nationwide physical implementation is not independently observed, and no joint Thai–Cambodian continuous interval is implied.
duration: June 29 is an in-force policy observation; it is not the exact start or end. Opposite-side overlay and implementation uncertainty remain.
onset: AKP's June 29, 2025 official account confirms Cambodia maintained a goods entry/exit/transit ban conditional on Thai reopening. It supplies neither a precise initial effective date nor repeal; current null dates and observation-only phase are appropriate.
continuity: AKP's June 29, 2025 official account confirms Cambodia maintained a goods entry/exit/transit ban conditional on Thai reopening. It supplies neither a precise initial effective date nor repeal; current null dates and observation-only phase are appropriate.</x:v>
      </x:c>
      <x:c r="I117" s="4" t="str">
        <x:v>Full-record source audit (REC50-R40); retained with recorded qualifications; evidence limits retained.</x:v>
      </x:c>
      <x:c r="J117" s="18" t="d">
        <x:v>2026-10-25T00:00:00.000Z</x:v>
      </x:c>
      <x:c r="K117" s="21" t="str">
        <x:f>IFERROR(HYPERLINK("https://akp.gov.kh/post/detail/340784","Agence Kampuchea Presse"),"Agence Kampuchea Presse")</x:f>
        <x:v>Agence Kampuchea Presse</x:v>
      </x:c>
      <x:c r="L117" s="21" t="str">
        <x:f>IFERROR(HYPERLINK("https://www.akp.gov.kh/index.php/post/detail/340784","AKP / General Department of Immigration"),"AKP / General Department of Immigration")</x:f>
        <x:v>AKP / General Department of Immigration</x:v>
      </x:c>
      <x:c r="M117" s="21" t="str">
        <x:f>IFERROR(HYPERLINK("https://www.thestar.com.my/aseanplus/aseanplus-news/2025/06/29/thai-cambodia-border-closed-to-cargo-traffic","The Star"),"The Star")</x:f>
        <x:v>The Star</x:v>
      </x:c>
      <x:c r="N117" s="4" t="str">
        <x:v>https://akp.gov.kh/post/detail/340784
https://www.akp.gov.kh/index.php/post/detail/340784
https://www.thestar.com.my/aseanplus/aseanplus-news/2025/06/29/thai-cambodia-border-closed-to-cargo-traffic
https://www.cpp.org.kh/en/details/423020
https://mail.akp.gov.kh/post/detail/372991
https://cambojanews.com/cambodia-stands-firm-on-thailand-restoring-border-crossings-first-over-40000-migrant-workers-return-home/
https://www.nationthailand.com/news/asean/40051918
https://www.akp.gov.kh/index.php/post/detail/342407
https://www.akp.gov.kh/index.php/post/detail/356038</x:v>
      </x:c>
      <x:c r="O117" s="4" t="str">
        <x:v>Source 1: full text
Source 2: full
Source 3: indexed excerpt</x:v>
      </x:c>
      <x:c r="P117" s="20" t="n">
        <x:v>1</x:v>
      </x:c>
      <x:c r="Q117" s="4" t="str">
        <x:v>East and Southeast Asia and Oceania</x:v>
      </x:c>
      <x:c r="R117" s="4" t="str">
        <x:v>Included</x:v>
      </x:c>
    </x:row>
    <x:row r="118" ht="138" hidden="0" customHeight="1">
      <x:c r="A118" s="16" t="str">
        <x:v>EA009</x:v>
      </x:c>
      <x:c r="B118" s="4" t="str">
        <x:v>Muse Mang Wein freight closure during COVID</x:v>
      </x:c>
      <x:c r="C118" s="4" t="str">
        <x:v>China; Myanmar</x:v>
      </x:c>
      <x:c r="D118" s="4" t="str">
        <x:v>Muse MangWein Mantwein gate</x:v>
      </x:c>
      <x:c r="E118" s="4" t="str">
        <x:v>Commercial vehicles and goods
Direction: Both-way commercial goods, with different product eligibility
Exceptions: Reopening limited to six-wheel trucks and selected goods; passengers still prohibited</x:v>
      </x:c>
      <x:c r="F118" s="4" t="str">
        <x:v>EA009-REV1 — Observed operation
Mang Wein freight stoppage until first limited six-wheel-truck reopening; not all Muse gates or passenger access
Start: 2021-03-30.
Observed scoped reopening: 2023-01-14.
655 calendar-day difference; scoped endpoint only</x:v>
      </x:c>
      <x:c r="G11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18" s="4" t="str">
        <x:v>EA009-REV1: Endpoint is January 14 at 07:00 Myanmar Standard Time and represents limited freight resumption, not full normalization. Other trucks, passengers and excluded commodities remained restricted. GNLM reporting lineage shared; conflicting 2020 onset preserved in audit.</x:v>
      </x:c>
      <x:c r="I118" s="4" t="str">
        <x:v>Retained baseline assessment. Retained with recorded qualifications</x:v>
      </x:c>
      <x:c r="J118" s="18" t="d">
        <x:v>2026-10-23T00:00:00.000Z</x:v>
      </x:c>
      <x:c r="K118" s="21" t="str">
        <x:f>IFERROR(HYPERLINK("https://uzo.sakura.ne.jp/burma/nlm/nlm_data/gnlm_2021/gnlm_05_2021/gnlm_07_05_2021.pdf","Global New Light of Myanmar; archive mirror"),"Global New Light of Myanmar; archive mirror")</x:f>
        <x:v>Global New Light of Myanmar; archive mirror</x:v>
      </x:c>
      <x:c r="L118" s="21" t="str">
        <x:f>IFERROR(HYPERLINK("https://www.gnlm.com.mm/mang-wein-border-checkpoint-remains-closed-even-after-one-year/","GNLM"),"GNLM")</x:f>
        <x:v>GNLM</x:v>
      </x:c>
      <x:c r="M118" s="21" t="str">
        <x:f>IFERROR(HYPERLINK("https://www.mdn.gov.mm/en/monthly-market-summary-january-2023","Myanmar Digital News / GNLM"),"Myanmar Digital News / GNLM")</x:f>
        <x:v>Myanmar Digital News / GNLM</x:v>
      </x:c>
      <x:c r="N118" s="4" t="str">
        <x:v>https://uzo.sakura.ne.jp/burma/nlm/nlm_data/gnlm_2021/gnlm_05_2021/gnlm_07_05_2021.pdf
https://www.gnlm.com.mm/mang-wein-border-checkpoint-remains-closed-even-after-one-year/
https://www.mdn.gov.mm/en/monthly-market-summary-january-2023
https://www.moi.gov.mm/moi:eng/news/9216
https://mdn.gov.mm/en/mang-wein-border-point-expected-be-reopened-after-chinese-new-year
https://www.voanews.com/a/major-myanmar-china-border-crossing-partially-reopens/6919080.html
https://www.moi.gov.mm/moi%3Aeng/index.php/news/9216
https://myanmartradeportal.gov.mm/en/legal/384
https://www.moi.gov.mm/moi:eng/index.php/news/9216
https://eng.mizzima.com/2024/11/13/16202</x:v>
      </x:c>
      <x:c r="O118" s="4" t="str">
        <x:v>Source 1: full
Source 2: indexed excerpt; failed
Source 3: full</x:v>
      </x:c>
      <x:c r="P118" s="20" t="n">
        <x:v>1</x:v>
      </x:c>
      <x:c r="Q118" s="4" t="str">
        <x:v>East and Southeast Asia and Oceania</x:v>
      </x:c>
      <x:c r="R118" s="4" t="str">
        <x:v>Included</x:v>
      </x:c>
    </x:row>
    <x:row r="119" ht="342" hidden="0" customHeight="1">
      <x:c r="A119" s="16" t="str">
        <x:v>EA019</x:v>
      </x:c>
      <x:c r="B119" s="4" t="str">
        <x:v>Brunei land border COVID restrictions</x:v>
      </x:c>
      <x:c r="C119" s="4" t="str">
        <x:v>Brunei; Malaysia</x:v>
      </x:c>
      <x:c r="D119" s="4" t="str">
        <x:v>Land border checkpoints with Malaysia</x:v>
      </x:c>
      <x:c r="E119" s="4" t="str">
        <x:v>Ordinary foreign entry and transit and non-essential travel
Direction: Brunei foreign entry/transit and non-essential cross-border travel; limited authorised exceptions
Exceptions: Government-approved cases; sponsored essential/student/medical/special-case entry procedures from September 15 2020; June 15 2022 essential work, school, transit and supply relaxations.</x:v>
      </x:c>
      <x:c r="F119" s="4" t="str">
        <x:v>EA019-R1 — Announced window
Foreign entry and transit by land, except government-approved categories
Start: 2022-02-15.
Scheduled endpoint: 2022-02-28.
Ordered window: 13 calendar-day difference; actual end not established
EA019-R2 — Announced window
Land-crossing travel limited to approved essential purposes
Start: 2022-06-15.
Scheduled endpoint: 2022-07-31.
Ordered window: 46 calendar-day difference; actual end not established
EA019-C7P1 — Announced window
Selected Brunei extension of restricted foreign land entry and transit
Start: 2022-03-01.
Scheduled endpoint: 2022-03-15.
Ordered window: 14 calendar-day difference; actual end not established
EA019-C7P2 — Announced window
Selected extension of foreign land-entry/transit and work-commuter restriction
Start: 2022-03-16.
Scheduled endpoint: 2022-03-31.
Ordered window: 15 calendar-day difference; actual end not established</x:v>
      </x:c>
      <x:c r="G11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19" s="4" t="str">
        <x:v>EA019-R1: ASEAN February14 report inspected fully and explicitly calls this a fourteen-day scheduled extension. The 13-day date subtraction is an endpoint difference, not the number of listed calendar dates or elapsed closure hours. Includes foreign land-entry/transit and work-commuter movements with approved exceptions. No February28 observed reopening.
EA019-R2: Scheduled restriction window from June15 through July31; official consular notice anticipates conditional August1 easing. The 46-day endpoint subtraction is not a claim of 46 or47 elapsed closed days. Actual operation at every crossing/direction and intervening policy chain remain unestablished.
EA019-C7P1: Institutional indexed chronology; original February26 release not recovered. Scheduled window only; actual enforcement and expiry not observed. Do not bridge all earlier/later periods into continuous closure.
EA019-C7P2: Original PDF currently404; indexed official text and AMRO chronology agree. This is an announced extension, not observed gate continuity or March31 reopening.</x:v>
      </x:c>
      <x:c r="I119" s="4" t="str">
        <x:v>Retained baseline assessment. Retained with recorded qualifications</x:v>
      </x:c>
      <x:c r="J119" s="18" t="d">
        <x:v>2026-10-23T00:00:00.000Z</x:v>
      </x:c>
      <x:c r="K119" s="21" t="str">
        <x:f>IFERROR(HYPERLINK("https://www.pmo.gov.bn/TAPressRelease/tsca120222.pdf","Brunei PMO"),"Brunei PMO")</x:f>
        <x:v>Brunei PMO</x:v>
      </x:c>
      <x:c r="L119" s="21" t="str">
        <x:f>IFERROR(HYPERLINK("https://asean.org/wp-content/uploads/2022/02/COVID-19_Situational-Report_ASEAN-BioDiaspora-Regional-Virtual-Center_14Feb2022.pdf","asean.org"),"asean.org")</x:f>
        <x:v>asean.org</x:v>
      </x:c>
      <x:c r="M119" s="21" t="str">
        <x:f>IFERROR(HYPERLINK("https://www.pmo.gov.bn/EndemicPhaseGuidelines/%5BENG%20-%20JULY%5D%20Guidelines%20for%20land%20and%20sea%20travel.pdf","Brunei PMO"),"Brunei PMO")</x:f>
        <x:v>Brunei PMO</x:v>
      </x:c>
      <x:c r="N119" s="4" t="str">
        <x:v>https://www.pmo.gov.bn/TAPressRelease/tsca120222.pdf
https://asean.org/wp-content/uploads/2022/02/COVID-19_Situational-Report_ASEAN-BioDiaspora-Regional-Virtual-Center_14Feb2022.pdf
https://www.pmo.gov.bn/EndemicPhaseGuidelines/%5BENG%20-%20JULY%5D%20Guidelines%20for%20land%20and%20sea%20travel.pdf
https://www.bn.emb-japan.go.jp/itpr_ja/11_000001_00351.html
https://amro-asia.org/wp-content/uploads/dlm_uploads/2022/06/26.-ASEAN3-and-COVID-19_Panoply-of-Pandemic-Policies.pdf
https://www.pmo.gov.bn/TAPressRelease/tsca140322.pdf
https://www.pmo.gov.bn/TAPressRelease/TSCA300422.pdf
https://www.jpm.gov.bn/SiteCollectionDocuments/Siaran-media/%5BFINAL%5D%20090622%20PR%20JKPC%20-%20Pengemaskinian%20Langkah-Langkah%20Pengawalan%20COVID-19.pdf
https://dayakdaily.com/bruneians-malaysians-rejoice-as-land-borders-finally-reopen/
https://dmw.gov.ph/archives/poea/advisories/2020/ADVISORY-40-2020.pdf
https://www.thestar.com.my/news/regional/2020/03/24/all-foreigners-banned-from-entering-brunei-from-march-24
https://www.utb.edu.bn/archieve/guidelines-for-the-entry-of-citizens-and-permanent-residents-of-brunei-darussalam-and-the-entry-of-foreigners-to-brunei-darussalam/
https://www.pmo.gov.bn/TAPressRelease/ntsca291021.pdf
https://www.who.int/docs/default-source/wpro---documents/countries/brunei-darussalam/brunei-darussalam-situation-report/covid19_sitrep_brn_20220612.pdf?sfvrsn=7fe67ed8_3
https://ambsingapore.esteri.it/en/news/dall_ambasciata/2020/03/covid-19-nuove-misure-restrittive_0-2/
https://www.nationthailand.com/in-focus/30384720
https://www.malaymail.com/news/world/2022/06/11/brunei-set-to-fully-reopen-land-sea-borders-in-august/11779
https://www.thestar.com.my/aseanplus/aseanplus-news/2022/02/13/temporary-suspension-of-cross-border-activities-extended-says-brunei-govt</x:v>
      </x:c>
      <x:c r="O119" s="4" t="str">
        <x:v>Source 1: indexed excerpt; failed
Source 2: access detail is retained in the source catalogue.
Source 3: full; failed</x:v>
      </x:c>
      <x:c r="P119" s="20" t="n">
        <x:v>4</x:v>
      </x:c>
      <x:c r="Q119" s="4" t="str">
        <x:v>East and Southeast Asia and Oceania</x:v>
      </x:c>
      <x:c r="R119" s="4" t="str">
        <x:v>Included</x:v>
      </x:c>
    </x:row>
    <x:row r="120" ht="150" hidden="0" customHeight="1">
      <x:c r="A120" s="16" t="str">
        <x:v>GS001</x:v>
      </x:c>
      <x:c r="B120" s="4" t="str">
        <x:v>Cyprus Ledra Street pedestrian crossing pandemic closure</x:v>
      </x:c>
      <x:c r="C120" s="4" t="str">
        <x:v>Cyprus</x:v>
      </x:c>
      <x:c r="D120" s="4" t="str">
        <x:v>Ledra Street / Lokmaci, Nicosia
Ledra Street / Lokmaci crossing of the Green Line; de facto division, not an internationally recognised interstate frontier</x:v>
      </x:c>
      <x:c r="E120" s="4" t="str">
        <x:v>Ordinary pedestrians at this crossing
Direction: Both directions at the specified pedestrian crossing
Exceptions: Alternative crossings and special categories existed in the wider regime; not evidence of unrestricted Ledra Street use. Health documents required after reopening.</x:v>
      </x:c>
      <x:c r="F120" s="4" t="str">
        <x:v>GS001-D1 — Observed operation
Ledra Street / Lokmaci crossing of the Green Line; de facto division, not an internationally recognised interstate frontier; Ordinary pedestrians at this crossing; Both directions at the specified pedestrian crossing
Start: 2020-02-29.
Observed scoped reopening: 2021-06-04.
461 calendar-day difference; scoped endpoint only</x:v>
      </x:c>
      <x:c r="G120" s="4" t="str">
        <x:v>Health and biosecurity / Human disease control
Attributed official justification
Applies to: Recorded episode; exact overlap not separately established
The recorded rationale and claim assessment support the selected subcategories. All applicable broad categories are retained together; no primary rationale is imposed.</x:v>
      </x:c>
      <x:c r="H120" s="4" t="str">
        <x:v>GS001-D1: The interval applies only to ordinary pedestrian access at Ledra Street, not the whole Green Line. Reopening was conditional. Contemporary reporting places barricades at 06:00 on 29 February 2020; no claim is made that every exemption or intermediate access arrangement is reconstructed. Alternative crossings and special categories existed in the wider regime; not evidence of unrestricted Ledra Street use. Health documents required after reopening.</x:v>
      </x:c>
      <x:c r="I120" s="4" t="str">
        <x:v>Retained baseline assessment. Retained with recorded qualifications</x:v>
      </x:c>
      <x:c r="J120" s="18" t="d">
        <x:v>2026-10-23T00:00:00.000Z</x:v>
      </x:c>
      <x:c r="K120" s="21" t="str">
        <x:f>IFERROR(HYPERLINK("https://eur-lex.europa.eu/legal-content/EN/TXT/?uri=celex:52022DC0258","European Commission"),"European Commission")</x:f>
        <x:v>European Commission</x:v>
      </x:c>
      <x:c r="L120" s="21" t="str">
        <x:f>IFERROR(HYPERLINK("https://www.cyprus-mail.com/2021/06/02/leaders-agree-to-open-crossings-preparations-underway-at-ledra-st-update-1","Cyprus Mail"),"Cyprus Mail")</x:f>
        <x:v>Cyprus Mail</x:v>
      </x:c>
      <x:c r="M120" s="21" t="str">
        <x:f>IFERROR(HYPERLINK("https://uncyprustalks.unmissions.org/en/cyprus/press-releases/statement-united-nations-spokesperson-cyprus-2nd-june-2021","United Nations"),"United Nations")</x:f>
        <x:v>United Nations</x:v>
      </x:c>
      <x:c r="N120" s="4" t="str">
        <x:v>https://eur-lex.europa.eu/legal-content/EN/TXT/?uri=celex:52022DC0258
https://www.cyprus-mail.com/2021/06/02/leaders-agree-to-open-crossings-preparations-underway-at-ledra-st-update-1
https://uncyprustalks.unmissions.org/en/cyprus/press-releases/statement-united-nations-spokesperson-cyprus-2nd-june-2021
https://knews.kathimerini.com.cy/en/news/cyprus-reopens-checkpoints-in-buffer-zone
https://archive.cyprus-mail.com/2020/02/29/anastasiades-no-choice-but-to-temporarily-lose-crossings-update-3/
https://www.cyprus-mail.com/2021/06/04/at-last-free-to-cross-to-the-other-side
https://knews.kathimerini.com.cy/en/news/cyprus-residents-flock-to-checkpoints-as-north-matches-decision-of-republic
https://eur-lex.europa.eu/legal-content/EN/TXT/?uri=celex%3A52022DC0258</x:v>
      </x:c>
      <x:c r="O120" s="4" t="str">
        <x:v>Source 1: full page
Source 2: full page
Source 3: search extract</x:v>
      </x:c>
      <x:c r="P120" s="20" t="n">
        <x:v>1</x:v>
      </x:c>
      <x:c r="Q120" s="4" t="str">
        <x:v>Europe</x:v>
      </x:c>
      <x:c r="R120" s="4" t="str">
        <x:v>Included</x:v>
      </x:c>
    </x:row>
    <x:row r="121" ht="126" hidden="0" customHeight="1">
      <x:c r="A121" s="16" t="str">
        <x:v>EU024</x:v>
      </x:c>
      <x:c r="B121" s="4" t="str">
        <x:v>Switzerland expands pandemic entry restrictions at neighbouring frontiers</x:v>
      </x:c>
      <x:c r="C121" s="4" t="str">
        <x:v>Switzerland; Italy; Germany; Austria; France</x:v>
      </x:c>
      <x:c r="D121" s="4" t="str">
        <x:v>Nationwide relevant road posts
Entry restrictions on four neighbouring frontiers</x:v>
      </x:c>
      <x:c r="E121" s="4" t="str">
        <x:v>Travellers without qualifying nationality/residence/essential grounds
Direction: Into Switzerland
Exceptions: Swiss citizens, residents, professional/necessary travel, goods and permitted transit</x:v>
      </x:c>
      <x:c r="F121" s="4" t="str">
        <x:v>EU024-D1 — Formal policy
Swiss non-essential entry restrictions for EU/EFTA/UK travellers at the Germany, Austria and France frontiers, to restoration of free movement.
Start: 2020-03-17.
Policy endpoint: 2020-06-15.
Formal policy: 90 calendar-day difference; operational continuity not established</x:v>
      </x:c>
      <x:c r="G12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21" s="4" t="str">
        <x:v>EU024-D1: March 16 is the announcement date. Italy March 13 excluded; exemptions and third-country restrictions remain. No first passage at every post established.</x:v>
      </x:c>
      <x:c r="I121" s="4" t="str">
        <x:v>Retained baseline assessment. Amended after source reconciliation</x:v>
      </x:c>
      <x:c r="J121" s="18" t="d">
        <x:v>2026-10-23T00:00:00.000Z</x:v>
      </x:c>
      <x:c r="K121" s="21" t="str">
        <x:f>IFERROR(HYPERLINK("https://www.eda.admin.ch/en/information-on-the-coronavirus-crisis-of-januaryfebruarymarch-2020-archive","Swiss Federal Department of Foreign Affairs"),"Swiss Federal Department of Foreign Affairs")</x:f>
        <x:v>Swiss Federal Department of Foreign Affairs</x:v>
      </x:c>
      <x:c r="L121" s="21" t="str">
        <x:f>IFERROR(HYPERLINK("https://www.admin.ch/en/nsb?id=79248","Swiss Federal Council"),"Swiss Federal Council")</x:f>
        <x:v>Swiss Federal Council</x:v>
      </x:c>
      <x:c r="M121" s="21" t="str">
        <x:f>IFERROR(HYPERLINK("https://www.admin.ch/en/nsb?id=79580","Swiss Federal Council"),"Swiss Federal Council")</x:f>
        <x:v>Swiss Federal Council</x:v>
      </x:c>
      <x:c r="N121" s="4" t="str">
        <x:v>https://www.eda.admin.ch/en/information-on-the-coronavirus-crisis-of-januaryfebruarymarch-2020-archive
https://www.admin.ch/en/nsb?id=79248
https://www.admin.ch/en/nsb?id=79580
https://www.fdfa.admin.ch/en/information-on-the-coronavirus-crisis-of-januaryfebruarymarch-2020-archive
https://www.euroairport.com/en/publications/news/corona-virus
https://www.admin.ch/en/nsb?id=79426
https://www.vbs.admin.ch/en/nsb?id=78454
https://www.admin.ch/de/nsb?id=79329</x:v>
      </x:c>
      <x:c r="O121" s="4" t="str">
        <x:v>Source 1: search extract
Source 2: search extract
Source 3: search-returned article text; live-page body truncated</x:v>
      </x:c>
      <x:c r="P121" s="20" t="n">
        <x:v>1</x:v>
      </x:c>
      <x:c r="Q121" s="4" t="str">
        <x:v>Europe</x:v>
      </x:c>
      <x:c r="R121" s="4" t="str">
        <x:v>Included</x:v>
      </x:c>
    </x:row>
    <x:row r="122" ht="150" hidden="0" customHeight="1">
      <x:c r="A122" s="16" t="str">
        <x:v>EU023</x:v>
      </x:c>
      <x:c r="B122" s="4" t="str">
        <x:v>Denmark pandemic prohibition on entry without worthy purpose</x:v>
      </x:c>
      <x:c r="C122" s="4" t="str">
        <x:v>Denmark; Germany; Sweden</x:v>
      </x:c>
      <x:c r="D122" s="4" t="str">
        <x:v>National inbound admission regime. German land implementation: Sæd, Kruså and Frøslev remained available; ten other road crossings sealed in both directions. Øresund fixed link was subject to national admission rules; route-specific refusal counts not established.
National entry regime including German land border and Öresund fixed link</x:v>
      </x:c>
      <x:c r="E122" s="4" t="str">
        <x:v>Foreign travellers lacking recognised purpose
Direction: Into Denmark
Exceptions: Danish citizens; residents, cross-border workers and other worthy purposes; freight exempt from admission ban but subject to checks and crossing/routing restrictions; return-home transit allowed. Exceptions changed over time, including expanded German/Nordic family, holiday-home and job-interview access by May25.</x:v>
      </x:c>
      <x:c r="F122" s="4" t="str">
        <x:v>EU023-R1 — Announced window
Danish entry at German land border for foreigners lacking a worthy purpose
Start: 2020-03-14.
Scheduled endpoint: 2020-04-13.
Ordered window: 30 calendar-day difference; actual end not established</x:v>
      </x:c>
      <x:c r="G12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22" s="4" t="str">
        <x:v>EU023-R1: April 13 is inclusive scheduled last day, not reopening. Excludes residents/workers/freight; later extension and category changes not timed here.</x:v>
      </x:c>
      <x:c r="I122" s="4" t="str">
        <x:v>Full-record source audit (REC50-R40); retained with recorded qualifications; evidence limits retained.</x:v>
      </x:c>
      <x:c r="J122" s="18" t="d">
        <x:v>2026-10-25T00:00:00.000Z</x:v>
      </x:c>
      <x:c r="K122" s="21" t="str">
        <x:f>IFERROR(HYPERLINK("https://politi.dk/syd-og-soenderjyllands-politi/nyhedsliste/etablering-af-fuld-graensekontrol-paa-den-dansk-tyske-landegraense/2020/03/14","Danish Police"),"Danish Police")</x:f>
        <x:v>Danish Police</x:v>
      </x:c>
      <x:c r="L122" s="21" t="str">
        <x:f>IFERROR(HYPERLINK("https://politi.dk/rigspolitiet/nyhedsliste/politiet-er-klar-til-graenseaabning/2020/06/14","Danish Police"),"Danish Police")</x:f>
        <x:v>Danish Police</x:v>
      </x:c>
      <x:c r="M122" s="21" t="str">
        <x:f>IFERROR(HYPERLINK("https://politi.dk/syd-og-soenderjyllands-politi/nyhedsliste/ukompliceret-foerste-dag-ved-kontrollerne-paa-graensen/2020/03/14","Danish Police"),"Danish Police")</x:f>
        <x:v>Danish Police</x:v>
      </x:c>
      <x:c r="N122" s="4" t="str">
        <x:v>https://politi.dk/syd-og-soenderjyllands-politi/nyhedsliste/etablering-af-fuld-graensekontrol-paa-den-dansk-tyske-landegraense/2020/03/14
https://politi.dk/rigspolitiet/nyhedsliste/politiet-er-klar-til-graenseaabning/2020/06/14
https://politi.dk/syd-og-soenderjyllands-politi/nyhedsliste/ukompliceret-foerste-dag-ved-kontrollerne-paa-graensen/2020/03/14
https://stm.dk/presse/pressemoedearkiv/2020/pressemoede-den-29-maj-2020/
https://www.latribune.fr/depeches/reuters/KBN23M17E/debut-de-reouverture-en-ordre-disperse-des-frontieres-en-europe.html
https://www.visitdenmark.dk/corporate/om-os/nyheder/danmarks-graenser-lukker-midlertidigt
https://www.visitdenmark.com/press/latest-news/denmark-reopens-borders-norway-germany-and-iceland
https://itd.dk/nyheder/itd-nyt/2020/10-graenseovergange-til-tyskland-lukkes-helt/</x:v>
      </x:c>
      <x:c r="O122" s="4" t="str">
        <x:v>Source 1: full; full text
Source 2: full; full text
Source 3: full text</x:v>
      </x:c>
      <x:c r="P122" s="20" t="n">
        <x:v>1</x:v>
      </x:c>
      <x:c r="Q122" s="4" t="str">
        <x:v>Europe</x:v>
      </x:c>
      <x:c r="R122" s="4" t="str">
        <x:v>Included</x:v>
      </x:c>
    </x:row>
    <x:row r="123" ht="78" hidden="0" customHeight="1">
      <x:c r="A123" s="16" t="str">
        <x:v>EU012</x:v>
      </x:c>
      <x:c r="B123" s="4" t="str">
        <x:v>Poland pandemic foreigner-entry prohibition</x:v>
      </x:c>
      <x:c r="C123" s="4" t="str">
        <x:v>Poland; Germany; Czechia; Slovakia; Ukraine; Belarus; Lithuania; Russia</x:v>
      </x:c>
      <x:c r="D123" s="4" t="str">
        <x:v>Nationwide
National entry regime including land boundaries</x:v>
      </x:c>
      <x:c r="E123" s="4" t="str">
        <x:v>Foreign passengers; international passenger rail also suspended
Direction: Into Poland
Exceptions: Citizens returning; specified family, residence, work, Pole Card holders; freight</x:v>
      </x:c>
      <x:c r="F123" s="4" t="str">
        <x:v>EU012-D1 — Formal policy
Polish ordinary foreigner-entry restriction at internal Schengen land frontiers only.
Start: 2020-03-15.
Policy endpoint: 2020-06-13.
Formal policy: 90 calendar-day difference; operational continuity not established</x:v>
      </x:c>
      <x:c r="G12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23" s="4" t="str">
        <x:v>EU012-D1: Citizens, specified family/residence/work and other authorised categories were exempt. External-border restrictions continued; this is not a national all-frontier operational reopening.</x:v>
      </x:c>
      <x:c r="I123" s="4" t="str">
        <x:v>Retained baseline assessment. Retained with recorded qualifications</x:v>
      </x:c>
      <x:c r="J123" s="18" t="d">
        <x:v>2026-10-23T00:00:00.000Z</x:v>
      </x:c>
      <x:c r="K123" s="21" t="str">
        <x:f>IFERROR(HYPERLINK("https://www.gov.pl/web/koronawirus/zamykamy-granice-przed-koronawirusem","Polish Government"),"Polish Government")</x:f>
        <x:v>Polish Government</x:v>
      </x:c>
      <x:c r="L123" s="21" t="str">
        <x:f>IFERROR(HYPERLINK("https://www.gov.pl/web/rosja/epidemia-koronawirusa--zasady-wjazdu-i-pobytu-na-terytorium-rp-oraz-specjalne-rozwiazania-dla-cudzoziemcow","Polish Embassy Moscow"),"Polish Embassy Moscow")</x:f>
        <x:v>Polish Embassy Moscow</x:v>
      </x:c>
      <x:c r="M123" s="21" t="str">
        <x:f>IFERROR(HYPERLINK("https://eli.gov.pl/api/acts/DU/2020/435/text.html","eli.gov.pl"),"eli.gov.pl")</x:f>
        <x:v>eli.gov.pl</x:v>
      </x:c>
      <x:c r="N123" s="4" t="str">
        <x:v>https://www.gov.pl/web/koronawirus/zamykamy-granice-przed-koronawirusem
https://www.gov.pl/web/rosja/epidemia-koronawirusa--zasady-wjazdu-i-pobytu-na-terytorium-rp-oraz-specjalne-rozwiazania-dla-cudzoziemcow
https://eli.gov.pl/api/acts/DU/2020/435/text.html
https://www.gov.pl/web/mswia/kontrola-na-granicy-przedluzona-do-12-czerwca-br</x:v>
      </x:c>
      <x:c r="O123" s="4" t="str">
        <x:v>Source 1: full page
Source 2: full page
Source 3: access detail is retained in the source catalogue.</x:v>
      </x:c>
      <x:c r="P123" s="20" t="n">
        <x:v>1</x:v>
      </x:c>
      <x:c r="Q123" s="4" t="str">
        <x:v>Europe</x:v>
      </x:c>
      <x:c r="R123" s="4" t="str">
        <x:v>Included</x:v>
      </x:c>
    </x:row>
    <x:row r="124" ht="90" hidden="0" customHeight="1">
      <x:c r="A124" s="16" t="str">
        <x:v>EU018</x:v>
      </x:c>
      <x:c r="B124" s="4" t="str">
        <x:v>Serbia staged pandemic passenger-border shutdown</x:v>
      </x:c>
      <x:c r="C124" s="4" t="str">
        <x:v>Serbia; Hungary; Romania; Bulgaria; North Macedonia; Montenegro; Bosnia and Herzegovina; Croatia; Kosovo (disputed status)</x:v>
      </x:c>
      <x:c r="D124" s="4" t="str">
        <x:v>Nationwide
National passenger crossing regime; disputed Kosovo boundary separately flagged</x:v>
      </x:c>
      <x:c r="E124" s="4" t="str">
        <x:v>Foreign passengers initially; 20 March expanded to citizens
Direction: Into Serbia
Exceptions: Initial citizen/resident/diplomat exceptions; 20 March trucks continued; 12 May conditional passenger re-entry</x:v>
      </x:c>
      <x:c r="F124" s="4" t="str">
        <x:v>EU018-D1 — Formal policy
Serbia's tightened passenger-admission phase including citizens/residents, to conditional citizen/resident readmission.
Start: 2020-03-20.
Policy endpoint: 2020-05-12.
Formal policy: 53 calendar-day difference; operational continuity not established</x:v>
      </x:c>
      <x:c r="G12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24" s="4" t="str">
        <x:v>EU018-D1: This is a selected legal phase within the broader March–May regime, not its initial foreigner-ban onset or final all-foreigner easing. Individually authorised returns are not comprehensively enumerated; first ordinary physical passage is not claimed.</x:v>
      </x:c>
      <x:c r="I124" s="4" t="str">
        <x:v>Full-record source audit (REC50-R05); retained with recorded qualifications; evidence limits retained.</x:v>
      </x:c>
      <x:c r="J124" s="18" t="d">
        <x:v>2026-10-25T00:00:00.000Z</x:v>
      </x:c>
      <x:c r="K124" s="21" t="str">
        <x:f>IFERROR(HYPERLINK("https://www.srbija.gov.rs/vest/en/151884/all-border-crossings-for-passenger-trafficclosed.php","Government of Serbia"),"Government of Serbia")</x:f>
        <x:v>Government of Serbia</x:v>
      </x:c>
      <x:c r="L124" s="21" t="str">
        <x:f>IFERROR(HYPERLINK("https://www.srbija.gov.rs/vest/en/156024/entry-into-serbia-with-negative-pcr-test-or-self-isolation.php","Government of Serbia"),"Government of Serbia")</x:f>
        <x:v>Government of Serbia</x:v>
      </x:c>
      <x:c r="M124" s="21" t="str">
        <x:f>IFERROR(HYPERLINK("https://www.srbija.gov.rs/vest/en/151410/serbia-closes-borders-due-to-coronavirus.php","Government of Serbia"),"Government of Serbia")</x:f>
        <x:v>Government of Serbia</x:v>
      </x:c>
      <x:c r="N124" s="4" t="str">
        <x:v>https://www.srbija.gov.rs/vest/en/151884/all-border-crossings-for-passenger-trafficclosed.php
https://www.srbija.gov.rs/vest/en/156024/entry-into-serbia-with-negative-pcr-test-or-self-isolation.php
https://www.srbija.gov.rs/vest/en/151410/serbia-closes-borders-due-to-coronavirus.php
https://tsg.rs/en/news/unrestricted-entry-into-serbia-for-both-serbian-and-foreign-citizens/
https://www.granpol.gov.ba/en/portal/post/otvorena-granica-s-republikom-srbijom-637257060000000000</x:v>
      </x:c>
      <x:c r="O124" s="4" t="str">
        <x:v>Source 1: full text
Source 2: full text
Source 3: full text</x:v>
      </x:c>
      <x:c r="P124" s="20" t="n">
        <x:v>1</x:v>
      </x:c>
      <x:c r="Q124" s="4" t="str">
        <x:v>Europe</x:v>
      </x:c>
      <x:c r="R124" s="4" t="str">
        <x:v>Included</x:v>
      </x:c>
    </x:row>
    <x:row r="125" ht="126" hidden="0" customHeight="1">
      <x:c r="A125" s="16" t="str">
        <x:v>EU019</x:v>
      </x:c>
      <x:c r="B125" s="4" t="str">
        <x:v>Montenegro pandemic foreigner-entry ban and local post closures</x:v>
      </x:c>
      <x:c r="C125" s="4" t="str">
        <x:v>Montenegro; Albania; Bosnia and Herzegovina; Croatia; Serbia; Kosovo (disputed status)</x:v>
      </x:c>
      <x:c r="D125" s="4" t="str">
        <x:v>Includes Grnčar, Sukobin, Šćepan Polje, Šula, Sitnica, Metaljka, Kobila, Ranče, Vuče, Čemerno
National entry prohibition; pandemic-closed minor road posts</x:v>
      </x:c>
      <x:c r="E125" s="4" t="str">
        <x:v>Foreign passengers
Direction: Into Montenegro; local post shutdowns affect both directions
Exceptions: Residents and freight drivers; goods including transit</x:v>
      </x:c>
      <x:c r="F125" s="4" t="str">
        <x:v>EU019-R1 — Formal policy
Montenegro-side general foreigner land-admission prohibition before June 1 incidence-list eligibility
Start: 2020-03-15.
Policy endpoint: 2020-06-01.
Formal policy: 78 calendar-day difference; operational continuity not established</x:v>
      </x:c>
      <x:c r="G12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25" s="4" t="str">
        <x:v>EU019-R1: Land-entry policy phase only, excluding residents and freight drivers. Private-air exemptions expanded May 19 and are outside this land scope. June 1 is selective eligibility, not universal opening; individual minor-post and construction closures remain separate.</x:v>
      </x:c>
      <x:c r="I125" s="4" t="str">
        <x:v>Retained baseline assessment. Retained with recorded qualifications</x:v>
      </x:c>
      <x:c r="J125" s="18" t="d">
        <x:v>2026-10-23T00:00:00.000Z</x:v>
      </x:c>
      <x:c r="K125" s="21" t="str">
        <x:f>IFERROR(HYPERLINK("https://www.gov.me/en/article/222906--new-provisional-measures-to-protect-citizens-against-coronavirus-adopted-foreign-travel-and-foreigners-entering-montenegro-prohi","Montenegro Government"),"Montenegro Government")</x:f>
        <x:v>Montenegro Government</x:v>
      </x:c>
      <x:c r="L125" s="21" t="str">
        <x:f>IFERROR(HYPERLINK("https://eur-lex.europa.eu/legal-content/ET/TXT/?uri=CELEX%3A52020SC0132","European Commission"),"European Commission")</x:f>
        <x:v>European Commission</x:v>
      </x:c>
      <x:c r="M125" s="21" t="str">
        <x:f>IFERROR(HYPERLINK("https://www.gov.me/en/article/225830--national-coordination-body-montenegro-opens-its-borders-on-monday-many-measures-eased","Montenegro Government"),"Montenegro Government")</x:f>
        <x:v>Montenegro Government</x:v>
      </x:c>
      <x:c r="N125" s="4" t="str">
        <x:v>https://www.gov.me/en/article/222906--new-provisional-measures-to-protect-citizens-against-coronavirus-adopted-foreign-travel-and-foreigners-entering-montenegro-prohi
https://eur-lex.europa.eu/legal-content/ET/TXT/?uri=CELEX%3A52020SC0132
https://www.gov.me/en/article/225830--national-coordination-body-montenegro-opens-its-borders-on-monday-many-measures-eased
https://eur-lex.europa.eu/legal-content/EN/TXT/?uri=SWD%3A2020%3A132%3AFIN
https://www.gov.me/en/article/224593--national-coordination-body-agrees-to-lift-ban-on-air-traffic-for-own-needs
https://www.gov.me/en/article/225883--montenegro-opens-all-road-border-crossings-at-midnight
https://www.gov.me/clanak/225907--crna-gora-otvara-u-ponoc-sve-putne-granicne-prelaze</x:v>
      </x:c>
      <x:c r="O125" s="4" t="str">
        <x:v>Source 1: full; failed
Source 2: indexed excerpt
Source 3: indexed excerpt; full</x:v>
      </x:c>
      <x:c r="P125" s="20" t="n">
        <x:v>1</x:v>
      </x:c>
      <x:c r="Q125" s="4" t="str">
        <x:v>Europe</x:v>
      </x:c>
      <x:c r="R125" s="4" t="str">
        <x:v>Included</x:v>
      </x:c>
    </x:row>
    <x:row r="126" ht="162" hidden="0" customHeight="1">
      <x:c r="A126" s="16" t="str">
        <x:v>EU021</x:v>
      </x:c>
      <x:c r="B126" s="4" t="str">
        <x:v>Albania suspends public and private passenger transport at land borders</x:v>
      </x:c>
      <x:c r="C126" s="4" t="str">
        <x:v>Albania; Montenegro; Kosovo (disputed status); North Macedonia; Greece</x:v>
      </x:c>
      <x:c r="D126" s="4" t="str">
        <x:v>Nationwide
All land crossings</x:v>
      </x:c>
      <x:c r="E126" s="4" t="str">
        <x:v>Public/private passenger vehicles
Direction: Both directions as reported
Exceptions: Goods transport</x:v>
      </x:c>
      <x:c r="F126" s="4" t="str">
        <x:v>EU021-D1 — Formal policy
Albania's ordinary passenger-vehicle land-border closure policy, excluding goods transport.
Start: 2020-03-15.
Policy endpoint: 2020-06-01.
Formal policy: 78 calendar-day difference; operational continuity not established</x:v>
      </x:c>
      <x:c r="G12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26" s="4" t="str">
        <x:v>EU021-D1: Formal policy dates only. The recovered Order 173 specifies passenger-vehicle entry and exit restrictions from 15 March 2020 at 23:59, while the contemporary public announcement says 00:00 on 15 March for passenger entry. Preserve both attributed clocks; the 78-day calendar-date difference is not exact elapsed duration. Goods remain exempt. Actual first refusal, every-gate reopening and reciprocal permission are not established.</x:v>
      </x:c>
      <x:c r="I126" s="4" t="str">
        <x:v>Targeted source review (REC50-R04); accepted qualification; evidence limits retained.</x:v>
      </x:c>
      <x:c r="J126" s="18" t="d">
        <x:v>2026-10-25T00:00:00.000Z</x:v>
      </x:c>
      <x:c r="K126" s="21" t="str">
        <x:f>IFERROR(HYPERLINK("https://bnr.bg/en/post/101240978/the-spread-of-covid-19-imposes-new-travel-restrictions?page_1_3=5","Bulgarian National Radio"),"Bulgarian National Radio")</x:f>
        <x:v>Bulgarian National Radio</x:v>
      </x:c>
      <x:c r="L126" s="21" t="str">
        <x:f>IFERROR(HYPERLINK("https://kryeministria.al/en/newsroom/plani-i-masave-lehtesuese-nga-1-qershori-lejohet-levizja-ne-te-gjithe-territorin/","Albanian Government"),"Albanian Government")</x:f>
        <x:v>Albanian Government</x:v>
      </x:c>
      <x:c r="M126" s="21" t="str">
        <x:f>IFERROR(HYPERLINK("https://arkiva.punetejashtme.gov.al/en/njoftim-lidhur-me-situaten-e-pergjithshme-qe-pas-shfaqes-se-covid-19-ne-shqiperi/","arkiva.punetejashtme.gov.al"),"arkiva.punetejashtme.gov.al")</x:f>
        <x:v>arkiva.punetejashtme.gov.al</x:v>
      </x:c>
      <x:c r="N126" s="4" t="str">
        <x:v>https://bnr.bg/en/post/101240978/the-spread-of-covid-19-imposes-new-travel-restrictions?page_1_3=5
https://kryeministria.al/en/newsroom/plani-i-masave-lehtesuese-nga-1-qershori-lejohet-levizja-ne-te-gjithe-territorin/
https://arkiva.punetejashtme.gov.al/en/njoftim-lidhur-me-situaten-e-pergjithshme-qe-pas-shfaqes-se-covid-19-ne-shqiperi/
https://arkiva.punetejashtme.gov.al/en/njoftim-mbi-protokollin-qe-duhet-ndjekur-nga-udhetaret-qe-hyjne-ne-territorin-e-shqiperise-gjate-covid-19/
https://juristionline.al/wp-content/uploads/2020/12/urdher-2020-03-14-173.pdf
https://euronews.al/rama-nga-mesnata-e-se-dieles-mbyllim-plotesisht-kufijte-me-malin-e-zi-maqedonine-e-veriut-kosoven-dhe-greqine/
https://euronews.al/en/covid-19-restrictions-lifted-throughout-albania-land-borders-opened-with-neighbors/</x:v>
      </x:c>
      <x:c r="O126" s="4" t="str">
        <x:v>Source 1: search extract
Source 2: search extract
Source 3: access detail is retained in the source catalogue.</x:v>
      </x:c>
      <x:c r="P126" s="20" t="n">
        <x:v>1</x:v>
      </x:c>
      <x:c r="Q126" s="4" t="str">
        <x:v>Europe</x:v>
      </x:c>
      <x:c r="R126" s="4" t="str">
        <x:v>Included</x:v>
      </x:c>
    </x:row>
    <x:row r="127" ht="198" hidden="0" customHeight="1">
      <x:c r="A127" s="16" t="str">
        <x:v>EU032</x:v>
      </x:c>
      <x:c r="B127" s="4" t="str">
        <x:v>Spain enforces essential-purpose restrictions at Gibraltar frontier</x:v>
      </x:c>
      <x:c r="C127" s="4" t="str">
        <x:v>Spain; Gibraltar (UK territory)</x:v>
      </x:c>
      <x:c r="D127" s="4" t="str">
        <x:v>La Línea–Gibraltar frontier
Gibraltar–Spain crossing; separate from 23 March external-entry order</x:v>
      </x:c>
      <x:c r="E127" s="4" t="str">
        <x:v>People lacking acceptable documented reason
Direction: Both directions under Spanish-side movement enforcement
Exceptions: Residence, employment and other accepted essential purposes</x:v>
      </x:c>
      <x:c r="F127" s="4" t="str">
        <x:v>EU032-FU1 — Observed operation
La Línea–Gibraltar frontier under Spanish emergency movement enforcement
Start: unknown.
Last confirmed: 2020-03-16. Reopening is not established.
dated evidence; numeric duration withheld; see qualification</x:v>
      </x:c>
      <x:c r="G12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27" s="4" t="str">
        <x:v>EU032-FU1: March 16 is last confirmation for this limited phase; the whole March–June interval is not assumed. March 15 is first observed restriction, not a proven original onset; null start bounds preserve that distinction.
duration: Add an observed restriction phase March 15 confirmed through March 16; update last confirmation accordingly. June 10 resident permission is evidence of later easing but not a safely matched full endpoint.
onset: GBC’s March 15 observation and the recovered official March 16 statement confirm nonessential frontier restrictions while residents, workers, force-majeure travellers and goods remained permitted. The new Spanish internal-Schengen controls did not add measures at Gibraltar. Original onset and eventual reopening remain unestablished; the last-confirmed date is an evidence limit, not an endpoint.
continuity: GBC’s March 15 observation and the recovered official March 16 statement confirm nonessential frontier restrictions while residents, workers, force-majeure travellers and goods remained permitted. The new Spanish internal-Schengen controls did not add measures at Gibraltar. Original onset and eventual reopening remain unestablished; the last-confirmed date is an evidence limit, not an endpoint.</x:v>
      </x:c>
      <x:c r="I127" s="4" t="str">
        <x:v>Retained baseline assessment. Correction pass: amended with stated qualifications</x:v>
      </x:c>
      <x:c r="J127" s="18" t="d">
        <x:v>2026-10-23T00:00:00.000Z</x:v>
      </x:c>
      <x:c r="K127" s="21" t="str">
        <x:f>IFERROR(HYPERLINK("https://www.gbc.gi/news/latest-spains-emergency-measures-frontier","GBC"),"GBC")</x:f>
        <x:v>GBC</x:v>
      </x:c>
      <x:c r="L127" s="21" t="str">
        <x:f>IFERROR(HYPERLINK("https://www.gibraltar.gov.gi/press-releases/picardo-frontier-restrictions-are-proportional-not-political-and-will-not-likely-affect-workers-or-goods-coming-into-gibraltar-1952020-5699","gibraltar.gov.gi"),"gibraltar.gov.gi")</x:f>
        <x:v>gibraltar.gov.gi</x:v>
      </x:c>
      <x:c r="M127" s="21" t="str">
        <x:f>IFERROR(HYPERLINK("https://www.gibraltar.gov.gi/press-releases/gibraltar-residents-able-to-cross-the-frontier-3922020-5952","Gibraltar Government"),"Gibraltar Government")</x:f>
        <x:v>Gibraltar Government</x:v>
      </x:c>
      <x:c r="N127" s="4" t="str">
        <x:v>https://www.gbc.gi/news/latest-spains-emergency-measures-frontier
https://www.gibraltar.gov.gi/press-releases/picardo-frontier-restrictions-are-proportional-not-political-and-will-not-likely-affect-workers-or-goods-coming-into-gibraltar-1952020-5699
https://www.gibraltar.gov.gi/press-releases/gibraltar-residents-able-to-cross-the-frontier-3922020-5952
https://www.gbc.gi/news/what-do-you-need-when-crossing-border-and-what-are-restrictions-when-spain
https://www.gibraltar.gov.gi/press-releases/her-majestys-government-of-gibraltar-notes-the-details-of-spanish-governments-decree-5689
https://www.lamoncloa.gob.es/serviciosdeprensa/notasprensa/interior/paginas/2020/220320-fronteras.aspx
https://www.gibraltar.gov.gi/press-releases/no-frontier-restrictions-in-place-in-either-direction-7852020-6369</x:v>
      </x:c>
      <x:c r="O127" s="4" t="str">
        <x:v>Source 1: full; indexed excerpt
Source 2: access detail is retained in the source catalogue.
Source 3: indexed excerpt</x:v>
      </x:c>
      <x:c r="P127" s="20" t="n">
        <x:v>1</x:v>
      </x:c>
      <x:c r="Q127" s="4" t="str">
        <x:v>Europe</x:v>
      </x:c>
      <x:c r="R127" s="4" t="str">
        <x:v>Included</x:v>
      </x:c>
    </x:row>
    <x:row r="128" ht="186" hidden="0" customHeight="1">
      <x:c r="A128" s="16" t="str">
        <x:v>EU013</x:v>
      </x:c>
      <x:c r="B128" s="4" t="str">
        <x:v>Czech pandemic entry and departure prohibition</x:v>
      </x:c>
      <x:c r="C128" s="4" t="str">
        <x:v>Czechia; Germany; Poland; Slovakia; Austria</x:v>
      </x:c>
      <x:c r="D128" s="4" t="str">
        <x:v>Nationwide
National land-entry and departure regime</x:v>
      </x:c>
      <x:c r="E128" s="4" t="str">
        <x:v>Nonresident foreigner entry; citizens/residents departure
Direction: Inbound foreigners and outbound citizens/residents
Exceptions: Freight/transport crews, specified commuters and national-interest exemptions</x:v>
      </x:c>
      <x:c r="F128" s="4" t="str">
        <x:v>EU013-R1 — Formal policy
Czech-side prohibition of ordinary departure by Czech citizens and residents, with listed exceptions
Start: 2020-03-16.
Policy endpoint: 2020-04-24 to 2020-04-27.
Formal policy: 39–42 calendar-day difference; operational continuity not established</x:v>
      </x:c>
      <x:c r="G12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28" s="4" t="str">
        <x:v>EU013-R1: Formal prohibition on ordinary nonessential departure, excluding expanded April 14 justified-trip permissions. April 24 ministry text is stronger for exit; April 27 embassy grouping retained as unresolved bound. Foreign entry permissions and return quarantine are separate.</x:v>
      </x:c>
      <x:c r="I128" s="4" t="str">
        <x:v>Retained baseline assessment. Retained with recorded qualifications</x:v>
      </x:c>
      <x:c r="J128" s="18" t="d">
        <x:v>2026-10-23T00:00:00.000Z</x:v>
      </x:c>
      <x:c r="K128" s="21" t="str">
        <x:f>IFERROR(HYPERLINK("https://vlada.gov.cz/en/media-centrum/aktualne/the-government-has-taken-further-extraordinary-measures-to-prevent-the-spread-of-the-coronavirus--all-those-arriving-from-high-risk-countries-must-go--180336/","Czech Government"),"Czech Government")</x:f>
        <x:v>Czech Government</x:v>
      </x:c>
      <x:c r="L128" s="21" t="str">
        <x:f>IFERROR(HYPERLINK("https://md.gov.cz/Media/Media-a-tiskove-zpravy/Nova-pravidla-pro-prekracovani-statnich-hranic?returl=%2FMedia%2FMedia-a-tiskove-zpravy","Czech Transport Ministry"),"Czech Transport Ministry")</x:f>
        <x:v>Czech Transport Ministry</x:v>
      </x:c>
      <x:c r="M128" s="21" t="str">
        <x:f>IFERROR(HYPERLINK("https://mzv.gov.cz/london/en/what_s_new/ban_on_free_movement_lifted.html","Czech Embassy London"),"Czech Embassy London")</x:f>
        <x:v>Czech Embassy London</x:v>
      </x:c>
      <x:c r="N128" s="4" t="str">
        <x:v>https://vlada.gov.cz/en/media-centrum/aktualne/the-government-has-taken-further-extraordinary-measures-to-prevent-the-spread-of-the-coronavirus--all-those-arriving-from-high-risk-countries-must-go--180336/
https://md.gov.cz/Media/Media-a-tiskove-zpravy/Nova-pravidla-pro-prekracovani-statnich-hranic?returl=%2FMedia%2FMedia-a-tiskove-zpravy
https://mzv.gov.cz/london/en/what_s_new/ban_on_free_movement_lifted.html
https://www.kurzy.cz/tema/6009677.html
https://vlada.gov.cz/cz/media-centrum/aktualne/upravuje-se-rezim-na-hranicich--po-velikonocich-bude-mozne-v-oduvodnenych-pripadech-vycestovat-do-zahranici-180916/
https://vlada.gov.cz/en/media-centrum/aktualne/government-decides-that-border-controls-will-end-at-noon-on-friday--czechs-do-not-have-to-provide-a-test-181912/
https://czechinvest.gov.cz/en/Homepage/News/April-2020/General-ban-on-outward-travel-from-the-Czech-Republic-in-the-state-of-emergency-ends-on-14-April-202
https://vlada.gov.cz/en/media-centrum/aktualne/measures-adopted-by-the-czech-government-against-coronavirus-180545</x:v>
      </x:c>
      <x:c r="O128" s="4" t="str">
        <x:v>Source 1: full
Source 2: indexed excerpt
Source 3: indexed excerpt; full</x:v>
      </x:c>
      <x:c r="P128" s="20" t="n">
        <x:v>1</x:v>
      </x:c>
      <x:c r="Q128" s="4" t="str">
        <x:v>Europe</x:v>
      </x:c>
      <x:c r="R128" s="4" t="str">
        <x:v>Included</x:v>
      </x:c>
    </x:row>
    <x:row r="129" ht="162" hidden="0" customHeight="1">
      <x:c r="A129" s="16" t="str">
        <x:v>EU020</x:v>
      </x:c>
      <x:c r="B129" s="4" t="str">
        <x:v>North Macedonia closes crossings to foreign passengers</x:v>
      </x:c>
      <x:c r="C129" s="4" t="str">
        <x:v>North Macedonia; Albania; Greece; Bulgaria; Serbia; Kosovo (disputed status)</x:v>
      </x:c>
      <x:c r="D129" s="4" t="str">
        <x:v>Nationwide
All international crossings, land component</x:v>
      </x:c>
      <x:c r="E129" s="4" t="str">
        <x:v>Foreign passengers and vehicles
Direction: Into North Macedonia
Exceptions: Goods entry/transit; diplomats; persons with special state/economic permission</x:v>
      </x:c>
      <x:c r="F129" s="4" t="str">
        <x:v>EU020-R1 — Formal policy
North Macedonia ordinary foreign admission through land checkpoints, excluding goods, diplomats, authorized special cases and later permitted transit
Start: 2020-03-16 to 2020-03-17.
Policy endpoint: 2020-06-26.
Formal policy: 101–102 calendar-day difference; operational continuity not established</x:v>
      </x:c>
      <x:c r="G12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29" s="4" t="str">
        <x:v>EU020-R1: March 16–17 commencement bracket retained because Gazette publication was not inspected. Ordinary non-exempt foreign admission only; authorized entrants, freight and June 15/17 transit exceptions excluded. June 26 is the policy reopening date, not a full closed day or observation at every crossing.</x:v>
      </x:c>
      <x:c r="I129" s="4" t="str">
        <x:v>Retained baseline assessment. Retained with recorded qualifications</x:v>
      </x:c>
      <x:c r="J129" s="18" t="d">
        <x:v>2026-10-23T00:00:00.000Z</x:v>
      </x:c>
      <x:c r="K129" s="21" t="str">
        <x:f>IFERROR(HYPERLINK("https://old.customs.gov.mk/index.php/mk/informacii-mk?contrast=highcontrast2&amp;start=400","North Macedonia Customs"),"North Macedonia Customs")</x:f>
        <x:v>North Macedonia Customs</x:v>
      </x:c>
      <x:c r="L129" s="21" t="str">
        <x:f>IFERROR(HYPERLINK("https://wiki.unece.org/spaces/CTRBSBC/pages/101548492/North%2BMacedonia","UNECE"),"UNECE")</x:f>
        <x:v>UNECE</x:v>
      </x:c>
      <x:c r="M129" s="21" t="str">
        <x:f>IFERROR(HYPERLINK("https://ambskopje.esteri.it/mk/news/dall_ambasciata/2020/06/riapertura-delle-frontiere-e-degli-2/","Italian Embassy Skopje"),"Italian Embassy Skopje")</x:f>
        <x:v>Italian Embassy Skopje</x:v>
      </x:c>
      <x:c r="N129" s="4" t="str">
        <x:v>https://old.customs.gov.mk/index.php/mk/informacii-mk?contrast=highcontrast2&amp;start=400
https://wiki.unece.org/spaces/CTRBSBC/pages/101548492/North%2BMacedonia
https://ambskopje.esteri.it/mk/news/dall_ambasciata/2020/06/riapertura-delle-frontiere-e-degli-2/
https://eur-lex.europa.eu/LexUriServ/LexUriServ.do?uri=SWD%3A2020%3A0132%3AFIN%3AEN%3APDF
https://www.swedenabroad.se/en/embassies/north-macedonia-skopje/current/news/info-transit-of-foreigners/
https://ambskopje.esteri.it/it/news/dall_ambasciata/2020/06/disposizioni-del-governo-in-relazione/
https://www.coe.int/en/web/conventions/full-list%3B?codeNature=10&amp;codePays=TFY&amp;module=declarations-by-treaty&amp;numSte=009
https://www.theuiaa.org/measures-implemented-in-north-macedonia/
https://www.ekathimerini.com/news/254008/north-macedonia-to-reopen-land-borders-on-friday/
https://ambskopje.esteri.it/it/news/dall_ambasciata/2020/06/riapertura-delle-frontiere-e-degli/</x:v>
      </x:c>
      <x:c r="O129" s="4" t="str">
        <x:v>Source 1: indexed excerpt
Source 2: indexed excerpt
Source 3: full</x:v>
      </x:c>
      <x:c r="P129" s="20" t="n">
        <x:v>1</x:v>
      </x:c>
      <x:c r="Q129" s="4" t="str">
        <x:v>Europe</x:v>
      </x:c>
      <x:c r="R129" s="4" t="str">
        <x:v>Included</x:v>
      </x:c>
    </x:row>
    <x:row r="130" ht="138" hidden="0" customHeight="1">
      <x:c r="A130" s="16" t="str">
        <x:v>EU022</x:v>
      </x:c>
      <x:c r="B130" s="4" t="str">
        <x:v>Norway pandemic foreigner-entry rejection regime</x:v>
      </x:c>
      <x:c r="C130" s="4" t="str">
        <x:v>Norway; Sweden; Finland; Russia</x:v>
      </x:c>
      <x:c r="D130" s="4" t="str">
        <x:v>Nationwide
National external-entry regime, land component</x:v>
      </x:c>
      <x:c r="E130" s="4" t="str">
        <x:v>Foreign nationals outside exempt categories
Direction: Into Norway
Exceptions: Residence, specified work/family and transport categories; changing exemptions</x:v>
      </x:c>
      <x:c r="F130" s="4" t="str">
        <x:v>EU022-R1 — Formal policy
First amended statutory foreign-entry rejection regime under Regulation 293, including land arrivals
Start: 2020-03-16.
Policy endpoint: 2020-07-01.
Formal policy: 107 calendar-day difference; operational continuity not established
EU022-C7P1 — Formal policy
Successor Norwegian foreign-entry rejection framework, including land arrivals
Start: 2020-07-01.
Last confirmed: 2020-07-01. Reopening is not established.
Formal policy: dated evidence; numeric duration withheld; see qualification</x:v>
      </x:c>
      <x:c r="G13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30" s="4" t="str">
        <x:v>EU022-R1: Legal phase ends by replacement, not reopening. Later July eligibility, January 2021 tightening and final repeal need separate phases.
EU022-C7P1: Separate legal succession; later eligibility amendments and final repeal are not reconstructed. No observation of universal physical closure.</x:v>
      </x:c>
      <x:c r="I130" s="4" t="str">
        <x:v>Full-record source audit (REC50-R50); retained with recorded qualifications; evidence limits retained.</x:v>
      </x:c>
      <x:c r="J130" s="18" t="d">
        <x:v>2026-10-25T00:00:00.000Z</x:v>
      </x:c>
      <x:c r="K130" s="21" t="str">
        <x:f>IFERROR(HYPERLINK("https://www.regjeringen.no/en/documents/G-12-2020-Revised-circular-relating-to-Entry-into-force-of-the-Regulations-relating-to-rejection-etc-of-foreign-nationals-out-of-concern-for-public-health/id2706485/","Norwegian Ministry of Justice and Public Security"),"Norwegian Ministry of Justice and Public Security")</x:f>
        <x:v>Norwegian Ministry of Justice and Public Security</x:v>
      </x:c>
      <x:c r="L130" s="21" t="str">
        <x:f>IFERROR(HYPERLINK("https://lovdata.no/dokument/SFEO/forskrift/2020-03-15-293","Lovdata"),"Lovdata")</x:f>
        <x:v>Lovdata</x:v>
      </x:c>
      <x:c r="M130" s="21" t="str">
        <x:f>IFERROR(HYPERLINK("https://www.regjeringen.no/contentassets/ea271489c9e041368134304e5cd9e62b/circular-relating-to-entry-into-force-of-the-regulations-relating-to-entry-restrictions-for-foreign-nationals-out-of-concern-for-public-health.pdf","Norwegian Ministry of Justice and Public Security"),"Norwegian Ministry of Justice and Public Security")</x:f>
        <x:v>Norwegian Ministry of Justice and Public Security</x:v>
      </x:c>
      <x:c r="N130" s="4" t="str">
        <x:v>https://www.regjeringen.no/en/documents/G-12-2020-Revised-circular-relating-to-Entry-into-force-of-the-Regulations-relating-to-rejection-etc-of-foreign-nationals-out-of-concern-for-public-health/id2706485/
https://lovdata.no/dokument/SFEO/forskrift/2020-03-15-293
https://www.regjeringen.no/contentassets/ea271489c9e041368134304e5cd9e62b/circular-relating-to-entry-into-force-of-the-regulations-relating-to-entry-restrictions-for-foreign-nationals-out-of-concern-for-public-health.pdf
https://lovdata.no/forskrift/2020-06-29-1412</x:v>
      </x:c>
      <x:c r="O130" s="4" t="str">
        <x:v>Source 1: full; full text
Source 2: indexed excerpt
Source 3: indexed excerpt; failed; indexed extract</x:v>
      </x:c>
      <x:c r="P130" s="20" t="n">
        <x:v>2</x:v>
      </x:c>
      <x:c r="Q130" s="4" t="str">
        <x:v>Europe</x:v>
      </x:c>
      <x:c r="R130" s="4" t="str">
        <x:v>Included</x:v>
      </x:c>
    </x:row>
    <x:row r="131" ht="78" hidden="0" customHeight="1">
      <x:c r="A131" s="16" t="str">
        <x:v>EU025</x:v>
      </x:c>
      <x:c r="B131" s="4" t="str">
        <x:v>Portugal–Spain bilateral prohibition on nonessential border movement, 2020</x:v>
      </x:c>
      <x:c r="C131" s="4" t="str">
        <x:v>Portugal; Spain</x:v>
      </x:c>
      <x:c r="D131" s="4" t="str">
        <x:v>Nine authorised crossing points
Whole bilateral land frontier restricted to authorised crossings</x:v>
      </x:c>
      <x:c r="E131" s="4" t="str">
        <x:v>Nonessential road/passenger rail and river movement
Direction: Both directions
Exceptions: Goods, workers, returning nationals/residents, family reunion, healthcare and emergency movement</x:v>
      </x:c>
      <x:c r="F131" s="4" t="str">
        <x:v>EU025-D1 — Formal policy
Portugal–Spain bilateral non-essential land-movement restriction, using Portuguese local calendar dates.
Start: 2020-03-16.
Policy endpoint: 2020-07-01.
Formal policy: 107 calendar-day difference; operational continuity not established</x:v>
      </x:c>
      <x:c r="G13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31" s="4" t="str">
        <x:v>EU025-D1: That start equals midnight March 17 in Spain; date arithmetic is not elapsed hours. Authorised goods, workers, returnees and essential cases continued. The endpoint is formal restoration, not an independently observed first ordinary crossing.</x:v>
      </x:c>
      <x:c r="I131" s="4" t="str">
        <x:v>Full-record source audit (REC50-R35); retained with recorded qualifications; evidence limits retained.</x:v>
      </x:c>
      <x:c r="J131" s="18" t="d">
        <x:v>2026-10-25T00:00:00.000Z</x:v>
      </x:c>
      <x:c r="K131" s="21" t="str">
        <x:f>IFERROR(HYPERLINK("https://portugal.gov.pt/gc22/comunicacao/noticias/fronteiras-com-espanha-fechadas-a-partir-de-16-de-marco","Government of Portugal"),"Government of Portugal")</x:f>
        <x:v>Government of Portugal</x:v>
      </x:c>
      <x:c r="L131" s="21" t="str">
        <x:f>IFERROR(HYPERLINK("https://www.lamoncloa.gob.es/presidente/actividades/paginas/2020/010720-previoportugal.aspx","La Moncloa, Government of Spain"),"La Moncloa, Government of Spain")</x:f>
        <x:v>La Moncloa, Government of Spain</x:v>
      </x:c>
      <x:c r="M131" s="21" t="str">
        <x:f>IFERROR(HYPERLINK("https://portugal.gov.pt/gc22/comunicacao/documentos/declaracao-da-republica-portuguesa-e-o-reino-de-espanha-sobre-a-gestao-de-fronteiras-por-motivos-de-saude-publica-no-ambito-da-pandemia-da-covid-19","Governments of Portugal and Spain"),"Governments of Portugal and Spain")</x:f>
        <x:v>Governments of Portugal and Spain</x:v>
      </x:c>
      <x:c r="N131" s="4" t="str">
        <x:v>https://portugal.gov.pt/gc22/comunicacao/noticias/fronteiras-com-espanha-fechadas-a-partir-de-16-de-marco
https://www.lamoncloa.gob.es/presidente/actividades/paginas/2020/010720-previoportugal.aspx
https://portugal.gov.pt/gc22/comunicacao/documentos/declaracao-da-republica-portuguesa-e-o-reino-de-espanha-sobre-a-gestao-de-fronteiras-por-motivos-de-saude-publica-no-ambito-da-pandemia-da-covid-19</x:v>
      </x:c>
      <x:c r="O131" s="4" t="str">
        <x:v>Source 1: full text
Source 2: full text
Source 3: full text</x:v>
      </x:c>
      <x:c r="P131" s="20" t="n">
        <x:v>1</x:v>
      </x:c>
      <x:c r="Q131" s="4" t="str">
        <x:v>Europe</x:v>
      </x:c>
      <x:c r="R131" s="4" t="str">
        <x:v>Included</x:v>
      </x:c>
    </x:row>
    <x:row r="132" ht="126" hidden="0" customHeight="1">
      <x:c r="A132" s="16" t="str">
        <x:v>EU034</x:v>
      </x:c>
      <x:c r="B132" s="4" t="str">
        <x:v>Germany rejects nonessential entry at five neighbouring land frontiers</x:v>
      </x:c>
      <x:c r="C132" s="4" t="str">
        <x:v>Germany; Austria; Switzerland; France; Luxembourg; Denmark</x:v>
      </x:c>
      <x:c r="D132" s="4" t="str">
        <x:v>Five designated neighbouring frontiers
Selected internal Schengen land borders, not every German boundary</x:v>
      </x:c>
      <x:c r="E132" s="4" t="str">
        <x:v>Travellers without urgent/valid entry reason
Direction: Into Germany
Exceptions: Commuters, goods and transport workers, qualifying transit, healthcare/essential work</x:v>
      </x:c>
      <x:c r="F132" s="4" t="str">
        <x:v>EU034-D1 — Formal policy
Germany's COVID compelling-purpose entry rule for ordinary EU/associated-state visitors via the Austrian frontier.
Start: 2020-03-16.
Policy endpoint: 2020-06-15 to 2020-06-16.
Formal policy: 91–92 calendar-day difference; operational continuity not established</x:v>
      </x:c>
      <x:c r="G13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32" s="4" t="str">
        <x:v>EU034-D1: The endpoint range retains the 15/16 June wording difference. Eligible family, work and other exceptions are excluded. Luxembourg's earlier easing is not included; separate Austrian-frontier migration checks continued after the COVID rule ended.</x:v>
      </x:c>
      <x:c r="I132" s="4" t="str">
        <x:v>Retained baseline assessment. Retained with recorded qualifications</x:v>
      </x:c>
      <x:c r="J132" s="18" t="d">
        <x:v>2026-10-23T00:00:00.000Z</x:v>
      </x:c>
      <x:c r="K132" s="21" t="str">
        <x:f>IFERROR(HYPERLINK("https://ec.europa.eu/competition/state_aid/cases1/202212/SA_56867_401B6A7F-0000-C36A-B685-364C794A9B0C_351_1.pdf","European Commission"),"European Commission")</x:f>
        <x:v>European Commission</x:v>
      </x:c>
      <x:c r="L132" s="21" t="str">
        <x:f>IFERROR(HYPERLINK("https://www.bundesregierung.de/resource/blob/974430/1753912/4a0014f469023200f7cf7ba3e8ed3203/2020-05-18-massnahmen-englisch-data.pdf?download=1","German Federal Government"),"German Federal Government")</x:f>
        <x:v>German Federal Government</x:v>
      </x:c>
      <x:c r="M132" s="21" t="str">
        <x:f>IFERROR(HYPERLINK("https://dserver.bundestag.de/btd/19/197/1919776.pdf","German Federal Government / Bundestag"),"German Federal Government / Bundestag")</x:f>
        <x:v>German Federal Government / Bundestag</x:v>
      </x:c>
      <x:c r="N132" s="4" t="str">
        <x:v>https://ec.europa.eu/competition/state_aid/cases1/202212/SA_56867_401B6A7F-0000-C36A-B685-364C794A9B0C_351_1.pdf
https://www.bundesregierung.de/resource/blob/974430/1753912/4a0014f469023200f7cf7ba3e8ed3203/2020-05-18-massnahmen-englisch-data.pdf?download=1
https://dserver.bundestag.de/btd/19/197/1919776.pdf
https://www.presseportal.de/blaulicht/pm/73990/4625530
https://www.kreisbote.de/lokales/fuessen/grenzkontrollen-verhinderung-illegalen-migration-grenze-oesterreich-werden-fortgesetzt-13798891.html
https://www.dw.com/en/coronavirus-germany-partially-shuts-borders-with-5-countries/a-52789280
https://www.presseportal.de/blaulicht/pm/64017/4598682</x:v>
      </x:c>
      <x:c r="O132" s="4" t="str">
        <x:v>Source 1: search extract
Source 2: search extract
Source 3: PDF relevant pages read</x:v>
      </x:c>
      <x:c r="P132" s="20" t="n">
        <x:v>1</x:v>
      </x:c>
      <x:c r="Q132" s="4" t="str">
        <x:v>Europe</x:v>
      </x:c>
      <x:c r="R132" s="4" t="str">
        <x:v>Included</x:v>
      </x:c>
    </x:row>
    <x:row r="133" ht="234" hidden="0" customHeight="1">
      <x:c r="A133" s="16" t="str">
        <x:v>EU014</x:v>
      </x:c>
      <x:c r="B133" s="4" t="str">
        <x:v>Hungary first pandemic foreigner-entry prohibition</x:v>
      </x:c>
      <x:c r="C133" s="4" t="str">
        <x:v>Hungary; Austria; Slovakia; Ukraine; Romania; Serbia; Croatia; Slovenia</x:v>
      </x:c>
      <x:c r="D133" s="4" t="str">
        <x:v>Nationwide
National entry regime</x:v>
      </x:c>
      <x:c r="E133" s="4" t="str">
        <x:v>Non-Hungarian passengers
Direction: Into Hungary
Exceptions: Goods transit; humanitarian/individual exemptions subsequently developed</x:v>
      </x:c>
      <x:c r="F133" s="4" t="str">
        <x:v>EU014-FU1 — Formal policy
Hungarian land entry under initial nationwide regime
Start: 2020-03-17.
Last confirmed: 2020-03-17. Reopening is not established.
Formal policy: dated evidence; numeric duration withheld; see qualification</x:v>
      </x:c>
      <x:c r="G13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33" s="4" t="str">
        <x:v>EU014-FU1: Initial legal-policy onset only; later commuter/resident exemptions and staged bilateral easing prevent an assumed uniform March–June interval.
duration: Add March 17 formal entry-restriction onset, retaining exemptions and no assumed continuous scope to June 18.
continuity: FRA’s March 23 country report explicitly dates extension of the entry ban to non-Hungarian citizens to March 17, with discretionary exceptions and citizen return permitted. The original government page failed. Only onset-day confirmation is retained; later easing and uniform physical closure are unestablished.</x:v>
      </x:c>
      <x:c r="I133" s="4" t="str">
        <x:v>Targeted source review (REC50-R39); accepted qualification; evidence limits retained.</x:v>
      </x:c>
      <x:c r="J133" s="18" t="d">
        <x:v>2026-10-25T00:00:00.000Z</x:v>
      </x:c>
      <x:c r="K133" s="21" t="str">
        <x:f>IFERROR(HYPERLINK("https://2015-2019.kormany.hu/en/government-spokesperson/news/minister-of-state-zoltan-kovacs-we-are-closing-down-borders-not-liszt-ferenc-airport","Hungarian Government"),"Hungarian Government")</x:f>
        <x:v>Hungarian Government</x:v>
      </x:c>
      <x:c r="L133" s="21" t="str">
        <x:f>IFERROR(HYPERLINK("https://fra.europa.eu/sites/default/files/fra_uploads/hungary-report-covid-19-april-2020_en.pdf","FRA commissioned country report / Milieu Consulting"),"FRA commissioned country report / Milieu Consulting")</x:f>
        <x:v>FRA commissioned country report / Milieu Consulting</x:v>
      </x:c>
      <x:c r="M133" s="21" t="str">
        <x:f>IFERROR(HYPERLINK("https://2015-2019.kormany.hu/en/ministry-of-foreign-affairs-and-trade/news/unrestricted-travel-to-austria-the-czech-republic-and-slovakia-from-friday","Hungary Foreign Ministry"),"Hungary Foreign Ministry")</x:f>
        <x:v>Hungary Foreign Ministry</x:v>
      </x:c>
      <x:c r="N133" s="4" t="str">
        <x:v>https://2015-2019.kormany.hu/en/government-spokesperson/news/minister-of-state-zoltan-kovacs-we-are-closing-down-borders-not-liszt-ferenc-airport
https://fra.europa.eu/sites/default/files/fra_uploads/hungary-report-covid-19-april-2020_en.pdf
https://2015-2019.kormany.hu/en/ministry-of-foreign-affairs-and-trade/news/unrestricted-travel-to-austria-the-czech-republic-and-slovakia-from-friday
https://akadalymentes.2015-2019.kormany.hu/en/news/border-controls-rescinded-at-austrian-and-slovak-borders
https://akadalymentes.2015-2019.kormany.hu/en/ministry-of-foreign-affairs-and-trade/news/slovakia-to-allow-hungarians-and-czechs-to-cross-its-territory-there-and-back
https://www.police.hu/hu/hirek-es-informaciok/legfrissebb-hireink/hatarrendeszet/ujabb-konnyitesek-a-hataratlepesben
https://copenhagen.mfa.gov.hu/hu/articles/a-magyar-rendkivueli-jogrend-visszavonasaval-valtoznak-a-magyarorszagi-hataratlepesi-szabalyok
https://szingapur.mfa.gov.hu/en/articles/magyarorszagi-beutazasra-vonatkozo-szabalyok-szeptember-1-tol
https://hbkik.hu/en/hungarian-border-crossing-easy-again-for-citizens-of-eu-serbia-and-switzerland-among-others/
https://international.pte.hu/news/covid-19-restrictions-and-sanctions-17-march
https://newsnow.tasr.sk/matovic-were-opening-borders-between-cr-hungary-austria-and-slovakia/</x:v>
      </x:c>
      <x:c r="O133" s="4" t="str">
        <x:v>Source 1: indexed excerpt
Source 2: full text
Source 3: indexed excerpt</x:v>
      </x:c>
      <x:c r="P133" s="20" t="n">
        <x:v>1</x:v>
      </x:c>
      <x:c r="Q133" s="4" t="str">
        <x:v>Europe</x:v>
      </x:c>
      <x:c r="R133" s="4" t="str">
        <x:v>Included</x:v>
      </x:c>
    </x:row>
    <x:row r="134" ht="114" hidden="0" customHeight="1">
      <x:c r="A134" s="16" t="str">
        <x:v>EU026</x:v>
      </x:c>
      <x:c r="B134" s="4" t="str">
        <x:v>Spain restricts nonessential entry over French land frontier</x:v>
      </x:c>
      <x:c r="C134" s="4" t="str">
        <x:v>Spain; France</x:v>
      </x:c>
      <x:c r="D134" s="4" t="str">
        <x:v>France–Spain road crossings
French land border component of national 17 March order</x:v>
      </x:c>
      <x:c r="E134" s="4" t="str">
        <x:v>Nonqualifying inbound travellers
Direction: Into Spain
Exceptions: Spanish citizens, residents, cross-border workers, necessity; goods unaffected</x:v>
      </x:c>
      <x:c r="F134" s="4" t="str">
        <x:v>EU026-R1 — Formal policy
Spain-side entry across French land frontier by nonresident ordinary tourists without listed exemptions
Start: 2020-03-17.
Policy endpoint: 2020-06-21.
Formal policy: 96 calendar-day difference; operational continuity not established</x:v>
      </x:c>
      <x:c r="G13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34" s="4" t="str">
        <x:v>EU026-R1: Legal restriction from 00:00 March 17 until 00:00 June 21, 2020. Excludes Portuguese frontier, freight, citizens/residents, work/necessity and other enumerated exemptions; Balearic air pilot does not end French-land-frontier scope. No universal physical denial or observed reopening asserted.</x:v>
      </x:c>
      <x:c r="I134" s="4" t="str">
        <x:v>Retained baseline assessment. Retained with recorded qualifications</x:v>
      </x:c>
      <x:c r="J134" s="18" t="d">
        <x:v>2026-10-23T00:00:00.000Z</x:v>
      </x:c>
      <x:c r="K134" s="21" t="str">
        <x:f>IFERROR(HYPERLINK("https://www.lamoncloa.gob.es/serviciosdeprensa/notasprensa/interior/paginas/2020/220320-fronteras.aspx","Spanish Government"),"Spanish Government")</x:f>
        <x:v>Spanish Government</x:v>
      </x:c>
      <x:c r="L134" s="21" t="str">
        <x:f>IFERROR(HYPERLINK("https://www.boe.es/buscar/pdf/2020/BOE-A-2020-4064-consolidado.pdf","BOE"),"BOE")</x:f>
        <x:v>BOE</x:v>
      </x:c>
      <x:c r="M134" s="21" t="str">
        <x:f>IFERROR(HYPERLINK("https://boe.es/buscar/act.php?id=BOE-A-2020-5264&amp;lang=es&amp;p=&amp;tn=1","BOE"),"BOE")</x:f>
        <x:v>BOE</x:v>
      </x:c>
      <x:c r="N134" s="4" t="str">
        <x:v>https://www.lamoncloa.gob.es/serviciosdeprensa/notasprensa/interior/paginas/2020/220320-fronteras.aspx
https://www.boe.es/buscar/pdf/2020/BOE-A-2020-4064-consolidado.pdf
https://boe.es/buscar/act.php?id=BOE-A-2020-5264&amp;lang=es&amp;p=&amp;tn=1
https://www.boe.es/buscar/act.php?id=BOE-A-2020-3776
https://www.boe.es/buscar/act.php?id=BOE-A-2020-5264
https://www.lamoncloa.gob.es/presidente/intervenciones/Paginas/2020/prsp14062020.aspx?mode=Light
https://www.boe.es/buscar/act.php?id=BOE-A-2020-3825&amp;p=20200318&amp;tn=0</x:v>
      </x:c>
      <x:c r="O134" s="4" t="str">
        <x:v>Source 1: full
Source 2: full
Source 3: indexed excerpt</x:v>
      </x:c>
      <x:c r="P134" s="20" t="n">
        <x:v>1</x:v>
      </x:c>
      <x:c r="Q134" s="4" t="str">
        <x:v>Europe</x:v>
      </x:c>
      <x:c r="R134" s="4" t="str">
        <x:v>Included</x:v>
      </x:c>
    </x:row>
    <x:row r="135" ht="174" hidden="0" customHeight="1">
      <x:c r="A135" s="16" t="str">
        <x:v>EU033</x:v>
      </x:c>
      <x:c r="B135" s="4" t="str">
        <x:v>Belgium closes land borders to nonessential travel, 2020</x:v>
      </x:c>
      <x:c r="C135" s="4" t="str">
        <x:v>Belgium; France; Netherlands; Germany; Luxembourg</x:v>
      </x:c>
      <x:c r="D135" s="4" t="str">
        <x:v>Major and secondary road crossings
National land border prohibition</x:v>
      </x:c>
      <x:c r="E135" s="4" t="str">
        <x:v>Nonessential passenger movement
Direction: Both directions
Exceptions: Freight, cross-border employment and individual essential cases</x:v>
      </x:c>
      <x:c r="F135" s="4" t="str">
        <x:v>EU033-D1 — Formal policy
Belgian nonessential outbound travel to EU/Schengen neighbours, subject to changing essential-travel exceptions
Start: 2020-03-18.
Policy endpoint: 2020-06-15.
Formal policy: 89 calendar-day difference; operational continuity not established
EU033-C7P1 — Formal policy
Belgian nonessential inbound travel from EU/Schengen neighbours
Start: 2020-04-03.
Policy endpoint: 2020-06-15.
Formal policy: 73 calendar-day difference; operational continuity not established</x:v>
      </x:c>
      <x:c r="G13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35" s="4" t="str">
        <x:v>EU033-D1: March20 concerns border-control chronology, not the common legal onset of both directions. May30 family/shopping exceptions remain distinct; no uniform physical seal is implied.
EU033-C7P1: Legal category-specific phase; controls existed earlier and essential-travel exceptions changed. No first actual passage time is claimed.</x:v>
      </x:c>
      <x:c r="I135" s="4" t="str">
        <x:v>Retained baseline assessment. Retained with recorded qualifications</x:v>
      </x:c>
      <x:c r="J135" s="18" t="d">
        <x:v>2026-10-23T00:00:00.000Z</x:v>
      </x:c>
      <x:c r="K135" s="21" t="str">
        <x:f>IFERROR(HYPERLINK("https://ec.europa.eu/regional_policy/sources/studies/cross_border/KN-04-22-050-EN-N.pdf","European Commission"),"European Commission")</x:f>
        <x:v>European Commission</x:v>
      </x:c>
      <x:c r="L135" s="21" t="str">
        <x:f>IFERROR(HYPERLINK("https://diplomatie.belgium.be/en/belgium-makes-cautious-start-towards-reopening-eus-external-borders","Belgian Federal Foreign Affairs"),"Belgian Federal Foreign Affairs")</x:f>
        <x:v>Belgian Federal Foreign Affairs</x:v>
      </x:c>
      <x:c r="M135" s="21" t="str">
        <x:f>IFERROR(HYPERLINK("https://etaamb.openjustice.be/fr/arrete-ministeriel-du-18-mars-2020_n2020030331.html","etaamb.openjustice.be"),"etaamb.openjustice.be")</x:f>
        <x:v>etaamb.openjustice.be</x:v>
      </x:c>
      <x:c r="N135" s="4" t="str">
        <x:v>https://ec.europa.eu/regional_policy/sources/studies/cross_border/KN-04-22-050-EN-N.pdf
https://diplomatie.belgium.be/en/belgium-makes-cautious-start-towards-reopening-eus-external-borders
https://etaamb.openjustice.be/fr/arrete-ministeriel-du-18-mars-2020_n2020030331.html
https://centredecrise.be/fr/newsroom/questions-relatives-au-franchissement-de-nos-frontieres
https://etaamb.openjustice.be/fr/arrete-ministeriel-du-03-avril-2020_n2020020705.html
https://fra.europa.eu/sites/default/files/fra_uploads/belgium-report-covid-19-april-2020_en.pdf
https://fra.europa.eu/sites/default/files/fra_uploads/be_report_on_coronavirus_pandemic_july_2020.pdf
https://today.rtl.lu/news/luxembourg/belgium-luxembourg-border-partially-open-as-of-this-saturday-1526632
https://www.researchgate.net/publication/358473228_Belgium_Legal_Response_to_Covid-19
https://www.itf-oecd.org/sites/default/files/docs/b-measures-covid19_3.pdf
https://eur-lex.europa.eu/legal-content/EN/TXT/?uri=SWD%3A2021%3A0462%3AFIN</x:v>
      </x:c>
      <x:c r="O135" s="4" t="str">
        <x:v>Source 1: search extract
Source 2: full page
Source 3: access detail is retained in the source catalogue.</x:v>
      </x:c>
      <x:c r="P135" s="20" t="n">
        <x:v>2</x:v>
      </x:c>
      <x:c r="Q135" s="4" t="str">
        <x:v>Europe</x:v>
      </x:c>
      <x:c r="R135" s="4" t="str">
        <x:v>Included</x:v>
      </x:c>
    </x:row>
    <x:row r="136" ht="102" hidden="0" customHeight="1">
      <x:c r="A136" s="16" t="str">
        <x:v>EU029</x:v>
      </x:c>
      <x:c r="B136" s="4" t="str">
        <x:v>Russia national land-border pandemic movement restrictions</x:v>
      </x:c>
      <x:c r="C136" s="4" t="str">
        <x:v>Russia; Norway; Finland; Estonia; Latvia; Lithuania; Poland; Belarus; Ukraine</x:v>
      </x:c>
      <x:c r="D136" s="4" t="str">
        <x:v>Road, rail, pedestrian and mixed checkpoints; Belarus land segment
Single national legal order covering European and Asian borders, recorded once. The country list is a regional catalogue subset, not an exhaustive statement of the order’s scope; no universal operational footprint is approved.</x:v>
      </x:c>
      <x:c r="E136" s="4" t="str">
        <x:v>Nonexempt cross-border passenger movement, including Russian outward travel
Direction: Both directions with nationality/category-specific rules
Exceptions: Freight/transport and diplomatic crews; bereavement; specified Kaliningrad rail transit and Donbas residents; other decree categories</x:v>
      </x:c>
      <x:c r="F136" s="4" t="str">
        <x:v>EU029-D1 — Formal policy
Legal life of Russia's national land-checkpoint COVID restriction regime under Order 763-r, including its evolving exceptions.
Start: 2020-03-30.
Policy endpoint: 2022-07-15.
Formal policy: 837 calendar-day difference; operational continuity not established</x:v>
      </x:c>
      <x:c r="G13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36" s="4" t="str">
        <x:v>EU029-D1: This is the legal regime's duration, not a claim that every traveller or border remained closed throughout. Earlier bilateral/category easing, freight exemptions, war-related restrictions and neighbouring countries' rules remain distinct.</x:v>
      </x:c>
      <x:c r="I136" s="4" t="str">
        <x:v>Targeted source review (REC50-R49); accepted corrections; evidence limits retained.</x:v>
      </x:c>
      <x:c r="J136" s="18" t="d">
        <x:v>2026-10-25T00:00:00.000Z</x:v>
      </x:c>
      <x:c r="K136" s="21" t="str">
        <x:f>IFERROR(HYPERLINK("https://www.garant.ru/products/ipo/prime/doc/73711716/","GARANT reproduction of Russian Government Order 763-r"),"GARANT reproduction of Russian Government Order 763-r")</x:f>
        <x:v>GARANT reproduction of Russian Government Order 763-r</x:v>
      </x:c>
      <x:c r="L136" s="21" t="str">
        <x:f>IFERROR(HYPERLINK("https://dublin.kdmid.ru/en/info/news/736/","Russian Consular Section in Dublin"),"Russian Consular Section in Dublin")</x:f>
        <x:v>Russian Consular Section in Dublin</x:v>
      </x:c>
      <x:c r="M136" s="21" t="str">
        <x:f>IFERROR(HYPERLINK("https://dk.kdmid.ru/en/news/742/","Russian Consular Department in Denmark"),"Russian Consular Department in Denmark")</x:f>
        <x:v>Russian Consular Department in Denmark</x:v>
      </x:c>
      <x:c r="N136" s="4" t="str">
        <x:v>https://www.garant.ru/products/ipo/prime/doc/73711716/
https://dublin.kdmid.ru/en/info/news/736/
https://dk.kdmid.ru/en/news/742/
https://www.consultant.ru/document/cons_doc_LAW_348798/
https://denmark.kdmid.ru/en/news/742/
https://www.consultant.ru/document/cons_doc_LAW_348748/
https://dublin.kdmid.ru/en/info/covid-19-important-travel-advice/
https://interfax.com/newsroom/top-stories/80897/</x:v>
      </x:c>
      <x:c r="O136" s="4" t="str">
        <x:v>Source 1: full text
Source 2: indexed extract
Source 3: body</x:v>
      </x:c>
      <x:c r="P136" s="20" t="n">
        <x:v>1</x:v>
      </x:c>
      <x:c r="Q136" s="4" t="str">
        <x:v>Europe</x:v>
      </x:c>
      <x:c r="R136" s="4" t="str">
        <x:v>Included</x:v>
      </x:c>
    </x:row>
    <x:row r="137" ht="162" hidden="0" customHeight="1">
      <x:c r="A137" s="16" t="str">
        <x:v>EU015</x:v>
      </x:c>
      <x:c r="B137" s="4" t="str">
        <x:v>Hungary reintroduces pandemic foreigner-entry prohibition</x:v>
      </x:c>
      <x:c r="C137" s="4" t="str">
        <x:v>Hungary; Austria; Slovakia; Ukraine; Romania; Serbia; Croatia; Slovenia</x:v>
      </x:c>
      <x:c r="D137" s="4" t="str">
        <x:v>Nationwide
National entry regime</x:v>
      </x:c>
      <x:c r="E137" s="4" t="str">
        <x:v>Foreign passengers except justified cases; returning citizens quarantine
Direction: Into Hungary
Exceptions: Specified justified cases; freight details need separate decree</x:v>
      </x:c>
      <x:c r="F137" s="4" t="str">
        <x:v>EU015-FU1 — Formal policy
Hungarian land entry under second-wave national rules
Start: 2020-09-01.
Last confirmed: 2020-10-01. Reopening is not established.
Formal policy: confirmed through 2020-10-01; at least 30 calendar-day difference; reopening unknown</x:v>
      </x:c>
      <x:c r="G13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37" s="4" t="str">
        <x:v>EU015-FU1: Confirmed policy extension; not proof of uniform physical implementation or unchanged exemptions. Later permission excludes Ukraine.
duration: Add formal second-wave policy phase September 1 confirmed through October 1. Preserve the unresolved category/route amendments before six-frontier permission June 23.</x:v>
      </x:c>
      <x:c r="I137" s="4" t="str">
        <x:v>Targeted source review (REC50-R39); accepted qualification; evidence limits retained.</x:v>
      </x:c>
      <x:c r="J137" s="18" t="d">
        <x:v>2026-10-25T00:00:00.000Z</x:v>
      </x:c>
      <x:c r="K137" s="21" t="str">
        <x:f>IFERROR(HYPERLINK("https://2015-2019.kormany.hu/en/prime-minister-s-office/news/border-protection-rules-applied-during-first-wave-to-return","Hungarian Prime Minister’s Office"),"Hungarian Prime Minister’s Office")</x:f>
        <x:v>Hungarian Prime Minister’s Office</x:v>
      </x:c>
      <x:c r="L137" s="21" t="str">
        <x:f>IFERROR(HYPERLINK("https://2015-2019.kormany.hu/en/prime-minister-s-office/news/government-has-extended-border-closure-by-another-month-from-1-october","2015-2019.kormany.hu"),"2015-2019.kormany.hu")</x:f>
        <x:v>2015-2019.kormany.hu</x:v>
      </x:c>
      <x:c r="M137" s="21" t="str">
        <x:f>IFERROR(HYPERLINK("https://njt.jog.gov.hu/jogszabaly/2020-408-20-22","Hungarian National Legislation Database"),"Hungarian National Legislation Database")</x:f>
        <x:v>Hungarian National Legislation Database</x:v>
      </x:c>
      <x:c r="N137" s="4" t="str">
        <x:v>https://2015-2019.kormany.hu/en/prime-minister-s-office/news/border-protection-rules-applied-during-first-wave-to-return
https://2015-2019.kormany.hu/en/prime-minister-s-office/news/government-has-extended-border-closure-by-another-month-from-1-october
https://njt.jog.gov.hu/jogszabaly/2020-408-20-22
https://ambbudapest.esteri.it/it/news/dall_ambasciata/2021/06/allentamento-delle-restrizioni/
https://njt.jog.gov.hu/jogszabaly/2021-247-20-22.0
https://copenhagen.mfa.gov.hu/hu/articles/a-magyar-rendkivueli-jogrend-visszavonasaval-valtoznak-a-magyarorszagi-hataratlepesi-szabalyok
https://szingapur.mfa.gov.hu/en/articles/magyarorszagi-beutazasra-vonatkozo-szabalyok-szeptember-1-tol
https://2015-2019.kormany.hu/en/government-spokesperson/news/foreigners-are-not-allowed-to-enter-hungary-but-there-are-exceptions</x:v>
      </x:c>
      <x:c r="O137" s="4" t="str">
        <x:v>Source 1: indexed excerpt; indexed extract
Source 2: access detail is retained in the source catalogue.
Source 3: full</x:v>
      </x:c>
      <x:c r="P137" s="20" t="n">
        <x:v>1</x:v>
      </x:c>
      <x:c r="Q137" s="4" t="str">
        <x:v>Europe</x:v>
      </x:c>
      <x:c r="R137" s="4" t="str">
        <x:v>Included</x:v>
      </x:c>
    </x:row>
    <x:row r="138" ht="174" hidden="0" customHeight="1">
      <x:c r="A138" s="16" t="str">
        <x:v>EU028</x:v>
      </x:c>
      <x:c r="B138" s="4" t="str">
        <x:v>France halts UK arrivals including Channel Tunnel traffic, December 2020</x:v>
      </x:c>
      <x:c r="C138" s="4" t="str">
        <x:v>France; United Kingdom</x:v>
      </x:c>
      <x:c r="D138" s="4" t="str">
        <x:v>Channel Tunnel
UK–France fixed link component of all-mode arrivals ban</x:v>
      </x:c>
      <x:c r="E138" s="4" t="str">
        <x:v>Passengers and driver-accompanied freight
Direction: UK to France
Exceptions: Unaccompanied goods not generally halted; 23 Dec selected urgent/resident/citizen and haulier traffic subject to negative test</x:v>
      </x:c>
      <x:c r="F138" s="4" t="str">
        <x:v>EU028-R1 — Observed operation
UK-to-France Channel Tunnel accompanied vehicles/passengers under initial blanket suspension, ending for permitted tested categories
Start: 2020-12-20 to 2020-12-21.
Observed scoped reopening: 2020-12-23.
2–3 calendar-day difference; scoped endpoint only</x:v>
      </x:c>
      <x:c r="G13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38" s="4" t="str">
        <x:v>Distinguish the December 21 French-local legal start from the reported late December 20 Eurotunnel operational cutoff. Actual selective resumption is verified by Getlink on December 23; this is not unrestricted admission or queue clearance.
EU028-R1: French legal restriction began December 21 00:00 (December 20 23:00 UK). ITV reports Eurotunnel service cutoff at 22:00 UK December 20; use a December 20–21 operational onset bound rather than treating legal effect as exact first interruption. First passengers arrived France December 23 at 02:32, and trucks/vans crossed that morning. Reopening was selective and tested; unaccompanied freight excluded.</x:v>
      </x:c>
      <x:c r="I138" s="4" t="str">
        <x:v>Retained baseline assessment. Amended after source reconciliation</x:v>
      </x:c>
      <x:c r="J138" s="18" t="d">
        <x:v>2026-10-23T00:00:00.000Z</x:v>
      </x:c>
      <x:c r="K138" s="21" t="str">
        <x:f>IFERROR(HYPERLINK("https://www.info.gouv.fr/communique/11980-reprise-limitee-des-flux-de-personnes-du-royaume-uni-vers-la-france-sous-condition-sanitaire-de","French Government"),"French Government")</x:f>
        <x:v>French Government</x:v>
      </x:c>
      <x:c r="L138" s="21" t="str">
        <x:f>IFERROR(HYPERLINK("https://press.getlinkgroup.com/news/eurotunnel-travel-to-france-re-opens-for-cars-and-trucks-a5d4-0791e.html","Getlink"),"Getlink")</x:f>
        <x:v>Getlink</x:v>
      </x:c>
      <x:c r="M138" s="21" t="str">
        <x:f>IFERROR(HYPERLINK("https://www.itv.com/news/2020-12-20/christmas-fresh-food-supplies-could-be-disrupted-as-freight-traffic-to-france-is-shut","itv.com"),"itv.com")</x:f>
        <x:v>itv.com</x:v>
      </x:c>
      <x:c r="N138" s="4" t="str">
        <x:v>https://www.info.gouv.fr/communique/11980-reprise-limitee-des-flux-de-personnes-du-royaume-uni-vers-la-france-sous-condition-sanitaire-de
https://press.getlinkgroup.com/news/eurotunnel-travel-to-france-re-opens-for-cars-and-trucks-a5d4-0791e.html
https://www.itv.com/news/2020-12-20/christmas-fresh-food-supplies-could-be-disrupted-as-freight-traffic-to-france-is-shut
https://www.legifrance.gouv.fr/eli/decret/2020/12/20/SSAZ2036239D/jo/texte
https://www.gov.uk/government/speeches/prime-ministers-statement-on-coronavirus-covid-19-21-december-2020
https://www.gov.uk/government/news/protocol-agreed-to-reopen-french-border-to-uk-arrivals
https://news.sky.com/story/covid-19-good-progress-in-talks-to-reopen-french-border-as-2-800-lorries-queue-in-kent-12170397
https://www.lbc.co.uk/article/uk-france-eurotunnel-border-closing-11pm-sunday-night-coronavirus-strain-DWyncG_2/</x:v>
      </x:c>
      <x:c r="O138" s="4" t="str">
        <x:v>Source 1: indexed excerpt; full
Source 2: full
Source 3: access detail is retained in the source catalogue.</x:v>
      </x:c>
      <x:c r="P138" s="20" t="n">
        <x:v>1</x:v>
      </x:c>
      <x:c r="Q138" s="4" t="str">
        <x:v>Europe</x:v>
      </x:c>
      <x:c r="R138" s="4" t="str">
        <x:v>Included</x:v>
      </x:c>
    </x:row>
    <x:row r="139" ht="162" hidden="0" customHeight="1">
      <x:c r="A139" s="16" t="str">
        <x:v>EU030</x:v>
      </x:c>
      <x:c r="B139" s="4" t="str">
        <x:v>Belarus restricts citizens’ and residents’ departure over western/southern land borders</x:v>
      </x:c>
      <x:c r="C139" s="4" t="str">
        <x:v>Belarus; Poland; Lithuania; Latvia; Ukraine</x:v>
      </x:c>
      <x:c r="D139" s="4" t="str">
        <x:v>Road, rail and simplified local crossings
Land checkpoints to EU neighbours and Ukraine; Russia excluded</x:v>
      </x:c>
      <x:c r="E139" s="4" t="str">
        <x:v>Belarusian citizens and permanent/temporary residents leaving
Direction: Out of Belarus
Exceptions: Freight drivers, diplomats, specified illness/death/medical/study/work/residence cases; air departure and Russian boundary outside this ban</x:v>
      </x:c>
      <x:c r="F139" s="4" t="str">
        <x:v>EU030-D1 — Formal policy
Belarus's citizen/resident departure restriction at western and southern land frontiers, excluding Russia.
Start: 2020-12-21.
Policy endpoint: 2022-04-03.
Formal policy: 468 calendar-day difference; operational continuity not established</x:v>
      </x:c>
      <x:c r="G139" s="4" t="str">
        <x:v>Health and biosecurity / Human disease control
Attributed official justification
Applies to: Recorded episode; exact overlap not separately established
COVID prevention is the official explanation. Political control is a separately attributed OSW interpretation; both are recorded without treating the interpretation as proven.
Power and regime politics / Opposition and political reform
Analytical interpretation of reported context
Applies to: Recorded episode; exact overlap not separately established
COVID prevention is the official explanation. Political control is a separately attributed OSW interpretation; both are recorded without treating the interpretation as proven.</x:v>
      </x:c>
      <x:c r="H139" s="4" t="str">
        <x:v>EU030-D1: Formal policy period only. Work, study, residence, family, medical and transport exceptions evolved. Increased foreign arrivals do not independently verify first-day outward citizen movement. Air and the Russia boundary are excluded.</x:v>
      </x:c>
      <x:c r="I139" s="4" t="str">
        <x:v>Full-record source audit (REC50-R50); accepted corrections; evidence limits retained.</x:v>
      </x:c>
      <x:c r="J139" s="18" t="d">
        <x:v>2026-10-25T00:00:00.000Z</x:v>
      </x:c>
      <x:c r="K139" s="21" t="str">
        <x:f>IFERROR(HYPERLINK("https://www.osw.waw.pl/en/publikacje/analyses/2020-12-14/belarus-partial-border-closure","OSW Centre for Eastern Studies"),"OSW Centre for Eastern Studies")</x:f>
        <x:v>OSW Centre for Eastern Studies</x:v>
      </x:c>
      <x:c r="L139" s="21" t="str">
        <x:f>IFERROR(HYPERLINK("https://t.me/s/gpkgovby?before=526","State Border Committee of Belarus"),"State Border Committee of Belarus")</x:f>
        <x:v>State Border Committee of Belarus</x:v>
      </x:c>
      <x:c r="M139" s="21" t="str">
        <x:f>IFERROR(HYPERLINK("https://t.me/s/gpkgovby/1372","State Border Committee of Belarus"),"State Border Committee of Belarus")</x:f>
        <x:v>State Border Committee of Belarus</x:v>
      </x:c>
      <x:c r="N139" s="4" t="str">
        <x:v>https://www.osw.waw.pl/en/publikacje/analyses/2020-12-14/belarus-partial-border-closure
https://t.me/s/gpkgovby?before=526
https://t.me/s/gpkgovby/1372
https://t.me/s/gpkgovby/1398
https://telegram.me/s/gpkgovby?after=1351
https://www.iom.int/sites/g/files/tmzbdl486/files/situation_reports/file/iom-belarus-sitrep-14-1-14-apr.pdf</x:v>
      </x:c>
      <x:c r="O139" s="4" t="str">
        <x:v>Source 1: indexed extract
Source 2: full text
Source 3: full text</x:v>
      </x:c>
      <x:c r="P139" s="20" t="n">
        <x:v>1</x:v>
      </x:c>
      <x:c r="Q139" s="4" t="str">
        <x:v>Europe</x:v>
      </x:c>
      <x:c r="R139" s="4" t="str">
        <x:v>Included</x:v>
      </x:c>
    </x:row>
    <x:row r="140" ht="90" hidden="0" customHeight="1">
      <x:c r="A140" s="16" t="str">
        <x:v>EU016</x:v>
      </x:c>
      <x:c r="B140" s="4" t="str">
        <x:v>Sweden prohibits entry from Denmark over virus variant</x:v>
      </x:c>
      <x:c r="C140" s="4" t="str">
        <x:v>Sweden; Denmark</x:v>
      </x:c>
      <x:c r="D140" s="4" t="str">
        <x:v>Öresund bridge and other Denmark arrivals
Entry from Denmark including fixed-link Öresund route</x:v>
      </x:c>
      <x:c r="E140" s="4" t="str">
        <x:v>Foreign passengers arriving from Denmark
Direction: Into Sweden
Exceptions: Swedish citizens; people living/working in Sweden; freight/transport categories</x:v>
      </x:c>
      <x:c r="F140" s="4" t="str">
        <x:v>EU016-R1 — Announced window
Swedish special entry ban for arrivals from Denmark, excluding Swedish citizens and permitted categories
Start: 2020-12-22.
Scheduled endpoint: 2021-03-31.
Ordered window: 99 calendar-day difference; actual end not established</x:v>
      </x:c>
      <x:c r="G14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40" s="4" t="str">
        <x:v>EU016-R1: Endpoint is scheduled change; actual first passage not retrieved. Testing continues, and exceptions changed.</x:v>
      </x:c>
      <x:c r="I140" s="4" t="str">
        <x:v>Retained baseline assessment. Retained with recorded qualifications</x:v>
      </x:c>
      <x:c r="J140" s="18" t="d">
        <x:v>2026-10-23T00:00:00.000Z</x:v>
      </x:c>
      <x:c r="K140" s="21" t="str">
        <x:f>IFERROR(HYPERLINK("https://www.krisinformation.se/en/news/2020/december/entry-ban-from-uk-and-denmark/","Swedish crisis information agency"),"Swedish crisis information agency")</x:f>
        <x:v>Swedish crisis information agency</x:v>
      </x:c>
      <x:c r="L140" s="21" t="str">
        <x:f>IFERROR(HYPERLINK("https://svenskforfattningssamling.se/sites/default/files/sfs/2021-02/SFS2021-51.pdf","Swedish Government"),"Swedish Government")</x:f>
        <x:v>Swedish Government</x:v>
      </x:c>
      <x:c r="M140" s="21" t="str">
        <x:f>IFERROR(HYPERLINK("https://www.swedenabroad.se/en/embassies/north-macedonia-skopje/current/news/the-general-entry-ban-to-sweden-extended-to-31-may-2021/","Swedish Embassy"),"Swedish Embassy")</x:f>
        <x:v>Swedish Embassy</x:v>
      </x:c>
      <x:c r="N140" s="4" t="str">
        <x:v>https://www.krisinformation.se/en/news/2020/december/entry-ban-from-uk-and-denmark/
https://svenskforfattningssamling.se/sites/default/files/sfs/2021-02/SFS2021-51.pdf
https://www.swedenabroad.se/en/embassies/north-macedonia-skopje/current/news/the-general-entry-ban-to-sweden-extended-to-31-may-2021/
https://www.krisinformation.se/en/news/2021/mars/the-entry-ban-is-extended/
https://www.svt.se/nyheter/lokalt/skane/sverige-stanger-gransen-mot-danmark
https://www.oresundsinstituttet.org/fakta-granskontroller/</x:v>
      </x:c>
      <x:c r="O140" s="4" t="str">
        <x:v>Source 1: indexed excerpt; failed
Source 2: indexed excerpt; full
Source 3: indexed excerpt</x:v>
      </x:c>
      <x:c r="P140" s="20" t="n">
        <x:v>1</x:v>
      </x:c>
      <x:c r="Q140" s="4" t="str">
        <x:v>Europe</x:v>
      </x:c>
      <x:c r="R140" s="4" t="str">
        <x:v>Included</x:v>
      </x:c>
    </x:row>
    <x:row r="141" ht="102" hidden="0" customHeight="1">
      <x:c r="A141" s="16" t="str">
        <x:v>EU017</x:v>
      </x:c>
      <x:c r="B141" s="4" t="str">
        <x:v>Sweden extends special pandemic entry ban to Norway</x:v>
      </x:c>
      <x:c r="C141" s="4" t="str">
        <x:v>Sweden; Norway</x:v>
      </x:c>
      <x:c r="D141" s="4" t="str">
        <x:v>Norway–Sweden road crossings
Land entry from Norway</x:v>
      </x:c>
      <x:c r="E141" s="4" t="str">
        <x:v>Nonexempt passengers entering from Norway
Direction: Into Sweden
Exceptions: Swedish citizens; residents/workers in Sweden; transport workers; urgent family cases</x:v>
      </x:c>
      <x:c r="F141" s="4" t="str">
        <x:v>EU017-R1 — Announced window
Swedish special entry ban for arrivals from Norway, excluding Swedish citizens and permitted categories
Start: 2021-01-25.
Scheduled endpoint: 2021-03-31.
Ordered window: 65 calendar-day difference; actual end not established</x:v>
      </x:c>
      <x:c r="G14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41" s="4" t="str">
        <x:v>EU017-R1: Endpoint is scheduled change; actual first passage not retrieved. Testing continues, and exceptions changed.</x:v>
      </x:c>
      <x:c r="I141" s="4" t="str">
        <x:v>Retained baseline assessment. Retained with recorded qualifications</x:v>
      </x:c>
      <x:c r="J141" s="18" t="d">
        <x:v>2026-10-23T00:00:00.000Z</x:v>
      </x:c>
      <x:c r="K141" s="21" t="str">
        <x:f>IFERROR(HYPERLINK("https://www.krisinformation.se/en/news/2021/january/temporary-entry-ban-from-norway","Swedish Crisis Information"),"Swedish Crisis Information")</x:f>
        <x:v>Swedish Crisis Information</x:v>
      </x:c>
      <x:c r="L141" s="21" t="str">
        <x:f>IFERROR(HYPERLINK("https://svenskforfattningssamling.se/sites/default/files/sfs/2021-02/SFS2021-51.pdf","Swedish statute register"),"Swedish statute register")</x:f>
        <x:v>Swedish statute register</x:v>
      </x:c>
      <x:c r="M141" s="21" t="str">
        <x:f>IFERROR(HYPERLINK("https://www.swedenabroad.se/en/embassies/north-macedonia-skopje/current/news/the-general-entry-ban-to-sweden-extended-to-31-may-2021/","Sweden Abroad"),"Sweden Abroad")</x:f>
        <x:v>Sweden Abroad</x:v>
      </x:c>
      <x:c r="N141" s="4" t="str">
        <x:v>https://www.krisinformation.se/en/news/2021/january/temporary-entry-ban-from-norway
https://svenskforfattningssamling.se/sites/default/files/sfs/2021-02/SFS2021-51.pdf
https://www.swedenabroad.se/en/embassies/north-macedonia-skopje/current/news/the-general-entry-ban-to-sweden-extended-to-31-may-2021/
https://www.krisinformation.se/en/news/2021/january/temporary-entry-ban-from-norway/
https://www.krisinformation.se/en/news/2021/mars/the-entry-ban-is-extended/
https://www.government.se/contentassets/29dab9f3bc6c4c4aa1b104ca6eaa2ec9/mikael-damberg-all-content-2014-2021.pdf</x:v>
      </x:c>
      <x:c r="O141" s="4" t="str">
        <x:v>Source 1: indexed excerpt; failed
Source 2: indexed excerpt; full
Source 3: indexed excerpt; full</x:v>
      </x:c>
      <x:c r="P141" s="20" t="n">
        <x:v>1</x:v>
      </x:c>
      <x:c r="Q141" s="4" t="str">
        <x:v>Europe</x:v>
      </x:c>
      <x:c r="R141" s="4" t="str">
        <x:v>Included</x:v>
      </x:c>
    </x:row>
    <x:row r="142" ht="210" hidden="0" customHeight="1">
      <x:c r="A142" s="16" t="str">
        <x:v>EU027</x:v>
      </x:c>
      <x:c r="B142" s="4" t="str">
        <x:v>Portugal–Spain reinstates nonessential crossing prohibition, 2021</x:v>
      </x:c>
      <x:c r="C142" s="4" t="str">
        <x:v>Portugal; Spain</x:v>
      </x:c>
      <x:c r="D142" s="4" t="str">
        <x:v>Authorised posts include Valença, Vilar Formoso, Caia, Castro Marim and timed local points
Land frontier restricted to designated points</x:v>
      </x:c>
      <x:c r="E142" s="4" t="str">
        <x:v>Nonessential land-road travellers; related passenger railway and river-service suspension policies have no separately verified service-specific return here.
Direction: Both directions
Exceptions: Goods, cross-border/seasonal work, emergencies; citizens/residents return; nonresident exit</x:v>
      </x:c>
      <x:c r="F142" s="4" t="str">
        <x:v>EU027-D1 — Observed operation
Nonessential travel at authorised Portugal–Spain land-road crossings in both directions; source-specific exemptions retained.
Start: 2021-01-31.
Observed scoped reopening: 2021-05-01.
90 calendar-day difference; scoped endpoint only</x:v>
      </x:c>
      <x:c r="G14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42" s="4" t="str">
        <x:v>EU027-D1: Original SEF PDF is now disabled; replacement official internal-security report supplies indexed retrospective interval and Reuters supplies contemporaneous May1 reopening. Category exceptions and authorised-post changes remain; not all traffic was stopped. Goods, cross-border/seasonal work, emergencies; citizens/residents return; nonresident exit The May1 general land-border reopening is applied to the road-traveller phase only. It does not establish first resumed railway or river passenger services, whose mode-specific endpoints remain unverified.</x:v>
      </x:c>
      <x:c r="I142" s="4" t="str">
        <x:v>Full-record source audit (REC50-R40); accepted corrections; evidence limits retained.</x:v>
      </x:c>
      <x:c r="J142" s="18" t="d">
        <x:v>2026-10-25T00:00:00.000Z</x:v>
      </x:c>
      <x:c r="K142" s="21" t="str">
        <x:f>IFERROR(HYPERLINK("https://www.sef.pt/pt/Documents/RIFA2021%20vfing.pdf","Portuguese Immigration and Borders Service"),"Portuguese Immigration and Borders Service")</x:f>
        <x:v>Portuguese Immigration and Borders Service</x:v>
      </x:c>
      <x:c r="L142" s="21" t="str">
        <x:f>IFERROR(HYPERLINK("https://portugal.gov.pt/gc22/comunicacao/comunicados/controlo-de-pessoas-nas-fronteiras-terrestres-e-fluviais-mantem-se-ate-5-de-abril","Government of Portugal"),"Government of Portugal")</x:f>
        <x:v>Government of Portugal</x:v>
      </x:c>
      <x:c r="M142" s="21" t="str">
        <x:f>IFERROR(HYPERLINK("https://portugal.gov.pt/gc22/comunicacao/noticias/generalidade-do-pais-passa-para-situacao-de-calamidade-a-partir-de-1-de-maio","Portuguese Government"),"Portuguese Government")</x:f>
        <x:v>Portuguese Government</x:v>
      </x:c>
      <x:c r="N142" s="4" t="str">
        <x:v>https://www.sef.pt/pt/Documents/RIFA2021%20vfing.pdf
https://portugal.gov.pt/gc22/comunicacao/comunicados/controlo-de-pessoas-nas-fronteiras-terrestres-e-fluviais-mantem-se-ate-5-de-abril
https://portugal.gov.pt/gc22/comunicacao/noticias/generalidade-do-pais-passa-para-situacao-de-calamidade-a-partir-de-1-de-maio
https://numeros.justica.gov.pt/sites/default/files/2026-03/RASI%202021_0.pdf
https://kwsn.com/2021/05/01/portugal-extends-covid-19-air-travel-curbs-until-mid-may/
https://www.psp.pt/Documents/RASI%202021.pdf
https://www.tbsnews.net/coronavirus-chronicle/portugal-extends-covid-19-air-travel-curbs-until-mid-may-240070
https://www.lamoncloa.gob.es/lang/en/gobierno/news/Paginas/2021/20210130border-controls.aspx
https://pt.scribd.com/document/848791510/RASI-2021
https://www.boe.es/buscar/act.php?id=BOE-A-2021-1346
https://www.lamoncloa.gob.es/lang/en/gobierno/news/paginas/2021/20210130border-controls.aspx
https://www.itf-oecd.org/sites/default/files/docs/p-measures-covid19_2.pdf</x:v>
      </x:c>
      <x:c r="O142" s="4" t="str">
        <x:v>Source 1: search extract
Source 2: full text
Source 3: search extract</x:v>
      </x:c>
      <x:c r="P142" s="20" t="n">
        <x:v>1</x:v>
      </x:c>
      <x:c r="Q142" s="4" t="str">
        <x:v>Europe</x:v>
      </x:c>
      <x:c r="R142" s="4" t="str">
        <x:v>Included</x:v>
      </x:c>
    </x:row>
    <x:row r="143" ht="162" hidden="0" customHeight="1">
      <x:c r="A143" s="16" t="str">
        <x:v>EU003</x:v>
      </x:c>
      <x:c r="B143" s="4" t="str">
        <x:v>Poland Kuźnica–Bruzgi crossing closure</x:v>
      </x:c>
      <x:c r="C143" s="4" t="str">
        <x:v>Poland; Belarus</x:v>
      </x:c>
      <x:c r="D143" s="4" t="str">
        <x:v>Kuźnica Białostocka–Bruzgi
Single road border crossing</x:v>
      </x:c>
      <x:c r="E143" s="4" t="str">
        <x:v>Passenger and freight traffic
Direction: Both directions
Exceptions: Alternative open crossings initially Terespol and Bobrowniki</x:v>
      </x:c>
      <x:c r="F143" s="4" t="str">
        <x:v>EU003-D1 — Observed operation
Kuźnica passenger-car restriction; freight and coach restrictions are not treated as ended.
Start: 2021-11-09.
Observed scoped reopening: 2025-11-17.
1469 calendar-day difference; scoped endpoint only</x:v>
      </x:c>
      <x:c r="G143" s="4" t="str">
        <x:v>Migration / Entry and asylum control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143" s="4" t="str">
        <x:v>EU003-D1: 17 Nov 2025 is passenger-car reopening only; freight and coaches remained excluded. Do not use as full commercial reopening. Alternative open crossings initially Terespol and Bobrowniki</x:v>
      </x:c>
      <x:c r="I143" s="4" t="str">
        <x:v>Targeted source review (REC50-R22); retained with recorded qualifications; evidence limits retained.</x:v>
      </x:c>
      <x:c r="J143" s="18" t="d">
        <x:v>2026-10-25T00:00:00.000Z</x:v>
      </x:c>
      <x:c r="K143" s="21" t="str">
        <x:f>IFERROR(HYPERLINK("https://www.gov.pl/web/border/suspension-of-border-traffic-in-kuznica","gov.pl"),"gov.pl")</x:f>
        <x:v>gov.pl</x:v>
      </x:c>
      <x:c r="L143" s="21" t="str">
        <x:f>IFERROR(HYPERLINK("https://www.gov.pl/web/uw-podlaski/informacja-w-sprawie-rekompensat-w-zwiazku-z-zawieszeniem-ruchu-na-przejsciach-granicznych","Podlaski Governor"),"Podlaski Governor")</x:f>
        <x:v>Podlaski Governor</x:v>
      </x:c>
      <x:c r="M143" s="21" t="str">
        <x:f>IFERROR(HYPERLINK("https://www.gov.pl/web/kas/przejscia-graniczne-z-bialorusia-w-bobrownikach-i-kuznicy-otwarte","Polish National Revenue Administration (KAS)"),"Polish National Revenue Administration (KAS)")</x:f>
        <x:v>Polish National Revenue Administration (KAS)</x:v>
      </x:c>
      <x:c r="N143" s="4" t="str">
        <x:v>https://www.gov.pl/web/border/suspension-of-border-traffic-in-kuznica
https://www.gov.pl/web/uw-podlaski/informacja-w-sprawie-rekompensat-w-zwiazku-z-zawieszeniem-ruchu-na-przejsciach-granicznych
https://www.gov.pl/web/kas/przejscia-graniczne-z-bialorusia-w-bobrownikach-i-kuznicy-otwarte
https://www.gov.pl/web/uw-podlaski/granica-z-bialorusia-znow-otwarta
https://www.gov.pl/web/gddkia/przejscie-graniczne-w-bobrownikach-bedzie-zamkniete
https://granica.gov.pl/j/index.php/1098-wznowienie-ruchu-na-drogowych-przejsciach-granicznych-z-republika-bialorusi-w-woj-podlaskim
https://granica.gov.pl/j/index.php/komunikaty/1124</x:v>
      </x:c>
      <x:c r="O143" s="4" t="str">
        <x:v>Source 1: full
Source 2: full page
Source 3: full; full text</x:v>
      </x:c>
      <x:c r="P143" s="20" t="n">
        <x:v>1</x:v>
      </x:c>
      <x:c r="Q143" s="4" t="str">
        <x:v>Europe</x:v>
      </x:c>
      <x:c r="R143" s="4" t="str">
        <x:v>Included</x:v>
      </x:c>
    </x:row>
    <x:row r="144" ht="162" hidden="0" customHeight="1">
      <x:c r="A144" s="16" t="str">
        <x:v>EU031</x:v>
      </x:c>
      <x:c r="B144" s="4" t="str">
        <x:v>Ukraine closes listed Russia, Belarus and Transnistrian-segment checkpoints after invasion</x:v>
      </x:c>
      <x:c r="C144" s="4" t="str">
        <x:v>Ukraine; Russia; Belarus; Moldova (Transnistrian segment)</x:v>
      </x:c>
      <x:c r="D144" s="4" t="str">
        <x:v>Includes Milove, Lantrativka, Senkivka, Kuchurhan and other annex entries
Listed crossings under order 188-r; not every Ukrainian frontier</x:v>
      </x:c>
      <x:c r="E144" s="4" t="str">
        <x:v>Ordinary passenger and freight operations at listed checkpoints
Direction: Formal crossing operations both directions; return exemption
Exceptions: Order requires enabling returning Ukrainian citizens; actual humanitarian routes differ over time</x:v>
      </x:c>
      <x:c r="F144" s="4" t="str">
        <x:v>EU031-R1 — Formal policy
Ukrainian formal suspension of road and railway checkpoints listed in order 188-r on Russia, Belarus and Transnistrian frontier, excluding Kuchurhan railway entry 512100; excludes air entries from this land-border phase
Start: 2022-02-28.
Last confirmed: 2023-10-10. Reopening is not established.
Formal policy: confirmed through 2023-10-10; at least 589 calendar-day difference; reopening unknown
EU031-R2 — Formal policy
Kuchurhan international railway checkpoint, annex entry 512100: formal suspension under Order 188-r only
Start: 2022-02-28.
Policy endpoint: 2023-10-10.
Formal policy: 589 calendar-day difference; operational continuity not established</x:v>
      </x:c>
      <x:c r="G144"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x:v>
      </x:c>
      <x:c r="H144" s="4" t="str">
        <x:v>February 28 is formal effect, not first wartime stoppage. October 10 2023 deletion of Kuchurhan railway entry is recorded as a legal subphase endpoint only; no actual reopening or later frontier status inferred.
EU031-R1: Military control, actual passage and exceptions cannot be inferred from the order. Kuchurhan railway deletion is a separate legal phase and is not an observed reopening.
EU031-R2: Deletion from the closure annex is a legal boundary, not observed train service restoration. Returning Ukrainian citizens were subject to the original admission exception. Road Kuchurhan is not covered by this deletion.</x:v>
      </x:c>
      <x:c r="I144" s="4" t="str">
        <x:v>Targeted source review (REC50-R14); retained with recorded qualifications; evidence limits retained.</x:v>
      </x:c>
      <x:c r="J144" s="18" t="d">
        <x:v>2026-10-25T00:00:00.000Z</x:v>
      </x:c>
      <x:c r="K144" s="21" t="str">
        <x:f>IFERROR(HYPERLINK("https://zakon.cc/law/document/read/188-2022-%D1%80","Cabinet of Ministers of Ukraine; text mirrored by zakon.cc"),"Cabinet of Ministers of Ukraine; text mirrored by zakon.cc")</x:f>
        <x:v>Cabinet of Ministers of Ukraine; text mirrored by zakon.cc</x:v>
      </x:c>
      <x:c r="L144" s="21" t="str">
        <x:f>IFERROR(HYPERLINK("https://zakon.cc/law/document/read/920-2023-%D1%80","Cabinet of Ministers of Ukraine; text mirrored by zakon.cc"),"Cabinet of Ministers of Ukraine; text mirrored by zakon.cc")</x:f>
        <x:v>Cabinet of Ministers of Ukraine; text mirrored by zakon.cc</x:v>
      </x:c>
      <x:c r="M144" s="21" t="str">
        <x:f>IFERROR(HYPERLINK("https://zakon.rada.gov.ua/laws/show/188-2022-%D1%80#Text","Cabinet of Ministers of Ukraine / Verkhovna Rada legal database"),"Cabinet of Ministers of Ukraine / Verkhovna Rada legal database")</x:f>
        <x:v>Cabinet of Ministers of Ukraine / Verkhovna Rada legal database</x:v>
      </x:c>
      <x:c r="N144" s="4" t="str">
        <x:v>https://zakon.cc/law/document/read/188-2022-%D1%80
https://zakon.cc/law/document/read/920-2023-%D1%80
https://zakon.rada.gov.ua/laws/show/188-2022-%D1%80#Text
https://www.kmu.gov.ua/news/do-uvahy-ukraintsiv-iaki-evakuiovuiutsia-z-tot-vidnovleno-robotu-humanitarnoho-korydoru-kolotylivka-pokrovka
https://zakon.rada.gov.ua/laws/show/920-2023-%D1%80#Text
https://zakon.rada.gov.ua/laws/show/920-2023-%D1%80
https://customs.gov.ua/news/zagalne-20/post/derzhmitsluzhba-razom-z-moldovskimi-kolegami-zapustila-spilnii-kontrol-u-p-p-kuchurgan-novosavitske-dlia-zaliznichnogo-spoluchennia-1446</x:v>
      </x:c>
      <x:c r="O144" s="4" t="str">
        <x:v>Source 1: full; full text
Source 2: full; full text
Source 3: failed; unavailable</x:v>
      </x:c>
      <x:c r="P144" s="20" t="n">
        <x:v>2</x:v>
      </x:c>
      <x:c r="Q144" s="4" t="str">
        <x:v>Europe</x:v>
      </x:c>
      <x:c r="R144" s="4" t="str">
        <x:v>Included</x:v>
      </x:c>
    </x:row>
    <x:row r="145" ht="162" hidden="0" customHeight="1">
      <x:c r="A145" s="16" t="str">
        <x:v>EU011</x:v>
      </x:c>
      <x:c r="B145" s="4" t="str">
        <x:v>Latvia prohibits Russian short-stay visa holders’ nonessential entry</x:v>
      </x:c>
      <x:c r="C145" s="4" t="str">
        <x:v>Latvia; Russia; Belarus</x:v>
      </x:c>
      <x:c r="D145" s="4" t="str">
        <x:v>External road crossings
External Schengen border, including Russia and Belarus land frontiers</x:v>
      </x:c>
      <x:c r="E145" s="4" t="str">
        <x:v>Russian nationals entering for tourism/leisure/nonessential purposes
Direction: Into Latvia; exit not restricted
Exceptions: Residence and long-stay permissions; qualifying family/humanitarian/transport categories</x:v>
      </x:c>
      <x:c r="F145" s="4" t="str">
        <x:v>EU011-D1 — Formal policy
Latvian policy barring non-essential external-border entry by Russian short-stay visa holders.
Start: 2022-09-19.
Last confirmed: 2025-09-01. Reopening is not established.
Formal policy: confirmed through 2025-09-01; at least 1078 calendar-day difference; reopening unknown</x:v>
      </x:c>
      <x:c r="G145"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Reported reason
Applies to: Recorded episode; exact overlap not separately established
The recorded rationale and claim assessment support the selected subcategories. All applicable broad categories are retained together; no primary rationale is imposed.</x:v>
      </x:c>
      <x:c r="H145" s="4" t="str">
        <x:v>EU011-D1: Policy persistence only, not a physically closed frontier. Exit, residence/long-stay rights and qualifying family, humanitarian and transport categories are excluded. No status after the FAQ's evidence date is inferred.
last_confirmed/continuity: Substantive full retrieval of the dated September 1 2025 FAQ remains unavailable.
source verification: The dated FAQ has only indexed retrieval in the current and historical checks; fresh direct attempts timed out.</x:v>
      </x:c>
      <x:c r="I145" s="4" t="str">
        <x:v>Retained baseline assessment. Retained with recorded qualifications</x:v>
      </x:c>
      <x:c r="J145" s="18" t="d">
        <x:v>2026-10-23T00:00:00.000Z</x:v>
      </x:c>
      <x:c r="K145" s="21" t="str">
        <x:f>IFERROR(HYPERLINK("https://www.mfa.gov.lv/en/article/entry-russian-federation-citizens-republic-latvia-be-restricted","Latvian Ministry of Foreign Affairs"),"Latvian Ministry of Foreign Affairs")</x:f>
        <x:v>Latvian Ministry of Foreign Affairs</x:v>
      </x:c>
      <x:c r="L145" s="21" t="str">
        <x:f>IFERROR(HYPERLINK("https://www.mfa.gov.lv/en/frequently-asked-questions","Latvian Ministry of Foreign Affairs"),"Latvian Ministry of Foreign Affairs")</x:f>
        <x:v>Latvian Ministry of Foreign Affairs</x:v>
      </x:c>
      <x:c r="M145" s="21" t="str">
        <x:f>IFERROR(HYPERLINK("https://www.rs.gov.lv/en/article/entry-citizens-russian-federation-restricted-external-border","rs.gov.lv"),"rs.gov.lv")</x:f>
        <x:v>rs.gov.lv</x:v>
      </x:c>
      <x:c r="N145" s="4" t="str">
        <x:v>https://www.mfa.gov.lv/en/article/entry-russian-federation-citizens-republic-latvia-be-restricted
https://www.mfa.gov.lv/en/frequently-asked-questions
https://www.rs.gov.lv/en/article/entry-citizens-russian-federation-restricted-external-border
https://www.mfa.gov.lv/en/entry-latvia-citizens-russian-federation-and-frequently-asked-questions
https://www.mfa.gov.lv/en/article/cabinet-extends-period-restrictions-entry-russian-citizens-latvia
https://likumi.lv/ta/en/en/id/335394</x:v>
      </x:c>
      <x:c r="O145" s="4" t="str">
        <x:v>Source 1: search extract
Source 2: search extract
Source 3: access detail is retained in the source catalogue.</x:v>
      </x:c>
      <x:c r="P145" s="20" t="n">
        <x:v>1</x:v>
      </x:c>
      <x:c r="Q145" s="4" t="str">
        <x:v>Europe</x:v>
      </x:c>
      <x:c r="R145" s="4" t="str">
        <x:v>Included</x:v>
      </x:c>
    </x:row>
    <x:row r="146" ht="246" hidden="0" customHeight="1">
      <x:c r="A146" s="16" t="str">
        <x:v>EU035</x:v>
      </x:c>
      <x:c r="B146" s="4" t="str">
        <x:v>Estonia prohibits Russian short-stay visa holders’ nonessential entry</x:v>
      </x:c>
      <x:c r="C146" s="4" t="str">
        <x:v>Estonia; Russia</x:v>
      </x:c>
      <x:c r="D146" s="4" t="str">
        <x:v>Narva, Luhamaa, Koidula and other external routes
External Schengen entry, land component</x:v>
      </x:c>
      <x:c r="E146" s="4" t="str">
        <x:v>Russian short-stay visa holders seeking tourism/sports/culture and nonexempt visits/transit
Direction: Into Estonia
Exceptions: Qualifying family, registered work/study, diplomats, transport crews, humanitarian cases; long-term visas</x:v>
      </x:c>
      <x:c r="F146" s="4" t="str">
        <x:v>EU035-R1 — Formal policy
Original wording of Estonian Order 247 restricting Russian short-stay-visa holders entering across the external border, subject to its listed exceptions
Start: 2022-09-19.
Policy endpoint: 2026-01-25.
Formal policy: 1224 calendar-day difference; operational continuity not established
EU035-R2 — Formal policy
Earlier Estonian external-border entry restriction on Russian citizens using Estonia-issued visas for tourism, business, sport or culture, subject to permitted exceptions
Start: 2022-08-18.
Policy endpoint: 2022-09-19.
Formal policy: 32 calendar-day difference; operational continuity not established
EU035-C7P1 — Formal policy
Amended Estonian Russian-national external-border entry regime under Order247, including changed diplomatic exceptions
Start: 2026-01-25.
Last confirmed: 2026-01-25. Reopening is not established.
Formal policy: dated evidence; numeric duration withheld; see qualification</x:v>
      </x:c>
      <x:c r="G146"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Reported reason
Applies to: Recorded episode; exact overlap not separately established
The recorded rationale and claim assessment support the selected subcategories. All applicable broad categories are retained together; no primary rationale is imposed.</x:v>
      </x:c>
      <x:c r="H146" s="4" t="str">
        <x:v>Earlier August 18 Estonia-issued-visa entry restriction is now documented as a separate legal phase; September 19 expansion and January 25 2026 amendment boundaries are not reopenings. Later operational status remains unestablished.
EU035-R1: 25 January is a legal amendment boundary. Restriction continued; no claim that all Russian travel stopped or reopened on this date. Consolidated amendment text was indexed-only.
EU035-R2: September 19 is transition to broader entry restrictions, not reopening. Visa-issuance-only measures from April and July excluded. No continuous physical closure of named crossings inferred.
EU035-C7P1: Legal successor only; no later observed enforcement endpoint or unrestricted restoration established. The amendment narrows exceptions rather than ending the restriction.</x:v>
      </x:c>
      <x:c r="I146" s="4" t="str">
        <x:v>Full-record source audit (REC50-R25); retained with recorded qualifications; evidence limits retained.</x:v>
      </x:c>
      <x:c r="J146" s="18" t="d">
        <x:v>2026-10-25T00:00:00.000Z</x:v>
      </x:c>
      <x:c r="K146" s="21" t="str">
        <x:f>IFERROR(HYPERLINK("https://kriis.ee/sites/default/files/documents/2022-09/VV%20korraldus%20nr%20247_EN.pdf","Estonian Government / kriis.ee"),"Estonian Government / kriis.ee")</x:f>
        <x:v>Estonian Government / kriis.ee</x:v>
      </x:c>
      <x:c r="L146" s="21" t="str">
        <x:f>IFERROR(HYPERLINK("https://www.riigiteataja.ee/en/tolge/pdf/529012026002","Estonian Government / Riigi Teataja"),"Estonian Government / Riigi Teataja")</x:f>
        <x:v>Estonian Government / Riigi Teataja</x:v>
      </x:c>
      <x:c r="M146" s="21" t="str">
        <x:f>IFERROR(HYPERLINK("https://www.siseministeerium.ee/en/news/estonia-maintains-strict-visa-restrictions-russian-citizens","Estonian Interior Ministry"),"Estonian Interior Ministry")</x:f>
        <x:v>Estonian Interior Ministry</x:v>
      </x:c>
      <x:c r="N146" s="4" t="str">
        <x:v>https://kriis.ee/sites/default/files/documents/2022-09/VV%20korraldus%20nr%20247_EN.pdf
https://www.riigiteataja.ee/en/tolge/pdf/529012026002
https://www.siseministeerium.ee/en/news/estonia-maintains-strict-visa-restrictions-russian-citizens
https://www.riigiteataja.ee/akt/323012026003
https://news.err.ee/1609918607/estonia-tightens-border-crossing-rules-for-russian-diplomats
https://www.riigiteataja.ee/en/eli/529012026002/consolide
https://www.kriis.ee/en/travelling-crossing-state-border/travelling-estonia/visas-russian-citizens</x:v>
      </x:c>
      <x:c r="O146" s="4" t="str">
        <x:v>Source 1: full; full text
Source 2: indexed excerpt; indexed extract
Source 3: full text</x:v>
      </x:c>
      <x:c r="P146" s="20" t="n">
        <x:v>3</x:v>
      </x:c>
      <x:c r="Q146" s="4" t="str">
        <x:v>Europe</x:v>
      </x:c>
      <x:c r="R146" s="4" t="str">
        <x:v>Included</x:v>
      </x:c>
    </x:row>
    <x:row r="147" ht="162" hidden="0" customHeight="1">
      <x:c r="A147" s="16" t="str">
        <x:v>EU036</x:v>
      </x:c>
      <x:c r="B147" s="4" t="str">
        <x:v>Poland restricts Russian nationals’ nonessential external-border entry</x:v>
      </x:c>
      <x:c r="C147" s="4" t="str">
        <x:v>Poland; Russia; Belarus; Ukraine</x:v>
      </x:c>
      <x:c r="D147" s="4" t="str">
        <x:v>External land crossings
External border nationality/purpose prohibition; land component</x:v>
      </x:c>
      <x:c r="E147" s="4" t="str">
        <x:v>Russian nationals travelling for business/sport/tourism/culture
Direction: Into Poland
Exceptions: Previously agreed legitimate exceptions and case-by-case Border Guard authorisation</x:v>
      </x:c>
      <x:c r="F147" s="4" t="str">
        <x:v>EU036-R1 — Formal policy
Entry into Poland across Schengen external road and rail border crossings by Russian citizens outside the operative section 3a exceptions
Start: 2022-09-19.
Last confirmed: 2024-07-19. Reopening is not established.
Formal policy: confirmed through 2024-07-19; at least 669 calendar-day difference; reopening unknown</x:v>
      </x:c>
      <x:c r="G147"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Reported reason
Applies to: Recorded episode; exact overlap not separately established
The recorded rationale and claim assessment support the selected subcategories. All applicable broad categories are retained together; no primary rationale is imposed.</x:v>
      </x:c>
      <x:c r="H147" s="4" t="str">
        <x:v>EU036-R1: Formal restriction confirmed through July 19, 2024, not an end date. Applies at Schengen external crossings; section 3a(2) specifies exceptions by cross-reference and conditions. Excludes air/sea before September 26, 2022 and separate physical checkpoint closures.</x:v>
      </x:c>
      <x:c r="I147" s="4" t="str">
        <x:v>Retained baseline assessment. Retained with recorded qualifications</x:v>
      </x:c>
      <x:c r="J147" s="18" t="d">
        <x:v>2026-10-23T00:00:00.000Z</x:v>
      </x:c>
      <x:c r="K147" s="21" t="str">
        <x:f>IFERROR(HYPERLINK("https://www.strazgraniczna.pl/pl/cudzoziemcy/obowiazujace-ograniczenia/13494,EN-RUSSIA-RESTRICTIONS-AGAINST-RUSSIAN-CITIZENS.html","Polish Border Guard"),"Polish Border Guard")</x:f>
        <x:v>Polish Border Guard</x:v>
      </x:c>
      <x:c r="L147" s="21" t="str">
        <x:f>IFERROR(HYPERLINK("https://eli.gov.pl/api/acts/DU/2023/1403/text.html","Polish official legal publication"),"Polish official legal publication")</x:f>
        <x:v>Polish official legal publication</x:v>
      </x:c>
      <x:c r="M147" s="21" t="str">
        <x:f>IFERROR(HYPERLINK("https://www.pap.pl/en/news/news%2C1434006%2Crussians-refused-entry-poland.html","pap.pl"),"pap.pl")</x:f>
        <x:v>pap.pl</x:v>
      </x:c>
      <x:c r="N147" s="4" t="str">
        <x:v>https://www.strazgraniczna.pl/pl/cudzoziemcy/obowiazujace-ograniczenia/13494,EN-RUSSIA-RESTRICTIONS-AGAINST-RUSSIAN-CITIZENS.html
https://eli.gov.pl/api/acts/DU/2023/1403/text.html
https://www.pap.pl/en/news/news%2C1434006%2Crussians-refused-entry-poland.html
https://www.gov.pl/web/mswia/komunikat-w-sprawie-ograniczen-wjazdu-na-terytorium-rp-dla-obywateli-federacji-rosyjskiej
https://www.strazgraniczna.pl/pl/cudzoziemcy/obowiazujace-ograniczenia/13494%2CEN-RUSSIA-RESTRICTIONS-AGAINST-RUSSIAN-CITIZENS.html</x:v>
      </x:c>
      <x:c r="O147" s="4" t="str">
        <x:v>Source 1: full
Source 2: indexed excerpt; full
Source 3: failed</x:v>
      </x:c>
      <x:c r="P147" s="20" t="n">
        <x:v>1</x:v>
      </x:c>
      <x:c r="Q147" s="4" t="str">
        <x:v>Europe</x:v>
      </x:c>
      <x:c r="R147" s="4" t="str">
        <x:v>Included</x:v>
      </x:c>
    </x:row>
    <x:row r="148" ht="162" hidden="0" customHeight="1">
      <x:c r="A148" s="16" t="str">
        <x:v>EU037</x:v>
      </x:c>
      <x:c r="B148" s="4" t="str">
        <x:v>Finland prohibits Russian tourism and related transit</x:v>
      </x:c>
      <x:c r="C148" s="4" t="str">
        <x:v>Finland; Russia</x:v>
      </x:c>
      <x:c r="D148" s="4" t="str">
        <x:v>Finland–Russia road crossings
Entry-purpose prohibition including eastern land frontier</x:v>
      </x:c>
      <x:c r="E148" s="4" t="str">
        <x:v>Russian tourist arrivals and tourism-related transit
Direction: Into Finland
Exceptions: Humanitarian, national-interest and international-obligation travel</x:v>
      </x:c>
      <x:c r="F148" s="4" t="str">
        <x:v>EU037-R1 — Formal policy
Original Finnish resolution restricting Russian tourism into Finland and tourism transit through Finland
Start: 2022-09-30.
Policy endpoint: 2023-07-10.
Formal policy: 283 calendar-day difference; operational continuity not established
EU037-C7P1 — Formal policy
Successor Finnish prohibition of nonessential Russian travel and tourism transit
Start: 2023-07-10.
Last confirmed: 2025-09-10. Reopening is not established.
Formal policy: confirmed through 2025-09-10; at least 793 calendar-day difference; reopening unknown</x:v>
      </x:c>
      <x:c r="G148" s="4" t="str">
        <x:v>Security / Unspecified security
Reported reason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Reported reason
Applies to: Recorded episode; exact overlap not separately established
The recorded rationale and claim assessment support the selected subcategories. All applicable broad categories are retained together; no primary rationale is imposed.</x:v>
      </x:c>
      <x:c r="H148" s="4" t="str">
        <x:v>EU037-R1: Boundary is replacement/tightening, not tourism reopening. Separate November 2023 physical road closures are not merged. Initial source indexed-only.
EU037-C7P1: Formal rule with exceptions and later physical-road restrictions kept separate. Evidence ends at the dated notice, not at a reopening.</x:v>
      </x:c>
      <x:c r="I148" s="4" t="str">
        <x:v>Retained baseline assessment. Retained with recorded qualifications</x:v>
      </x:c>
      <x:c r="J148" s="18" t="d">
        <x:v>2026-10-23T00:00:00.000Z</x:v>
      </x:c>
      <x:c r="K148" s="21" t="str">
        <x:f>IFERROR(HYPERLINK("https://valtioneuvosto.fi/en/-/10184/finnish-government-issues-a-resolution-to-strongly-restrict-entry-of-russian-tourists-into-finland","Finnish Government"),"Finnish Government")</x:f>
        <x:v>Finnish Government</x:v>
      </x:c>
      <x:c r="L148" s="21" t="str">
        <x:f>IFERROR(HYPERLINK("https://valtioneuvosto.fi/en/-/10184/finland-continues-to-impose-travel-restrictions-on-russian-citizens","Finnish Ministry for Foreign Affairs"),"Finnish Ministry for Foreign Affairs")</x:f>
        <x:v>Finnish Ministry for Foreign Affairs</x:v>
      </x:c>
      <x:c r="M148" s="21" t="str">
        <x:f>IFERROR(HYPERLINK("https://finlandabroad.fi/web/cyp/current-affairs/-/asset_publisher/h5w4iTUJhNne/content/finland-significantly-restricts-the-non-essential-travel-of-russian-citizens/384951","finlandabroad.fi"),"finlandabroad.fi")</x:f>
        <x:v>finlandabroad.fi</x:v>
      </x:c>
      <x:c r="N148" s="4" t="str">
        <x:v>https://valtioneuvosto.fi/en/-/10184/finnish-government-issues-a-resolution-to-strongly-restrict-entry-of-russian-tourists-into-finland
https://valtioneuvosto.fi/en/-/10184/finland-continues-to-impose-travel-restrictions-on-russian-citizens
https://finlandabroad.fi/web/cyp/current-affairs/-/asset_publisher/h5w4iTUJhNne/content/finland-significantly-restricts-the-non-essential-travel-of-russian-citizens/384951
https://www.sttinfo.fi/tiedote/69952906/finnish-government-issues-a-resolution-to-strongly-restrict-entry-of-russian-tourists-into-finland?publisherId=1797
https://um.fi/press-releases/-/asset_publisher/ued5t2wDmr1C/content/suomi-jatkaa-venajan-kansalaisten-matkustusrajoituksia/
https://um.fi/current-affairs/-/asset_publisher/gc654PySnjTX/content/finnish-government-issues-a-resolution-to-strongly-restrict-entry-of-russian-tourists-into-finland</x:v>
      </x:c>
      <x:c r="O148" s="4" t="str">
        <x:v>Source 1: indexed excerpt; failed
Source 2: full; failed; indexed excerpt
Source 3: access detail is retained in the source catalogue.</x:v>
      </x:c>
      <x:c r="P148" s="20" t="n">
        <x:v>2</x:v>
      </x:c>
      <x:c r="Q148" s="4" t="str">
        <x:v>Europe</x:v>
      </x:c>
      <x:c r="R148" s="4" t="str">
        <x:v>Included</x:v>
      </x:c>
    </x:row>
    <x:row r="149" ht="162" hidden="0" customHeight="1">
      <x:c r="A149" s="16" t="str">
        <x:v>EU004</x:v>
      </x:c>
      <x:c r="B149" s="4" t="str">
        <x:v>Poland Bobrowniki–Bierestowica crossing closure</x:v>
      </x:c>
      <x:c r="C149" s="4" t="str">
        <x:v>Poland; Belarus</x:v>
      </x:c>
      <x:c r="D149" s="4" t="str">
        <x:v>Bobrowniki–Bierestowica
Single road border crossing</x:v>
      </x:c>
      <x:c r="E149" s="4" t="str">
        <x:v>Passenger and road goods movement
Direction: Both directions
Exceptions: Alternative operational posts; reopened freight eligible only EU/EFTA/Swiss-registered trucks</x:v>
      </x:c>
      <x:c r="F149" s="4" t="str">
        <x:v>EU004-D1 — Observed operation
Bobrowniki passenger and eligible-goods restriction; remaining exclusions continue beyond this endpoint.
Start: 2023-02-10.
Observed scoped reopening: 2025-11-17.
1011 calendar-day difference; scoped endpoint only</x:v>
      </x:c>
      <x:c r="G149" s="4" t="str">
        <x:v>Security / Unspecified security
Attributed official justification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Attributed official justification
Applies to: Recorded episode; exact overlap not separately established
The recorded rationale and claim assessment support the selected subcategories. All applicable broad categories are retained together; no primary rationale is imposed.</x:v>
      </x:c>
      <x:c r="H149" s="4" t="str">
        <x:v>EU004-D1: Full February closure versus selective November reopening; political context attributed to minister, not inferred sole cause. Alternative operational posts; reopened freight eligible only EU/EFTA/Swiss-registered trucks</x:v>
      </x:c>
      <x:c r="I149" s="4" t="str">
        <x:v>Retained baseline assessment. Retained with recorded qualifications</x:v>
      </x:c>
      <x:c r="J149" s="18" t="d">
        <x:v>2026-10-23T00:00:00.000Z</x:v>
      </x:c>
      <x:c r="K149" s="21" t="str">
        <x:f>IFERROR(HYPERLINK("https://www.gov.pl/web/mswia/komunikat-ministra-spraw-wewnetrznych-i-administracji-mariusza-kaminskiego","Polish Ministry of Interior"),"Polish Ministry of Interior")</x:f>
        <x:v>Polish Ministry of Interior</x:v>
      </x:c>
      <x:c r="L149" s="21" t="str">
        <x:f>IFERROR(HYPERLINK("https://www.gov.pl/web/uw-podlaski/informacja-w-sprawie-rekompensat-w-zwiazku-z-zawieszeniem-ruchu-na-przejsciach-granicznych","Podlaski Governor"),"Podlaski Governor")</x:f>
        <x:v>Podlaski Governor</x:v>
      </x:c>
      <x:c r="M149" s="21" t="str">
        <x:f>IFERROR(HYPERLINK("https://www.gov.pl/web/kas/przejscia-graniczne-z-bialorusia-w-bobrownikach-i-kuznicy-otwarte","Polish National Revenue Administration"),"Polish National Revenue Administration")</x:f>
        <x:v>Polish National Revenue Administration</x:v>
      </x:c>
      <x:c r="N149" s="4" t="str">
        <x:v>https://www.gov.pl/web/mswia/komunikat-ministra-spraw-wewnetrznych-i-administracji-mariusza-kaminskiego
https://www.gov.pl/web/uw-podlaski/informacja-w-sprawie-rekompensat-w-zwiazku-z-zawieszeniem-ruchu-na-przejsciach-granicznych
https://www.gov.pl/web/kas/przejscia-graniczne-z-bialorusia-w-bobrownikach-i-kuznicy-otwarte
https://www.gov.pl/web/gddkia/przejscie-graniczne-w-bobrownikach-bedzie-zamkniete
https://granica.gov.pl/j/index.php/1098-wznowienie-ruchu-na-drogowych-przejsciach-granicznych-z-republika-bialorusi-w-woj-podlaskim
https://www.rte.ie/news/2023/0210/1355815-poland-belarus/</x:v>
      </x:c>
      <x:c r="O149" s="4" t="str">
        <x:v>Source 1: search extract
Source 2: full page
Source 3: full page</x:v>
      </x:c>
      <x:c r="P149" s="20" t="n">
        <x:v>1</x:v>
      </x:c>
      <x:c r="Q149" s="4" t="str">
        <x:v>Europe</x:v>
      </x:c>
      <x:c r="R149" s="4" t="str">
        <x:v>Included</x:v>
      </x:c>
    </x:row>
    <x:row r="150" ht="138" hidden="0" customHeight="1">
      <x:c r="A150" s="16" t="str">
        <x:v>EU006</x:v>
      </x:c>
      <x:c r="B150" s="4" t="str">
        <x:v>Lithuania closes Šumskas and Tverečius crossings</x:v>
      </x:c>
      <x:c r="C150" s="4" t="str">
        <x:v>Lithuania; Belarus</x:v>
      </x:c>
      <x:c r="D150" s="4" t="str">
        <x:v>Šumskas; Tverečius
Two of six road crossings</x:v>
      </x:c>
      <x:c r="E150" s="4" t="str">
        <x:v>Traffic normally permitted at these posts
Direction: Both directions
Exceptions: Other four road crossings remained available at onset</x:v>
      </x:c>
      <x:c r="F150" s="4" t="str">
        <x:v>EU006-D1 — Observed operation
Operation of Lithuania's Sumskas and Tverecius road crossings, through October 30 2025 retrospective confirmation.
Start: 2023-08-18.
Last confirmed: 2025-10-30. Reopening is not established.
confirmed through 2025-10-30; at least 804 calendar-day difference; reopening unknown</x:v>
      </x:c>
      <x:c r="G150" s="4" t="str">
        <x:v>Security / Armed conflict and military confrontation
Attributed official justification
Applies to: August 2023 closure
Minister links closure to Wagner relocation and provocation risks.
Security / Smuggling and illicit trafficking
Attributed official justification
Applies to: August 2023 closure and traffic concentration
Government identifies expected anti-smuggling benefit of routing traffic through X-ray-equipped Medininkai; secondary consideration, not sole cause.</x:v>
      </x:c>
      <x:c r="H150" s="4" t="str">
        <x:v>No reopening located; later OSW retrospective confirms these two crossings remained closed on October 30 2025. No 2026 status inferred.
EU006-D1: October 30 is last confirmation, not reopening or proof of status through 2026. Other crossings remained available and exceptional movements are not comprehensively enumerated.</x:v>
      </x:c>
      <x:c r="I150" s="4" t="str">
        <x:v>Retained baseline assessment. Amended after source reconciliation</x:v>
      </x:c>
      <x:c r="J150" s="18" t="d">
        <x:v>2026-10-23T00:00:00.000Z</x:v>
      </x:c>
      <x:c r="K150" s="21" t="str">
        <x:f>IFERROR(HYPERLINK("https://vrm.lrv.lt/lt/naujienos/uzdaromi-sumsko-ir-tvereciaus-pasienio-kontroles-punktai/","Lithuanian Ministry of Interior"),"Lithuanian Ministry of Interior")</x:f>
        <x:v>Lithuanian Ministry of Interior</x:v>
      </x:c>
      <x:c r="L150" s="21" t="str">
        <x:f>IFERROR(HYPERLINK("https://vrm.lrv.lt/en/news/the-operation-of-the-lavoriskes-and-raigardas-border-crossing-points-will-be-terminated-from-1-march/","Lithuanian Ministry of Interior"),"Lithuanian Ministry of Interior")</x:f>
        <x:v>Lithuanian Ministry of Interior</x:v>
      </x:c>
      <x:c r="M150" s="21" t="str">
        <x:f>IFERROR(HYPERLINK("https://lrv.lt/en/news/lithuania-to-temporary-close-two-border-checkpoints-with-belarus-on-friday/","lrv.lt"),"lrv.lt")</x:f>
        <x:v>lrv.lt</x:v>
      </x:c>
      <x:c r="N150" s="4" t="str">
        <x:v>https://vrm.lrv.lt/lt/naujienos/uzdaromi-sumsko-ir-tvereciaus-pasienio-kontroles-punktai/
https://vrm.lrv.lt/en/news/the-operation-of-the-lavoriskes-and-raigardas-border-crossing-points-will-be-terminated-from-1-march/
https://lrv.lt/en/news/lithuania-to-temporary-close-two-border-checkpoints-with-belarus-on-friday/
https://www.osw.waw.pl/en/publikacje/analyses/2025-10-30/lithuania-closes-its-border-belarus-a-month?page=1</x:v>
      </x:c>
      <x:c r="O150" s="4" t="str">
        <x:v>Source 1: full page
Source 2: full page
Source 3: access detail is retained in the source catalogue.</x:v>
      </x:c>
      <x:c r="P150" s="20" t="n">
        <x:v>1</x:v>
      </x:c>
      <x:c r="Q150" s="4" t="str">
        <x:v>Europe</x:v>
      </x:c>
      <x:c r="R150" s="4" t="str">
        <x:v>Included</x:v>
      </x:c>
    </x:row>
    <x:row r="151" ht="138" hidden="0" customHeight="1">
      <x:c r="A151" s="16" t="str">
        <x:v>EU008</x:v>
      </x:c>
      <x:c r="B151" s="4" t="str">
        <x:v>Latvia suspends Silene crossing</x:v>
      </x:c>
      <x:c r="C151" s="4" t="str">
        <x:v>Latvia; Belarus</x:v>
      </x:c>
      <x:c r="D151" s="4" t="str">
        <x:v>Silene
Single road crossing</x:v>
      </x:c>
      <x:c r="E151" s="4" t="str">
        <x:v>Passengers, imports, exports and transit goods
Direction: Both directions
Exceptions: Pāternieki remained operational</x:v>
      </x:c>
      <x:c r="F151" s="4" t="str">
        <x:v>EU008-D1 — Observed operation
Ordinary passenger and goods operation of Silene, through the dated transport-ministry confirmation.
Start: 2023-09-19.
Last confirmed: 2026-08-11. Reopening is not established.
confirmed through 2026-08-11; at least 1057 calendar-day difference; reopening unknown</x:v>
      </x:c>
      <x:c r="G151" s="4" t="str">
        <x:v>Migration / Entry and asylum control
Attributed official justification
Applies to: September 2023 closure
High irregular-entry attempts and need to redeploy officers to green border explicitly motivate suspension.
Security / Espionage and hostile interference
Attributed official justification
Applies to: September 2023 closure
Ministry identifies Belarus efforts to destabilise the frontier as an additional risk; not independently established here.</x:v>
      </x:c>
      <x:c r="H151" s="4" t="str">
        <x:v>EU008-D1: This is evidence-dated persistence of Silene's closure, not a claim of impenetrable border enforcement. Pāternieki's separate July 2026 interruption is not merged. No later status or reopening is inferred.</x:v>
      </x:c>
      <x:c r="I151" s="4" t="str">
        <x:v>Retained baseline assessment. Amended after source reconciliation</x:v>
      </x:c>
      <x:c r="J151" s="18" t="d">
        <x:v>2026-10-23T00:00:00.000Z</x:v>
      </x:c>
      <x:c r="K151" s="21" t="str">
        <x:f>IFERROR(HYPERLINK("https://www.vid.gov.lv/en/article/operation-silene-border-crossing-point-halted-19-september-2023","Latvian State Revenue Service"),"Latvian State Revenue Service")</x:f>
        <x:v>Latvian State Revenue Service</x:v>
      </x:c>
      <x:c r="L151" s="21" t="str">
        <x:f>IFERROR(HYPERLINK("https://www.sam.gov.lv/lv/jaunums/elektroniska-rindas-rezervacijas-sistema-pie-latvijas-arejas-robezas-devusi-pirmos-rezultatus-noversot-kravas-auto-rindas","Latvian Ministry of Transport"),"Latvian Ministry of Transport")</x:f>
        <x:v>Latvian Ministry of Transport</x:v>
      </x:c>
      <x:c r="M151" s="21" t="str">
        <x:f>IFERROR(HYPERLINK("https://www.reuters.com/world/latvia-closes-border-with-belarus-interior-minister-says-2026-07-31/","reuters.com"),"reuters.com")</x:f>
        <x:v>reuters.com</x:v>
      </x:c>
      <x:c r="N151" s="4" t="str">
        <x:v>https://www.vid.gov.lv/en/article/operation-silene-border-crossing-point-halted-19-september-2023
https://www.sam.gov.lv/lv/jaunums/elektroniska-rindas-rezervacijas-sistema-pie-latvijas-arejas-robezas-devusi-pirmos-rezultatus-noversot-kravas-auto-rindas
https://www.reuters.com/world/latvia-closes-border-with-belarus-interior-minister-says-2026-07-31/
https://www.iem.gov.lv/en/article/government-supports-closure-silene-border-crossing-point-belarus
https://www.iem.gov.lv/lv/jaunums/valdiba-atbalsta-silenes-robezskersosanas-vietas-slegsanu-ar-baltkrieviju
https://www.mk.gov.lv/en/article/government-decides-not-reinstate-operation-silene-border-crossing-point
https://www.vestnesis.lv/op/2026/157.8</x:v>
      </x:c>
      <x:c r="O151" s="4" t="str">
        <x:v>Source 1: full page
Source 2: full page
Source 3: access detail is retained in the source catalogue.</x:v>
      </x:c>
      <x:c r="P151" s="20" t="n">
        <x:v>1</x:v>
      </x:c>
      <x:c r="Q151" s="4" t="str">
        <x:v>Europe</x:v>
      </x:c>
      <x:c r="R151" s="4" t="str">
        <x:v>Included</x:v>
      </x:c>
    </x:row>
    <x:row r="152" ht="282" hidden="0" customHeight="1">
      <x:c r="A152" s="16" t="str">
        <x:v>EU001</x:v>
      </x:c>
      <x:c r="B152" s="4" t="str">
        <x:v>Finland staged closure of eastern road crossings, November–December 2023</x:v>
      </x:c>
      <x:c r="C152" s="4" t="str">
        <x:v>Finland; Russia</x:v>
      </x:c>
      <x:c r="D152" s="4" t="str">
        <x:v>Vaalimaa; Nuijamaa; Imatra; Niirala; Kuusamo; Salla; Vartius; Raja-Jooseppi
Road border crossings, progressively all eight</x:v>
      </x:c>
      <x:c r="E152" s="4" t="str">
        <x:v>Passenger and road goods movement at closed posts
Direction: Both directions
Exceptions: Vainikkala freight railway; road posts still open during staged onset</x:v>
      </x:c>
      <x:c r="F152" s="4" t="str">
        <x:v>EU001-D1 — Observed operation
Finland's Vaalimaa and Niirala road crossings, to their temporary December 14 reopening.
Start: 2023-11-18.
Observed scoped reopening: 2023-12-14.
26 calendar-day difference; scoped endpoint only
EU001-C7P1 — Formal policy
Finnish road-post closure at Imatra, Nuijamaa
Start: 2023-11-18.
Policy endpoint: 2023-12-15.
Formal policy: 27 calendar-day difference; operational continuity not established
EU001-C7P2 — Formal policy
Finnish road-post closure at Kuusamo, Salla, Vartius
Start: 2023-11-24.
Policy endpoint: 2023-12-15.
Formal policy: 21 calendar-day difference; operational continuity not established
EU001-C7P3 — Formal policy
Finnish road-post closure at Raja-Jooseppi
Start: 2023-11-30.
Policy endpoint: 2023-12-15.
Formal policy: 15 calendar-day difference; operational continuity not established</x:v>
      </x:c>
      <x:c r="G152" s="4" t="str">
        <x:v>Migration / Entry and asylum control
Attributed official justification
Applies to: Recorded episode; exact overlap not separately established
The recorded rationale and claim assessment support the selected subcategories. All applicable broad categories are retained together; no primary rationale is imposed.
Security / Espionage and hostile interference
Attributed official justification
Applies to: Recorded episode; exact overlap not separately established
The recorded rationale and claim assessment support the selected subcategories. All applicable broad categories are retained together; no primary rationale is imposed.</x:v>
      </x:c>
      <x:c r="H152" s="4" t="str">
        <x:v>EU001-D1: The other six posts have different start/end histories. Vainikkala freight rail continued. The renewed December 15 closure is a separate episode and must not be bridged across the temporary opening.
EU001-C7P1: December15 is only a legal handoff to EU002, not reopening. These posts did not share the December14 opening at Vaalimaa/Niirala; freight rail remains excluded.
EU001-C7P2: December15 is only a legal handoff to EU002, not reopening. These posts did not share the December14 opening at Vaalimaa/Niirala; freight rail remains excluded.
EU001-C7P3: December15 is only a legal handoff to EU002, not reopening. These posts did not share the December14 opening at Vaalimaa/Niirala; freight rail remains excluded.
Fresh retrieval of actual passage at both posts: A fresh full-body account of actual passage at both posts was not recovered within the fixed budget. Existing historical source findings are preserved; access failure is not evidence that the endpoint is false.</x:v>
      </x:c>
      <x:c r="I152" s="4" t="str">
        <x:v>Targeted source review (REC50-R22); completed with unresolved evidence; evidence limits retained.</x:v>
      </x:c>
      <x:c r="J152" s="18" t="d">
        <x:v>2026-10-25T00:00:00.000Z</x:v>
      </x:c>
      <x:c r="K152" s="21" t="str">
        <x:f>IFERROR(HYPERLINK("https://valtioneuvosto.fi/en/situation-at-finlands-eastern-border?embed=true","Finnish Government"),"Finnish Government")</x:f>
        <x:v>Finnish Government</x:v>
      </x:c>
      <x:c r="L152" s="21" t="str">
        <x:f>IFERROR(HYPERLINK("https://valtioneuvosto.fi/-/1410869/koko-suomen-itaraja-suljetaan-uudelleen?languageId=en_US","Finnish Ministry of the Interior"),"Finnish Ministry of the Interior")</x:f>
        <x:v>Finnish Ministry of the Interior</x:v>
      </x:c>
      <x:c r="M152" s="21" t="str">
        <x:f>IFERROR(HYPERLINK("https://valtioneuvosto.fi/en/-/2912305/the-temporary-traffic-restrictions-at-the-eastern-border-to-continue-vaalimaa-and-niirala-will-open-on-14-december-2023","Finnish Customs / Finnish Government portal"),"Finnish Customs / Finnish Government portal")</x:f>
        <x:v>Finnish Customs / Finnish Government portal</x:v>
      </x:c>
      <x:c r="N152" s="4" t="str">
        <x:v>https://valtioneuvosto.fi/en/situation-at-finlands-eastern-border?embed=true
https://valtioneuvosto.fi/-/1410869/koko-suomen-itaraja-suljetaan-uudelleen?languageId=en_US
https://valtioneuvosto.fi/en/-/2912305/the-temporary-traffic-restrictions-at-the-eastern-border-to-continue-vaalimaa-and-niirala-will-open-on-14-december-2023
https://valtioneuvosto.fi/en/-/10616/government-decides-to-close-the-border-in-southeast-finland
https://valtioneuvosto.fi/en/-/162752825/all-border-crossing-points-for-road-traffic-at-the-eastern-border-closed-again-as-of-20.00-on-15-december
https://valtioneuvosto.fi/en/-/2912305/the-border-crossing-points-of-kuusamo-salla-and-vartius-at-the-eastern-border-will-be-closing-on-24-november-2023-border-crossings-will-be-centralised-at-raja-jooseppi
https://valtioneuvosto.fi/-/44957406/valtioneuvosto-koko-suomen-itaraja-suljetaan?languageId=en_US
https://valtioneuvosto.fi/en/-/2912305/border-crossing-points-of-vaalimaa-nuijamaa-imatra-and-niirala-are-closed-as-of-18-november-2023
https://valtioneuvosto.fi/en/-/2912305/traffic-across-the-eastern-border-to-end-temporarily-as-of-30-november-2023
https://www.ruokavirasto.fi/en/themes/import-and-export/uutiset/border-checks-of-animals-animal-products-and-plants-are-now-conducted-normally-in-vaalimaa-and-niirala/
https://valtioneuvosto.fi/suomen-itarajan-tilanne</x:v>
      </x:c>
      <x:c r="O152" s="4" t="str">
        <x:v>Source 1: search extract
Source 2: partial metadata
Source 3: indexed extract</x:v>
      </x:c>
      <x:c r="P152" s="20" t="n">
        <x:v>4</x:v>
      </x:c>
      <x:c r="Q152" s="4" t="str">
        <x:v>Europe</x:v>
      </x:c>
      <x:c r="R152" s="4" t="str">
        <x:v>Included</x:v>
      </x:c>
    </x:row>
    <x:row r="153" ht="162" hidden="0" customHeight="1">
      <x:c r="A153" s="16" t="str">
        <x:v>EU002</x:v>
      </x:c>
      <x:c r="B153" s="4" t="str">
        <x:v>Finland renewed full road-crossing closure with Russia</x:v>
      </x:c>
      <x:c r="C153" s="4" t="str">
        <x:v>Finland; Russia</x:v>
      </x:c>
      <x:c r="D153" s="4" t="str">
        <x:v>Vaalimaa; Niirala; Imatra; Kuusamo; Nuijamaa; Raja-Jooseppi; Salla; Vartius
All eight eastern road crossings</x:v>
      </x:c>
      <x:c r="E153" s="4" t="str">
        <x:v>People and road goods
Direction: Both directions
Exceptions: Vainikkala freight railway continued; asylum applications redirected to open air/sea posts</x:v>
      </x:c>
      <x:c r="F153" s="4" t="str">
        <x:v>EU002-D1 — Observed operation
Finland’s eastern land-border crossing points for road traffic under the renewed closure.
Start: 2023-12-15.
Last confirmed: 2026-06-04. Reopening is not established.
confirmed through 2026-06-04; at least 902 calendar-day difference; reopening unknown</x:v>
      </x:c>
      <x:c r="G153" s="4" t="str">
        <x:v>Migration / Entry and asylum control
Reported reason
Applies to: Recorded episode; exact overlap not separately established
The recorded rationale and claim assessment support the selected subcategories. All applicable broad categories are retained together; no primary rationale is imposed.
Security / Espionage and hostile interference
Reported reason
Applies to: Recorded episode; exact overlap not separately established
The recorded rationale and claim assessment support the selected subcategories. All applicable broad categories are retained together; no primary rationale is imposed.</x:v>
      </x:c>
      <x:c r="H153" s="4" t="str">
        <x:v>EU002-D1: This is a lower bound, not a reopening date. Railway freight is outside scope. Status after 4 June 2026 is not inferred from silence.</x:v>
      </x:c>
      <x:c r="I153" s="4" t="str">
        <x:v>Targeted source review (REC50-R14); retained with recorded qualifications; evidence limits retained.</x:v>
      </x:c>
      <x:c r="J153" s="18" t="d">
        <x:v>2026-10-25T00:00:00.000Z</x:v>
      </x:c>
      <x:c r="K153" s="21" t="str">
        <x:f>IFERROR(HYPERLINK("https://valtioneuvosto.fi/-/1410869/koko-suomen-itaraja-suljetaan-uudelleen?languageId=en_US","Finnish Ministry of the Interior"),"Finnish Ministry of the Interior")</x:f>
        <x:v>Finnish Ministry of the Interior</x:v>
      </x:c>
      <x:c r="L153" s="21" t="str">
        <x:f>IFERROR(HYPERLINK("https://valtioneuvosto.fi/en/-/162752825/all-border-crossing-points-for-road-traffic-at-the-eastern-border-closed-again-as-of-20.00-on-15-december","Finnish Government"),"Finnish Government")</x:f>
        <x:v>Finnish Government</x:v>
      </x:c>
      <x:c r="M153" s="21" t="str">
        <x:f>IFERROR(HYPERLINK("https://valtioneuvosto.fi/-/1410869/itaraja-pysyy-suljettuna-toistaiseksi?languageId=en_US","Finnish Ministry of the Interior / Government"),"Finnish Ministry of the Interior / Government")</x:f>
        <x:v>Finnish Ministry of the Interior / Government</x:v>
      </x:c>
      <x:c r="N153" s="4" t="str">
        <x:v>https://valtioneuvosto.fi/-/1410869/koko-suomen-itaraja-suljetaan-uudelleen?languageId=en_US
https://valtioneuvosto.fi/en/-/162752825/all-border-crossing-points-for-road-traffic-at-the-eastern-border-closed-again-as-of-20.00-on-15-december
https://valtioneuvosto.fi/-/1410869/itaraja-pysyy-suljettuna-toistaiseksi?languageId=en_US
https://finlandabroad.fi/web/som/current-affairs/-/asset_publisher/h5w4iTUJhNne/content/koko-suomen-itaraja-suljetaan-uudelleen-2/384951
https://ebs.publicnow.com/view/50A3F25039DC13832F417C19E2516F1230D09AA7
https://www.globalsecurity.org/military/library/news/2026/06/mil-260604-fingov01.htm
https://valtioneuvosto.fi/en/-/2912305/border-crossing-points-on-the-eastern-border-remain-closed-1</x:v>
      </x:c>
      <x:c r="O153" s="4" t="str">
        <x:v>Source 1: search extract
Source 2: unavailable
Source 3: indexed extract</x:v>
      </x:c>
      <x:c r="P153" s="20" t="n">
        <x:v>1</x:v>
      </x:c>
      <x:c r="Q153" s="4" t="str">
        <x:v>Europe</x:v>
      </x:c>
      <x:c r="R153" s="4" t="str">
        <x:v>Included</x:v>
      </x:c>
    </x:row>
    <x:row r="154" ht="330" hidden="0" customHeight="1">
      <x:c r="A154" s="16" t="str">
        <x:v>EU007</x:v>
      </x:c>
      <x:c r="B154" s="4" t="str">
        <x:v>Lithuania closes Lavoriškės and Raigardas and restricts remaining crossings</x:v>
      </x:c>
      <x:c r="C154" s="4" t="str">
        <x:v>Lithuania; Belarus</x:v>
      </x:c>
      <x:c r="D154" s="4" t="str">
        <x:v>Lavoriškės; Raigardas; Medininkai; Šalčininkai
Two further road posts plus pedestrian restrictions at remaining posts</x:v>
      </x:c>
      <x:c r="E154" s="4" t="str">
        <x:v>Goods, vehicles and people at two closed posts; pedestrians/cyclists at remaining posts
Direction: Both directions
Exceptions: Medininkai and Salcininkai remained open for vehicles; exceptional railway boarding permissions</x:v>
      </x:c>
      <x:c r="F154" s="4" t="str">
        <x:v>EU007-R1 — Observed operation
Lavoriškės and Raigardas road crossing operations on Lithuania–Belarus frontier
Start: 2024-03-01.
Last confirmed: 2025-10-30. Reopening is not established.
confirmed through 2025-10-30; at least 608 calendar-day difference; reopening unknown
EU007-C7P1 — Formal policy
Pedestrian and cycle passage at Medininkai and Šalčininkai road posts
Start: 2024-03-01.
Last confirmed: 2024-03-01. Reopening is not established.
Formal policy: dated evidence; numeric duration withheld; see qualification
EU007-C7P2 — Formal policy
Passenger boarding/alighting at Kena and Kybartai railway border posts
Start: 2024-03-01.
Last confirmed: 2024-03-01. Reopening is not established.
Formal policy: dated evidence; numeric duration withheld; see qualification</x:v>
      </x:c>
      <x:c r="G154" s="4" t="str">
        <x:v>Security / Smuggling and illicit trafficking
Attributed official justification
Applies to: Recorded episode; exact overlap not separately established
The recorded reasons explicitly include smuggling, sanctions enforcement, traffic safety and intelligence risks. All four are retained instead of selecting one dominant motive.
Security / Espionage and hostile interference
Attributed official justification
Applies to: Recorded episode; exact overlap not separately established
The recorded reasons explicitly include smuggling, sanctions enforcement, traffic safety and intelligence risks. All four are retained instead of selecting one dominant motive.
Security / Public order and immediate safety
Attributed official justification
Applies to: Recorded episode; exact overlap not separately established
The recorded reasons explicitly include smuggling, sanctions enforcement, traffic safety and intelligence risks. All four are retained instead of selecting one dominant motive.
Interstate disputes and pressure / Sanctions and coercive pressure
Attributed official justification
Applies to: Recorded episode; exact overlap not separately established
The recorded reasons explicitly include smuggling, sanctions enforcement, traffic safety and intelligence risks. All four are retained instead of selecting one dominant motive.</x:v>
      </x:c>
      <x:c r="H154" s="4" t="str">
        <x:v>EU007-R1: 30 October is observation, not reopening. Other crossings' 2025 restrictions and later restoration do not reopen these two; exemptions/pedestrian rules elsewhere require separate phases.
EU007-C7P1: This does not close permitted motor-vehicle traffic. Later changes or restoration are not established here.
EU007-C7P2: Kena concerns Belarus; Kybartai concerns Russia/Kaliningrad. Transit trains are not thereby prohibited. No later endpoint established. The announcement expressly allows exceptional boarding/alighting cases decided by the State Border Guard Service.</x:v>
      </x:c>
      <x:c r="I154" s="4" t="str">
        <x:v>Targeted source review (REC50-R29); accepted qualification; evidence limits retained.</x:v>
      </x:c>
      <x:c r="J154" s="18" t="d">
        <x:v>2026-10-25T00:00:00.000Z</x:v>
      </x:c>
      <x:c r="K154" s="21" t="str">
        <x:f>IFERROR(HYPERLINK("https://vrm.lrv.lt/en/news/the-operation-of-the-lavoriskes-and-raigardas-border-crossing-points-will-be-terminated-from-1-march/","Lithuanian Ministry of the Interior"),"Lithuanian Ministry of the Interior")</x:f>
        <x:v>Lithuanian Ministry of the Interior</x:v>
      </x:c>
      <x:c r="L154" s="21" t="str">
        <x:f>IFERROR(HYPERLINK("https://www.osw.waw.pl/en/publikacje/analyses/2025-10-30/lithuania-closes-its-border-belarus-a-month?page=1","OSW"),"OSW")</x:f>
        <x:v>OSW</x:v>
      </x:c>
      <x:c r="M154" s="21" t="str">
        <x:f>IFERROR(HYPERLINK("https://ltsa.lrv.lt/lt/naujienos/nutraukiamos-keliones-autobusais-i-baltarusija-per-lavoriskiu-ir-raigardo-pasienio-punktus/","Lithuania Transport Safety Administration"),"Lithuania Transport Safety Administration")</x:f>
        <x:v>Lithuania Transport Safety Administration</x:v>
      </x:c>
      <x:c r="N154" s="4" t="str">
        <x:v>https://vrm.lrv.lt/en/news/the-operation-of-the-lavoriskes-and-raigardas-border-crossing-points-will-be-terminated-from-1-march/
https://www.osw.waw.pl/en/publikacje/analyses/2025-10-30/lithuania-closes-its-border-belarus-a-month?page=1
https://ltsa.lrv.lt/lt/naujienos/nutraukiamos-keliones-autobusais-i-baltarusija-per-lavoriskiu-ir-raigardo-pasienio-punktus/</x:v>
      </x:c>
      <x:c r="O154" s="4" t="str">
        <x:v>Source 1: full; indexed excerpt; full text
Source 2: full
Source 3: indexed excerpt</x:v>
      </x:c>
      <x:c r="P154" s="20" t="n">
        <x:v>3</x:v>
      </x:c>
      <x:c r="Q154" s="4" t="str">
        <x:v>Europe</x:v>
      </x:c>
      <x:c r="R154" s="4" t="str">
        <x:v>Included</x:v>
      </x:c>
    </x:row>
    <x:row r="155" ht="162" hidden="0" customHeight="1">
      <x:c r="A155" s="16" t="str">
        <x:v>EU010</x:v>
      </x:c>
      <x:c r="B155" s="4" t="str">
        <x:v>Norway bans nonessential entry by Russian visa holders</x:v>
      </x:c>
      <x:c r="C155" s="4" t="str">
        <x:v>Norway; Russia</x:v>
      </x:c>
      <x:c r="D155" s="4" t="str">
        <x:v>Storskog
External border entry including land route</x:v>
      </x:c>
      <x:c r="E155" s="4" t="str">
        <x:v>Russian nationals seeking tourism/nonessential entry, including holders of other Schengen states’ visas
Direction: Into Norway
Exceptions: Specified close-family visits, employment and study</x:v>
      </x:c>
      <x:c r="F155" s="4" t="str">
        <x:v>EU010-R1 — Formal policy
Norwegian rejection of Russian citizens arriving for tourism or other non-essential purposes at Storskog under the May 2024 policy, subject to exceptions
Start: 2024-05-29.
Last confirmed: 2024-08-01. Reopening is not established.
Formal policy: confirmed through 2024-08-01; at least 64 calendar-day difference; reopening unknown</x:v>
      </x:c>
      <x:c r="G155" s="4" t="str">
        <x:v>Security / Unspecified security
Reported reason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Reported reason
Applies to: Recorded episode; exact overlap not separately established
The recorded rationale and claim assessment support the selected subcategories. All applicable broad categories are retained together; no primary rationale is imposed.</x:v>
      </x:c>
      <x:c r="H155" s="4" t="str">
        <x:v>EU010-R1: A restriction on one movement class, not closure of Storskog. No later policy boundary recovered.</x:v>
      </x:c>
      <x:c r="I155" s="4" t="str">
        <x:v>Retained baseline assessment. Retained with recorded qualifications</x:v>
      </x:c>
      <x:c r="J155" s="18" t="d">
        <x:v>2026-10-23T00:00:00.000Z</x:v>
      </x:c>
      <x:c r="K155" s="21" t="str">
        <x:f>IFERROR(HYPERLINK("https://www.regjeringen.no/en/whats-new/restricting-the-possibilities-of-entry-for-russian-citizens/id3040398/","Norwegian government"),"Norwegian government")</x:f>
        <x:v>Norwegian government</x:v>
      </x:c>
      <x:c r="L155" s="21" t="str">
        <x:f>IFERROR(HYPERLINK("https://www.thebarentsobserver.com/borders/increase-in-bordercrossings/122663","Barents Observer"),"Barents Observer")</x:f>
        <x:v>Barents Observer</x:v>
      </x:c>
      <x:c r="M155" s="21"/>
      <x:c r="N155" s="4" t="str">
        <x:v>https://www.regjeringen.no/en/whats-new/restricting-the-possibilities-of-entry-for-russian-citizens/id3040398/
https://www.thebarentsobserver.com/borders/increase-in-bordercrossings/122663</x:v>
      </x:c>
      <x:c r="O155" s="4" t="str">
        <x:v>Source 1: full
Source 2: full</x:v>
      </x:c>
      <x:c r="P155" s="20" t="n">
        <x:v>1</x:v>
      </x:c>
      <x:c r="Q155" s="4" t="str">
        <x:v>Europe</x:v>
      </x:c>
      <x:c r="R155" s="4" t="str">
        <x:v>Included</x:v>
      </x:c>
    </x:row>
    <x:row r="156" ht="162" hidden="0" customHeight="1">
      <x:c r="A156" s="16" t="str">
        <x:v>EU005</x:v>
      </x:c>
      <x:c r="B156" s="4" t="str">
        <x:v>Poland shuts remaining Belarus crossings during Zapad 2025</x:v>
      </x:c>
      <x:c r="C156" s="4" t="str">
        <x:v>Poland; Belarus</x:v>
      </x:c>
      <x:c r="D156" s="4" t="str">
        <x:v>Terespol; Kukuryki/Koroszczyn and railway points
Remaining open international road and rail crossings</x:v>
      </x:c>
      <x:c r="E156" s="4" t="str">
        <x:v>Passenger and commercial cross-border traffic
Direction: Both directions
Exceptions: Closure-period exemptions not established</x:v>
      </x:c>
      <x:c r="F156" s="4" t="str">
        <x:v>EU005-D1 — Formal policy
Additional Polish policy closure of the remaining open Belarus road crossings and freight-rail routes during Zapad 2025.
Start: 2025-09-12.
Policy endpoint: 2025-09-25.
Formal policy: 13 calendar-day difference; operational continuity not established</x:v>
      </x:c>
      <x:c r="G156"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156" s="4" t="str">
        <x:v>September 25 restored the prior limited regime; Kuźnica and Bobrowniki road crossings remained closed. RFE/RL reports first road cars/trucks within minutes on September 25. First-train movements at each restored rail route remain unverified.
EU005-D1: Formal policy dates only. First actual road/rail passage is not established here. Kuźnica and Bobrowniki remained closed under earlier measures; this endpoint restores the preceding limited regime.</x:v>
      </x:c>
      <x:c r="I156" s="4" t="str">
        <x:v>Retained baseline assessment. Amended after source reconciliation</x:v>
      </x:c>
      <x:c r="J156" s="18" t="d">
        <x:v>2026-10-23T00:00:00.000Z</x:v>
      </x:c>
      <x:c r="K156" s="21" t="str">
        <x:f>IFERROR(HYPERLINK("https://www.gov.pl/web/mswia-en/poland-has-closed-its-border-with-belarus","Polish Ministry of Interior"),"Polish Ministry of Interior")</x:f>
        <x:v>Polish Ministry of Interior</x:v>
      </x:c>
      <x:c r="L156" s="21" t="str">
        <x:f>IFERROR(HYPERLINK("https://www.gov.pl/web/bialorus/przywrocenie-ruchu-granicznego-na-przejsciach-granicznych-z-republika-bialorusi","Polish Embassy Minsk"),"Polish Embassy Minsk")</x:f>
        <x:v>Polish Embassy Minsk</x:v>
      </x:c>
      <x:c r="M156" s="21" t="str">
        <x:f>IFERROR(HYPERLINK("https://www.gov.pl/web/infrastruktura/25-wrzesnia-zostanie-przywrocony-ruch-graniczny-z-bialorusia","Polish Ministry of Infrastructure"),"Polish Ministry of Infrastructure")</x:f>
        <x:v>Polish Ministry of Infrastructure</x:v>
      </x:c>
      <x:c r="N156" s="4" t="str">
        <x:v>https://www.gov.pl/web/mswia-en/poland-has-closed-its-border-with-belarus
https://www.gov.pl/web/bialorus/przywrocenie-ruchu-granicznego-na-przejsciach-granicznych-z-republika-bialorusi
https://www.gov.pl/web/infrastruktura/25-wrzesnia-zostanie-przywrocony-ruch-graniczny-z-bialorusia
https://strazgraniczna.pl/pl/aktualnosci/14807,Przywrocony-ruch-graniczny-z-Bialorusia.html
https://www.rferl.org/a/poland-belarus-border-reopening-china-trade-routes/33540943.html</x:v>
      </x:c>
      <x:c r="O156" s="4" t="str">
        <x:v>Source 1: full page
Source 2: full page
Source 3: search extract</x:v>
      </x:c>
      <x:c r="P156" s="20" t="n">
        <x:v>1</x:v>
      </x:c>
      <x:c r="Q156" s="4" t="str">
        <x:v>Europe</x:v>
      </x:c>
      <x:c r="R156" s="4" t="str">
        <x:v>Included</x:v>
      </x:c>
    </x:row>
    <x:row r="157" ht="162" hidden="0" customHeight="1">
      <x:c r="A157" s="16" t="str">
        <x:v>EU038</x:v>
      </x:c>
      <x:c r="B157" s="4" t="str">
        <x:v>Estonia shuts transit road through Russia’s Saatse Boot</x:v>
      </x:c>
      <x:c r="C157" s="4" t="str">
        <x:v>Estonia; Russia</x:v>
      </x:c>
      <x:c r="D157" s="4" t="str">
        <x:v>Värska–Ulitina road through Saatse Boot
Special road passage crossing international boundary twice</x:v>
      </x:c>
      <x:c r="E157" s="4" t="str">
        <x:v>Vehicles and buses using special transit road
Direction: Both directions on special transit route
Exceptions: Alternative roads within Estonia; pedestrians were already excluded before closure</x:v>
      </x:c>
      <x:c r="F157" s="4" t="str">
        <x:v>EU038-R1 — Observed operation
Original Värska–Ulitina road transit through the Saatse Boot in Russian territory, blocked by Estonian authorities
Start: 2025-10-10.
Last confirmed: 2025-10-23. Reopening is not established.
confirmed through 2025-10-23; at least 13 calendar-day difference; reopening unknown</x:v>
      </x:c>
      <x:c r="G157"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157" s="4" t="str">
        <x:v>EU038-R1: Permanent describes stated status, not guaranteed indefinite duration. Alternate Estonian bypass opening does not end closure of original road. Exact later permanence-decision boundary not admitted separately.</x:v>
      </x:c>
      <x:c r="I157" s="4" t="str">
        <x:v>Retained baseline assessment. Retained with recorded qualifications</x:v>
      </x:c>
      <x:c r="J157" s="18" t="d">
        <x:v>2026-10-23T00:00:00.000Z</x:v>
      </x:c>
      <x:c r="K157" s="21" t="str">
        <x:f>IFERROR(HYPERLINK("https://kriis.ee/en/travelling-crossing-state-border/road-passing-through-saatse-boot","Estonian crisis portal"),"Estonian crisis portal")</x:f>
        <x:v>Estonian crisis portal</x:v>
      </x:c>
      <x:c r="L157" s="21" t="str">
        <x:f>IFERROR(HYPERLINK("https://news.err.ee/1609838157/saatse-boot-environmental-assessment-canceled-to-speed-up-bypass-construction","ERR"),"ERR")</x:f>
        <x:v>ERR</x:v>
      </x:c>
      <x:c r="M157" s="21" t="str">
        <x:f>IFERROR(HYPERLINK("https://www.politsei.ee/en/the-vaerska-saatse-road","Estonian Police and Border Guard Board"),"Estonian Police and Border Guard Board")</x:f>
        <x:v>Estonian Police and Border Guard Board</x:v>
      </x:c>
      <x:c r="N157" s="4" t="str">
        <x:v>https://kriis.ee/en/travelling-crossing-state-border/road-passing-through-saatse-boot
https://news.err.ee/1609838157/saatse-boot-environmental-assessment-canceled-to-speed-up-bypass-construction
https://www.politsei.ee/en/the-vaerska-saatse-road
https://www.kriis.ee/en/travelling-crossing-state-border/road-passing-through-saatse-boot</x:v>
      </x:c>
      <x:c r="O157" s="4" t="str">
        <x:v>Source 1: full; indexed excerpt
Source 2: full
Source 3: failed</x:v>
      </x:c>
      <x:c r="P157" s="20" t="n">
        <x:v>1</x:v>
      </x:c>
      <x:c r="Q157" s="4" t="str">
        <x:v>Europe</x:v>
      </x:c>
      <x:c r="R157" s="4" t="str">
        <x:v>Included</x:v>
      </x:c>
    </x:row>
    <x:row r="158" ht="210" hidden="0" customHeight="1">
      <x:c r="A158" s="16" t="str">
        <x:v>EU009</x:v>
      </x:c>
      <x:c r="B158" s="4" t="str">
        <x:v>Lithuania closes remaining Belarus posts with exceptions, autumn 2025</x:v>
      </x:c>
      <x:c r="C158" s="4" t="str">
        <x:v>Lithuania; Belarus</x:v>
      </x:c>
      <x:c r="D158" s="4" t="str">
        <x:v>Šalčininkai; Medininkai
Remaining two road crossings; differential restrictions</x:v>
      </x:c>
      <x:c r="E158" s="4" t="str">
        <x:v>General road traffic; Medininkai permitted specified categories
Direction: Both directions with category-specific exemptions
Exceptions: Diplomatic documents/mail; facilitated transit; returning Lithuanians/family and specified other nationality/residence categories</x:v>
      </x:c>
      <x:c r="F158" s="4" t="str">
        <x:v>EU009-D1 — Observed operation
Additional Lithuanian ordinary-road restriction; exempt movement is not treated as fully closed.
Start: 2025-10-30.
Observed scoped reopening: 2025-11-20.
21 calendar-day difference; scoped endpoint only
EU009-R1 — Observed operation
Temporary preventive traffic restriction at Šalčininkai and Medininkai after overnight balloon incident
Start: 2025-10-21 to 2025-10-22.
Observed scoped reopening: 2025-10-22.
0–1 calendar-day difference; scoped endpoint only
EU009-R2 — Observed operation
Ordinary nonexempt road traffic at Šalčininkai and Medininkai before the October 30 formal restriction phase
Start: 2025-10-26.
Policy endpoint: 2025-10-30.
4 calendar-day difference; scoped endpoint only</x:v>
      </x:c>
      <x:c r="G158" s="4" t="str">
        <x:v>Security / Smuggling and illicit trafficking
Attributed official justification
Applies to: October–November 2025 restrictions
Government invokes contraband balloon operations.
Security / Public order and immediate safety
Attributed official justification
Applies to: October 2025 restrictions
Government explicitly invokes risks to civil aviation and public safety.</x:v>
      </x:c>
      <x:c r="H158" s="4" t="str">
        <x:v>October 21–22 brief interruption ended at 09:00 October 22. Longer restriction began October 26 evening before October 30 formal phase; Medininkai exceptions evolved. November 20 partial restoration superseded November 30 planned expiry. Other short October interruptions remain unreconstructed.
EU009-D1: Actual 20 Nov passage observed by BNS at Medininkai; vehicle-only and prior restrictions remained. Initially announced 30 Nov end superseded. Diplomatic documents/mail; facilitated transit; returning Lithuanians/family and specified other nationality/residence categories
EU009-R1: Exact restriction-start hour is not given; overnight onset bounded October 21–22. Do not connect to later closure across reopened period.
EU009-R2: October 30 is a policy transition, not reopening. Medininkai permits listed diplomatic, facilitated-transit and qualifying return/residence categories by October 27; no uniform all-traffic closure claimed.</x:v>
      </x:c>
      <x:c r="I158" s="4" t="str">
        <x:v>Full-record source audit (REC50-R30); accepted corrections; evidence limits retained.</x:v>
      </x:c>
      <x:c r="J158" s="18" t="d">
        <x:v>2026-10-25T00:00:00.000Z</x:v>
      </x:c>
      <x:c r="K158" s="21" t="str">
        <x:f>IFERROR(HYPERLINK("https://sumin.lrv.lt/en/news/the-salcininkai-and-medininkai-border-checkpoints-with-belarus-are-being-closed-for-one-month-Q0kK/","Lithuanian Transport Ministry / Interior Ministry"),"Lithuanian Transport Ministry / Interior Ministry")</x:f>
        <x:v>Lithuanian Transport Ministry / Interior Ministry</x:v>
      </x:c>
      <x:c r="L158" s="21" t="str">
        <x:f>IFERROR(HYPERLINK("https://lrv.lt/en/news/government-reopens-the-salcininkai-and-medininkai-border-crossing-points-with-belarus-BJy6/","Lithuanian Government"),"Lithuanian Government")</x:f>
        <x:v>Lithuanian Government</x:v>
      </x:c>
      <x:c r="M158" s="21" t="str">
        <x:f>IFERROR(HYPERLINK("https://www.lrt.lt/en/news-in-english/19/2751082/i-can-t-believe-i-m-going-home-travellers-relieved-as-lithuania-reopens-belarus-border","LRT / BNS"),"LRT / BNS")</x:f>
        <x:v>LRT / BNS</x:v>
      </x:c>
      <x:c r="N158" s="4" t="str">
        <x:v>https://sumin.lrv.lt/en/news/the-salcininkai-and-medininkai-border-checkpoints-with-belarus-are-being-closed-for-one-month-Q0kK/
https://lrv.lt/en/news/government-reopens-the-salcininkai-and-medininkai-border-crossing-points-with-belarus-BJy6/
https://www.lrt.lt/en/news-in-english/19/2751082/i-can-t-believe-i-m-going-home-travellers-relieved-as-lithuania-reopens-belarus-border
https://lrv.lt/en/news/lithuania-takes-strict-action-against-smuggling-by-unmanned-means-from-belarus-rZKB/
https://vrm.lrv.lt/en/news/salcininkai-border-checkpoint-closes-only-certain-travelers-allowed-through-medininkai-5cYH/</x:v>
      </x:c>
      <x:c r="O158" s="4" t="str">
        <x:v>Source 1: full text
Source 2: full text
Source 3: indexed extract</x:v>
      </x:c>
      <x:c r="P158" s="20" t="n">
        <x:v>3</x:v>
      </x:c>
      <x:c r="Q158" s="4" t="str">
        <x:v>Europe</x:v>
      </x:c>
      <x:c r="R158" s="4" t="str">
        <x:v>Included</x:v>
      </x:c>
    </x:row>
    <x:row r="159" ht="78" hidden="0" customHeight="1">
      <x:c r="A159" s="16" t="str">
        <x:v>GL09</x:v>
      </x:c>
      <x:c r="B159" s="4" t="str">
        <x:v>DRC election-day national border order with voter exception</x:v>
      </x:c>
      <x:c r="C159" s="4" t="str">
        <x:v>Democratic Republic of the Congo</x:v>
      </x:c>
      <x:c r="D159" s="4" t="str">
        <x:v>Reported national land/lake/river closure</x:v>
      </x:c>
      <x:c r="E159" s="4" t="str">
        <x:v>General crossing restriction, with returning-voter exception at Burundi frontier.
Direction: Not established
Exceptions: Congolese returning from Burundi to vote permitted at Kavimvira.</x:v>
      </x:c>
      <x:c r="F159" s="4" t="str">
        <x:v>GL09-R1 — Announced window
DRC land, lake and river borders under national election-day order
Start: 2018-12-30.
Scheduled endpoint: 2018-12-30.
Ordered window: Same-day episode; no whole-day duration inferred</x:v>
      </x:c>
      <x:c r="G159" s="4" t="str">
        <x:v>Electoral politics / Election administration and security
Attributed official justification
Applies to: Recorded episode; exact overlap not separately established
The recorded rationale and claim assessment support the selected subcategories. All applicable broad categories are retained together; no primary rationale is imposed.</x:v>
      </x:c>
      <x:c r="H159" s="4" t="str">
        <x:v>GL09-R1: Order applies to December 30; clock hours unspecified. Same calendar day is a scheduled window, not measured elapsed time. Airport exemptions and returning-voter passage at Kavimvira retained; physical end unknown.</x:v>
      </x:c>
      <x:c r="I159" s="4" t="str">
        <x:v>Retained baseline assessment. Retained with recorded qualifications</x:v>
      </x:c>
      <x:c r="J159" s="18" t="d">
        <x:v>2026-10-23T00:00:00.000Z</x:v>
      </x:c>
      <x:c r="K159" s="21" t="str">
        <x:f>IFERROR(HYPERLINK("https://jambordc.info/election-les-frontieres-seront-ferme-ce-30-decembre-en-rdc-officiel/","JamboRDC"),"JamboRDC")</x:f>
        <x:v>JamboRDC</x:v>
      </x:c>
      <x:c r="L159" s="21" t="str">
        <x:f>IFERROR(HYPERLINK("https://www.radiookapi.net/2018/12/30/actualite/politique/des-milliers-de-congolais-vivant-au-burundi-sont-rentres-voter-uvira","Radio Okapi"),"Radio Okapi")</x:f>
        <x:v>Radio Okapi</x:v>
      </x:c>
      <x:c r="M159" s="21" t="str">
        <x:f>IFERROR(HYPERLINK("https://www.africanews.com/2018/12/30/election-in-drc-queues-and-inconvenience-for-a-historic-vote/","Africanews"),"Africanews")</x:f>
        <x:v>Africanews</x:v>
      </x:c>
      <x:c r="N159" s="4" t="str">
        <x:v>https://jambordc.info/election-les-frontieres-seront-ferme-ce-30-decembre-en-rdc-officiel/
https://www.radiookapi.net/2018/12/30/actualite/politique/des-milliers-de-congolais-vivant-au-burundi-sont-rentres-voter-uvira
https://www.africanews.com/2018/12/30/election-in-drc-queues-and-inconvenience-for-a-historic-vote/</x:v>
      </x:c>
      <x:c r="O159" s="4" t="str">
        <x:v>Source 1: full
Source 2: indexed excerpt
Source 3: full page</x:v>
      </x:c>
      <x:c r="P159" s="20" t="n">
        <x:v>1</x:v>
      </x:c>
      <x:c r="Q159" s="4" t="str">
        <x:v>Great Lakes</x:v>
      </x:c>
      <x:c r="R159" s="4" t="str">
        <x:v>Included</x:v>
      </x:c>
    </x:row>
    <x:row r="160" ht="409" hidden="0" customHeight="1">
      <x:c r="A160" s="16" t="str">
        <x:v>GL01</x:v>
      </x:c>
      <x:c r="B160" s="4" t="str">
        <x:v>Rwanda restriction at Gatuna and on travel to Uganda</x:v>
      </x:c>
      <x:c r="C160" s="4" t="str">
        <x:v>Rwanda; Uganda</x:v>
      </x:c>
      <x:c r="D160" s="4" t="str">
        <x:v>Gatuna/Katuna; selective-permission reporting also names Kagitumba/Mirama Hills, where its detailed interview is situated. Cyanika evidence is contextual, not a claim that every phase applied at every gate.
Gatuna/Katuna crossing; broader restrictions on Rwandan travel to Uganda</x:v>
      </x:c>
      <x:c r="E160" s="4" t="str">
        <x:v>Traders, cargo and passengers; resumption initially prioritised cargo and returnees.
Direction: Rwandan exit to Uganda especially restricted; practical effects on both directions.
Exceptions: Foreigners crossed during 2019 Rwandan departure denials. January 2020 reporting describes selective accepted-reason permission. January 2022 inward cargo, citizens and returning residents were exceptions. Later bus and local-ID travel had different conditions.</x:v>
      </x:c>
      <x:c r="F160" s="4" t="str">
        <x:v>GL01-R1 — Formal policy
Gatuna heavy-truck diversion, regardless of other Uganda–Rwanda routes
Start: 2019-02-28.
Policy endpoint: 2019-06-10.
Contested: Formal policy: dated evidence; numeric duration withheld; see qualification
Held evidence: excluded from numeric duration and animation displays.
GL01-R2 — Observed operation
Renewed Gatuna heavy-truck closure after trial; endpoint limited to cargo resumption
Start: 2019-06-23.
Observed scoped reopening: 2022-01-31.
Contested: dated evidence; numeric duration withheld; see qualification
Held evidence: excluded from numeric duration and animation displays.
GL01-C7RWP1 — Observed operation
Observed denial of Rwandan passenger exit at Gatuna; foreign travelers remained able to cross
Start: unknown.
Last confirmed: 2019-03-01. Reopening is not established.
dated evidence; numeric duration withheld; see qualification
GL01-C7RWP2 — Observed operation
Rwandan travel toward Uganda still restricted at Gatuna despite June truck trial
Start: unknown.
Last confirmed: 2019-06-23. Reopening is not established.
dated evidence; numeric duration withheld; see qualification
GL01-C7RWP3 — Observed operation
Selective permission and refusal for Rwandan travel to Uganda, reported at Kagitumba and Gatuna
Start: unknown.
Last confirmed: 2020-01-03. Reopening is not established.
dated evidence; numeric duration withheld; see qualification
GL01-C7RWP4 — Observed operation
Ordinary passenger denials at Gatuna during cargo/returnee reopening
Start: unknown.
Last confirmed: 2022-01-31. Reopening is not established.
dated evidence; numeric duration withheld; see qualification
GL01-C7RWP5 — Observed operation
Observed passenger-bus resumption through Gatuna from Rwanda toward Uganda
Start: unknown.
Observed scoped reopening: 2022-03-07.
dated evidence; numeric duration withheld; see qualification
GL01-C7RWP6 — Observed operation
Reported relaxation of local shopping/trade passage through Gatuna using identity documents
Start: unknown.
Observed scoped reopening: 2022-03-31.
dated evidence; numeric duration withheld; see qualification</x:v>
      </x:c>
      <x:c r="G160" s="4" t="str">
        <x:v>Security / Espionage and hostile interference
Reported reason
Applies to: 2019 passenger restriction and diplomatic context; freight eligibility retains separate qualification
The recorded rationale and claim assessment support the selected subcategories. All applicable broad categories are retained together; no primary rationale is imposed.
Interstate disputes and pressure / Diplomatic disputes and retaliation
Reported reason
Applies to: 2019 passenger restriction and diplomatic context; freight eligibility retains separate qualification
The recorded rationale and claim assessment support the selected subcategories. All applicable broad categories are retained together; no primary rationale is imposed.
Health and biosecurity / Human disease control
Reported reason
Applies to: GL01-C7RWP4 and GL01-C7RWP5; health-related conditions also qualify GL01-C7RWP6
Retain phase-specific codes; do not retroactively label 2019 or freight phases.</x:v>
      </x:c>
      <x:c r="H160" s="4" t="str">
        <x:v>Passenger denial is documented by March 1, 2019; exact first onset remains unresolved. Dated denials and selective permissions do not establish a continuous 2019–2022 all-traffic closure. Preserve February 28 freight diversion, June 10–22 truck trial, January 31, 2022 cargo/returnee permission, March 7 outgoing bus and later local-shopping relaxation as different scopes. Freight eligibility remains contested; national COVID policy is GL04.
GL01-R1: Formal heavy-truck diversion effective February 28 until June 10 trial permission. RRA officially cited construction; Ugandan officials disputed this and alleged broader passenger denials. Eligibility of a construction-only diversion is not independently established; record remains eligible for documented coercive movement restrictions. Alternative routes remained available; no actual first-trial passage time established.
GL01-R2: Observed June 23 around 01:00 reclosure; January 31 2022 cargo resumption only. URN quotes an unnamed officer citing structural cracks, while reporting broader political allegations and travel restrictions. Political character is contested for the narrowly scoped freight measure; continuity relies on retrospective reporting and overlaps pandemic rules.
GL01-C7RWP1: Observation date is not first onset. Ugandan official accounts indicate earlier restrictions; Kigali officials described an advisory and denied a general closure. Construction claims do not erase the separate passenger evidence.
GL01-C7RWP2: Further dated confirmation, not proof of uninterrupted enforcement since March. August ministerial statement supports continuing advisory language, not universal denial.
GL01-C7RWP3: Last-confirmed is report date, not first relaxation. Roughly two-month retrospective description is not converted to an exact onset. Detailed anonymous interview concerns Kagitumba; introduction names Gatuna. One outlet does not establish uniform gate practice.
GL01-C7RWP4: Date-specific observation; no continuity from 2019 inferred. Cargo, Rwandan citizens and returning residents could enter Rwanda. National COVID policy is GL04; exact political/health overlap unresolved.
GL01-C7RWP5: No reverse passenger vehicle observed by the report’s 17:00 cutoff. Some passengers could not meet testing costs. National permission and this passage do not establish all-gate/group normalization; Cyanika ID travel remained restricted. Onset and continuous duration unknown.
GL01-C7RWP6: Calendar normalization of a dated relative reference, not a retrieved order. Local shopping differs from earlier passenger permission; food limits and changed testing remain. Do not extrapolate to every gate, traveler or commodity; onset and duration unknown.
phase eligibility/motive: Narrow freight-diversion phases have explicit construction/safety explanations as well as disputed political context.
onset: Passenger denial is documented by March 1, 2019. Earlier Ugandan official reports and the World Bank retrospective March 6 date do not establish a single first day for every gate or traffic class.
continuity: The observations do not establish one uninterrupted 2019–2022 passenger prohibition. Selective permissions existed before COVID; GL04 separately records the overlapping national health policy.</x:v>
      </x:c>
      <x:c r="I160" s="4" t="str">
        <x:v>Targeted source review (REC50-R04); retained with recorded qualifications; evidence limits retained.</x:v>
      </x:c>
      <x:c r="J160" s="18" t="d">
        <x:v>2026-10-25T00:00:00.000Z</x:v>
      </x:c>
      <x:c r="K160" s="21" t="str">
        <x:f>IFERROR(HYPERLINK("https://www.monitor.co.ug/uganda/news/national/rwanda-restricts-trucks-from-uganda-at-border-1810166","Monitor"),"Monitor")</x:f>
        <x:v>Monitor</x:v>
      </x:c>
      <x:c r="L160" s="21" t="str">
        <x:f>IFERROR(HYPERLINK("https://www.xinhuanet.com/english/2019-06/11/c_138131864.htm","Xinhua"),"Xinhua")</x:f>
        <x:v>Xinhua</x:v>
      </x:c>
      <x:c r="M160" s="21" t="str">
        <x:f>IFERROR(HYPERLINK("https://www.monitor.co.ug/uganda/news/national/temporal-opening-of-uganda-rwanda-border-ends--1833388","Monitor"),"Monitor")</x:f>
        <x:v>Monitor</x:v>
      </x:c>
      <x:c r="N160" s="4" t="str">
        <x:v>https://www.monitor.co.ug/uganda/news/national/rwanda-restricts-trucks-from-uganda-at-border-1810166
https://www.xinhuanet.com/english/2019-06/11/c_138131864.htm
https://www.monitor.co.ug/uganda/news/national/temporal-opening-of-uganda-rwanda-border-ends--1833388
https://www.monitor.co.ug/uganda/news/national/kutesa-in-touch-with-rwanda-to-resolve-border-issues-says-opondo-1810262
https://www.independent.co.ug/rage-as-rwanda-closes-gatuna-border-again/
https://www.monitor.co.ug/uganda/news/national/confusion-at-rwanda-uganda-border-crossing-after-reopening-3700712
https://www.theeastafrican.co.ke/tea/news/east-africa/uganda-rwanda-feud-restricts-free-movement-1413406
https://www.ugandaradionetwork.net/story/rwanda-stops-nationals-from-traveling-to-uganda-
https://www.newtimes.co.rw/article/164550/News/rwanda-warns-citizens-against-travel-to-uganda/amp
https://2021-2025.state.gov/reports/2019-country-reports-on-human-rights-practices/rwanda/
https://www.monitor.co.ug/uganda/news/national/rwanda-s-minister-tells-nationals-not-to-travel-to-uganda-1844136
https://chimpreports.com/rwanda-relaxes-border-restrictions-for-people-crossing-to-uganda/
https://www.monitor.co.ug/uganda/news/national/ugandan-travelers-blocked-as-rwanda-reopens-border-after-three-year-closure-3700154
https://www.afro.who.int/countries/rwanda/news/update-covid-19-21-march-2020
https://www.primature.gov.rw/news-detail/statement-on-cabinet-decisions-of-july-29th-2020
https://www.monitor.co.ug/uganda/news/national/excitement-as-gatuna-border-reopened-for-passenger-vehicles-3740484
https://www.ktpress.rw/2022/03/excitement-as-rwanda-reopens-land-borders-after-two-years-of-closure/
https://www.monitor.co.ug/uganda/news/national/rwanda-govt-allows-citizens-to-cross-into-uganda-for-trade--3771690
https://www.ktpress.rw/2022/02/gatuna-border-post-is-open-for-business-but-will-it-be-permanently-or-just-for-now/
https://www.aa.com.tr/en/africa/rwanda-reopens-border-with-uganda-as-neighbors-push-for-thaw-in-relations/2490099
https://www.marketscreener.com/news/latest/Rwanda-re-opens-border-with-Uganda-but-says-grievances-remain-37696463/
https://www.ktpress.rw/2022/01/rwanda-uganda-ties-gatuna-border-to-reopen-january-31/
https://www.ugandaradionetwork.net/story/rwanda-to-open-katuna-border-on-january-31-
https://ugandaradionetwork.net/story/rwanda-uganda-border-temporary-opening-ends?districtId=502
https://www.theeastafrican.co.ke/news/ea/Uganda-Rwanda-feud-restricts-free-movement/4552908-5004842-kvcmba/index.html
https://documents1.worldbank.org/curated/en/099100011142239233/pdf/P1750520411a5e0a60b2830dc9ba332db5e.pdf</x:v>
      </x:c>
      <x:c r="O160" s="4" t="str">
        <x:v>Source 1: indexed excerpt; full
Source 2: full
Source 3: full</x:v>
      </x:c>
      <x:c r="P160" s="20" t="n">
        <x:v>8</x:v>
      </x:c>
      <x:c r="Q160" s="4" t="str">
        <x:v>Great Lakes</x:v>
      </x:c>
      <x:c r="R160" s="4" t="str">
        <x:v>Included</x:v>
      </x:c>
    </x:row>
    <x:row r="161" ht="174" hidden="0" customHeight="1">
      <x:c r="A161" s="16" t="str">
        <x:v>GL03</x:v>
      </x:c>
      <x:c r="B161" s="4" t="str">
        <x:v>Reported short Ebola closure at Goma–Gisenyi</x:v>
      </x:c>
      <x:c r="C161" s="4" t="str">
        <x:v>Rwanda; Democratic Republic of the Congo</x:v>
      </x:c>
      <x:c r="D161" s="4" t="str">
        <x:v>Goma–Gisenyi
Goma–Gisenyi/Rubavu crossing</x:v>
      </x:c>
      <x:c r="E161" s="4" t="str">
        <x:v>Reported restriction on people crossing, except Congolese leaving Rwanda.
Direction: Not established
Exceptions: Congolese departing Rwanda reported exempt.</x:v>
      </x:c>
      <x:c r="F161" s="4" t="str">
        <x:v>GL03-D1 — Observed operation
Reported temporary Goma–Gisenyi movement restriction on August 1; closure versus screening slowdown remains disputed.
Start: 2019-08-01.
Observed scoped reopening: 2019-08-01.
Contested: dated evidence; numeric duration withheld; see qualification
Held evidence: excluded from numeric duration and animation displays.</x:v>
      </x:c>
      <x:c r="G16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61" s="4" t="str">
        <x:v>GL03-D1: This is a disputed same-day episode, not an adjudicated eight-hour physical shutdown. Congolese departures were reportedly exempt. No zero-hour or whole-day duration is calculated.
occurrence/scope: Fresh local and Anadolu reporting strengthens same-day resumption but does not settle closure versus delayed screening or category-specific access. Retain contested GL03-D1 and no exact hours.</x:v>
      </x:c>
      <x:c r="I161" s="4" t="str">
        <x:v>Retained baseline assessment. Follow-up adjudicated; retain</x:v>
      </x:c>
      <x:c r="J161" s="18" t="d">
        <x:v>2026-10-23T00:00:00.000Z</x:v>
      </x:c>
      <x:c r="K161" s="21" t="str">
        <x:f>IFERROR(HYPERLINK("https://www.moh.gov.rw/news-detail/rwandas-border-with-drc-remains-open","moh.gov.rw"),"moh.gov.rw")</x:f>
        <x:v>moh.gov.rw</x:v>
      </x:c>
      <x:c r="L161" s="21" t="str">
        <x:f>IFERROR(HYPERLINK("https://www.euronews.com/2019/08/01/congo-says-rwanda-has-closed-border-near-goma","Euronews"),"Euronews")</x:f>
        <x:v>Euronews</x:v>
      </x:c>
      <x:c r="M161" s="21" t="str">
        <x:f>IFERROR(HYPERLINK("https://www.lepoint.fr/afrique/ebola-en-rdc-face-a-l-epidemie-a-goma-le-rwanda-ferme-sa-frontiere-01-08-2019-2327956_3826.php","Le Point"),"Le Point")</x:f>
        <x:v>Le Point</x:v>
      </x:c>
      <x:c r="N161" s="4" t="str">
        <x:v>https://www.moh.gov.rw/news-detail/rwandas-border-with-drc-remains-open
https://www.euronews.com/2019/08/01/congo-says-rwanda-has-closed-border-near-goma
https://www.lepoint.fr/afrique/ebola-en-rdc-face-a-l-epidemie-a-goma-le-rwanda-ferme-sa-frontiere-01-08-2019-2327956_3826.php
https://www.reutersconnect.com/item/rwanda-border-with-ebola-hit-congo-fully-open-after-slowdowns-minister/dGFnOnJldXRlcnMuY29tLDIwMTk6bmV3c21sX1ZBQVFFMFY5Sg
https://www.inkl.com/news/congo-says-rwanda-has-closed-border-near-goma
https://actualite.cd/2019/08/01/goma-ebola-le-rwanda-rouvert-sa-frontiere-avec-la-rdc
https://www.aa.com.tr/fr/afrique/-rdc-ebola-le-rwanda-rouvre-ses-fronti%C3%A8res-avec-goma-/1547751
https://actualite.cd/2019/08/01/goma-gisenyi-congolais-et-rwandais-satisfaits-apres-la-reouverture-de-la-frontiere
https://www.moh.gov.rw/news-detail/notice-on-enhanced-ebola-prevention-measures
https://www.rbc.gov.rw/PHSEPR/about-ebola-2/</x:v>
      </x:c>
      <x:c r="O161" s="4" t="str">
        <x:v>Source 1: full
Source 2: full page
Source 3: full page</x:v>
      </x:c>
      <x:c r="P161" s="20" t="n">
        <x:v>1</x:v>
      </x:c>
      <x:c r="Q161" s="4" t="str">
        <x:v>Great Lakes</x:v>
      </x:c>
      <x:c r="R161" s="4" t="str">
        <x:v>Included</x:v>
      </x:c>
    </x:row>
    <x:row r="162" ht="174" hidden="0" customHeight="1">
      <x:c r="A162" s="16" t="str">
        <x:v>GL16</x:v>
      </x:c>
      <x:c r="B162" s="4" t="str">
        <x:v>Burundi COVID entry restriction from Rwanda</x:v>
      </x:c>
      <x:c r="C162" s="4" t="str">
        <x:v>Burundi; Rwanda</x:v>
      </x:c>
      <x:c r="D162" s="4" t="str">
        <x:v>Ruhwa and other Burundi–Rwanda posts
Burundi–Rwanda land border, Ruhwa specifically corroborated</x:v>
      </x:c>
      <x:c r="E162" s="4" t="str">
        <x:v>Passengers arriving from Rwanda, including Congolese transit travellers and schoolchildren.
Direction: Entry into Burundi from Rwanda.
Exceptions: Air passengers reported continuing on 15 March. Cargo policy differed by phase: The New Times reported restored cargo movement on 13 April 2020, while IWACU reports a foreign-ministry note dated 14 April. Neither fixes a passenger reopening.</x:v>
      </x:c>
      <x:c r="F162" s="4" t="str">
        <x:v>GL16-R1 — Observed operation
Ruhwa refusal of entry into Burundi from Rwanda
Start: 2020-03-15.
Last confirmed: 2020-03-16. Reopening is not established.
confirmed through 2020-03-16; at least 1 calendar-day difference; reopening unknown</x:v>
      </x:c>
      <x:c r="G16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62" s="4" t="str">
        <x:v>GL16-R1: No reopening asserted; later political/COVID overlap and category exceptions require distinct phases.
end: Passenger repeal/observed reopening of this specific health measure remains unknown.</x:v>
      </x:c>
      <x:c r="I162" s="4" t="str">
        <x:v>Targeted source review (REC50-R26); retained with recorded qualifications; evidence limits retained.</x:v>
      </x:c>
      <x:c r="J162" s="18" t="d">
        <x:v>2026-10-25T00:00:00.000Z</x:v>
      </x:c>
      <x:c r="K162" s="21" t="str">
        <x:f>IFERROR(HYPERLINK("https://www.sosmediasburundi.org/2020/03/15/le-burundi-ferme-ses-frontieres-avec-le-rwanda/","SOS Médias Burundi"),"SOS Médias Burundi")</x:f>
        <x:v>SOS Médias Burundi</x:v>
      </x:c>
      <x:c r="L162" s="21" t="str">
        <x:f>IFERROR(HYPERLINK("https://www.radiookapi.net/2020/03/16/actualite/sante/coronavirus-la-fermeture-de-la-frontiere-entre-le-burundi-et-le-rwanda","Radio Okapi"),"Radio Okapi")</x:f>
        <x:v>Radio Okapi</x:v>
      </x:c>
      <x:c r="M162" s="21" t="str">
        <x:f>IFERROR(HYPERLINK("https://www.sosmediasburundi.org/2022/09/30/burundi-rwanda-le-burundi-rouvre-ses-frontieres-avec-le-rwanda-mais-refuse-de-le-reconnaitre-officiellement/","SOS Médias Burundi"),"SOS Médias Burundi")</x:f>
        <x:v>SOS Médias Burundi</x:v>
      </x:c>
      <x:c r="N162" s="4" t="str">
        <x:v>https://www.sosmediasburundi.org/2020/03/15/le-burundi-ferme-ses-frontieres-avec-le-rwanda/
https://www.radiookapi.net/2020/03/16/actualite/sante/coronavirus-la-fermeture-de-la-frontiere-entre-le-burundi-et-le-rwanda
https://www.sosmediasburundi.org/2022/09/30/burundi-rwanda-le-burundi-rouvre-ses-frontieres-avec-le-rwanda-mais-refuse-de-le-reconnaitre-officiellement/
https://www.iwacu-burundi.org/burundi-covid-19-reouverture-des-frontieres-avec-le-rwanda-et-la-rdc-pour-les-camions-de-marchandises/
https://dtm.iom.int/reports/burundi-%E2%80%94-tableau-de-bord-du-suivi-des-flux-avril-2020
https://www.iwacu-burundi.org/eac-covid-19-les-poids-lourds-transitant-par-le-rwanda-indesirables-au-burundi/
https://www.iwacu-burundi.org/englishnews/burundi-reopens-borders-with-rwanda-drc-to-goods-trucks/
https://www.newtimes.co.rw/article/175823/News/burundi-reopens-rwanda-drc-borders-to-cargo-trucks/amp</x:v>
      </x:c>
      <x:c r="O162" s="4" t="str">
        <x:v>Source 1: full; full text
Source 2: indexed excerpt; full text
Source 3: full</x:v>
      </x:c>
      <x:c r="P162" s="20" t="n">
        <x:v>1</x:v>
      </x:c>
      <x:c r="Q162" s="4" t="str">
        <x:v>Great Lakes</x:v>
      </x:c>
      <x:c r="R162" s="4" t="str">
        <x:v>Included</x:v>
      </x:c>
    </x:row>
    <x:row r="163" ht="210" hidden="0" customHeight="1">
      <x:c r="A163" s="16" t="str">
        <x:v>GL04</x:v>
      </x:c>
      <x:c r="B163" s="4" t="str">
        <x:v>Rwanda national COVID passenger border restrictions</x:v>
      </x:c>
      <x:c r="C163" s="4" t="str">
        <x:v>Rwanda; Uganda; Tanzania; Burundi; Democratic Republic of the Congo</x:v>
      </x:c>
      <x:c r="D163" s="4" t="str">
        <x:v>National land-border passenger regime</x:v>
      </x:c>
      <x:c r="E163" s="4" t="str">
        <x:v>Ordinary passengers; goods and returning citizens/residents exempt.
Direction: Not established
Exceptions: Cargo, returning citizens and legal residents subject to quarantine; later local trading arrangements.</x:v>
      </x:c>
      <x:c r="F163" s="4" t="str">
        <x:v>GL04-R1 — Formal policy
Rwanda default restriction on non-exempt land-border passengers; category permissions varied during this national regime
Start: 2020-03-21.
Policy endpoint: 2022-03-07.
Formal policy: 716 calendar-day difference; operational continuity not established</x:v>
      </x:c>
      <x:c r="G16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63" s="4" t="str">
        <x:v>GL04-R1: National default policy from March 21 at 23:59; March 7, 2022 general legal permission, precise effective clock time unverified. Exceptions evolved, including local couriers, Ruzizi education and medical categories and resident officials and Gatuna essential/cargo passage. No stable denial of every passenger; opposite-side and gate-specific delays continued.</x:v>
      </x:c>
      <x:c r="I163" s="4" t="str">
        <x:v>Full-record source audit (REC50-R15); accepted corrections; evidence limits retained.</x:v>
      </x:c>
      <x:c r="J163" s="18" t="d">
        <x:v>2026-10-25T00:00:00.000Z</x:v>
      </x:c>
      <x:c r="K163" s="21" t="str">
        <x:f>IFERROR(HYPERLINK("https://www.afro.who.int/countries/rwanda/news/update-covid-19-21-march-2020","WHO Africa"),"WHO Africa")</x:f>
        <x:v>WHO Africa</x:v>
      </x:c>
      <x:c r="L163" s="21" t="str">
        <x:f>IFERROR(HYPERLINK("https://www.primature.gov.rw/news-detail/statement-on-cabinet-decisions-of-july-29th-2020","Prime Minister of Rwanda"),"Prime Minister of Rwanda")</x:f>
        <x:v>Prime Minister of Rwanda</x:v>
      </x:c>
      <x:c r="M163" s="21" t="str">
        <x:f>IFERROR(HYPERLINK("https://rwandatoday.africa/rwanda/news/rwanda-lifts-covid-curfew-reopens-land-borders-3739528","Rwanda Today"),"Rwanda Today")</x:f>
        <x:v>Rwanda Today</x:v>
      </x:c>
      <x:c r="N163" s="4" t="str">
        <x:v>https://www.afro.who.int/countries/rwanda/news/update-covid-19-21-march-2020
https://www.primature.gov.rw/news-detail/statement-on-cabinet-decisions-of-july-29th-2020
https://rwandatoday.africa/rwanda/news/rwanda-lifts-covid-curfew-reopens-land-borders-3739528
https://www.ktpress.rw/2022/03/excitement-as-rwanda-reopens-land-borders-after-two-years-of-closure/
https://actualite.cd/2020/11/11/covid-19-la-rdc-et-le-rwanda-reouvrent-partiellement-les-frontieres-ruzizi-1-2-et
https://www.monitor.co.ug/uganda/news/national/excitement-as-gatuna-border-reopened-for-passenger-vehicles-3740484
https://theafricanmirror.africa/business/pandemic-derails-trade-for-congos-disabled-border-couriers/
https://www.ktpress.rw/2020/03/borders-shops-closed-motorcycles-banned-and-movements-limited/
https://www.reuters.com/world/middle-east-africa/pandemic-derails-trade-congos-disabled-border-couriers-2021-02-08/
https://www.gov.rw/blog-detail/covid-19-cabinet-extended-the-existing-measures-until-april-30th-2020</x:v>
      </x:c>
      <x:c r="O163" s="4" t="str">
        <x:v>Source 1: full; full text
Source 2: indexed excerpt; full; full text
Source 3: indexed excerpt</x:v>
      </x:c>
      <x:c r="P163" s="20" t="n">
        <x:v>1</x:v>
      </x:c>
      <x:c r="Q163" s="4" t="str">
        <x:v>Great Lakes</x:v>
      </x:c>
      <x:c r="R163" s="4" t="str">
        <x:v>Included</x:v>
      </x:c>
    </x:row>
    <x:row r="164" ht="258" hidden="0" customHeight="1">
      <x:c r="A164" s="16" t="str">
        <x:v>GL05</x:v>
      </x:c>
      <x:c r="B164" s="4" t="str">
        <x:v>Uganda national COVID passenger border restrictions</x:v>
      </x:c>
      <x:c r="C164" s="4" t="str">
        <x:v>Uganda; Kenya; Tanzania; Rwanda; Democratic Republic of the Congo; South Sudan</x:v>
      </x:c>
      <x:c r="D164" s="4" t="str">
        <x:v>National land and water passenger entry/exit restrictions</x:v>
      </x:c>
      <x:c r="E164" s="4" t="str">
        <x:v>Passengers by road, water, foot and bicycle; cargo allowed.
Direction: Both entry and exit.
Exceptions: Cargo drivers and accompanying crew not exceeding three. Separately documented humanitarian asylum admissions include Gulajo/Golajo/Guladjo and Mount Zeu from July 1–3, 2020; the June 18, 2021 partners statement reports several authorised exceptions. These do not establish uniform ordinary asylum reopening.</x:v>
      </x:c>
      <x:c r="F164" s="4" t="str">
        <x:v>GL05-D1 — Formal policy
Uganda passenger-border policy period; cargo exemptions remained. This is not a measure of physical impermeability.
Start: 2020-03-22.
Policy endpoint: 2020-10-01.
Formal policy: 193 calendar-day difference; operational continuity not established
REC50-R47-GL05-P1 — Formal policy
Uganda ordinary asylum-admission policy during COVID, with exceptional permissions and informal entry
Start: 2020-03-01 to 2020-03-31.
Last confirmed: unknown. Reopening is not established.
Formal policy: dated evidence; numeric duration withheld; see qualification</x:v>
      </x:c>
      <x:c r="G16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64" s="4" t="str">
        <x:v>Retain 22 March 2020 midday–1 October 2020 general policy timing. Local Katuna denials reported late 21 March. Humanitarian admission at Gulajo/Golajo and Mount Zeu 1–3 July interrupted closure for DRC asylum-seekers; general reopening does not prove asylum admission restored.
GL05-D1: National passenger policy envelope, not physical impermeability. Cargo exemptions remained. Monitor reports Katuna entry denial shortly before midnight 21 March, ahead of national 22 March midday effective time. Gulajo/Golajo and Mount Zeu temporarily admitted DRC asylum-seekers 1–3 July 2020 and closed again 3 July; this is an interruption for that class only. October 1 marks general leisure/business reopening, not separately verified universal asylum admission. Dates describe the policy envelope; October1 is not coded as an observed universal border reopening.
REC50-R47-GL05-P1: Month-level onset comes from refugee-specific reporting, not an invented exact day. Year-end evidence distinguishes this cohort from October 1 general travel easing. The June 18, 2021 statement is retrospective and does not unambiguously establish that the restriction remained in force on its publication day, so it supplies no last-confirmed date. Preserve the previously accepted July 1–3 Gulajo/Golajo/Guladjo and Mount Zeu admissions and other permissions; informal arrivals continued. No matching ordinary asylum reopening date found.
asylum-admission endpoint; exception chronology: Ordinary asylum admission remained separately qualified after October 1 general travel easing. The 2020 year-end report and June 18, 2021 statement do not establish a uniform operational interval or final resumption date.</x:v>
      </x:c>
      <x:c r="I164" s="4" t="str">
        <x:v>Targeted source review (REC50-R47); accepted qualification; evidence limits retained.</x:v>
      </x:c>
      <x:c r="J164" s="18" t="d">
        <x:v>2026-10-25T00:00:00.000Z</x:v>
      </x:c>
      <x:c r="K164" s="21" t="str">
        <x:f>IFERROR(HYPERLINK("https://www.monitor.co.ug/News/National/Museveni-closes-borders-bans-international-flights/688334-5499830-ndqbb9z/index.html","Monitor"),"Monitor")</x:f>
        <x:v>Monitor</x:v>
      </x:c>
      <x:c r="L164" s="21" t="str">
        <x:f>IFERROR(HYPERLINK("https://utb.go.ug/international-travelers-are-required-to-adhere-to-new-health-and-sanitation-protocol/","Uganda Tourism Board"),"Uganda Tourism Board")</x:f>
        <x:v>Uganda Tourism Board</x:v>
      </x:c>
      <x:c r="M164" s="21" t="str">
        <x:f>IFERROR(HYPERLINK("https://www.monitor.co.ug/uganda/news/national/entebbe-airport-borders-to-reopen-for-travellers-tourists-on-october-1-2304958","Monitor"),"Monitor")</x:f>
        <x:v>Monitor</x:v>
      </x:c>
      <x:c r="N164" s="4" t="str">
        <x:v>https://www.monitor.co.ug/News/National/Museveni-closes-borders-bans-international-flights/688334-5499830-ndqbb9z/index.html
https://utb.go.ug/international-travelers-are-required-to-adhere-to-new-health-and-sanitation-protocol/
https://www.monitor.co.ug/uganda/news/national/entebbe-airport-borders-to-reopen-for-travellers-tourists-on-october-1-2304958
https://www.monitor.co.ug/uganda/news/national/museveni-closes-borders-bans-international-flights--1881684
https://www.monitor.co.ug/uganda/news/national/covid-19-travellers-stranded-at-katuna-as-uganda-rwanda-close-borders-1881760
https://www.unognewsroom.org/story/en/256/unog-bi-weekly-press-briefing-dr-congo-refugees-unhcr-07jul2020
https://www.monitor.co.ug/uganda/news/national/zombo-leaders-opm-disagree-on-relocation-1918640
https://reporting.unhcr.org/uganda-2020-year-end-report-issues-and-challenges
https://www.unhcr.org/africa/news/press-releases/uganda-refugee-response-partners-joint-press-statement
https://www.unhcr.org/us/news/press/2020/7/5efca8d64/uganda-provides-safe-haven-drc-refugees-amid-covid-19-lockdown.html
https://www.unhcr.org/uk/node/19963</x:v>
      </x:c>
      <x:c r="O164" s="4" t="str">
        <x:v>Source 1: full page
Source 2: full page
Source 3: search extract</x:v>
      </x:c>
      <x:c r="P164" s="20" t="n">
        <x:v>2</x:v>
      </x:c>
      <x:c r="Q164" s="4" t="str">
        <x:v>Great Lakes</x:v>
      </x:c>
      <x:c r="R164" s="4" t="str">
        <x:v>Included</x:v>
      </x:c>
    </x:row>
    <x:row r="165" ht="114" hidden="0" customHeight="1">
      <x:c r="A165" s="16" t="str">
        <x:v>GL17</x:v>
      </x:c>
      <x:c r="B165" s="4" t="str">
        <x:v>South Kivu provincial COVID closure at Ruzizi crossings</x:v>
      </x:c>
      <x:c r="C165" s="4" t="str">
        <x:v>Democratic Republic of the Congo; Rwanda</x:v>
      </x:c>
      <x:c r="D165" s="4" t="str">
        <x:v>Ruzizi I and II
Bukavu–Rwanda crossings</x:v>
      </x:c>
      <x:c r="E165" s="4" t="str">
        <x:v>Reported total closure; commodity exemptions not established.
Direction: Not established
Exceptions: Not established</x:v>
      </x:c>
      <x:c r="F165" s="4" t="str">
        <x:v>GL17-R1 — Formal policy
Provincial restriction at Ruzizi I/II for passenger classes expressly admitted by the 11 November bilateral relaxation
Start: 2020-03-22.
Policy endpoint: 2020-11-11.
Formal policy: 234 calendar-day difference; operational continuity not established</x:v>
      </x:c>
      <x:c r="G16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65" s="4" t="str">
        <x:v>GL17-R1: November 11 is agreement/permission date; effective clock time and first Ruzizi passage unknown. Before-November exceptional passage not exhaustively ruled out; first-easing description supports policy rather than universal physical closure. Kamanyola's later implementation must not be transferred to Ruzizi.</x:v>
      </x:c>
      <x:c r="I165" s="4" t="str">
        <x:v>Retained baseline assessment. Retained with recorded qualifications</x:v>
      </x:c>
      <x:c r="J165" s="18" t="d">
        <x:v>2026-10-23T00:00:00.000Z</x:v>
      </x:c>
      <x:c r="K165" s="21" t="str">
        <x:f>IFERROR(HYPERLINK("https://www.radiookapi.net/node/200594","Radio Okapi"),"Radio Okapi")</x:f>
        <x:v>Radio Okapi</x:v>
      </x:c>
      <x:c r="L165" s="21" t="str">
        <x:f>IFERROR(HYPERLINK("https://actualite.cd/2020/11/11/covid-19-la-rdc-et-le-rwanda-reouvrent-partiellement-les-frontieres-ruzizi-1-2-et","Actualite.cd"),"Actualite.cd")</x:f>
        <x:v>Actualite.cd</x:v>
      </x:c>
      <x:c r="M165" s="21" t="str">
        <x:f>IFERROR(HYPERLINK("https://www.mediacongo.net/article-actualite-79006_rdc_rwanda_les_frontieres_ruzizi_1_et_2_ouvertes_pour_certaines_categories_de_personnes.html","Mediacongo"),"Mediacongo")</x:f>
        <x:v>Mediacongo</x:v>
      </x:c>
      <x:c r="N165" s="4" t="str">
        <x:v>https://www.radiookapi.net/node/200594
https://actualite.cd/2020/11/11/covid-19-la-rdc-et-le-rwanda-reouvrent-partiellement-les-frontieres-ruzizi-1-2-et
https://www.mediacongo.net/article-actualite-79006_rdc_rwanda_les_frontieres_ruzizi_1_et_2_ouvertes_pour_certaines_categories_de_personnes.html
https://radiomaendeleo.org/rdc-rwanda-8-mois-apres-la-frontiere-kamanyola-bugarama-enfin-rouverte/
https://laprunellerdc.cd/rdc-rwanda-les-frontieres-ruzizi-1-et-2-ouvertes-pour-certaines-categories-de-personnes/</x:v>
      </x:c>
      <x:c r="O165" s="4" t="str">
        <x:v>Source 1: indexed excerpt
Source 2: full
Source 3: indexed excerpt</x:v>
      </x:c>
      <x:c r="P165" s="20" t="n">
        <x:v>1</x:v>
      </x:c>
      <x:c r="Q165" s="4" t="str">
        <x:v>Great Lakes</x:v>
      </x:c>
      <x:c r="R165" s="4" t="str">
        <x:v>Included</x:v>
      </x:c>
    </x:row>
    <x:row r="166" ht="114" hidden="0" customHeight="1">
      <x:c r="A166" s="16" t="str">
        <x:v>GL06</x:v>
      </x:c>
      <x:c r="B166" s="4" t="str">
        <x:v>DRC national COVID passenger border closure</x:v>
      </x:c>
      <x:c r="C166" s="4" t="str">
        <x:v>Democratic Republic of the Congo</x:v>
      </x:c>
      <x:c r="D166" s="4" t="str">
        <x:v>All national borders; national order not separately counted by neighbour</x:v>
      </x:c>
      <x:c r="E166" s="4" t="str">
        <x:v>Passengers; cargo exempt.
Direction: Not established
Exceptions: Freight and cargo personnel subject to health controls.</x:v>
      </x:c>
      <x:c r="F166" s="4" t="str">
        <x:v>GL06-D1 — Formal policy
DRC's national passenger-border closure policy, to the administrative reopening permission.
Start: 2020-03-24.
Policy endpoint: 2020-08-15.
Formal policy: dated evidence; numeric duration withheld; see qualification</x:v>
      </x:c>
      <x:c r="G16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66" s="4" t="str">
        <x:v>GL06-D1: Freight and cargo personnel were exempt. Earlier provincial actions and flight restrictions have different onsets. This is a national policy phase, not proof every post or neighbouring side resumed actual passage. The July21 presidential speech ends emergency measures while scheduling August15 border reopening; the intervening legal continuation instrument has not been recovered. Numeric duration is withheld pending reconciliation.</x:v>
      </x:c>
      <x:c r="I166" s="4" t="str">
        <x:v>Retained baseline assessment. Correction pass: scope and endpoint semantics revised; remaining evidence limitations retained</x:v>
      </x:c>
      <x:c r="J166" s="18" t="d">
        <x:v>2026-10-23T00:00:00.000Z</x:v>
      </x:c>
      <x:c r="K166" s="21" t="str">
        <x:f>IFERROR(HYPERLINK("https://www.leganet.be/Legislation/JO/2020/Ordonnance%2024.03.2020.html","Leganet"),"Leganet")</x:f>
        <x:v>Leganet</x:v>
      </x:c>
      <x:c r="L166" s="21" t="str">
        <x:f>IFERROR(HYPERLINK("https://actualite.cd/2020/03/24/rdc-tshisekedi-decide-disoler-kinshasa-et-interdit-les-voyages-capitale-vers-provinces","Actualite.cd"),"Actualite.cd")</x:f>
        <x:v>Actualite.cd</x:v>
      </x:c>
      <x:c r="M166" s="21" t="str">
        <x:f>IFERROR(HYPERLINK("https://kt.cd/2020/08/15/rdc-des-frontieres-reouvertes-ce-samedi-15-aout-cinq-mois-apres-leur-fermeture/","Kinshasa Times"),"Kinshasa Times")</x:f>
        <x:v>Kinshasa Times</x:v>
      </x:c>
      <x:c r="N166" s="4" t="str">
        <x:v>https://www.leganet.be/Legislation/JO/2020/Ordonnance%2024.03.2020.html
https://actualite.cd/2020/03/24/rdc-tshisekedi-decide-disoler-kinshasa-et-interdit-les-voyages-capitale-vers-provinces
https://kt.cd/2020/08/15/rdc-des-frontieres-reouvertes-ce-samedi-15-aout-cinq-mois-apres-leur-fermeture/
https://presidence.cd/uploads/files/Fin%20de%20l%27Etat%20d%27urgence.pdf
https://www.monitor.co.ug/uganda/news/world/dr-congo-ends-virus-health-emergency-borders-schools-to-reopen-1904284
https://fews.net/southern-africa/democratic-republic-congo/alert/august-18-2020</x:v>
      </x:c>
      <x:c r="O166" s="4" t="str">
        <x:v>Source 1: full page
Source 2: full page
Source 3: search extract</x:v>
      </x:c>
      <x:c r="P166" s="20" t="n">
        <x:v>1</x:v>
      </x:c>
      <x:c r="Q166" s="4" t="str">
        <x:v>Great Lakes</x:v>
      </x:c>
      <x:c r="R166" s="4" t="str">
        <x:v>Included</x:v>
      </x:c>
    </x:row>
    <x:row r="167" ht="174" hidden="0" customHeight="1">
      <x:c r="A167" s="16" t="str">
        <x:v>GL07</x:v>
      </x:c>
      <x:c r="B167" s="4" t="str">
        <x:v>Burundi national COVID border reclosure with phased reopening</x:v>
      </x:c>
      <x:c r="C167" s="4" t="str">
        <x:v>Burundi; Tanzania; Rwanda; Democratic Republic of the Congo</x:v>
      </x:c>
      <x:c r="D167" s="4" t="str">
        <x:v>Gatumba; later Kobero–Kabanga and Mugina
National land/water passenger restrictions; first reopening at Gatumba</x:v>
      </x:c>
      <x:c r="E167" s="4" t="str">
        <x:v>Passenger movement prohibited; goods exempt.
Direction: Passenger crossing in both directions affected.
Exceptions: Goods/freight.</x:v>
      </x:c>
      <x:c r="F167" s="4" t="str">
        <x:v>GL07-D1 — Observed operation
Gatumba ordinary passenger restriction under Burundi's January 11 2021 national measure, to June 1 2021 conditional passenger reopening; freight excluded.
Start: 2021-01-11.
Observed scoped reopening: 2021-06-01.
141 calendar-day difference; scoped endpoint only
GL07-R1 — Formal policy
Ordinary passenger restrictions at Kobero-Kabanga and Mugina under January 2021 national measure; cargo excluded.
Start: 2021-01-11.
Policy endpoint: 2021-06-14.
Formal policy: 154 calendar-day difference; operational continuity not established</x:v>
      </x:c>
      <x:c r="G16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67" s="4" t="str">
        <x:v>Current phases distinguish Gatumba 1 June and Kobero/Mugina 14 June 2021. January 11 is a selected policy segment; earlier 2020 Gatumba closure and interim reopening remain unresolved. Cargo exempt; repatriation passage may also have occurred and must not be treated as complete impermeability.
GL07-D1: Selected January policy segment, not a settled first physical closure date. Radio Okapi retrospectively dates Gatumba closure to March 2020; the earlier phase/interim reopening remains unresolved. Other national crossings have different reopening dates.
GL07-R1: Policy envelope, not proof of continuous physical closure or every passenger class. Repatriation exception lead indexed but not fully verified. Tanzania and Rwanda restrictions must not be merged; January may not be first physical closure.
pre-January continuity: Earliest Gatumba physical closure and intervening 2020 openings unresolved; does not invalidate qualified January segment.</x:v>
      </x:c>
      <x:c r="I167" s="4" t="str">
        <x:v>Retained baseline assessment. Amended after source reconciliation</x:v>
      </x:c>
      <x:c r="J167" s="18" t="d">
        <x:v>2026-10-23T00:00:00.000Z</x:v>
      </x:c>
      <x:c r="K167" s="21" t="str">
        <x:f>IFERROR(HYPERLINK("https://www.afro.who.int/sites/default/files/2021-06/Burundi_Bulletin%20Hebdomadaire%20COVID-19%20Num%C3%A9ro%2016.pdf","afro.who.int"),"afro.who.int")</x:f>
        <x:v>afro.who.int</x:v>
      </x:c>
      <x:c r="L167" s="21" t="str">
        <x:f>IFERROR(HYPERLINK("https://www.sosmediasburundi.org/2021/06/01/gatumba-reouverture-de-la-frontiere-entre-le-burundi-et-la-rdc/","sosmediasburundi.org"),"sosmediasburundi.org")</x:f>
        <x:v>sosmediasburundi.org</x:v>
      </x:c>
      <x:c r="M167" s="21" t="str">
        <x:f>IFERROR(HYPERLINK("https://abpinfo.bi/2021/06/02/la-frontiere-de-gatumba-est-desormais-ouverte/","abpinfo.bi"),"abpinfo.bi")</x:f>
        <x:v>abpinfo.bi</x:v>
      </x:c>
      <x:c r="N167" s="4" t="str">
        <x:v>https://www.afro.who.int/sites/default/files/2021-06/Burundi_Bulletin%20Hebdomadaire%20COVID-19%20Num%C3%A9ro%2016.pdf
https://www.sosmediasburundi.org/2021/06/01/gatumba-reouverture-de-la-frontiere-entre-le-burundi-et-la-rdc/
https://abpinfo.bi/2021/06/02/la-frontiere-de-gatumba-est-desormais-ouverte/
https://www.theeastafrican.co.ke/tea/news/east-africa/burundi-reopens-border-with-tanzania-3438032
https://www.radiookapi.net/2021/06/01/actualite/en-bref/uvira-une-annee-apres-le-burundi-rouvre-sa-frontiere-avec-la-rdc
https://www.sosmediasburundi.org/2021/01/08/covid-19-le-burundi-va-fermer-ses-frontieres-terrestre-et-maritime/
https://mininterinfos.gov.bi/des-refugies-continuent-de-rentrer-massivement/</x:v>
      </x:c>
      <x:c r="O167" s="4" t="str">
        <x:v>Source 1: full
Source 2: full
Source 3: failed</x:v>
      </x:c>
      <x:c r="P167" s="20" t="n">
        <x:v>2</x:v>
      </x:c>
      <x:c r="Q167" s="4" t="str">
        <x:v>Great Lakes</x:v>
      </x:c>
      <x:c r="R167" s="4" t="str">
        <x:v>Included</x:v>
      </x:c>
    </x:row>
    <x:row r="168" ht="222" hidden="0" customHeight="1">
      <x:c r="A168" s="16" t="str">
        <x:v>GL12</x:v>
      </x:c>
      <x:c r="B168" s="4" t="str">
        <x:v>Congolese official prohibition of Bunagana border operations under M23 control</x:v>
      </x:c>
      <x:c r="C168" s="4" t="str">
        <x:v>Democratic Republic of the Congo; Uganda</x:v>
      </x:c>
      <x:c r="D168" s="4" t="str">
        <x:v>Bunagana
Bunagana goods import/export prohibition; access-road prohibition also retrospectively reported</x:v>
      </x:c>
      <x:c r="E168" s="4" t="str">
        <x:v>Goods imports and exports via Bunagana; road traffic separately reported retrospectively.
Direction: Not established
Exceptions: Not established</x:v>
      </x:c>
      <x:c r="F168" s="4" t="str">
        <x:v>GL12-FU1 — Formal policy
Bunagana goods import/export prohibition by North Kivu authorities
Start: 2022-06-20.
Last confirmed: 2022-06-20. Reopening is not established.
Formal policy: dated evidence; numeric duration withheld; see qualification</x:v>
      </x:c>
      <x:c r="G168"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x:v>
      </x:c>
      <x:c r="H168" s="4" t="str">
        <x:v>GL12-FU1: Formal order at its dated onset only; M23 announced physical reopening the same day. Neither unchanged legal force to 2025 nor operational closure duration is established.
legal end/continuity: A dated formal-order observation is supportable for June 20, 2022. No continuous operational interval or legal endpoint is supportable; the unilateral July 2025 opening does not repeal the Congolese order.
duration: A dated formal-order observation is supportable for June 20, 2022. No continuous operational interval or legal endpoint is supportable; the unilateral July 2025 opening does not repeal the Congolese order.</x:v>
      </x:c>
      <x:c r="I168" s="4" t="str">
        <x:v>Retained baseline assessment. Follow-up adjudicated; amend</x:v>
      </x:c>
      <x:c r="J168" s="18" t="d">
        <x:v>2026-10-23T00:00:00.000Z</x:v>
      </x:c>
      <x:c r="K168" s="21" t="str">
        <x:f>IFERROR(HYPERLINK("https://actualite.cd/2022/06/20/nord-kivu-le-gouverneur-militaire-interdit-dimporter-et-dexporter-des-marchandises-le","Actualite.cd"),"Actualite.cd")</x:f>
        <x:v>Actualite.cd</x:v>
      </x:c>
      <x:c r="L168" s="21" t="str">
        <x:f>IFERROR(HYPERLINK("https://www.radiookapi.net/2022/06/21/actualite/economie/nord-kivu-interdiction-dimporter-et-dexporter-les-marchandises","Radio Okapi"),"Radio Okapi")</x:f>
        <x:v>Radio Okapi</x:v>
      </x:c>
      <x:c r="M168" s="21" t="str">
        <x:f>IFERROR(HYPERLINK("https://www.radiookapi.net/2023/07/09/actualite/securite/nord-kivu-le-gouverneur-annonce-la-reprise-des-activites-au-poste","Radio Okapi"),"Radio Okapi")</x:f>
        <x:v>Radio Okapi</x:v>
      </x:c>
      <x:c r="N168" s="4" t="str">
        <x:v>https://actualite.cd/2022/06/20/nord-kivu-le-gouverneur-militaire-interdit-dimporter-et-dexporter-des-marchandises-le
https://www.radiookapi.net/2022/06/21/actualite/economie/nord-kivu-interdiction-dimporter-et-dexporter-les-marchandises
https://www.radiookapi.net/2023/07/09/actualite/securite/nord-kivu-le-gouverneur-annonce-la-reprise-des-activites-au-poste
https://actualite.cd/2025/07/19/reouverture-unilaterale-de-la-frontiere-de-bunagana-therese-kayikwamba-exprime-la
https://www.radiookapi.net/node/226000
https://actualite.cd/2025/07/11/rdc-ouganda-reouverture-unilaterale-du-poste-de-bunagana-kinshasa-reclame-des
https://www.ugandaradionetwork.net/story/m23-rebels-warn-drc-govt-over-bunagana-border-resumption
https://www.monitor.co.ug/uganda/news/national/dr-congo-rebels-reopen-border-post-with-uganda-3854222
https://www.independent.co.ug/kisoro-authorities-close-bunagana-border-amid-rebel-clashes-in-dr-congo/
https://chimpreports.com/drc-suspends-cross-border-trade-via-captured-bunagana-border/</x:v>
      </x:c>
      <x:c r="O168" s="4" t="str">
        <x:v>Source 1: search extract
Source 2: indexed excerpt
Source 3: indexed excerpt</x:v>
      </x:c>
      <x:c r="P168" s="20" t="n">
        <x:v>1</x:v>
      </x:c>
      <x:c r="Q168" s="4" t="str">
        <x:v>Great Lakes</x:v>
      </x:c>
      <x:c r="R168" s="4" t="str">
        <x:v>Included</x:v>
      </x:c>
    </x:row>
    <x:row r="169" ht="162" hidden="0" customHeight="1">
      <x:c r="A169" s="16" t="str">
        <x:v>GL10</x:v>
      </x:c>
      <x:c r="B169" s="4" t="str">
        <x:v>DRC election border closure extending beyond announced day at Mpondwe</x:v>
      </x:c>
      <x:c r="C169" s="4" t="str">
        <x:v>Democratic Republic of the Congo</x:v>
      </x:c>
      <x:c r="D169" s="4" t="str">
        <x:v>Mpondwe and DRC–Rwanda crossings
National order; observed Rwanda frontier and Mpondwe</x:v>
      </x:c>
      <x:c r="E169" s="4" t="str">
        <x:v>Passengers and trucks.
Direction: Both entry and exit.
Exceptions: Not established</x:v>
      </x:c>
      <x:c r="F169" s="4" t="str">
        <x:v>GL10-D1 — Observed operation
Mpondwe–Kasindi election interruption, confirmed still closed at 15:00 on December 21.
Start: 2023-12-19 to 2023-12-20.
Last confirmed: 2023-12-21. Reopening is not established.
confirmed through 2023-12-21; at least 1 calendar-day difference; reopening unknown</x:v>
      </x:c>
      <x:c r="G169"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169" s="4" t="str">
        <x:v>GL10-D1: The onset is bounded rather than forced to the national order. Its scheduled December 20 expiry was not actual local reopening. No final endpoint or persistence after the December 21 evidence is inferred.
end: Mpondwe final reopening is unknown after 21 December at 15:00.</x:v>
      </x:c>
      <x:c r="I169" s="4" t="str">
        <x:v>Full-record source audit (REC50-R25); accepted corrections; evidence limits retained.</x:v>
      </x:c>
      <x:c r="J169" s="18" t="d">
        <x:v>2026-10-25T00:00:00.000Z</x:v>
      </x:c>
      <x:c r="K169" s="21" t="str">
        <x:f>IFERROR(HYPERLINK("https://kt.cd/2023/12/19/election-generale-les-frontieres-vont-rester-fermees-dgm/","Kinshasa Times"),"Kinshasa Times")</x:f>
        <x:v>Kinshasa Times</x:v>
      </x:c>
      <x:c r="L169" s="21" t="str">
        <x:f>IFERROR(HYPERLINK("https://ugandaradionetwork.net/story/drc-elections-cargo-trucks-stuck-at-mpondwe","Uganda Radio Network"),"Uganda Radio Network")</x:f>
        <x:v>Uganda Radio Network</x:v>
      </x:c>
      <x:c r="M169" s="21" t="str">
        <x:f>IFERROR(HYPERLINK("https://www.trtafrika.com/francais/article/16306761","TRT Afrika"),"TRT Afrika")</x:f>
        <x:v>TRT Afrika</x:v>
      </x:c>
      <x:c r="N169" s="4" t="str">
        <x:v>https://kt.cd/2023/12/19/election-generale-les-frontieres-vont-rester-fermees-dgm/
https://ugandaradionetwork.net/story/drc-elections-cargo-trucks-stuck-at-mpondwe
https://www.trtafrika.com/francais/article/16306761
https://linterview.cd/fermeture-des-frontieres-de-la-rdc-pour-les-elections-generales-du-20-decembre/
https://ugandaradionetwork.net/story/dr-congo-closes-border-with-rwanda-over-presidential-polls
https://www.independent.co.ug/drc-elections-cargo-trucks-stuck-at-mpondwe/
https://congoprofond.net/elections-en-rdc-toutes-les-frontieres-fermees-ce-mercredi-20-decembre/
https://al24news.dz/fr/rd-congo-fermeture-des-frontieres-mercredi-a-loccasion-des-elections-generales/</x:v>
      </x:c>
      <x:c r="O169" s="4" t="str">
        <x:v>Source 1: search extract
Source 2: full text
Source 3: indexed extract</x:v>
      </x:c>
      <x:c r="P169" s="20" t="n">
        <x:v>1</x:v>
      </x:c>
      <x:c r="Q169" s="4" t="str">
        <x:v>Great Lakes</x:v>
      </x:c>
      <x:c r="R169" s="4" t="str">
        <x:v>Included</x:v>
      </x:c>
    </x:row>
    <x:row r="170" ht="162" hidden="0" customHeight="1">
      <x:c r="A170" s="16" t="str">
        <x:v>GL11</x:v>
      </x:c>
      <x:c r="B170" s="4" t="str">
        <x:v>Burundi reclosure of Rwanda frontier</x:v>
      </x:c>
      <x:c r="C170" s="4" t="str">
        <x:v>Burundi; Rwanda</x:v>
      </x:c>
      <x:c r="D170" s="4" t="str">
        <x:v>Ruhwa; Gasenyi–Nemba; Kanyaru
All Burundi–Rwanda land crossings</x:v>
      </x:c>
      <x:c r="E170" s="4" t="str">
        <x:v>People and goods; cross-border transport and markets interrupted.
Direction: Both directions affected, including stranded returnees.
Exceptions: Not established</x:v>
      </x:c>
      <x:c r="F170" s="4" t="str">
        <x:v>GL11-D1 — Observed operation
Ordinary Burundi–Rwanda land passage under Burundi's January 2024 reclosure.
Start: 2024-01-11.
Last confirmed: 2026-09-09. Reopening is not established.
confirmed through 2026-09-09; at least 972 calendar-day difference; reopening unknown</x:v>
      </x:c>
      <x:c r="G170"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Reported reason
Applies to: Recorded episode; exact overlap not separately established
The recorded rationale and claim assessment support the selected subcategories. All applicable broad categories are retained together; no primary rationale is imposed.</x:v>
      </x:c>
      <x:c r="H170" s="4" t="str">
        <x:v>GL11-D1: Later advice is not direct observation at every post. Special permissions are not exhaustively reconstructed. The period stops at the evidence date, not the research cutoff, and is not combined with the earlier political regime.</x:v>
      </x:c>
      <x:c r="I170" s="4" t="str">
        <x:v>Retained baseline assessment. Retained with recorded qualifications</x:v>
      </x:c>
      <x:c r="J170" s="18" t="d">
        <x:v>2026-10-23T00:00:00.000Z</x:v>
      </x:c>
      <x:c r="K170" s="21" t="str">
        <x:f>IFERROR(HYPERLINK("https://www.iwacu-burundi.org/burundi-rwanda-regain-de-tensions/","IWACU"),"IWACU")</x:f>
        <x:v>IWACU</x:v>
      </x:c>
      <x:c r="L170" s="21" t="str">
        <x:f>IFERROR(HYPERLINK("https://www.sosmediasburundi.org/2024/01/11/burundi-rwanda-les-autorites-burundaises-affirment-avoir-suspendu-toutes-les-relations-avec-le-president-paul-kagame-et-ferment-les-frontieres-avec-le-rwanda/","SOS Médias Burundi"),"SOS Médias Burundi")</x:f>
        <x:v>SOS Médias Burundi</x:v>
      </x:c>
      <x:c r="M170" s="21" t="str">
        <x:f>IFERROR(HYPERLINK("https://www.marketscreener.com/news/latest/Burundi-shuts-border-with-Rwanda-amid-spat-45726222/","MarketScreener"),"MarketScreener")</x:f>
        <x:v>MarketScreener</x:v>
      </x:c>
      <x:c r="N170" s="4" t="str">
        <x:v>https://www.iwacu-burundi.org/burundi-rwanda-regain-de-tensions/
https://www.sosmediasburundi.org/2024/01/11/burundi-rwanda-les-autorites-burundaises-affirment-avoir-suspendu-toutes-les-relations-avec-le-president-paul-kagame-et-ferment-les-frontieres-avec-le-rwanda/
https://www.marketscreener.com/news/latest/Burundi-shuts-border-with-Rwanda-amid-spat-45726222/
https://voyage.gc.ca/destinations/rwanda
https://www.aa.com.tr/en/africa/burundi-closes-border-with-rwanda-following-deadly-rebel-attack/3107010</x:v>
      </x:c>
      <x:c r="O170" s="4" t="str">
        <x:v>Source 1: full page
Source 2: full page
Source 3: full page</x:v>
      </x:c>
      <x:c r="P170" s="20" t="n">
        <x:v>1</x:v>
      </x:c>
      <x:c r="Q170" s="4" t="str">
        <x:v>Great Lakes</x:v>
      </x:c>
      <x:c r="R170" s="4" t="str">
        <x:v>Included</x:v>
      </x:c>
    </x:row>
    <x:row r="171" ht="342" hidden="0" customHeight="1">
      <x:c r="A171" s="16" t="str">
        <x:v>GL13</x:v>
      </x:c>
      <x:c r="B171" s="4" t="str">
        <x:v>Uganda closure of Bunagana and Ishasha adjoining M23-held territory</x:v>
      </x:c>
      <x:c r="C171" s="4" t="str">
        <x:v>Uganda; Democratic Republic of the Congo; Rwanda</x:v>
      </x:c>
      <x:c r="D171" s="4" t="str">
        <x:v>Bunagana; Ishasha; Busanza
Selected Ugandan crossings adjoining eastern DRC; separately, Goma-bound goods clearance via the named Uganda–Rwanda and Uganda–DRC routes</x:v>
      </x:c>
      <x:c r="E171" s="4" t="str">
        <x:v>Formal passenger/trade operations in the original phases; separately, goods heading to Goma via the four March3 clearance routes. Small-truck local exports and heavy international freight had different August4 access.
Direction: Not established
Exceptions: Previously reviewed informal Bunagana movement continued. March3 goods could be declared through unaffected posts; August4 reporting confirms small-truck local trade while heavy international traffic remained limited.</x:v>
      </x:c>
      <x:c r="F171" s="4" t="str">
        <x:v>GL13-D1 — Formal policy
Ugandan formal suspension of Bunagana and Ishasha operations, to the officially reported reactivation.
Start: 2025-01-01 to 2025-01-31.
Policy endpoint: 2025-07-10.
Formal policy: 160–190 calendar-day difference; operational continuity not established
GL13-R1 — Formal policy
Ugandan formal suspension at Busanza until presidential reopening permission on July 9.
Start: 2025-01-01 to 2025-01-31.
Policy endpoint: 2025-07-09.
Formal policy: 159–189 calendar-day difference; operational continuity not established
REC50-R26-GL13-P1 — Formal policy
URA formal routing restriction on Goma-bound goods clearance via Chanika, Katuna, Kyeshero and Ishasha
Start: 2025-03-03.
Last confirmed: 2025-03-05. Reopening is not established.
Formal policy: confirmed through 2025-03-05; at least 2 calendar-day difference; reopening unknown</x:v>
      </x:c>
      <x:c r="G171" s="4" t="str">
        <x:v>Security / Armed conflict and military confrontation
Analytical interpretation of reported context
Applies to: Prior analytical coding for GL13-D1 and GL13-R1; not a new attribution to REC50-R26-GL13-P1
The recorded rationale and claim assessment support the selected subcategories. All applicable broad categories are retained together; no primary rationale is imposed. REC50-R26 leaves the prior analytical Security attribution intact for the original phases. The new March memo reports a revenue-control concern; that attributed explanation is recorded in its phase evidence and is not transferred to the January campaign or given an unsupported new code.</x:v>
      </x:c>
      <x:c r="H171" s="4" t="str">
        <x:v>Exact late January onset unknown. Official reactivation at Bunagana and Ishasha on 10 July; reopening permission for Busanza on 9 July, with actual first passage unverified. Informal movement at Bunagana continued.
GL13-D1: The endpoint is official reactivation/ceremony, not independently observed first ordinary traffic at both posts. Informal Bunagana movement continued. The range is not an assertion that closure began on January 1. REC50-R26: the August4 mayor interview confirms small trucks in local trade, while heavy international trade had not resumed. That later limited passage neither proves a July10 first operational return nor dates the separate March3 goods-clearance rule. The article’s retrospective since-2021 wording is not used to replace this phase’s January2025 formal onset.
GL13-R1: The whole January bound encodes an unknown day in late January. Endpoint is the permission date, not first ordinary passage; no continuous physical seal inferred. Overlaps D1 only in calendar time and concerns a different post.
REC50-R26-GL13-P1: The March3,2025 URA memo is reported as immediately suspending Goma-bound goods clearance through Chanika, Katuna, Kyeshero and Ishasha, with declaration redirected to unaffected posts. The March5 report and named URA confirmation support a formal-policy minimum only. The attachment was inaccessible. No actual physical post closure, all-goods ban, July repeal or first restored clearance is inferred. Revenue-control reasoning belongs to this memo account and is not transferred to the original January campaign.
Original URA memo and matched goods-clearance restoration: The March3,2025 URA memo is reported as immediately suspending Goma-bound goods clearance through Chanika, Katuna, Kyeshero and Ishasha, with declaration redirected to unaffected posts. The March5 report and named URA confirmation support a formal-policy minimum only. The attachment was inaccessible. No actual physical post closure, all-goods ban, July repeal or first restored clearance is inferred. Revenue-control reasoning belongs to this memo account and is not transferred to the original January campaign.</x:v>
      </x:c>
      <x:c r="I171" s="4" t="str">
        <x:v>Targeted source review (REC50-R26); accepted qualification; evidence limits retained.</x:v>
      </x:c>
      <x:c r="J171" s="18" t="d">
        <x:v>2026-10-25T00:00:00.000Z</x:v>
      </x:c>
      <x:c r="K171" s="21" t="str">
        <x:f>IFERROR(HYPERLINK("https://www.aa.com.tr/en/africa/uganda-reopens-border-posts-with-dr-congo/3628319","Anadolu"),"Anadolu")</x:f>
        <x:v>Anadolu</x:v>
      </x:c>
      <x:c r="L171" s="21" t="str">
        <x:f>IFERROR(HYPERLINK("https://www.monitor.co.ug/uganda/news/national/uganda-reopens-bunagana-border-with-drc--5113572","Monitor"),"Monitor")</x:f>
        <x:v>Monitor</x:v>
      </x:c>
      <x:c r="M171" s="21" t="str">
        <x:f>IFERROR(HYPERLINK("https://ugandaradionetwork.net/story/uganda-reopens-border-posts-under-m23-control","Uganda Radio Network"),"Uganda Radio Network")</x:f>
        <x:v>Uganda Radio Network</x:v>
      </x:c>
      <x:c r="N171" s="4" t="str">
        <x:v>https://www.aa.com.tr/en/africa/uganda-reopens-border-posts-with-dr-congo/3628319
https://www.monitor.co.ug/uganda/news/national/uganda-reopens-bunagana-border-with-drc--5113572
https://ugandaradionetwork.net/story/uganda-reopens-border-posts-under-m23-control
https://www.monitor.co.ug/uganda/news/national/uganda-drc-border-trade-remains-stalled-despite-bunagana-reopening-5142662
https://www.independent.co.ug/uganda-reopens-border-posts-with-eastern-drc/
https://ugandaradionetwork.net/a/story.php?storyId=250653
https://ugandaradionetwork.net/a/file.php?fileId=392884</x:v>
      </x:c>
      <x:c r="O171" s="4" t="str">
        <x:v>Source 1: full page
Source 2: full page
Source 3: indexed extract</x:v>
      </x:c>
      <x:c r="P171" s="20" t="n">
        <x:v>3</x:v>
      </x:c>
      <x:c r="Q171" s="4" t="str">
        <x:v>Great Lakes</x:v>
      </x:c>
      <x:c r="R171" s="4" t="str">
        <x:v>Included</x:v>
      </x:c>
    </x:row>
    <x:row r="172" ht="162" hidden="0" customHeight="1">
      <x:c r="A172" s="16" t="str">
        <x:v>GL14</x:v>
      </x:c>
      <x:c r="B172" s="4" t="str">
        <x:v>Goma–Rubavu crossing interruption during M23 seizure of Goma</x:v>
      </x:c>
      <x:c r="C172" s="4" t="str">
        <x:v>Democratic Republic of the Congo; Rwanda</x:v>
      </x:c>
      <x:c r="D172" s="4" t="str">
        <x:v>Petite Barrière; Grande Barrière, with separate movement phases
Goma–Rubavu crossing area</x:v>
      </x:c>
      <x:c r="E172" s="4" t="str">
        <x:v>Ordinary crossing and cross-border trade.
Direction: Not established
Exceptions: AFP aid-worker source reports a few UN staff and families evacuated on morning of 27 January.</x:v>
      </x:c>
      <x:c r="F172" s="4" t="str">
        <x:v>GL14-R1 — Observed operation
Main Goma–Rubavu crossing, identified as Grande Barrière by the reopening account; refugee entry into Rwanda
Start: 2025-01-27.
Observed scoped reopening: 2025-01-28.
1 calendar-day difference; scoped endpoint only
GL14-R2 — Observed operation
Ordinary passenger and trade suspension at Petite Barrière during the Goma battle
Start: 2025-01-26.
Last confirmed: 2025-01-28. Reopening is not established.
confirmed through 2025-01-28; at least 2 calendar-day difference; reopening unknown</x:v>
      </x:c>
      <x:c r="G172"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172" s="4" t="str">
        <x:v>Petite state closure reported since 26 January, still not open early on 28 January; resumed by 4 February, exact date unknown. Grande 27–28 January refugee entry restriction is separate. Do not merge or sum overlapping phases.
GL14-R1: January 28 morning refugee admission ends this specific restriction; not full day inclusion. AFP unnamed main post is inferentially matched to Grande, identified by RFI as the principal post. UN evacuations and military surrenders excluded. RFI reprint fully retrieved in challenge; same origin as Seneweb. Ordinary passage at Petite remains separate.
GL14-R2: Confirmed only through early 28 January, not the whole day. Petite was later observed open by 4 February, but exact first opening is unknown; the Grande refugee opening cannot be transferred.
Petite endpoint: Exact first restoration of ordinary traffic is unknown.</x:v>
      </x:c>
      <x:c r="I172" s="4" t="str">
        <x:v>Retained baseline assessment. Amended after source reconciliation</x:v>
      </x:c>
      <x:c r="J172" s="18" t="d">
        <x:v>2026-10-23T00:00:00.000Z</x:v>
      </x:c>
      <x:c r="K172" s="21" t="str">
        <x:f>IFERROR(HYPERLINK("https://amp.dw.com/en/m23-rebels-goma-capture-congo-rwanda/a-71421575","DW"),"DW")</x:f>
        <x:v>DW</x:v>
      </x:c>
      <x:c r="L172" s="21" t="str">
        <x:f>IFERROR(HYPERLINK("https://www.seneweb.com/en/news/Afrique/-en-direct-rdc-calme-precaire-a-goma-des-ambassades-attaquees-par-des-manifestants-a-kinshasa_n_461793.html","Seneweb RFI reprint"),"Seneweb RFI reprint")</x:f>
        <x:v>Seneweb RFI reprint</x:v>
      </x:c>
      <x:c r="M172" s="21" t="str">
        <x:f>IFERROR(HYPERLINK("https://www.thiesinfo.com/En-direct-RDC-calme-precaire-a-Goma-des-ambassades-attaquees-par-des-manifestants-a-Kinshasa_a6010.html","Thiesinfo RFI reprint"),"Thiesinfo RFI reprint")</x:f>
        <x:v>Thiesinfo RFI reprint</x:v>
      </x:c>
      <x:c r="N172" s="4" t="str">
        <x:v>https://amp.dw.com/en/m23-rebels-goma-capture-congo-rwanda/a-71421575
https://www.seneweb.com/en/news/Afrique/-en-direct-rdc-calme-precaire-a-goma-des-ambassades-attaquees-par-des-manifestants-a-kinshasa_n_461793.html
https://www.thiesinfo.com/En-direct-RDC-calme-precaire-a-Goma-des-ambassades-attaquees-par-des-manifestants-a-Kinshasa_a6010.html
https://www.sosmediasburundi.org/en/2025/01/27/war-in-eastern-congo-kinshasa-went-to-complain-to-the-un-against-rwanda-which-it-accuses-of-having-sent-new-troops-to-the-drc/
https://www.newtimes.co.rw/article/23817/news/africa/rubavu-goma-border-crossing-returns-to-normal/amp</x:v>
      </x:c>
      <x:c r="O172" s="4" t="str">
        <x:v>Source 1: full
Source 2: indexed excerpt
Source 3: indexed excerpt</x:v>
      </x:c>
      <x:c r="P172" s="20" t="n">
        <x:v>2</x:v>
      </x:c>
      <x:c r="Q172" s="4" t="str">
        <x:v>Great Lakes</x:v>
      </x:c>
      <x:c r="R172" s="4" t="str">
        <x:v>Included</x:v>
      </x:c>
    </x:row>
    <x:row r="173" ht="186" hidden="0" customHeight="1">
      <x:c r="A173" s="16" t="str">
        <x:v>GL15</x:v>
      </x:c>
      <x:c r="B173" s="4" t="str">
        <x:v>Burundi closure of Gatumba after M23 capture of Uvira</x:v>
      </x:c>
      <x:c r="C173" s="4" t="str">
        <x:v>Burundi; Democratic Republic of the Congo</x:v>
      </x:c>
      <x:c r="D173" s="4" t="str">
        <x:v>Gatumba–Kavimvira
Gatumba–Kavimvira crossing</x:v>
      </x:c>
      <x:c r="E173" s="4" t="str">
        <x:v>Traders, transporters, patients and cross-border travellers.
Direction: Both directions affected.
Exceptions: Not established</x:v>
      </x:c>
      <x:c r="F173" s="4" t="str">
        <x:v>GL15-D1 — Observed operation
Ordinary passenger and trade closure at Gatumba–Kavimvira; outbound approach blocked on December 10, total closure confirmed on December 11.
Start: 2025-12-10 to 2025-12-11.
Observed scoped reopening: 2026-02-23.
Contested: dated evidence; numeric duration withheld; see qualification
Held evidence: excluded from numeric duration and animation displays.</x:v>
      </x:c>
      <x:c r="G173"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x:v>
      </x:c>
      <x:c r="H173" s="4" t="str">
        <x:v>Ordinary closure onset 10–11 December 2025: police blocked the outbound route on the 10th and total closure was confirmed on the 11th. The IWACU December 12 retrospective date conflicts. February 23 ordinary reopening preferred over the Burundi Eco late January claim because the February 2 report confirms continued closure; January official passage exception documented.
GL15-D1: IWACU on January 27 retrospectively dates closure to December 12, but DW observed total closure on December 11. Burundi Eco on March 6 claims late January reopening; the February 2 SOS official statement and stranded travellers instead confirm continued closure and a failed January promise. Prefer February 23 ordinary reopening; January official passage is an exception. Operating hours of 8–17 resumed; no endpoint for another post inferred.
onset and interim passage: Direction specific progression and conflicting retrospective accounts remain; reviewed bounds reflect stronger contemporary evidence.</x:v>
      </x:c>
      <x:c r="I173" s="4" t="str">
        <x:v>Retained baseline assessment. Amended after source reconciliation</x:v>
      </x:c>
      <x:c r="J173" s="18" t="d">
        <x:v>2026-10-23T00:00:00.000Z</x:v>
      </x:c>
      <x:c r="K173" s="21" t="str">
        <x:f>IFERROR(HYPERLINK("https://actualite.cd/2026/02/23/rdc-burundi-ouverture-du-poste-frontalier-de-gatumba-kavimvira-ce-lundi","Actualite.cd"),"Actualite.cd")</x:f>
        <x:v>Actualite.cd</x:v>
      </x:c>
      <x:c r="L173" s="21" t="str">
        <x:f>IFERROR(HYPERLINK("https://www.radiookapi.net/2026/02/23/actualite/societe/la-rdc-et-le-burundi-rouvrent-la-frontiere-commune-de-gatumba","Radio Okapi"),"Radio Okapi")</x:f>
        <x:v>Radio Okapi</x:v>
      </x:c>
      <x:c r="M173" s="21" t="str">
        <x:f>IFERROR(HYPERLINK("https://www.sosmediasburundi.org/2026/02/23/gatumba-uvira-une-frontiere-vitale-rouverte-entre-enjeux-securitaires-et-survie-economique/","SOS Médias Burundi"),"SOS Médias Burundi")</x:f>
        <x:v>SOS Médias Burundi</x:v>
      </x:c>
      <x:c r="N173" s="4" t="str">
        <x:v>https://actualite.cd/2026/02/23/rdc-burundi-ouverture-du-poste-frontalier-de-gatumba-kavimvira-ce-lundi
https://www.radiookapi.net/2026/02/23/actualite/societe/la-rdc-et-le-burundi-rouvrent-la-frontiere-commune-de-gatumba
https://www.sosmediasburundi.org/2026/02/23/gatumba-uvira-une-frontiere-vitale-rouverte-entre-enjeux-securitaires-et-survie-economique/
https://www.iwacu-burundi.org/la-fermeture-de-la-frontiere-de-gatumba-plonge-les-menages-dans-la-precarite/
https://amp.dw.com/fr/burundi-inqui%C3%A9tudes-%C3%A0-la-fronti%C3%A8re-avec-la-rdc/a-75096843
https://amp.dw.com/fr/est-rdc-burundi-crise-uvira-trafic-fronti%C3%A8re-burundaise/a-75117743
https://burundi-eco.com/frontiere-de-gatumba-la-reprise-des-flux-commerciaux/
https://www.sosmediasburundi.org/2026/02/03/burundi-rdc-la-frontiere-gatumba-kavimvira-reste-fermee-lespoir-seffondre/
https://www.radiookapi.net/node/281291</x:v>
      </x:c>
      <x:c r="O173" s="4" t="str">
        <x:v>Source 1: full page
Source 2: full page
Source 3: full page</x:v>
      </x:c>
      <x:c r="P173" s="20" t="n">
        <x:v>1</x:v>
      </x:c>
      <x:c r="Q173" s="4" t="str">
        <x:v>Great Lakes</x:v>
      </x:c>
      <x:c r="R173" s="4" t="str">
        <x:v>Included</x:v>
      </x:c>
    </x:row>
    <x:row r="174" ht="246" hidden="0" customHeight="1">
      <x:c r="A174" s="16" t="str">
        <x:v>GL18</x:v>
      </x:c>
      <x:c r="B174" s="4" t="str">
        <x:v>Burundi reported entry ban on travellers from AFC-M23 areas</x:v>
      </x:c>
      <x:c r="C174" s="4" t="str">
        <x:v>Burundi; Democratic Republic of the Congo</x:v>
      </x:c>
      <x:c r="D174" s="4" t="str">
        <x:v>Burundi entry points; restriction based on prior presence/transit in AFC-M23 areas</x:v>
      </x:c>
      <x:c r="E174" s="4" t="str">
        <x:v>People originating from or transiting AFC-M23-held territories, reportedly including UN personnel.
Direction: Entry into Burundi.
Exceptions: Not established</x:v>
      </x:c>
      <x:c r="F174" s="4" t="str">
        <x:v>No admissible dated phase. Duration and reopening remain unresolved.</x:v>
      </x:c>
      <x:c r="G174" s="4" t="str">
        <x:v>Security / Armed conflict and military confrontation
Attributed official justification
Applies to: Recorded episode; exact overlap not separately established
The security classification is retained for traceability. This record remains quarantined because actual implementation is unverified, and is excluded from analytical totals.</x:v>
      </x:c>
      <x:c r="H174" s="4" t="str">
        <x:v>Reference only: Correction pass: reviewed; see attribute findings
Broad ban announcement October 1 remains without verified effective date, written instrument or defined exceptions. Belgian foreign ministry September 28 advisory separately reports received testimony of land/air refusals for M23-issued/stamped documents; this verifies a narrower reported practice, not universal implementation of the October announcement.
No single combined duration is inferred. Unknown endpoints and continuity remain unresolved. Read each phase qualification and Audit review.
implementation: Fresh inspection confirms the broad October announcement still lacks an effective date or named-post implementation evidence. Earlier document-based refusals remain distinct. Retain quarantine and no phase.
Current onset finding: The recovered report still withholds effective date and implementation rules.
eligibility: Fresh inspection confirms the broad October announcement still lacks an effective date or named-post implementation evidence. Earlier document-based refusals remain distinct. Retain quarantine and no phase.
continuity: Earlier enhanced controls cannot prove this distinct ban was applied continuously.</x:v>
      </x:c>
      <x:c r="I174" s="4" t="str">
        <x:v>Full-record source audit (REC50-R05); completed with unresolved evidence; evidence limits retained.</x:v>
      </x:c>
      <x:c r="J174" s="18" t="d">
        <x:v>2026-10-25T00:00:00.000Z</x:v>
      </x:c>
      <x:c r="K174" s="21" t="str">
        <x:f>IFERROR(HYPERLINK("https://www.sosmediasburundi.org/2026/10/02/burundi-interdiction-dentree-pour-les-personnes-ayant-sejourne-dans-les-zones-controlees-par-lafc-m23/","SOS Médias Burundi"),"SOS Médias Burundi")</x:f>
        <x:v>SOS Médias Burundi</x:v>
      </x:c>
      <x:c r="L174" s="21" t="str">
        <x:f>IFERROR(HYPERLINK("https://diplomatie.belgium.be/fr/pays/burundi/voyager-au-burundi-conseils-aux-voyageurs/derniere-mise-jour-au-burundi","Belgian Federal Public Service Foreign Affairs"),"Belgian Federal Public Service Foreign Affairs")</x:f>
        <x:v>Belgian Federal Public Service Foreign Affairs</x:v>
      </x:c>
      <x:c r="M174" s="21" t="str">
        <x:f>IFERROR(HYPERLINK("https://www.sosmediasburundi.org/en/2026/10/05/burundi-entry-ban-for-people-who-have-stayed-in-areas-controlled-by-the-afc-m23/","SOS Médias Burundi"),"SOS Médias Burundi")</x:f>
        <x:v>SOS Médias Burundi</x:v>
      </x:c>
      <x:c r="N174" s="4" t="str">
        <x:v>https://www.sosmediasburundi.org/2026/10/02/burundi-interdiction-dentree-pour-les-personnes-ayant-sejourne-dans-les-zones-controlees-par-lafc-m23/
https://diplomatie.belgium.be/fr/pays/burundi/voyager-au-burundi-conseils-aux-voyageurs/derniere-mise-jour-au-burundi
https://www.sosmediasburundi.org/en/2026/10/05/burundi-entry-ban-for-people-who-have-stayed-in-areas-controlled-by-the-afc-m23/
https://kivumorningpost.com/2026/10/02/burundi-entree-interdite-aux-voyageurs-venant-des-zones-sous-controle-de-lafc-m23/</x:v>
      </x:c>
      <x:c r="O174" s="4" t="str">
        <x:v>Source 1: full text
Source 2: full text
Source 3: full page</x:v>
      </x:c>
      <x:c r="P174" s="20" t="n">
        <x:v>0</x:v>
      </x:c>
      <x:c r="Q174" s="4" t="str">
        <x:v>Great Lakes</x:v>
      </x:c>
      <x:c r="R174" s="4" t="str">
        <x:v>Reference only (excluded)</x:v>
      </x:c>
    </x:row>
    <x:row r="175" ht="282" hidden="0" customHeight="1">
      <x:c r="A175" s="16" t="str">
        <x:v>GL02</x:v>
      </x:c>
      <x:c r="B175" s="4" t="str">
        <x:v>Burundi restrictions on Rwanda border following political crisis</x:v>
      </x:c>
      <x:c r="C175" s="4" t="str">
        <x:v>Burundi; Rwanda</x:v>
      </x:c>
      <x:c r="D175" s="4" t="str">
        <x:v>Ruhwa; Kanyaru-Haut/Akanyaru Haut; Gasenyi-Nemba/Nemba (evidence differs by phase).
Burundi–Rwanda land frontier</x:v>
      </x:c>
      <x:c r="E175" s="4" t="str">
        <x:v>Passenger and small-trader restrictions varied by phase. March 2022 field reporting includes outbound Burundian traders, Burundian returnees and outbound Rwandans; later agency-vehicle transit was permitted.
Direction: Burundian controls restricted both entry and exit in observed March 2022 cases; no uniform direction established for entire regime.
Exceptions: Reported agency-vehicle entry/exit permission from Bukavu via Rwanda dated 29 August 2022 (RTNK; original order not retrieved). Burundi Eco issue 521, printed 2 September 2022, more specifically describes an Interior ministry letter of 29 August to the national police inspector general instructing permission for Mapassa Car Transit via Ruhwa for its Congolese and Burundian clients coming from DRC through Rwanda. Burundi Eco 16 September field reporting describes those passengers at Ruhwa. These preceded general ministry-permit relaxation observed 30 September.</x:v>
      </x:c>
      <x:c r="F175" s="4" t="str">
        <x:v>GL02-FU1 — Observed operation
Ruhwa: Burundian police prevent Burundians travelling to Rwanda
Start: unknown.
Last confirmed: 2022-03-07. Reopening is not established.
dated evidence; numeric duration withheld; see qualification</x:v>
      </x:c>
      <x:c r="G175" s="4" t="str">
        <x:v>Interstate disputes and pressure / Sanctions and coercive pressure
Reported reason
Applies to: Recorded episode; exact overlap not separately established
Extradition of alleged coup participants is the stated demand. The external pressure mechanism is coded without inferring a separate domestic closure objective.
Security / Unspecified security
Reported reason
Applies to: Recorded episode; exact overlap not separately established
Extradition of alleged coup participants is the stated demand. The external pressure mechanism is coded without inferring a separate domestic closure objective.</x:v>
      </x:c>
      <x:c r="H175" s="4" t="str">
        <x:v>GL02-FU1: Observation boundary only, not the original political-regime onset. Do not bridge this snapshot to September 30; limited bus permissions and other selective movements intervened.
original onset/continuity: Fresh March 7 on-site evidence permits a Ruhwa outbound-traveller observation only. Original onset and continuity remain unknown; August bus permission and September actual passages cannot form one universal closure interval.
duration: Fresh March 7 on-site evidence permits a Ruhwa outbound-traveller observation only. Original onset and continuity remain unknown; August bus permission and September actual passages cannot form one universal closure interval.</x:v>
      </x:c>
      <x:c r="I175" s="4" t="str">
        <x:v>Retained baseline assessment. Follow-up adjudicated; amend</x:v>
      </x:c>
      <x:c r="J175" s="18" t="d">
        <x:v>2026-10-23T00:00:00.000Z</x:v>
      </x:c>
      <x:c r="K175" s="21" t="str">
        <x:f>IFERROR(HYPERLINK("https://www.sosmediasburundi.org/2022/03/07/burundi-rwanda-le-rwanda-rouvre-ses-frontieres-terrestres-le-burundi-rechigne/","SOS Médias Burundi"),"SOS Médias Burundi")</x:f>
        <x:v>SOS Médias Burundi</x:v>
      </x:c>
      <x:c r="L175" s="21" t="str">
        <x:f>IFERROR(HYPERLINK("https://rtnk.org/grands-lacs-louverture-de-la-frontiere-de-ruhwa-entre-le-rwanda-et-le-burundi-fruits-dun-plaidoyer-des-autorites-locales/","Radio Télévision Ngoma ya Kivu"),"Radio Télévision Ngoma ya Kivu")</x:f>
        <x:v>Radio Télévision Ngoma ya Kivu</x:v>
      </x:c>
      <x:c r="M175" s="21" t="str">
        <x:f>IFERROR(HYPERLINK("https://www.sosmediasburundi.org/2022/09/30/burundi-rwanda-le-burundi-rouvre-ses-frontieres-avec-le-rwanda-mais-refuse-de-le-reconnaitre-officiellement/","SOS Médias Burundi"),"SOS Médias Burundi")</x:f>
        <x:v>SOS Médias Burundi</x:v>
      </x:c>
      <x:c r="N175" s="4" t="str">
        <x:v>https://www.sosmediasburundi.org/2022/03/07/burundi-rwanda-le-rwanda-rouvre-ses-frontieres-terrestres-le-burundi-rechigne/
https://rtnk.org/grands-lacs-louverture-de-la-frontiere-de-ruhwa-entre-le-rwanda-et-le-burundi-fruits-dun-plaidoyer-des-autorites-locales/
https://www.sosmediasburundi.org/2022/09/30/burundi-rwanda-le-burundi-rouvre-ses-frontieres-avec-le-rwanda-mais-refuse-de-le-reconnaitre-officiellement/
https://www.aa.com.tr/en/africa/burundi-reopens-its-borders-with-rwanda/2718763
https://www.sosmediasburundi.org/2020/03/15/le-burundi-ferme-ses-frontieres-avec-le-rwanda/
https://burundi-eco.com/regler-les-paiements-uniquement-en-monnaie-locale-une-mesure-qui-nest-pas-respectee-aux-frontieres/
https://www.sosmediasburundi.org/2022/10/25/rwanda-burundi-le-burundi-declare-avoir-reouvert-ses-frontieres-avec-le-rwanda/
https://www.africanews.com/2022/10/26/burundi-declares-border-with-rwanda-open-more-than-5-years-after-closure/
https://www.radiookapi.net/2020/03/16/actualite/sante/coronavirus-la-fermeture-de-la-frontiere-entre-le-burundi-et-le-rwanda
https://presidence.gov.bi/2022/03/les-chefs-detat-burundais-et-rwandais-determines-a-restaurer-les-relations-fraternelles/
https://burundi-eco.com/wp-content/uploads/2022/09/Journal-Burundi-Eco-nr-521-du-vendredi-03-Septembre-2022-Mailing.pdf
https://umuseke.rw/abarundi-bazindutse-baje-i-rusizi-basanga-umupaka-wa-ruhwa-ugifunze/
https://rpa.bi/index.php/mainarchive/item/6611-les-activites-paralysees-au-poste-frontiere-de-ruhwa-entre-le-burundi-et-le-rwanda-suite-a-des-tensions</x:v>
      </x:c>
      <x:c r="O175" s="4" t="str">
        <x:v>Source 1: indexed excerpt
Source 2: indexed excerpt
Source 3: full</x:v>
      </x:c>
      <x:c r="P175" s="20" t="n">
        <x:v>1</x:v>
      </x:c>
      <x:c r="Q175" s="4" t="str">
        <x:v>Great Lakes</x:v>
      </x:c>
      <x:c r="R175" s="4" t="str">
        <x:v>Included</x:v>
      </x:c>
    </x:row>
    <x:row r="176" ht="78" hidden="0" customHeight="1">
      <x:c r="A176" s="16" t="str">
        <x:v>H02</x:v>
      </x:c>
      <x:c r="B176" s="4" t="str">
        <x:v>Ethiopia Eritrea war-related closure ending in partial reopening in 2018</x:v>
      </x:c>
      <x:c r="C176" s="4" t="str">
        <x:v>Ethiopia; Eritrea</x:v>
      </x:c>
      <x:c r="D176" s="4" t="str">
        <x:v>Bure Debay Sima and Zalambessa Serha</x:v>
      </x:c>
      <x:c r="E176" s="4" t="str">
        <x:v>Road travellers and goods
Direction: Not established</x:v>
      </x:c>
      <x:c r="F176" s="4" t="str">
        <x:v>H02-D1 — Observed operation
Ordinary passage at Bure–Debay Sima and Zalambessa–Serha, to the September 2018 opening and reunions.
Start: 1998-01-01 to 1998-12-31.
Observed scoped reopening: 2018-09-11.
7194–7558 calendar-day difference; scoped endpoint only</x:v>
      </x:c>
      <x:c r="G176"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176" s="4" t="str">
        <x:v>H02-D1: Only year precision is supported at onset, so the full year is retained. Other crossings and every traveller category are not assigned the same endpoint; later reclosures are separate episodes.</x:v>
      </x:c>
      <x:c r="I176" s="4" t="str">
        <x:v>Targeted source review (REC50-R49); accepted corrections; evidence limits retained.</x:v>
      </x:c>
      <x:c r="J176" s="18" t="d">
        <x:v>2026-10-25T00:00:00.000Z</x:v>
      </x:c>
      <x:c r="K176" s="21" t="str">
        <x:f>IFERROR(HYPERLINK("https://www.investing.com/news/world-news/ethiopian-eritrean-leaders-visit-border-together-to-celebrate-ethiopian-new-year-1605162","Reuters via Investing.com"),"Reuters via Investing.com")</x:f>
        <x:v>Reuters via Investing.com</x:v>
      </x:c>
      <x:c r="L176" s="21" t="str">
        <x:f>IFERROR(HYPERLINK("https://www.egyptindependent.com/ethiopian-eritrean-leaders-officially-open-their-border/","Associated Press via Egypt Independent"),"Associated Press via Egypt Independent")</x:f>
        <x:v>Associated Press via Egypt Independent</x:v>
      </x:c>
      <x:c r="M176" s="21" t="str">
        <x:f>IFERROR(HYPERLINK("https://shabait.com/amp/2018/09/11/roads-connecting-eritrea-and-ethiopia-re-opened/","Eritrea Ministry of Information"),"Eritrea Ministry of Information")</x:f>
        <x:v>Eritrea Ministry of Information</x:v>
      </x:c>
      <x:c r="N176" s="4" t="str">
        <x:v>https://www.investing.com/news/world-news/ethiopian-eritrean-leaders-visit-border-together-to-celebrate-ethiopian-new-year-1605162
https://www.egyptindependent.com/ethiopian-eritrean-leaders-officially-open-their-border/
https://shabait.com/amp/2018/09/11/roads-connecting-eritrea-and-ethiopia-re-opened/</x:v>
      </x:c>
      <x:c r="O176" s="4" t="str">
        <x:v>Source 1: full; full text
Source 2: full; full text
Source 3: full; full text</x:v>
      </x:c>
      <x:c r="P176" s="20" t="n">
        <x:v>1</x:v>
      </x:c>
      <x:c r="Q176" s="4" t="str">
        <x:v>Horn of Africa</x:v>
      </x:c>
      <x:c r="R176" s="4" t="str">
        <x:v>Included</x:v>
      </x:c>
    </x:row>
    <x:row r="177" ht="330" hidden="0" customHeight="1">
      <x:c r="A177" s="16" t="str">
        <x:v>H06</x:v>
      </x:c>
      <x:c r="B177" s="4" t="str">
        <x:v>Sudan South Sudan prolonged restrictions on designated crossings</x:v>
      </x:c>
      <x:c r="C177" s="4" t="str">
        <x:v>Sudan; South Sudan</x:v>
      </x:c>
      <x:c r="D177" s="4" t="str">
        <x:v>Jebeleen Renk; Meiram Aweil; Buram Tumsah; Kharsana Panakuac</x:v>
      </x:c>
      <x:c r="E177" s="4" t="str">
        <x:v>Road passengers and cross-border trade
Direction: Not established</x:v>
      </x:c>
      <x:c r="F177" s="4" t="str">
        <x:v>No admissible dated phase. Duration and reopening remain unresolved.</x:v>
      </x:c>
      <x:c r="G177" s="4" t="str">
        <x:v>Security / Armed conflict and military confrontation
Analytical interpretation of reported context
Applies to: Recorded episode; exact overlap not separately established
Retained as analytical conflict context. The January 2016 account describes rebellion and attributed allegations of support; it does not establish the official motive, continuity or affected cohort at every crossing during the study window.
Interstate disputes and pressure / Territorial and frontier disputes
Analytical interpretation of reported context
Applies to: Recorded episode; exact overlap not separately established
Retained as historical analytical frontier-dispute context, not newly certified as a specific official motive at every listed post. Functioning corridors and failed opening plans do not establish a uniform territorial-motive restriction through the study window.
Interstate disputes and pressure / Diplomatic disputes and retaliation
Analytical interpretation of reported context
Applies to: Recorded episode; exact overlap not separately established
Retained as analytical bilateral-dispute context. Reopening decrees, security arrangements and stalled negotiations do not establish one continuous retaliatory closure or the motive of each crossing-specific restriction.</x:v>
      </x:c>
      <x:c r="H177" s="4" t="str">
        <x:v>No common 2011–2021 closure interval. January 2016 reopening order and UN April 26 2021 report of four functioning corridors, including Meiram–Aweil after COVID closure, must be preserved. October failed official launch and local trade difficulties do not negate that operation. Later crossing-specific status unresolved.
No single combined duration is inferred. Unknown endpoints and continuity remain unresolved. Read each phase qualification and Audit review.
crossing-specific chronology: Fresh operational evidence reinforces the existing no-common-interval conclusion; neither each crossing’s closed spell nor subsequent reopening is established.
duration: Fresh operational evidence reinforces the existing no-common-interval conclusion; neither each crossing’s closed spell nor subsequent reopening is established.
onset: Sudan Tribune's January 2016 account records a presidential reopening decree and says closure began June 2011. The 2021 page now yields unrelated/paywalled material and UN access failed, so neither a post-2016 continuous closure nor a specific reopening can be freshly established. Keeping this undated is appropriate pending implementation evidence.
endpoint: Sudan Tribune's January 2016 account records a presidential reopening decree and says closure began June 2011. The 2021 page now yields unrelated/paywalled material and UN access failed, so neither a post-2016 continuous closure nor a specific reopening can be freshly established. Keeping this undated is appropriate pending implementation evidence.
continuity: Sudan Tribune's January 2016 account records a presidential reopening decree and says closure began June 2011. The 2021 page now yields unrelated/paywalled material and UN access failed, so neither a post-2016 continuous closure nor a specific reopening can be freshly established. Keeping this undated is appropriate pending implementation evidence.</x:v>
      </x:c>
      <x:c r="I177" s="4" t="str">
        <x:v>Full-record source audit (REC50-R40); accepted corrections; evidence limits retained.</x:v>
      </x:c>
      <x:c r="J177" s="18" t="d">
        <x:v>2026-10-25T00:00:00.000Z</x:v>
      </x:c>
      <x:c r="K177" s="21" t="str">
        <x:f>IFERROR(HYPERLINK("https://sudantribune.com/article/56186","Sudan Tribune"),"Sudan Tribune")</x:f>
        <x:v>Sudan Tribune</x:v>
      </x:c>
      <x:c r="L177" s="21" t="str">
        <x:f>IFERROR(HYPERLINK("https://mixedmigration.org/wp-content/uploads/2018/05/ms-ea-1603.pdf","Regional Mixed Migration Secretariat"),"Regional Mixed Migration Secretariat")</x:f>
        <x:v>Regional Mixed Migration Secretariat</x:v>
      </x:c>
      <x:c r="M177" s="21" t="str">
        <x:f>IFERROR(HYPERLINK("https://www.securitycouncilreport.org/atf/cf/%7B65BFCF9B-6D27-4E9C-8CD3-CF6E4FF96FF9%7D/S_2021_408_E.pdf","United Nations"),"United Nations")</x:f>
        <x:v>United Nations</x:v>
      </x:c>
      <x:c r="N177" s="4" t="str">
        <x:v>https://sudantribune.com/article/56186
https://mixedmigration.org/wp-content/uploads/2018/05/ms-ea-1603.pdf
https://www.securitycouncilreport.org/atf/cf/%7B65BFCF9B-6D27-4E9C-8CD3-CF6E4FF96FF9%7D/S_2021_408_E.pdf
https://www.voaafrica.com/a/sudan-threatens-to-close-borders-with-south-sudan-again/3241864.html
https://www.radiotamazuj.org/en/news/article/south-sudan-sudan-border-reopening-stalled
https://www.sudanspost.com/cross-border-trade-between-sudan-south-sudan-starts-ahead-of-official-opening/
https://digitallibrary.un.org/nanna/record/3927417/files/S_2021_408-EN.pdf?registerDownload=1&amp;version=1&amp;withMetadata=0&amp;withWatermark=0
https://www.theeastafrican.co.ke/tea/news/east-africa/sudan-south-sudan-to-reopen-borders-3521412
https://www.unmissions.org/en/dppa/speeches-and-statements/special-envoy-of-the-secretary-general-for-the-horn-of-africa-parfait
https://www.radiotamazuj.org/en/news/article/south-sudan-sudan-to-reopen-4-border-points</x:v>
      </x:c>
      <x:c r="O177" s="4" t="str">
        <x:v>Source 1: full; full text
Source 2: indexed excerpt
Source 3: full</x:v>
      </x:c>
      <x:c r="P177" s="20" t="n">
        <x:v>0</x:v>
      </x:c>
      <x:c r="Q177" s="4" t="str">
        <x:v>Horn of Africa</x:v>
      </x:c>
      <x:c r="R177" s="4" t="str">
        <x:v>Included</x:v>
      </x:c>
    </x:row>
    <x:row r="178" ht="198" hidden="0" customHeight="1">
      <x:c r="A178" s="16" t="str">
        <x:v>H01</x:v>
      </x:c>
      <x:c r="B178" s="4" t="str">
        <x:v>Kenya Somalia security closure continuing into research window</x:v>
      </x:c>
      <x:c r="C178" s="4" t="str">
        <x:v>Kenya; Somalia</x:v>
      </x:c>
      <x:c r="D178" s="4" t="str">
        <x:v>Mandera Belet Hawo; Liboi Dhobley; Kiunga Ras Kamboni</x:v>
      </x:c>
      <x:c r="E178" s="4" t="str">
        <x:v>General land passenger and commercial movements
Direction: Not established
Exceptions: Miraa road-export permission at Mandera, Liboi and Kiunga reported by 6 February 2026; exact effective date and first passage unverified. Informal passage also reported.</x:v>
      </x:c>
      <x:c r="F178" s="4" t="str">
        <x:v>H01-D1 — Formal policy
Kenya's formal Somalia-frontier closure regime at the named strategic posts, not a claim of impermeable physical enforcement.
Start: 2011-10-01 to 2011-10-31.
Last confirmed: 2026-05-14. Reopening is not established.
Formal policy: confirmed through 2026-05-14; at least 5309 calendar-day difference; reopening unknown</x:v>
      </x:c>
      <x:c r="G178" s="4" t="str">
        <x:v>Security / Armed attacks and terrorism
Reported reason
Applies to: Initial regime and 2023 postponed reopening
Al-Shabaab attacks explicitly cited.
Security / Armed conflict and military confrontation
Attributed official justification
Applies to: 2026 failed general reopening
Ruto attributes delay to Somali army–Jubaland fighting; not assumed throughout 2011–2026.
Security / Smuggling and illicit trafficking
Reported reason
Applies to: Retrospective account of initial closure
Citizen separately reports illicit weapons and contraband smuggling as reason; original order not retrieved.</x:v>
      </x:c>
      <x:c r="H178" s="4" t="str">
        <x:v>H01-D1: Formal general regime, not impermeable physical enforcement. Some posts described as closed only on paper. By 6 February 2026, Interior PS letter reported permission for miraa exports by road at Mandera, Liboi and Kiunga; exact effective day and first traffic unverified. 2007 asylum measure separate. No status after 14 May 2026 inferred.</x:v>
      </x:c>
      <x:c r="I178" s="4" t="str">
        <x:v>Retained baseline assessment. Amended after source reconciliation</x:v>
      </x:c>
      <x:c r="J178" s="18" t="d">
        <x:v>2026-10-23T00:00:00.000Z</x:v>
      </x:c>
      <x:c r="K178" s="21" t="str">
        <x:f>IFERROR(HYPERLINK("https://www.mod.go.ke/our-community/cs-duale-leads-high-profile-delegation-seeking-to-reopen-kenya-somalia-border/","mod.go.ke"),"mod.go.ke")</x:f>
        <x:v>mod.go.ke</x:v>
      </x:c>
      <x:c r="L178" s="21" t="str">
        <x:f>IFERROR(HYPERLINK("https://www.africanews.com/2023/07/05/kenya-postpones-reopening-of-border-with-somalia/","Africanews"),"Africanews")</x:f>
        <x:v>Africanews</x:v>
      </x:c>
      <x:c r="M178" s="21" t="str">
        <x:f>IFERROR(HYPERLINK("https://citizen.digital/article/president-ruto-why-we-have-not-re-opened-kenya-somalia-border-n382701","citizen.digital"),"citizen.digital")</x:f>
        <x:v>citizen.digital</x:v>
      </x:c>
      <x:c r="N178" s="4" t="str">
        <x:v>https://www.mod.go.ke/our-community/cs-duale-leads-high-profile-delegation-seeking-to-reopen-kenya-somalia-border/
https://www.africanews.com/2023/07/05/kenya-postpones-reopening-of-border-with-somalia/
https://citizen.digital/article/president-ruto-why-we-have-not-re-opened-kenya-somalia-border-n382701
https://www.amnesty.org/en/documents/afr32/002/2007/en/
https://www.kenyans.co.ke/news/120534-interior-ministry-announces-reopening-kenya-somalia-border-miraa-traders</x:v>
      </x:c>
      <x:c r="O178" s="4" t="str">
        <x:v>Source 1: full
Source 2: search extract
Source 3: full</x:v>
      </x:c>
      <x:c r="P178" s="20" t="n">
        <x:v>1</x:v>
      </x:c>
      <x:c r="Q178" s="4" t="str">
        <x:v>Horn of Africa</x:v>
      </x:c>
      <x:c r="R178" s="4" t="str">
        <x:v>Included</x:v>
      </x:c>
    </x:row>
    <x:row r="179" ht="282" hidden="0" customHeight="1">
      <x:c r="A179" s="16" t="str">
        <x:v>H05</x:v>
      </x:c>
      <x:c r="B179" s="4" t="str">
        <x:v>Sudan closes Eritrea border under emergency order</x:v>
      </x:c>
      <x:c r="C179" s="4" t="str">
        <x:v>Sudan; Eritrea</x:v>
      </x:c>
      <x:c r="D179" s="4" t="str">
        <x:v>All Eritrea border crossings</x:v>
      </x:c>
      <x:c r="E179" s="4" t="str">
        <x:v>Border movements covered by the all-crossings order
Direction: Not established</x:v>
      </x:c>
      <x:c r="F179" s="4" t="str">
        <x:v>H05-R1 — Formal policy
Sudan order restricting Eritrea land crossings before presidential reopening announcement
Start: 2018-01-05.
Last confirmed: 2019-01-31. Reopening is not established.
Formal policy: confirmed through 2019-01-31; at least 391 calendar-day difference; reopening unknown</x:v>
      </x:c>
      <x:c r="G179" s="4" t="str">
        <x:v>Security / Smuggling and illicit trafficking
Attributed official justification
Applies to: January 2018 emergency/closure
Illegal drugs and human trafficking cited in emergency explanation underlying order.
Security / Crime and law enforcement
Attributed official justification
Applies to: January 2018 emergency/closure
Collection of illicit arms is distinct disarmament/law-enforcement purpose, not duplicated trafficking.
Security / Armed conflict and military confrontation
Reported reason
Applies to: January 2019 retrospective account of 2018 closure
Hostile rebel military activity allegedly supported by Asmara; allegation, not established responsibility.
Interstate disputes and pressure / Diplomatic disputes and retaliation
Analytical interpretation of reported context
Applies to: Bilateral closure/reopening context
Mutual harbouring accusations and normalisation talks; not proof of exclusive original motive.</x:v>
      </x:c>
      <x:c r="H179" s="4" t="str">
        <x:v>H05-R1: Last-confirmed date denotes the dated retrospective account, not a reopening. No all-post physical enforcement claim; later implementation remained unsettled.
actual endpoint: Announcements and procedural talks do not establish restored ordinary passage.</x:v>
      </x:c>
      <x:c r="I179" s="4" t="str">
        <x:v>Full-record source audit (REC50-R05); retained with recorded qualifications; evidence limits retained.</x:v>
      </x:c>
      <x:c r="J179" s="18" t="d">
        <x:v>2026-10-25T00:00:00.000Z</x:v>
      </x:c>
      <x:c r="K179" s="21" t="str">
        <x:f>IFERROR(HYPERLINK("https://sudantribune.com/article/62589","Sudan Tribune"),"Sudan Tribune")</x:f>
        <x:v>Sudan Tribune</x:v>
      </x:c>
      <x:c r="L179" s="21" t="str">
        <x:f>IFERROR(HYPERLINK("https://www.aa.com.tr/en/africa/sudan-to-reopen-eritrea-border-after-one-year-closure/1379896","Anadolu Agency"),"Anadolu Agency")</x:f>
        <x:v>Anadolu Agency</x:v>
      </x:c>
      <x:c r="M179" s="21" t="str">
        <x:f>IFERROR(HYPERLINK("https://sudantribune.com/article/65883","Sudan Tribune"),"Sudan Tribune")</x:f>
        <x:v>Sudan Tribune</x:v>
      </x:c>
      <x:c r="N179" s="4" t="str">
        <x:v>https://sudantribune.com/article/62589
https://www.aa.com.tr/en/africa/sudan-to-reopen-eritrea-border-after-one-year-closure/1379896
https://sudantribune.com/article/65883
https://sudantribune.com/article/65138
https://www.xinhuanet.com/english/2018-01/07/c_136876957.htm</x:v>
      </x:c>
      <x:c r="O179" s="4" t="str">
        <x:v>Source 1: full; full text
Source 2: full; full text
Source 3: full; full text</x:v>
      </x:c>
      <x:c r="P179" s="20" t="n">
        <x:v>1</x:v>
      </x:c>
      <x:c r="Q179" s="4" t="str">
        <x:v>Horn of Africa</x:v>
      </x:c>
      <x:c r="R179" s="4" t="str">
        <x:v>Included</x:v>
      </x:c>
    </x:row>
    <x:row r="180" ht="210" hidden="0" customHeight="1">
      <x:c r="A180" s="16" t="str">
        <x:v>H03</x:v>
      </x:c>
      <x:c r="B180" s="4" t="str">
        <x:v>Eritrean restrictions at Zalambessa and Rama in December2018</x:v>
      </x:c>
      <x:c r="C180" s="4" t="str">
        <x:v>Eritrea; Ethiopia</x:v>
      </x:c>
      <x:c r="D180" s="4" t="str">
        <x:v>Serha Zalambessa and Ksadika Rama</x:v>
      </x:c>
      <x:c r="E180" s="4" t="str">
        <x:v>Ethiopian citizens and Ethiopian vehicles entering Eritrea
Direction: Entry to Eritrea selectively restricted
Exceptions: Reuters reports Eritreans could enter Eritrea and Ethiopians could leave.</x:v>
      </x:c>
      <x:c r="F180" s="4" t="str">
        <x:v>H03-D1 — Observed operation
Ethiopian entry into Eritrea at Zalambessa–Serha, through Reuters's December 28 resident account.
Start: 2018-12-26 to 2018-12-27.
Last confirmed: 2018-12-28. Reopening is not established.
confirmed through 2018-12-28; at least 1 calendar-day difference; reopening unknown
H03-R1 — Observed operation
Ethiopian citizens and Ethiopian-licensed vehicles entering Eritrea at Rama without newly required permits.
Start: 2018-12-26 to 2018-12-27.
Last confirmed: 2018-12-28. Reopening is not established.
confirmed through 2018-12-28; at least 1 calendar-day difference; reopening unknown</x:v>
      </x:c>
      <x:c r="G180" s="4" t="str">
        <x:v>Uncoded / Unresolved rationale
Not assigned
Applies to: Not assigned
No additional motive inferred</x:v>
      </x:c>
      <x:c r="H180" s="4" t="str">
        <x:v>Contemporary reports disagree on exact December 26–27 onset at Zalambessa and Rama. Reuters allows Eritrean entry and Ethiopian exit, while The Reporter describes broader trader difficulties. Both crossings have full report support; no terminal reopening established.
H03-D1: Zalambessa direction timed only. Reuters reports Eritrean entry and Ethiopian exit allowed; The Reporter describes broader trader return difficulties. Preserve this scope disagreement without claiming universal closure. No reopening or later continuity inferred.
H03-R1: Entry restriction with permit and nationality distinctions, not ordinary checks or proof of a complete bilateral seal. Last confirmation is not reopening. Exact onset differs between contemporary accounts.
exact onset and directional exceptions: Retain December 26–27 bounds, directional qualifications and uncoded rationale. The fresh source pass did not recover a dated Eritrean order or supported closure purpose.
rationale: Retain December 26–27 bounds, directional qualifications and uncoded rationale. The fresh source pass did not recover a dated Eritrean order or supported closure purpose.</x:v>
      </x:c>
      <x:c r="I180" s="4" t="str">
        <x:v>Targeted source review (REC50-R04); retained with recorded qualifications; evidence limits retained.</x:v>
      </x:c>
      <x:c r="J180" s="18" t="d">
        <x:v>2026-10-25T00:00:00.000Z</x:v>
      </x:c>
      <x:c r="K180" s="21" t="str">
        <x:f>IFERROR(HYPERLINK("https://www.euronews.com/2018/12/28/eritrea-closes-border-crossing-to-ethiopians-residents-say","Euronews"),"Euronews")</x:f>
        <x:v>Euronews</x:v>
      </x:c>
      <x:c r="L180" s="21" t="str">
        <x:f>IFERROR(HYPERLINK("https://www.euaa.europa.eu/sites/default/files/publications/2019_EASO_COI_Eritrea_National_service_exit_and_return.pdf","EUAA EASO"),"EUAA EASO")</x:f>
        <x:v>EUAA EASO</x:v>
      </x:c>
      <x:c r="M180" s="21" t="str">
        <x:f>IFERROR(HYPERLINK("https://www.thereporterethiopia.com/7111/","The Reporter Ethiopia"),"The Reporter Ethiopia")</x:f>
        <x:v>The Reporter Ethiopia</x:v>
      </x:c>
      <x:c r="N180" s="4" t="str">
        <x:v>https://www.euronews.com/2018/12/28/eritrea-closes-border-crossing-to-ethiopians-residents-say
https://www.euaa.europa.eu/sites/default/files/publications/2019_EASO_COI_Eritrea_National_service_exit_and_return.pdf
https://www.thereporterethiopia.com/7111/
https://www.voanews.com/amp/eritrea-shuts-border-crossing-to-ethiopians-official-residents-say-/4720779.html</x:v>
      </x:c>
      <x:c r="O180" s="4" t="str">
        <x:v>Source 1: full page
Source 2: search extract
Source 3: full text</x:v>
      </x:c>
      <x:c r="P180" s="20" t="n">
        <x:v>2</x:v>
      </x:c>
      <x:c r="Q180" s="4" t="str">
        <x:v>Horn of Africa</x:v>
      </x:c>
      <x:c r="R180" s="4" t="str">
        <x:v>Included</x:v>
      </x:c>
    </x:row>
    <x:row r="181" ht="150" hidden="0" customHeight="1">
      <x:c r="A181" s="16" t="str">
        <x:v>H04</x:v>
      </x:c>
      <x:c r="B181" s="4" t="str">
        <x:v>Eritrean closure of remaining Ethiopia road crossings in April2019</x:v>
      </x:c>
      <x:c r="C181" s="4" t="str">
        <x:v>Eritrea; Ethiopia</x:v>
      </x:c>
      <x:c r="D181" s="4" t="str">
        <x:v>Omhajer Humera then Debay Sima Bure</x:v>
      </x:c>
      <x:c r="E181" s="4" t="str">
        <x:v>Road movement of people and trade
Direction: Eritrean-side restrictions; Omhajer specifically denied non-Eritrean entry, while Ethiopia allowed Eritreans to enter.
Exceptions: At Omhajer, Eritrean Press as relayed by Borkena says Ethiopia continued admitting Eritrean nationals. This exception is not established for Bure; no general freight exemption inferred.</x:v>
      </x:c>
      <x:c r="F181" s="4" t="str">
        <x:v>H04-D1 — Observed operation
Bure–Debay Sima ordinary road-crossing closure, through the dated April 27 account.
Start: 2019-04-22.
Last confirmed: 2019-04-27. Reopening is not established.
confirmed through 2019-04-27; at least 5 calendar-day difference; reopening unknown</x:v>
      </x:c>
      <x:c r="G181" s="4" t="str">
        <x:v>Uncoded / Unresolved rationale
Not assigned
Applies to: Not assigned
No additional motive inferred</x:v>
      </x:c>
      <x:c r="H181" s="4" t="str">
        <x:v>Exact Omhajer onset remains unknown: contemporary April 18 reporting precedes the secondary April 19 chronology. Bure April 22 timing is separately supported. Reporter December 2019 typo is disregarded; April 6 legal-arrangements statement predates these extensions. No reopening established.
H04-D1: Omhajer's earlier April phase is not given the same onset. The article's impossible December 2019 retrospective typo is not used. No reopening or continuation after April 27 is inferred.
Omhajer onset: Retain Bure’s separately supported April 22 phase, Omhajer onset uncertainty, and no rationale code for April extensions. No new closure order or direct explanation was recovered.
rationale: Retain Bure’s separately supported April 22 phase, Omhajer onset uncertainty, and no rationale code for April extensions. No new closure order or direct explanation was recovered.</x:v>
      </x:c>
      <x:c r="I181" s="4" t="str">
        <x:v>Targeted source review (REC50-R37); accepted corrections; evidence limits retained.</x:v>
      </x:c>
      <x:c r="J181" s="18" t="d">
        <x:v>2026-10-25T00:00:00.000Z</x:v>
      </x:c>
      <x:c r="K181" s="21" t="str">
        <x:f>IFERROR(HYPERLINK("https://www.thereporterethiopia.com/7882/","The Reporter Ethiopia"),"The Reporter Ethiopia")</x:f>
        <x:v>The Reporter Ethiopia</x:v>
      </x:c>
      <x:c r="L181" s="21" t="str">
        <x:f>IFERROR(HYPERLINK("https://somalilandstandard.com/eritrea-closes-assab-road-to-ethiopia/","Somaliland Standard / Eritrean Press"),"Somaliland Standard / Eritrean Press")</x:f>
        <x:v>Somaliland Standard / Eritrean Press</x:v>
      </x:c>
      <x:c r="M181" s="21" t="str">
        <x:f>IFERROR(HYPERLINK("https://borkena.com/eritrea-closes-ethiopian-border-along-omhajer-humera/","Borkena / Eritrean Press"),"Borkena / Eritrean Press")</x:f>
        <x:v>Borkena / Eritrean Press</x:v>
      </x:c>
      <x:c r="N181" s="4" t="str">
        <x:v>https://www.thereporterethiopia.com/7882/
https://somalilandstandard.com/eritrea-closes-assab-road-to-ethiopia/
https://borkena.com/eritrea-closes-ethiopian-border-along-omhajer-humera/
https://www.euaa.europa.eu/sites/default/files/publications/2019_EASO_COI_Eritrea_National_service_exit_and_return.pdf
https://www.africanews.com/amp/2019/04/23/eritrea-shuts-all-borders-with-ethiopia-unilaterally/</x:v>
      </x:c>
      <x:c r="O181" s="4" t="str">
        <x:v>Source 1: full text
Source 2: full text
Source 3: full text</x:v>
      </x:c>
      <x:c r="P181" s="20" t="n">
        <x:v>1</x:v>
      </x:c>
      <x:c r="Q181" s="4" t="str">
        <x:v>Horn of Africa</x:v>
      </x:c>
      <x:c r="R181" s="4" t="str">
        <x:v>Included</x:v>
      </x:c>
    </x:row>
    <x:row r="182" ht="126" hidden="0" customHeight="1">
      <x:c r="A182" s="16" t="str">
        <x:v>H19</x:v>
      </x:c>
      <x:c r="B182" s="4" t="str">
        <x:v>Sudan land-border closure during April2019 military takeover</x:v>
      </x:c>
      <x:c r="C182" s="4" t="str">
        <x:v>Sudan; Egypt; Libya; Chad; Central African Republic; South Sudan; Ethiopia; Eritrea</x:v>
      </x:c>
      <x:c r="D182" s="4" t="str">
        <x:v>National order; Arqin specifically verified
National closure order; observed land impact at Egypt frontier and partial relaxation at Arqin</x:v>
      </x:c>
      <x:c r="E182" s="4" t="str">
        <x:v>National order broad; Egyptian passengers and students at Arqin specifically documented
Direction: Not established
Exceptions: Limited facilitated exit at Arqin from 13 April; other exceptions unestablished</x:v>
      </x:c>
      <x:c r="F182" s="4" t="str">
        <x:v>H19-D1 — Observed operation
Egyptian passenger return through Arqin during Sudan's military-takeover closure.
Start: 2019-04-11.
Observed scoped reopening: 2019-04-13.
2 calendar-day difference; scoped endpoint only</x:v>
      </x:c>
      <x:c r="G182" s="4" t="str">
        <x:v>Power and regime politics / Coups and succession
Analytical interpretation of reported context
Applies to: April 11 takeover closure
Border closure formed part of the military takeover package; no separate border-specific security explanation established.</x:v>
      </x:c>
      <x:c r="H182" s="4" t="str">
        <x:v>H19-D1: The endpoint is limited Egyptian return facilitation at Arqin, not all passenger classes or Sudan's whole frontier. The separate 24-hour airspace restriction is not used for land duration.</x:v>
      </x:c>
      <x:c r="I182" s="4" t="str">
        <x:v>Retained baseline assessment. Amended after source reconciliation</x:v>
      </x:c>
      <x:c r="J182" s="18" t="d">
        <x:v>2026-10-23T00:00:00.000Z</x:v>
      </x:c>
      <x:c r="K182" s="21" t="str">
        <x:f>IFERROR(HYPERLINK("https://www.pbs.org/newshour/world/sudanese-army-says-it-holds-president-wont-extradite-him","PBS"),"PBS")</x:f>
        <x:v>PBS</x:v>
      </x:c>
      <x:c r="L182" s="21" t="str">
        <x:f>IFERROR(HYPERLINK("https://www.euronews.com/2019/04/11/sudan-s-president-ousted-military-after-months-protests-n993336","Euronews"),"Euronews")</x:f>
        <x:v>Euronews</x:v>
      </x:c>
      <x:c r="M182" s="21" t="str">
        <x:f>IFERROR(HYPERLINK("https://www.citinewsroom.com/2019/04/sudan-protesters-defy-military-curfew/","citinewsroom.com"),"citinewsroom.com")</x:f>
        <x:v>citinewsroom.com</x:v>
      </x:c>
      <x:c r="N182" s="4" t="str">
        <x:v>https://www.pbs.org/newshour/world/sudanese-army-says-it-holds-president-wont-extradite-him
https://almalnews.com/486422/%D8%A7%D9%84%D8%AE%D8%A7%D8%B1%D8%AC%D9%8A%D8%A9-%D8%A7%D9%84%D8%B3%D9%81%D8%A7%D8%B1%D8%A9-%D8%A7%D9%84%D9%85%D8%B5%D8%B1%D9%8A%D8%A9-%D8%A8%D8%A7%D9%84%D8%AE%D8%B1%D8%B7%D9%88%D9%85-%D8%B3%D9%87%D9%84%D8%AA-%D8%B9%D8%A8%D9%88%D8%B1-%D8%A7%D9%84%D9%85%D9%88%D8%A7%D8%B7%D9%86%D9%8A%D9%86/
https://www.euronews.com/2019/04/11/sudan-s-president-ousted-military-after-months-protests-n993336
https://www.citinewsroom.com/2019/04/sudan-protesters-defy-military-curfew/
https://see.news/immigration-ends-egyptian-students-crisis-on-sudanese-border</x:v>
      </x:c>
      <x:c r="O182" s="4" t="str">
        <x:v>Source 1: search extract
Source 2: full page
Source 3: access detail is retained in the source catalogue.</x:v>
      </x:c>
      <x:c r="P182" s="20" t="n">
        <x:v>1</x:v>
      </x:c>
      <x:c r="Q182" s="4" t="str">
        <x:v>Horn of Africa</x:v>
      </x:c>
      <x:c r="R182" s="4" t="str">
        <x:v>Included</x:v>
      </x:c>
    </x:row>
    <x:row r="183" ht="198" hidden="0" customHeight="1">
      <x:c r="A183" s="16" t="str">
        <x:v>H09</x:v>
      </x:c>
      <x:c r="B183" s="4" t="str">
        <x:v>South Sudan COVID land passenger closure</x:v>
      </x:c>
      <x:c r="C183" s="4" t="str">
        <x:v>South Sudan</x:v>
      </x:c>
      <x:c r="D183" s="4" t="str">
        <x:v>All South Sudan land crossings</x:v>
      </x:c>
      <x:c r="E183" s="4" t="str">
        <x:v>Passenger buses and ordinary entrants
Direction: Entry restriction clearly stated; full directional scope requires decree
Exceptions: Food trucks fuel tankers medical supplies and emergency relief operations</x:v>
      </x:c>
      <x:c r="F183" s="4" t="str">
        <x:v>H09-R1 — Formal policy
South Sudan national passenger travel ban, as dated by the national policy chronology
Start: 2020-03-23 to 2020-03-24.
Policy endpoint: 2020-05-11.
Contested: Formal policy: dated evidence; numeric duration withheld; see qualification
Held evidence: excluded from numeric duration and animation displays.</x:v>
      </x:c>
      <x:c r="G18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83" s="4" t="str">
        <x:v>March 23 announcement and March 24 effective chronology remain bounded. Current phase uses May 11 formal relaxation from CDC/WHO/MOH research, while contemporary FEWS June reporting and IOM accounts describe later land closure. No single operational reopening established.
H09-R1: May 11 is the formal relaxation reported by the CDC/WHO/MOH study, not verified opening of every land crossing. Contemporary FEWS June 2020 reporting says land borders remained closed despite May easing; IOM accounts also differ. Food and fuel cargo were exempt, and reciprocal Uganda permission came later. No uniform operational duration or exact elapsed hours inferred.
operational reopening by crossing: Substantive contemporary and retrospective accounts conflict; formal policy phase remains explicitly attributed.
continuity: Radio Tamazuj reports the late-March national order; the CDC/WHO/MOH chronology supplies May 11 formal relaxation, while FEWS June reporting says land borders remained closed with cargo exceptions. The current policy-only interval must not be displayed as physical reopening at Nimule or everywhere else.</x:v>
      </x:c>
      <x:c r="I183" s="4" t="str">
        <x:v>Targeted source review (REC50-R04); retained with recorded qualifications; evidence limits retained.</x:v>
      </x:c>
      <x:c r="J183" s="18" t="d">
        <x:v>2026-10-25T00:00:00.000Z</x:v>
      </x:c>
      <x:c r="K183" s="21" t="str">
        <x:f>IFERROR(HYPERLINK("https://www.radiotamazuj.org/en/news/article/south-sudan-closes-airports-and-borders-over-coronavirus-fears","Radio Tamazuj"),"Radio Tamazuj")</x:f>
        <x:v>Radio Tamazuj</x:v>
      </x:c>
      <x:c r="L183" s="21" t="str">
        <x:f>IFERROR(HYPERLINK("https://www.cdc.gov/mmwr/volumes/70/wr/mm7022a3.htm","CDC MMWR"),"CDC MMWR")</x:f>
        <x:v>CDC MMWR</x:v>
      </x:c>
      <x:c r="M183" s="21" t="str">
        <x:f>IFERROR(HYPERLINK("https://southsudan.iom.int/sites/g/files/tmzbdl1046/files/documents/2024-08/nimule-jss-report.pdf","IOM"),"IOM")</x:f>
        <x:v>IOM</x:v>
      </x:c>
      <x:c r="N183" s="4" t="str">
        <x:v>https://www.radiotamazuj.org/en/news/article/south-sudan-closes-airports-and-borders-over-coronavirus-fears
https://www.cdc.gov/mmwr/volumes/70/wr/mm7022a3.htm
https://southsudan.iom.int/sites/g/files/tmzbdl1046/files/documents/2024-08/nimule-jss-report.pdf
https://eastandhornofafrica.iom.int/sites/g/files/tmzbdl701/files/documents/iom-wfp-joint-report_east-and-horn-of-africa_june-2021_0.pdf
https://fews.net/east-africa/south-sudan/food-security-outlook/june-2020
https://www.scribd.com/document/860594941/nimule-jss-report
https://help.unhcr.org/southsudan/coronavirus-covid-19-info/
https://www.theeastafrican.co.ke/tea/news/east-africa/south-sudan-on-a-lockdown-over-coronavirus-fears-1439180</x:v>
      </x:c>
      <x:c r="O183" s="4" t="str">
        <x:v>Source 1: full
Source 2: full; full text
Source 3: indexed excerpt; failed</x:v>
      </x:c>
      <x:c r="P183" s="20" t="n">
        <x:v>1</x:v>
      </x:c>
      <x:c r="Q183" s="4" t="str">
        <x:v>Horn of Africa</x:v>
      </x:c>
      <x:c r="R183" s="4" t="str">
        <x:v>Included</x:v>
      </x:c>
    </x:row>
    <x:row r="184" ht="114" hidden="0" customHeight="1">
      <x:c r="A184" s="16" t="str">
        <x:v>H10</x:v>
      </x:c>
      <x:c r="B184" s="4" t="str">
        <x:v>Sudan COVID closure of land crossings</x:v>
      </x:c>
      <x:c r="C184" s="4" t="str">
        <x:v>Sudan</x:v>
      </x:c>
      <x:c r="D184" s="4" t="str">
        <x:v>All Sudan land crossings</x:v>
      </x:c>
      <x:c r="E184" s="4" t="str">
        <x:v>Incoming South Sudanese persons covered by IOM registration
Direction: Not established</x:v>
      </x:c>
      <x:c r="F184" s="4" t="str">
        <x:v>H10-R1 — Observed operation
Diffra border flow-monitoring point, Abyei PCA Area
Start: 2020-03-01 to 2020-03-31.
Observed scoped reopening: 2020-07-01 to 2020-07-31.
92–152 calendar-day difference; scoped endpoint only</x:v>
      </x:c>
      <x:c r="G18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84" s="4" t="str">
        <x:v>H10-R1: Month-precision retrospective operational account at Diffra only. July bounds locate reopening within that month and do not treat all of July as closed; actual day/hour is unknown. Incoming South Sudanese registration/travel only; nationwide March 16 decision is not substituted for observed gate onset.
Diffra full source and exact days: March–July interval is qualified and indexed; exact days and full original report remain unavailable.
source verification: Current phase depends on indexed IOM text; all recorded and fresh direct retrievals failed. Fresh OCHA confirms June national closure but does not resolve the distinct Diffra sequence.</x:v>
      </x:c>
      <x:c r="I184" s="4" t="str">
        <x:v>Full-record source audit (REC50-R35); retained with recorded qualifications; evidence limits retained.</x:v>
      </x:c>
      <x:c r="J184" s="18" t="d">
        <x:v>2026-10-25T00:00:00.000Z</x:v>
      </x:c>
      <x:c r="K184" s="21" t="str">
        <x:f>IFERROR(HYPERLINK("https://dtm.iom.int/reports/sudan-%E2%80%94-registration-and-flow-monitoring-quarterly-overview-july-september-2020","IOM Displacement Tracking Matrix"),"IOM Displacement Tracking Matrix")</x:f>
        <x:v>IOM Displacement Tracking Matrix</x:v>
      </x:c>
      <x:c r="L184" s="21" t="str">
        <x:f>IFERROR(HYPERLINK("https://sudantribune.com/article/67223","Sudan Tribune"),"Sudan Tribune")</x:f>
        <x:v>Sudan Tribune</x:v>
      </x:c>
      <x:c r="M184" s="21" t="str">
        <x:f>IFERROR(HYPERLINK("https://dtm.iom.int/product-series/registration-and-verification-report","IOM DTM"),"IOM DTM")</x:f>
        <x:v>IOM DTM</x:v>
      </x:c>
      <x:c r="N184" s="4" t="str">
        <x:v>https://dtm.iom.int/reports/sudan-%E2%80%94-registration-and-flow-monitoring-quarterly-overview-july-september-2020
https://sudantribune.com/article/67223
https://dtm.iom.int/product-series/registration-and-verification-report
https://www.ecoi.net/en/file/local/2031690/Situation%2BReport%2B-%2BSudan%2B-%2B18%2BJun%2B2020%2B%281%29.pdf
https://www.xinhuanet.com/english/2020-03/17/c_138884711.htm
https://www.ecoi.net/en/file/local/2029598/Situation%2BReport%2B-%2BSudan%2B-%2B7%2BMay%2B2020.pdf</x:v>
      </x:c>
      <x:c r="O184" s="4" t="str">
        <x:v>Source 1: indexed excerpt; indexed extract
Source 2: full; full text
Source 3: indexed excerpt</x:v>
      </x:c>
      <x:c r="P184" s="20" t="n">
        <x:v>1</x:v>
      </x:c>
      <x:c r="Q184" s="4" t="str">
        <x:v>Horn of Africa</x:v>
      </x:c>
      <x:c r="R184" s="4" t="str">
        <x:v>Included</x:v>
      </x:c>
    </x:row>
    <x:row r="185" ht="282" hidden="0" customHeight="1">
      <x:c r="A185" s="16" t="str">
        <x:v>H07</x:v>
      </x:c>
      <x:c r="B185" s="4" t="str">
        <x:v>Ethiopia COVID passenger land-border closure</x:v>
      </x:c>
      <x:c r="C185" s="4" t="str">
        <x:v>Ethiopia</x:v>
      </x:c>
      <x:c r="D185" s="4" t="str">
        <x:v>All Ethiopian land borders</x:v>
      </x:c>
      <x:c r="E185" s="4" t="str">
        <x:v>Cross-border movement of people
Direction: Not established
Exceptions: Incoming essential goods</x:v>
      </x:c>
      <x:c r="F185" s="4" t="str">
        <x:v>H07-V1 — Formal policy
Ethiopian declared restriction on ordinary land passenger services with Djibouti, ending with reported bilateral resumption
Start: 2020-03-23.
Policy endpoint: 2020-07-01 to 2020-07-31.
Contested: Formal policy: dated evidence; numeric duration withheld; see qualification
Held evidence: excluded from numeric duration and animation displays.</x:v>
      </x:c>
      <x:c r="G18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85" s="4" t="str">
        <x:v>H07-V1: Declared-policy phase only, with month-resolution endpoint. Exact reopening instruction, passenger subcategories and port operations are unrecovered; no claim of zero crossings or uniformly restored service. IOM July evidence is indexed; the August 7 briefing is retrospective and supplies no additional exact day. No July 17 airport date is substituted for land reopening. Contemporary IOM reporting as of July31 states Ethiopian borders remained closed, conflicting with the retrospective July resumption. The retained July bounds are disputed reported evidence, not an established legal or operational endpoint.
exact land reopening and port eligibility: No precise July day or gate-specific passenger categories recovered.
Current endpoint finding: Official Ethiopian material establishes the March 23 order and an August 7 briefing says bilateral land/air services had resumed. Retrospective IOM Djibouti reports say July resumption, but the contemporary IOM Eastern Corridor report as of July 31 says Ethiopian borders remained closed. The July endpoint and corridor-specific continuity are unresolved; Djibouti airport reopening cannot settle the Ethiopian land-policy chronology.
source verification: IOM July dating remains indexed only after fresh failed PDF retrieval; full August official-spokesperson account corroborates resumption but does not independently date it to July.
continuity: Official Ethiopian material establishes the March 23 order and an August 7 briefing says bilateral land/air services had resumed. Retrospective IOM Djibouti reports say July resumption, but the contemporary IOM Eastern Corridor report as of July 31 says Ethiopian borders remained closed. The July endpoint and corridor-specific continuity are unresolved; Djibouti airport reopening cannot settle the Ethiopian land-policy chronology.</x:v>
      </x:c>
      <x:c r="I185" s="4" t="str">
        <x:v>Retained baseline assessment. Correction pass: amended with stated qualifications</x:v>
      </x:c>
      <x:c r="J185" s="18" t="d">
        <x:v>2026-10-23T00:00:00.000Z</x:v>
      </x:c>
      <x:c r="K185" s="21" t="str">
        <x:f>IFERROR(HYPERLINK("https://ethiopianembassy.org/ethiopia-closes-borders-to-prevent-spread-of-covid19-march-23-2020/","Embassy of Ethiopia"),"Embassy of Ethiopia")</x:f>
        <x:v>Embassy of Ethiopia</x:v>
      </x:c>
      <x:c r="L185" s="21" t="str">
        <x:f>IFERROR(HYPERLINK("https://wiki.unece.org/plugins/viewsource/viewpagesrc.action?pageId=172851507","UNECE"),"UNECE")</x:f>
        <x:v>UNECE</x:v>
      </x:c>
      <x:c r="M185" s="21" t="str">
        <x:f>IFERROR(HYPERLINK("https://dtm.iom.int/reports/djibouti-flow-monitoring-report-february-2021","IOM DTM"),"IOM DTM")</x:f>
        <x:v>IOM DTM</x:v>
      </x:c>
      <x:c r="N185" s="4" t="str">
        <x:v>https://ethiopianembassy.org/ethiopia-closes-borders-to-prevent-spread-of-covid19-march-23-2020/
https://wiki.unece.org/plugins/viewsource/viewpagesrc.action?pageId=172851507
https://dtm.iom.int/reports/djibouti-flow-monitoring-report-february-2021
https://www.newtimes.co.rw/article/179035/News/ethiopia-resumes-land-air-transport-services-to-djibouti/amp
https://dtm.iom.int/sites/g/files/tmzbdl1461/files/reports/IOM_Eastern%20Corridor%20Migrant%20Situation_11082020.pdf
https://wiki.unece.org/spaces/CTRBSBC/pages/101548961/Ethiopia
https://dtm.iom.int/report-product-series/stranded-migrants
https://wiki.unece.org/download/attachments/101548961/ETHIOPIA%20-%20COVID-19%20-%20CIQP%20Bulletin%201.pdf?api=v2&amp;modificationDate=1594995286601&amp;version=1
https://pmc.ncbi.nlm.nih.gov/articles/PMC7492795/
https://mfaethiopia.blog/2020/04/10/a-week-in-the-horn-10-04-2020/
https://media.odi.org/documents/HMI_Ethiopia_country_profile_v2.pdf
https://dtm.iom.int/sites/g/files/tmzbdl1461/files/reports/DJI_FMR_Dashboard_March21_EN.pdf</x:v>
      </x:c>
      <x:c r="O185" s="4" t="str">
        <x:v>Source 1: full
Source 2: full; failed
Source 3: indexed excerpt; failed</x:v>
      </x:c>
      <x:c r="P185" s="20" t="n">
        <x:v>1</x:v>
      </x:c>
      <x:c r="Q185" s="4" t="str">
        <x:v>Horn of Africa</x:v>
      </x:c>
      <x:c r="R185" s="4" t="str">
        <x:v>Included</x:v>
      </x:c>
    </x:row>
    <x:row r="186" ht="198" hidden="0" customHeight="1">
      <x:c r="A186" s="16" t="str">
        <x:v>H12</x:v>
      </x:c>
      <x:c r="B186" s="4" t="str">
        <x:v>Gedo COVID closure of Somalia Kenya and Ethiopia crossings</x:v>
      </x:c>
      <x:c r="C186" s="4" t="str">
        <x:v>Somalia; Kenya; Ethiopia</x:v>
      </x:c>
      <x:c r="D186" s="4" t="str">
        <x:v>Balad Hawo; Elwak; Doolow</x:v>
      </x:c>
      <x:c r="E186" s="4" t="str">
        <x:v>Cross-border travellers
Direction: Not established</x:v>
      </x:c>
      <x:c r="F186" s="4" t="str">
        <x:v>H12-FU1 — Observed operation
Dollow bridge between Somalia and Dolo Addo, Ethiopia
Start: 2020-03-01 to 2020-03-31.
Last confirmed: 2020-04-14. Reopening is not established.
confirmed through 2020-04-14; at least 14 calendar-day difference; reopening unknown</x:v>
      </x:c>
      <x:c r="G18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86" s="4" t="str">
        <x:v>Dollow bridge onset is reported within March 2020 and continuing restriction is documented April 14; exact day and reopening are unknown. The April 9 governor statement covers Balad-Hawo, Elwak and Doolow, but its broader scope cannot inherit Dollow-specific dates. Informal river traffic continued.
H12-FU1: Dollow bridge only, not all named Gedo posts. March 1–31 represents month-level onset uncertainty. Informal river dinghies continued carrying produce, so this is not a total frontier seal. April 14 is confirmation, not reopening; no later continuity is inferred. The interview report does not identify the authority that imposed the earlier bridge restriction, or establish that it was the same measure described in the April Gedo governor statement.
onset and reopening: Propose one bounded-onset, confirmed-through Dollow bridge phase. It narrows onset for this crossing and supplies a censored phase, but the reopening and other Gedo crossing dates remain unknown.
duration: Propose one bounded-onset, confirmed-through Dollow bridge phase. It narrows onset for this crossing and supplies a censored phase, but the reopening and other Gedo crossing dates remain unknown.</x:v>
      </x:c>
      <x:c r="I186" s="4" t="str">
        <x:v>Retained baseline assessment. Follow-up adjudicated; amend</x:v>
      </x:c>
      <x:c r="J186" s="18" t="d">
        <x:v>2026-10-23T00:00:00.000Z</x:v>
      </x:c>
      <x:c r="K186" s="21" t="str">
        <x:f>IFERROR(HYPERLINK("https://radioergo.org/en/2020/04/somali-border-closures-affect-jobs-and-food-supplies-in-gedo/","Radio Ergo"),"Radio Ergo")</x:f>
        <x:v>Radio Ergo</x:v>
      </x:c>
      <x:c r="L186" s="21" t="str">
        <x:f>IFERROR(HYPERLINK("https://www.garoweonline.com/en/news/somalia/somalia-closes-land-border-with-kenya-to-rein-in-coronavirus-cases","Garowe Online"),"Garowe Online")</x:f>
        <x:v>Garowe Online</x:v>
      </x:c>
      <x:c r="M186" s="21" t="str">
        <x:f>IFERROR(HYPERLINK("https://www.ecoi.net/de/dokument/2035661.html","ACCORD"),"ACCORD")</x:f>
        <x:v>ACCORD</x:v>
      </x:c>
      <x:c r="N186" s="4" t="str">
        <x:v>https://radioergo.org/en/2020/04/somali-border-closures-affect-jobs-and-food-supplies-in-gedo/
https://www.garoweonline.com/en/news/somalia/somalia-closes-land-border-with-kenya-to-rein-in-coronavirus-cases
https://www.ecoi.net/de/dokument/2035661.html
https://dtm.iom.int/sites/g/files/tmzbdl1461/files/reports/IOM_Eastern%20Corridor%20Migrant%20Situation_10062020.pdf</x:v>
      </x:c>
      <x:c r="O186" s="4" t="str">
        <x:v>Source 1: full
Source 2: full
Source 3: indexed excerpt</x:v>
      </x:c>
      <x:c r="P186" s="20" t="n">
        <x:v>1</x:v>
      </x:c>
      <x:c r="Q186" s="4" t="str">
        <x:v>Horn of Africa</x:v>
      </x:c>
      <x:c r="R186" s="4" t="str">
        <x:v>Included</x:v>
      </x:c>
    </x:row>
    <x:row r="187" ht="186" hidden="0" customHeight="1">
      <x:c r="A187" s="16" t="str">
        <x:v>H08</x:v>
      </x:c>
      <x:c r="B187" s="4" t="str">
        <x:v>Kenya COVID passenger closure at Tanzania and Somalia borders</x:v>
      </x:c>
      <x:c r="C187" s="4" t="str">
        <x:v>Kenya; Tanzania; Somalia</x:v>
      </x:c>
      <x:c r="D187" s="4" t="str">
        <x:v>Kenya Tanzania and Kenya Somalia land borders</x:v>
      </x:c>
      <x:c r="E187" s="4" t="str">
        <x:v>People and passenger-carrying vehicles
Direction: Both directions
Exceptions: Cargo vehicles with testing requirements for drivers; from May22 agreement, identified border farmers could access plots across boundary.</x:v>
      </x:c>
      <x:c r="F187" s="4" t="str">
        <x:v>H08-FU1 — Formal policy
Kenya–Tanzania and Kenya–Somalia land borders as covered by the Kenyan order
Start: 2020-05-16 to 2020-05-17.
Last confirmed: 2020-05-17. Reopening is not established.
Formal policy: confirmed through 2020-05-17; at least 0 calendar-day difference; reopening unknown</x:v>
      </x:c>
      <x:c r="G18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87" s="4" t="str">
        <x:v>H08-FU1: Formal passenger rule only. Overnight wording is preserved as May 16–17 bounds; no whole-day operational duration is claimed. Neither the June 6 domestic-curfew date nor a reported 30-day order is treated as actual land-border reopening. Enforcement at individual posts and repeal remain unknown.
passenger reopening: Propose a short confirmed-through formal-policy phase only. Passenger reopening and operational continuity remain unresolved.
Current continuity finding: Fresh Kenya News Agency indexed text quotes the May 16 midnight passenger order for Tanzania and Somalia, with cargo exempt. It establishes formal scope and overnight bounds, not universal implementation or subsequent repeal.
duration: Propose a short confirmed-through formal-policy phase only. Passenger reopening and operational continuity remain unresolved.
Current continuity finding: Fresh Kenya News Agency indexed text quotes the May 16 midnight passenger order for Tanzania and Somalia, with cargo exempt. It establishes formal scope and overnight bounds, not universal implementation or subsequent repeal.</x:v>
      </x:c>
      <x:c r="I187" s="4" t="str">
        <x:v>Retained baseline assessment. Correction pass: amended with stated qualifications</x:v>
      </x:c>
      <x:c r="J187" s="18" t="d">
        <x:v>2026-10-23T00:00:00.000Z</x:v>
      </x:c>
      <x:c r="K187" s="21" t="str">
        <x:f>IFERROR(HYPERLINK("https://www.kenyanews.go.ke/kenya-seals-borders-with-somalia-and-tanzania-to-contain-covid-19/","Kenya News Agency"),"Kenya News Agency")</x:f>
        <x:v>Kenya News Agency</x:v>
      </x:c>
      <x:c r="L187" s="21" t="str">
        <x:f>IFERROR(HYPERLINK("https://www.standardmedia.co.ke/amp/ureport/article/2001371581/tanzania-somalia-borders-shut-and-curfew-extended","standardmedia.co.ke"),"standardmedia.co.ke")</x:f>
        <x:v>standardmedia.co.ke</x:v>
      </x:c>
      <x:c r="M187" s="21" t="str">
        <x:f>IFERROR(HYPERLINK("https://www.theeastafrican.co.ke/tea/news/east-africa/kenya-tanzania-agree-on-covid-19-testing-and-cross-border-movement-1441772","The EastAfrican"),"The EastAfrican")</x:f>
        <x:v>The EastAfrican</x:v>
      </x:c>
      <x:c r="N187" s="4" t="str">
        <x:v>https://www.kenyanews.go.ke/kenya-seals-borders-with-somalia-and-tanzania-to-contain-covid-19/
https://www.standardmedia.co.ke/amp/ureport/article/2001371581/tanzania-somalia-borders-shut-and-curfew-extended
https://www.theeastafrican.co.ke/tea/news/east-africa/kenya-tanzania-agree-on-covid-19-testing-and-cross-border-movement-1441772
https://www.africanews.com/2020/07/24/kenya-coronavirus-updates/
https://citizen.digital/news/president-kenyatta-closes-kenyas-borders-with-tanzania-somalia-for-30-days-332832
https://www.theeastafrican.co.ke/tea/news/east-africa/kenya-shuts-tanzania-somalia-borders-over-covid-19-1441468
https://www.brecorder.com/news/597621/kenya-closes-borders-to-tanzania-and-somalia-over-coronavirus
https://www.kenyanews.go.ke/kenya-and-tanzania-resolve-dispute-over-covid19-tests/</x:v>
      </x:c>
      <x:c r="O187" s="4" t="str">
        <x:v>Source 1: indexed excerpt
Source 2: access detail is retained in the source catalogue.
Source 3: indexed excerpt</x:v>
      </x:c>
      <x:c r="P187" s="20" t="n">
        <x:v>1</x:v>
      </x:c>
      <x:c r="Q187" s="4" t="str">
        <x:v>Horn of Africa</x:v>
      </x:c>
      <x:c r="R187" s="4" t="str">
        <x:v>Included</x:v>
      </x:c>
    </x:row>
    <x:row r="188" ht="210" hidden="0" customHeight="1">
      <x:c r="A188" s="16" t="str">
        <x:v>H21</x:v>
      </x:c>
      <x:c r="B188" s="4" t="str">
        <x:v>Djibouti second COVID land passenger closure in October2020</x:v>
      </x:c>
      <x:c r="C188" s="4" t="str">
        <x:v>Djibouti</x:v>
      </x:c>
      <x:c r="D188" s="4" t="str">
        <x:v>Land borders including Ethiopia and Somalia/Somaliland</x:v>
      </x:c>
      <x:c r="E188" s="4" t="str">
        <x:v>Passengers
Direction: Not established
Exceptions: Goods and merchandise; returning Djiboutian nationals. Subsequent health/testing conditions did not establish an exact reopening date.</x:v>
      </x:c>
      <x:c r="F188" s="4" t="str">
        <x:v>H21-R1 — Announced window
Djibouti land passenger restriction in the October decree
Start: 2020-10-20.
Scheduled endpoint: 2020-11-03 to 2020-11-04.
Ordered window: dated evidence; numeric duration withheld; see qualification
H21-C7P1 — Observed operation
Djibouti land-passenger restriction reported implemented October21
Start: 2020-10-21.
Last confirmed: 2020-10-21. Reopening is not established.
dated evidence; numeric duration withheld; see qualification</x:v>
      </x:c>
      <x:c r="G18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88" s="4" t="str">
        <x:v>H21-R1: Original decree recovered. November3–4 are alternative inclusive-calendar versus elapsed-day interpretations of a fifteen-day order, not separately observed endpoints. Numeric duration withheld because these derived alternatives are linked to one legal duration. October21 implementation is a separate observation; actual lifting remains unknown. A returning-national exception is not stated in the decree and is not adopted for this legal phase.
H21-C7P1: Single implementation observation, not a fifteen-day observed continuous closure. The statutory start is October20 in H21-R1. Reopening and returning-national exceptions need operational evidence.
actual reopening: Fifteen-day intention and November testing rules do not establish reopening day.
Current endpoint finding: La Nation reports physical implementation October 21, but the freshly recovered original decree 2020-271/PR/PM Article 3 is legally effective October 20, 2020 for fifteen days. Goods are exempt. The current ordered-window onset and expiry mix observed implementation with the statutory clock; both dates must be preserved in separate meanings. No actual reopening is established.
source verification: Current exemption remains indexed IOM evidence only; fresh PDF retrieval failed and full WHO/Xinhua accounts do not specify this class.</x:v>
      </x:c>
      <x:c r="I188" s="4" t="str">
        <x:v>Targeted source review (REC50-R19); retained with recorded qualifications; evidence limits retained.</x:v>
      </x:c>
      <x:c r="J188" s="18" t="d">
        <x:v>2026-10-25T00:00:00.000Z</x:v>
      </x:c>
      <x:c r="K188" s="21" t="str">
        <x:f>IFERROR(HYPERLINK("https://www.journalofficiel.dj/texte-juridique/decret-n2020-271-pr-pm-procedant-a-la-fermeture-exceptionnelle-des-frontieres-terrestres-pour-lutter-la-propagation-du-covid-19/","Journal officiel de la République de Djibouti"),"Journal officiel de la République de Djibouti")</x:f>
        <x:v>Journal officiel de la République de Djibouti</x:v>
      </x:c>
      <x:c r="L188" s="21" t="str">
        <x:f>IFERROR(HYPERLINK("https://www.lanation.dj/djibouti-procede-a-la-fermeture-de-ses-frontieres-terrestres/","La Nation (Djibouti)"),"La Nation (Djibouti)")</x:f>
        <x:v>La Nation (Djibouti)</x:v>
      </x:c>
      <x:c r="M188" s="21" t="str">
        <x:f>IFERROR(HYPERLINK("https://djibouti.un.org/fr/108178-analyse-%C3%A9pid%C3%A9miologique-covid-19-octdec-2020","United Nations Djibouti"),"United Nations Djibouti")</x:f>
        <x:v>United Nations Djibouti</x:v>
      </x:c>
      <x:c r="N188" s="4" t="str">
        <x:v>https://www.journalofficiel.dj/texte-juridique/decret-n2020-271-pr-pm-procedant-a-la-fermeture-exceptionnelle-des-frontieres-terrestres-pour-lutter-la-propagation-du-covid-19/
https://www.lanation.dj/djibouti-procede-a-la-fermeture-de-ses-frontieres-terrestres/
https://djibouti.un.org/fr/108178-analyse-%C3%A9pid%C3%A9miologique-covid-19-octdec-2020
https://dtm.iom.int/sites/g/files/tmzbdl1461/files/reports/IOM_Eastern%20Corridor%20Migrant%20Situation_18112020.pdf
https://global-monitoring.com/gm/page/events/epidemic-0002056.rrusAFwsV4S4.html?lang=en
https://french.xinhuanet.com/afrique/2020-10/21/c_139455796.htm</x:v>
      </x:c>
      <x:c r="O188" s="4" t="str">
        <x:v>Source 1: full text
Source 2: full; indexed excerpt; indexed extract
Source 3: indexed excerpt</x:v>
      </x:c>
      <x:c r="P188" s="20" t="n">
        <x:v>2</x:v>
      </x:c>
      <x:c r="Q188" s="4" t="str">
        <x:v>Horn of Africa</x:v>
      </x:c>
      <x:c r="R188" s="4" t="str">
        <x:v>Included</x:v>
      </x:c>
    </x:row>
    <x:row r="189" ht="222" hidden="0" customHeight="1">
      <x:c r="A189" s="16" t="str">
        <x:v>H13</x:v>
      </x:c>
      <x:c r="B189" s="4" t="str">
        <x:v>Kassala closes Ethiopia frontier as Tigray war begins</x:v>
      </x:c>
      <x:c r="C189" s="4" t="str">
        <x:v>Sudan; Ethiopia</x:v>
      </x:c>
      <x:c r="D189" s="4" t="str">
        <x:v>Kassala frontier with Ethiopia including Wad El Helew area</x:v>
      </x:c>
      <x:c r="E189" s="4" t="str">
        <x:v>Cross-border entrants including armed groups
Direction: Not established
Exceptions: Refugee handling was initially under consideration; by November 11 UNHCR and local authorities were receiving, screening and registering Ethiopian refugees at Hamdayet in Kassala.</x:v>
      </x:c>
      <x:c r="F189" s="4" t="str">
        <x:v>H13-NP1 — Formal policy
Kassala–Ethiopia border order
Start: 2020-11-05.
Last confirmed: 2020-11-05. Reopening is not established.
Formal policy: dated evidence; numeric duration withheld; see qualification</x:v>
      </x:c>
      <x:c r="G189"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x:v>
      </x:c>
      <x:c r="H189" s="4" t="str">
        <x:v>November 5 governor order supported by reports with shared policy origin. UNHCR November 11 operational release confirms actual refugee reception at Hamdayet during the preceding days; this is not proof of general repeal. Scope remains Kassala and ordinary operational duration remains unknown.
H13-NP1: The dated phase remains an order observation only. Refugee admission is documented regionally; it is not an ordinary passenger or trade reopening and does not establish each gate’s operation. Ordinary enforcement, continuity and endpoint remain unknown. The refugee-arrival reporting period does not extend this phase’s last-confirmed date.
ordinary reopening and enforcement: November 5 announcement established; seek crossing-specific enforcement and reopening evidence.
duration: November 5 announcement established; seek crossing-specific enforcement and reopening evidence.
continuity: Dabanga's November 6 report dates Kassala's until-further-notice order to November 5, with weapons excluded and refugee reception arrangements being considered. It supports a formal observation only, not a universal refugee ban or continuous physical closure.</x:v>
      </x:c>
      <x:c r="I189" s="4" t="str">
        <x:v>Targeted source review (REC50-R14); accepted qualification; evidence limits retained.</x:v>
      </x:c>
      <x:c r="J189" s="18" t="d">
        <x:v>2026-10-25T00:00:00.000Z</x:v>
      </x:c>
      <x:c r="K189" s="21" t="str">
        <x:f>IFERROR(HYPERLINK("https://www.dabangasudan.org/en/all-news/article/sudan-s-kassala-border-closed-as-tensions-in-ethiopia-rise","Radio Dabanga"),"Radio Dabanga")</x:f>
        <x:v>Radio Dabanga</x:v>
      </x:c>
      <x:c r="L189" s="21" t="str">
        <x:f>IFERROR(HYPERLINK("https://www.ecoi.net/en/file/local/2041955/S_2020_1155_E.pdf","United Nations Secretary-General; copy hosted by ecoi.net"),"United Nations Secretary-General; copy hosted by ecoi.net")</x:f>
        <x:v>United Nations Secretary-General; copy hosted by ecoi.net</x:v>
      </x:c>
      <x:c r="M189" s="21" t="str">
        <x:f>IFERROR(HYPERLINK("https://www.voanews.com/a/africa_ethiopian-bombing-tigray-prompts-sudan-close-part-border/6198072.html","VOA"),"VOA")</x:f>
        <x:v>VOA</x:v>
      </x:c>
      <x:c r="N189" s="4" t="str">
        <x:v>https://www.dabangasudan.org/en/all-news/article/sudan-s-kassala-border-closed-as-tensions-in-ethiopia-rise
https://www.ecoi.net/en/file/local/2041955/S_2020_1155_E.pdf
https://www.voanews.com/a/africa_ethiopian-bombing-tigray-prompts-sudan-close-part-border/6198072.html
https://www.unhcr.org/en-us/news/briefing/2020/11/5fb78cec4/urgent-support-needed-help-ethiopian-refugees-reaching-sudan.html
https://www.msf.org/msf-assists-ethiopian-refugees-sudan
https://www.unhcr.org/africa/news/press-releases/clashes-ethiopias-tigray-region-force-thousands-flee-sudan
https://data.unhcr.org/es/news/22484</x:v>
      </x:c>
      <x:c r="O189" s="4" t="str">
        <x:v>Source 1: full; full text
Source 2: full text
Source 3: full</x:v>
      </x:c>
      <x:c r="P189" s="20" t="n">
        <x:v>1</x:v>
      </x:c>
      <x:c r="Q189" s="4" t="str">
        <x:v>Horn of Africa</x:v>
      </x:c>
      <x:c r="R189" s="4" t="str">
        <x:v>Included</x:v>
      </x:c>
    </x:row>
    <x:row r="190" ht="150" hidden="0" customHeight="1">
      <x:c r="A190" s="16" t="str">
        <x:v>H14</x:v>
      </x:c>
      <x:c r="B190" s="4" t="str">
        <x:v>Gallabat closure after attack on customs officers</x:v>
      </x:c>
      <x:c r="C190" s="4" t="str">
        <x:v>Sudan; Ethiopia</x:v>
      </x:c>
      <x:c r="D190" s="4" t="str">
        <x:v>Gallabat Metema</x:v>
      </x:c>
      <x:c r="E190" s="4" t="str">
        <x:v>Traders workers and transit cargo
Direction: Not established</x:v>
      </x:c>
      <x:c r="F190" s="4" t="str">
        <x:v>H14-D1 — Observed operation
Gallabat fuel/gas-truck interruption, to the first restored gas-truck movement.
Start: 2021-04-03.
Observed scoped reopening: 2021-04-04 to 2021-04-05.
1–2 calendar-day difference; scoped endpoint only</x:v>
      </x:c>
      <x:c r="G190" s="4" t="str">
        <x:v>Security / Armed attacks and terrorism
Reported reason
Applies to: April 3 closure
Closure followed the armed attack on Sudanese customs officers; attack occurred April 1.
Security / Crime and law enforcement
Reported reason
Applies to: Closure and reopening negotiations
Sudanese officials demanded arrest and prosecution of perpetrators; code concerns the explicit law-enforcement demand, not an additional inference from the attack alone.</x:v>
      </x:c>
      <x:c r="H190" s="4" t="str">
        <x:v>April 4 formal permission and April 5 gas-truck passage support the bounded fuel-truck phase. Full April 5 text was retrieved in this challenge, confirming prior later-round full access. First restoration of all other categories remains unknown; July episode is separate.
H14-D1: This does not assert that all passengers or goods resumed together. The attack occurred April 1, not the closure date. July's later episode is separate; same-publisher Arabic/English versions are not independent confirmations.</x:v>
      </x:c>
      <x:c r="I190" s="4" t="str">
        <x:v>Targeted source review (REC50-R19); retained with recorded qualifications; evidence limits retained.</x:v>
      </x:c>
      <x:c r="J190" s="18" t="d">
        <x:v>2026-10-25T00:00:00.000Z</x:v>
      </x:c>
      <x:c r="K190" s="21" t="str">
        <x:f>IFERROR(HYPERLINK("https://sudantribune.com/article/67504","Sudan Tribune"),"Sudan Tribune")</x:f>
        <x:v>Sudan Tribune</x:v>
      </x:c>
      <x:c r="L190" s="21" t="str">
        <x:f>IFERROR(HYPERLINK("https://sudantribune.net/article/83280","Sudan Tribune"),"Sudan Tribune")</x:f>
        <x:v>Sudan Tribune</x:v>
      </x:c>
      <x:c r="M190" s="21" t="str">
        <x:f>IFERROR(HYPERLINK("https://sudantribune.net/article/83271","Sudan Tribune"),"Sudan Tribune")</x:f>
        <x:v>Sudan Tribune</x:v>
      </x:c>
      <x:c r="N190" s="4" t="str">
        <x:v>https://sudantribune.com/article/67504
https://sudantribune.net/article/83280
https://sudantribune.net/article/83271
https://sudantribune.net/article/83288</x:v>
      </x:c>
      <x:c r="O190" s="4" t="str">
        <x:v>Source 1: full text
Source 2: full text
Source 3: full text</x:v>
      </x:c>
      <x:c r="P190" s="20" t="n">
        <x:v>1</x:v>
      </x:c>
      <x:c r="Q190" s="4" t="str">
        <x:v>Horn of Africa</x:v>
      </x:c>
      <x:c r="R190" s="4" t="str">
        <x:v>Included</x:v>
      </x:c>
    </x:row>
    <x:row r="191" ht="186" hidden="0" customHeight="1">
      <x:c r="A191" s="16" t="str">
        <x:v>H15</x:v>
      </x:c>
      <x:c r="B191" s="4" t="str">
        <x:v>Gallabat closure following kidnapping and killing of officer</x:v>
      </x:c>
      <x:c r="C191" s="4" t="str">
        <x:v>Sudan; Ethiopia</x:v>
      </x:c>
      <x:c r="D191" s="4" t="str">
        <x:v>Gallabat Metema</x:v>
      </x:c>
      <x:c r="E191" s="4" t="str">
        <x:v>Commercial goods and Ethiopian workers/civilians; gas trucks separately exempt
Direction: Not established</x:v>
      </x:c>
      <x:c r="F191" s="4" t="str">
        <x:v>H15-R1 — Intermittent regime
Gallabat–Metema restriction regime, including intervening early-January trade reopening and gas exceptions
Start: 2021-07-24.
Scoped endpoint: 2022-03-02.
Intermittent regime envelope; total closed days unknown</x:v>
      </x:c>
      <x:c r="G191" s="4" t="str">
        <x:v>Security / Armed attacks and terrorism
Reported reason
Applies to: July closure
Closure followed the commander's abduction/disappearance, subsequently reported as killing by armed militiamen.
Security / Crime and law enforcement
Reported reason
Applies to: Initial closure and reopening conditions
Child kidnapping and demand to prosecute the commander's killers supply the distinct criminal-accountability basis.</x:v>
      </x:c>
      <x:c r="H191" s="4" t="str">
        <x:v>Contemporary report establishes July 24, 2021 onset. January reports conflict about reopening, so current regime remains intermittent and cannot supply closed-day duration. March 2, 2022 actual reopening is fully reported; later reclosures remain separate.
H15-R1: Intermittent envelope only, not closed-day duration. Contemporary onset July 24 supersedes retrospective month precision. Conflicting January accounts and gas-truck or alleged paid-passage exceptions remain. March 2 reopening is observed retrospectively without exact hour or proof every category resumed. All reports share Sudan Tribune origin.
January interruption timing: Same-publisher January accounts conflict; retained intermittent regime does not resolve exact closed days.
continuity: Contemporaneous July 24 report supports onset; January 2022 Sudan Tribune explicitly describes ten days of resumed trade followed by renewed military suspension and gas exemptions. March 2 movement resumed. Treat the whole span as intermittent, never as summed closed days or independent of H16.</x:v>
      </x:c>
      <x:c r="I191" s="4" t="str">
        <x:v>Targeted source review (REC50-R09); retained with recorded qualifications; evidence limits retained.</x:v>
      </x:c>
      <x:c r="J191" s="18" t="d">
        <x:v>2026-10-25T00:00:00.000Z</x:v>
      </x:c>
      <x:c r="K191" s="21" t="str">
        <x:f>IFERROR(HYPERLINK("https://sudantribune.com/article/253749","Sudan Tribune"),"Sudan Tribune")</x:f>
        <x:v>Sudan Tribune</x:v>
      </x:c>
      <x:c r="L191" s="21" t="str">
        <x:f>IFERROR(HYPERLINK("https://sudantribune.com/article/254090?lang=en","Sudan Tribune"),"Sudan Tribune")</x:f>
        <x:v>Sudan Tribune</x:v>
      </x:c>
      <x:c r="M191" s="21" t="str">
        <x:f>IFERROR(HYPERLINK("https://sudantribune.net/article/255872","Sudan Tribune Arabic"),"Sudan Tribune Arabic")</x:f>
        <x:v>Sudan Tribune Arabic</x:v>
      </x:c>
      <x:c r="N191" s="4" t="str">
        <x:v>https://sudantribune.com/article/253749
https://sudantribune.com/article/254090?lang=en
https://sudantribune.net/article/255872
https://sudantribune.com/article/255972
https://harnnet.org/index.php/articles-corner/english-articles/item/7543-sudan-closes-border-crossing-with-ethiopia?print=1&amp;tmpl=component
https://www.arabnews.com/middle-east/sudan-closes-border-crossing-with-ethiopia-after-disappearance-of-commander-reports-1899521
https://sudantribune.com/article/261620
https://www.ddcustomslaw.com/index.php?Itemid=50&amp;catid=1%3Aultime&amp;id=576%3Asudan-and-ethiopia-form-joint-border-patrols-but-no-agreement-on-the-reopening-of-the-metema-border-crossing-&amp;lang=it&amp;option=com_content&amp;view=article</x:v>
      </x:c>
      <x:c r="O191" s="4" t="str">
        <x:v>Source 1: full; full text
Source 2: full; full text
Source 3: full</x:v>
      </x:c>
      <x:c r="P191" s="20" t="n">
        <x:v>1</x:v>
      </x:c>
      <x:c r="Q191" s="4" t="str">
        <x:v>Horn of Africa</x:v>
      </x:c>
      <x:c r="R191" s="4" t="str">
        <x:v>Included</x:v>
      </x:c>
    </x:row>
    <x:row r="192" ht="150" hidden="0" customHeight="1">
      <x:c r="A192" s="16" t="str">
        <x:v>H16</x:v>
      </x:c>
      <x:c r="B192" s="4" t="str">
        <x:v>Gallabat reclosure with gas-truck exemption in January2022</x:v>
      </x:c>
      <x:c r="C192" s="4" t="str">
        <x:v>Sudan; Ethiopia</x:v>
      </x:c>
      <x:c r="D192" s="4" t="str">
        <x:v>Gallabat Metema</x:v>
      </x:c>
      <x:c r="E192" s="4" t="str">
        <x:v>Not separately established; see scope/evidence
Direction: Not established
Exceptions: Gas trucks only under January10 humanitarian decision</x:v>
      </x:c>
      <x:c r="F192" s="4" t="str">
        <x:v>H16-D1 — Observed operation
Renewed Gallabat–Metema restriction on ordinary non-fuel trade and passengers in January, to March 2 resumption.
Start: 2022-01-01 to 2022-01-15.
Observed scoped reopening: 2022-03-02.
46–60 calendar-day difference; scoped endpoint only</x:v>
      </x:c>
      <x:c r="G192" s="4" t="str">
        <x:v>Security / Armed conflict and military confrontation
Analytical interpretation of reported context
Applies to: January reclosure
UNHCR states security reasons without subtype; conflict classification interprets the military and border-dispute context, not an explicit UNHCR conflict-specific quotation.
Security / Crime and law enforcement
Reported reason
Applies to: Continuing closure and reopening conditions
January account says Sudan still demanded arrest and prosecution of the kidnappers.</x:v>
      </x:c>
      <x:c r="H192" s="4" t="str">
        <x:v>H16-D1: January reclosure only, not continuous closure since July 2021. Onset remains January 1–15; gas trucks exempt and alleged paid passage reported. This spell falls within H15's intermittent regime and must not be added to that envelope. Screening continued after March 2 reopening.
January exact onset: Renewed closure established but exact day and short prior opening remain disputed.</x:v>
      </x:c>
      <x:c r="I192" s="4" t="str">
        <x:v>Retained baseline assessment. Amended after source reconciliation</x:v>
      </x:c>
      <x:c r="J192" s="18" t="d">
        <x:v>2026-10-23T00:00:00.000Z</x:v>
      </x:c>
      <x:c r="K192" s="21" t="str">
        <x:f>IFERROR(HYPERLINK("https://sudantribune.com/article/254090?lang=en","Sudan Tribune"),"Sudan Tribune")</x:f>
        <x:v>Sudan Tribune</x:v>
      </x:c>
      <x:c r="L192" s="21" t="str">
        <x:f>IFERROR(HYPERLINK("https://sudantribune.com/article/255972","Sudan Tribune"),"Sudan Tribune")</x:f>
        <x:v>Sudan Tribune</x:v>
      </x:c>
      <x:c r="M192" s="21" t="str">
        <x:f>IFERROR(HYPERLINK("https://www.ecoi.net/en/file/local/2067665/Ethiopia%2BEmergency%2BSituation%2BExternal%2BUpdates%2B31%2BJanuary%2B2022.pdf","UNHCR"),"UNHCR")</x:f>
        <x:v>UNHCR</x:v>
      </x:c>
      <x:c r="N192" s="4" t="str">
        <x:v>https://sudantribune.com/article/254090?lang=en
https://sudantribune.com/article/255972
https://www.ecoi.net/en/file/local/2067665/Ethiopia%2BEmergency%2BSituation%2BExternal%2BUpdates%2B31%2BJanuary%2B2022.pdf
https://www.ddcustomslaw.com/index.php?Itemid=50&amp;catid=1%3Aultime&amp;id=576%3Asudan-and-ethiopia-form-joint-border-patrols-but-no-agreement-on-the-reopening-of-the-metema-border-crossing-&amp;lang=it&amp;option=com_content&amp;view=article</x:v>
      </x:c>
      <x:c r="O192" s="4" t="str">
        <x:v>Source 1: full page
Source 2: full page
Source 3: full page</x:v>
      </x:c>
      <x:c r="P192" s="20" t="n">
        <x:v>1</x:v>
      </x:c>
      <x:c r="Q192" s="4" t="str">
        <x:v>Horn of Africa</x:v>
      </x:c>
      <x:c r="R192" s="4" t="str">
        <x:v>Included</x:v>
      </x:c>
    </x:row>
    <x:row r="193" ht="138" hidden="0" customHeight="1">
      <x:c r="A193" s="16" t="str">
        <x:v>H17</x:v>
      </x:c>
      <x:c r="B193" s="4" t="str">
        <x:v>Gallabat closure after disputed killing of Sudanese soldiers</x:v>
      </x:c>
      <x:c r="C193" s="4" t="str">
        <x:v>Sudan; Ethiopia</x:v>
      </x:c>
      <x:c r="D193" s="4" t="str">
        <x:v>Gallabat Metema</x:v>
      </x:c>
      <x:c r="E193" s="4" t="str">
        <x:v>Not separately established; see scope/evidence
Direction: Not established</x:v>
      </x:c>
      <x:c r="F193" s="4" t="str">
        <x:v>H17-D1 — Formal policy
Sudanese Gallabat closure order following the disputed soldier killings, to formal reopening permission.
Start: 2022-06-27.
Policy endpoint: 2022-07-17.
Formal policy: 20 calendar-day difference; operational continuity not established</x:v>
      </x:c>
      <x:c r="G193"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193" s="4" t="str">
        <x:v>Formal permission July 17 is distinct from reported July 21 dry-port service. Indexed IOM gives June 26 operational onset versus full Radio Tamazuj June 27 closure date; full IOM PDF not retrieved. Current phase retains attributed policy dates, not a measured universal operational spell.
H17-D1: June 27–July 17 is the attributed Sudanese policy period. IOM indexed reporting instead dates operational closure June 26–July 21; its original PDF remains inaccessible. Dry-port service separately reported resumed July 21. No exact first passage of every category inferred; disputed killing allegations remain attributed.
operational June 26–July 21 sequence: IOM contrary chronology remains indexed; current formal phase does not claim that exact operational interval.</x:v>
      </x:c>
      <x:c r="I193" s="4" t="str">
        <x:v>Retained baseline assessment. Amended after source reconciliation</x:v>
      </x:c>
      <x:c r="J193" s="18" t="d">
        <x:v>2026-10-23T00:00:00.000Z</x:v>
      </x:c>
      <x:c r="K193" s="21" t="str">
        <x:f>IFERROR(HYPERLINK("https://www.radiotamazuj.org/en/news/article/sudan-reopens-border-crossing-with-ethiopia","Radio Tamazuj"),"Radio Tamazuj")</x:f>
        <x:v>Radio Tamazuj</x:v>
      </x:c>
      <x:c r="L193" s="21" t="str">
        <x:f>IFERROR(HYPERLINK("https://sudantribune.com/article/261620","Sudan Tribune"),"Sudan Tribune")</x:f>
        <x:v>Sudan Tribune</x:v>
      </x:c>
      <x:c r="M193" s="21" t="str">
        <x:f>IFERROR(HYPERLINK("https://ethiopanorama.com/?p=171640","Ethiopanorama / Addis Standard"),"Ethiopanorama / Addis Standard")</x:f>
        <x:v>Ethiopanorama / Addis Standard</x:v>
      </x:c>
      <x:c r="N193" s="4" t="str">
        <x:v>https://www.radiotamazuj.org/en/news/article/sudan-reopens-border-crossing-with-ethiopia
https://sudantribune.com/article/261620
https://ethiopanorama.com/?p=171640
https://www.dabangasudan.org/en/all-news/article/sudan-ethiopia-border-conflict-escalates-further-as-7-soldiers-and-a-civilian-are-killed
https://eastandhornofafrica.iom.int/sites/g/files/tmzbdl701/files/documents/IOM_Eastern-Corridor-Migrant-Situation_31072022_0.pdf</x:v>
      </x:c>
      <x:c r="O193" s="4" t="str">
        <x:v>Source 1: full page
Source 2: search extract
Source 3: full page</x:v>
      </x:c>
      <x:c r="P193" s="20" t="n">
        <x:v>1</x:v>
      </x:c>
      <x:c r="Q193" s="4" t="str">
        <x:v>Horn of Africa</x:v>
      </x:c>
      <x:c r="R193" s="4" t="str">
        <x:v>Included</x:v>
      </x:c>
    </x:row>
    <x:row r="194" ht="102" hidden="0" customHeight="1">
      <x:c r="A194" s="16" t="str">
        <x:v>H18</x:v>
      </x:c>
      <x:c r="B194" s="4" t="str">
        <x:v>Gallabat Metema closure during Fano fighting</x:v>
      </x:c>
      <x:c r="C194" s="4" t="str">
        <x:v>Sudan; Ethiopia</x:v>
      </x:c>
      <x:c r="D194" s="4" t="str">
        <x:v>Gallabat Metema</x:v>
      </x:c>
      <x:c r="E194" s="4" t="str">
        <x:v>Commercial traffic and civilian crossers
Direction: Not established
Exceptions: Reported negotiated passage of disarmed Ethiopian security personnel and some stranded Sudanese</x:v>
      </x:c>
      <x:c r="F194" s="4" t="str">
        <x:v>H18-D1 — Observed operation
Ordinary Gallabat–Metema passage during the September–October Fano-fighting restriction.
Start: 2024-09-01 to 2024-09-02.
Observed scoped reopening: 2024-10-21 to 2024-10-22.
49–51 calendar-day difference; scoped endpoint only</x:v>
      </x:c>
      <x:c r="G194"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194" s="4" t="str">
        <x:v>H18-D1: Onset September 1–2 and endpoint October 21–22 remain source conflicts. UNHCR January 2025 says bilateral movements resumed but government immigration, visa and customs services had not. Special security-personnel and stranded-person passage exceptions occurred during restriction.</x:v>
      </x:c>
      <x:c r="I194" s="4" t="str">
        <x:v>Retained baseline assessment. Retained with recorded qualifications</x:v>
      </x:c>
      <x:c r="J194" s="18" t="d">
        <x:v>2026-10-23T00:00:00.000Z</x:v>
      </x:c>
      <x:c r="K194" s="21" t="str">
        <x:f>IFERROR(HYPERLINK("https://sudantribune.com/article/290290","sudantribune.com"),"sudantribune.com")</x:f>
        <x:v>sudantribune.com</x:v>
      </x:c>
      <x:c r="L194" s="21" t="str">
        <x:f>IFERROR(HYPERLINK("https://www.dabangasudan.org/en/all-news/article/sudan-closes-el-gedaref-border-crossing-with-ethiopia","dabangasudan.org"),"dabangasudan.org")</x:f>
        <x:v>dabangasudan.org</x:v>
      </x:c>
      <x:c r="M194" s="21" t="str">
        <x:f>IFERROR(HYPERLINK("https://www.euaa.europa.eu/coi/sudan/2025/security-situation/13-impact-security-situation-civilian-population/131-humanitarian-situation","EUAA"),"EUAA")</x:f>
        <x:v>EUAA</x:v>
      </x:c>
      <x:c r="N194" s="4" t="str">
        <x:v>https://sudantribune.com/article/290290
https://www.dabangasudan.org/en/all-news/article/sudan-closes-el-gedaref-border-crossing-with-ethiopia
https://www.euaa.europa.eu/coi/sudan/2025/security-situation/13-impact-security-situation-civilian-population/131-humanitarian-situation
https://www.ecoi.net/en/file/local/2117250/Sudan%2BSituation%2B-%2BUNHCR%2BExternal%2BUpdate%2B85%2B-%2B26%2BOctober%2B2024.pdf
https://data.unhcr.org/fr/documents/download/114015</x:v>
      </x:c>
      <x:c r="O194" s="4" t="str">
        <x:v>Source 1: full
Source 2: full
Source 3: full page</x:v>
      </x:c>
      <x:c r="P194" s="20" t="n">
        <x:v>1</x:v>
      </x:c>
      <x:c r="Q194" s="4" t="str">
        <x:v>Horn of Africa</x:v>
      </x:c>
      <x:c r="R194" s="4" t="str">
        <x:v>Included</x:v>
      </x:c>
    </x:row>
    <x:row r="195" ht="354" hidden="0" customHeight="1">
      <x:c r="A195" s="16" t="str">
        <x:v>H11</x:v>
      </x:c>
      <x:c r="B195" s="4" t="str">
        <x:v>Djibouti COVID land passenger closure and July2020 reopening</x:v>
      </x:c>
      <x:c r="C195" s="4" t="str">
        <x:v>Djibouti</x:v>
      </x:c>
      <x:c r="D195" s="4" t="str">
        <x:v>Land borders including Ethiopia and Somalia/Somaliland</x:v>
      </x:c>
      <x:c r="E195" s="4" t="str">
        <x:v>Passengers
Direction: Not established
Exceptions: Goods and merchandise; reopening conditional on testing</x:v>
      </x:c>
      <x:c r="F195" s="4" t="str">
        <x:v>H11-R1 — Announced window
National land-border closure ordered in decree 2020-065 of March 24
Start: 2020-03-24.
Scheduled endpoint: 2020-04-06 to 2020-04-08.
Ordered window: dated evidence; numeric duration withheld; see qualification
H11-R2 — Formal policy
Maintained Djibouti land-passenger closure under decree 2020-080, amended by 2020-145
Start: 2020-05-10.
Policy endpoint: 2020-07-17.
Formal policy: 68 calendar-day difference; operational continuity not established
H11-C7P1 — Announced window
Decree074 continuation of land-passenger closure, excluding goods transport
Start: 2020-04-09.
Scheduled endpoint: unknown.
Ordered window: dated evidence; numeric duration withheld; see qualification
H11-C7P2 — Announced window
Decree078 extension of Decree074 land-passenger restriction
Start: 2020-04-30.
Scheduled endpoint: 2020-05-08.
Ordered window: 8 calendar-day difference; actual end not established
REC50-R37-H11-P1 — Announced window
Djibouti–Ethiopia passenger train suspension announced by Djibouti transport ministry
Start: 2020-03-20.
Scheduled endpoint: unknown.
Ordered window: unknown calendar-day difference; actual end not established</x:v>
      </x:c>
      <x:c r="G19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195" s="4" t="str">
        <x:v>Current phases distinguish March 24 legal instrument from May 10 continuation and July 17 legal reopening. Ambassador retrospectively dates earlier land closure March 18; first physical onset and exact operations remain unresolved. R1 expiry has conflicting two-week/fifteen-day wording and linked counting bounds; no continuous March–July operational duration.
H11-R1: Ordered duration only: Article 7 two weeks versus Article 9 fifteen days, without clock time or counting convention. April 6–8 bounds are linked counting interpretations, not observed reopening; numeric duration remains withheld. March 24 is this instrument's immediate effect, not proven first physical onset: an ambassador retrospectively gives March 18.
H11-R2: May 10 is start of this documented continuation phase, not original event onset. Individual-post operation and counterpart permissions not asserted.
H11-C7P1: Retroactive legal clock as written; signature date is not substituted for April9. Exact expiry and the later April24–29 legal bridge remain unresolved. No operational duration inferred.
H11-C7P2: April30 is the dated extension instrument, not proven first implementation. Earlier/later documentary gaps do not establish reopening. This is a scheduled extension, not an observed continuous gate closure.
REC50-R37-H11-P1: Substantive indexed primary passage only; two direct opens failed. This supplies a scheduled effective date, not observed enforcement. Later operator statistics do not give a restart day. No national road onset or July land-reopening date is assigned to this rail phase.
earliest physical onset and operational reopening: Ambassador March 18 account differs from March 24 legal instrument; July 17 exact operational passage remains indexed rather than independently timed.</x:v>
      </x:c>
      <x:c r="I195" s="4" t="str">
        <x:v>Source-led phase addition (REC50-R37); accepted phase evidence; evidence limits retained.</x:v>
      </x:c>
      <x:c r="J195" s="18" t="d">
        <x:v>2026-10-25T00:00:00.000Z</x:v>
      </x:c>
      <x:c r="K195" s="21" t="str">
        <x:f>IFERROR(HYPERLINK("https://faolex.fao.org/docs/pdf/dji194537.pdf","Djibouti Presidency / FAOLEX"),"Djibouti Presidency / FAOLEX")</x:f>
        <x:v>Djibouti Presidency / FAOLEX</x:v>
      </x:c>
      <x:c r="L195" s="21" t="str">
        <x:f>IFERROR(HYPERLINK("https://capitalethiopia.com/2020/04/18/tackling-covid-in-19-djibouti/","capitalethiopia.com"),"capitalethiopia.com")</x:f>
        <x:v>capitalethiopia.com</x:v>
      </x:c>
      <x:c r="M195" s="21" t="str">
        <x:f>IFERROR(HYPERLINK("https://www.journalofficiel.dj/texte-juridique/decret-n2020-145-pr-pm-portant-modification-du-decret-n-2020-080-pr-pm-portant-levee-partielle-des-mesures-exceptionnelles-de-prevention-contre-la-propagation-du-covid-19/","Djibouti Journal Officiel"),"Djibouti Journal Officiel")</x:f>
        <x:v>Djibouti Journal Officiel</x:v>
      </x:c>
      <x:c r="N195" s="4" t="str">
        <x:v>https://faolex.fao.org/docs/pdf/dji194537.pdf
https://capitalethiopia.com/2020/04/18/tackling-covid-in-19-djibouti/
https://www.journalofficiel.dj/texte-juridique/decret-n2020-145-pr-pm-portant-modification-du-decret-n-2020-080-pr-pm-portant-levee-partielle-des-mesures-exceptionnelles-de-prevention-contre-la-propagation-du-covid-19/
https://www.journalofficiel.dj/texte-juridique/decret-n2020-080-pr-pm-portant-levee-partielle-des-mesures-exceptionnelles-de-prevention-contre-la-propagation-du-covid-19/
https://faolex.fao.org/docs/pdf/dji194537EXT1.pdf
https://natlex.ilo.org/dyn/natlex2/natlex2/files/download/110313/DJI-110313.pdf
https://www.lanation.dj/communique/
https://en.ndrc.gov.cn/news/mediarusources/202107/t20210709_1290160.html
https://dtm.iom.int/sites/g/files/tmzbdl1461/files/reports/IOM_Eastern%20Corridor%20Migrant%20Situation_11082020.pdf
https://eastandhornofafrica.iom.int/sites/g/files/tmzbdl701/files/documents/IOM_Eastern%2520Corridor%2520Migrant%2520Situation_18112020.pdf
https://dtm.iom.int/sites/g/files/tmzbdl1461/files/reports/DJI_MigrantPresence_170621EN.pdf</x:v>
      </x:c>
      <x:c r="O195" s="4" t="str">
        <x:v>Source 1: full
Source 2: access detail is retained in the source catalogue.
Source 3: full</x:v>
      </x:c>
      <x:c r="P195" s="20" t="n">
        <x:v>5</x:v>
      </x:c>
      <x:c r="Q195" s="4" t="str">
        <x:v>Horn of Africa</x:v>
      </x:c>
      <x:c r="R195" s="4" t="str">
        <x:v>Included</x:v>
      </x:c>
    </x:row>
    <x:row r="196" ht="270" hidden="0" customHeight="1">
      <x:c r="A196" s="16" t="str">
        <x:v>H20</x:v>
      </x:c>
      <x:c r="B196" s="4" t="str">
        <x:v>Eritrea COVID land-border closure overlay</x:v>
      </x:c>
      <x:c r="C196" s="4" t="str">
        <x:v>Eritrea</x:v>
      </x:c>
      <x:c r="D196" s="4" t="str">
        <x:v>All land borders</x:v>
      </x:c>
      <x:c r="E196" s="4" t="str">
        <x:v>Legal overland travellers
Direction: Not established</x:v>
      </x:c>
      <x:c r="F196" s="4" t="str">
        <x:v>H20-NP1 — Formal policy
Eritrean land-border COVID policy overlay
Start: unknown.
Last confirmed: 2020-11-13. Reopening is not established.
Formal policy: dated evidence; numeric duration withheld; see qualification</x:v>
      </x:c>
      <x:c r="G196" s="4" t="str">
        <x:v>Health and biosecurity / Human disease control
Officially stated reason
Applies to: 2020 COVID restriction overlay
Eritrean foreign ministry statement explicitly connects border closure to COVID containment after the first case, while acknowledging continuing land arrivals.</x:v>
      </x:c>
      <x:c r="H196" s="4" t="str">
        <x:v>Official account provides broad late-March chronology but no exact land start. March 26 aviation date cannot be transferred. Continued land arrivals mean no complete seal; uniform border-specific scope and terminal reopening remain unresolved.
H20-NP1: Unknown onset and implementation. Do not borrow March 26 from the aviation sentence or April 2 from the lockdown, and do not merge inherited bilateral restrictions.
land onset and endpoint: A November 13 policy-status observation is available; source access and unknown onset remain explicit.
Current onset finding: COMESA's November 13, 2020 compilation supports an Eritrean land-border COVID policy observation only. March 26 aviation suspension and April 2 domestic lockdown cannot supply the land onset, and pre-existing Eritrea bilateral restrictions must not be relabelled as newly COVID-caused.
duration: A November 13 policy-status observation is available; source access and unknown onset remain explicit.
Current onset finding: COMESA's November 13, 2020 compilation supports an Eritrean land-border COVID policy observation only. March 26 aviation suspension and April 2 domestic lockdown cannot supply the land onset, and pre-existing Eritrea bilateral restrictions must not be relabelled as newly COVID-caused.
continuity: COMESA's November 13, 2020 compilation supports an Eritrean land-border COVID policy observation only. March 26 aviation suspension and April 2 domestic lockdown cannot supply the land onset, and pre-existing Eritrea bilateral restrictions must not be relabelled as newly COVID-caused.</x:v>
      </x:c>
      <x:c r="I196" s="4" t="str">
        <x:v>Retained baseline assessment. Correction pass: reviewed; see attribute findings</x:v>
      </x:c>
      <x:c r="J196" s="18" t="d">
        <x:v>2026-10-23T00:00:00.000Z</x:v>
      </x:c>
      <x:c r="K196" s="21" t="str">
        <x:f>IFERROR(HYPERLINK("https://www.tralac.org/documents/resources/covid-19/regional/4212-covid-19-measures-in-place-in-comesa-member-states-30th-edition-13-november-2020/file.html","tralac.org"),"tralac.org")</x:f>
        <x:v>tralac.org</x:v>
      </x:c>
      <x:c r="L196" s="21" t="str">
        <x:f>IFERROR(HYPERLINK("https://www.tralac.org/documents/resources/covid-19/regional/4181-covid-19-measures-in-place-in-comesa-member-states-26th-edition-16-october-2020.html","COMESA / tralac"),"COMESA / tralac")</x:f>
        <x:v>COMESA / tralac</x:v>
      </x:c>
      <x:c r="M196" s="21" t="str">
        <x:f>IFERROR(HYPERLINK("https://2021-2025.state.gov/reports/2022-country-reports-on-human-rights-practices/eritrea/","US Department of State"),"US Department of State")</x:f>
        <x:v>US Department of State</x:v>
      </x:c>
      <x:c r="N196" s="4" t="str">
        <x:v>https://www.tralac.org/documents/resources/covid-19/regional/4212-covid-19-measures-in-place-in-comesa-member-states-30th-edition-13-november-2020/file.html
https://www.tralac.org/documents/resources/covid-19/regional/4181-covid-19-measures-in-place-in-comesa-member-states-26th-edition-16-october-2020.html
https://2021-2025.state.gov/reports/2022-country-reports-on-human-rights-practices/eritrea/
https://www.ecoi.net/en/document/2048098.html
https://www.comesa.int/wp-content/uploads/2020/09/Measures-in-COMESA-MS-in-Response-to-Covid-Vol-20-_-4-sept.pdf
https://2021-2025.state.gov/reports/2020-country-reports-on-human-rights-practices/eritrea/
https://shabait.com/amp/2020/06/12/statement-24/
https://disasterlaw.ifrc.org/sites/default/files/media/disaster_law/2021-03/IFRC%20Review%20of%20Emergency%20Decrees%20-%20Eritrea%20v1.0%20%2010.04.20.pdf</x:v>
      </x:c>
      <x:c r="O196" s="4" t="str">
        <x:v>Source 1: access detail is retained in the source catalogue.
Source 2: indexed excerpt
Source 3: indexed excerpt</x:v>
      </x:c>
      <x:c r="P196" s="20" t="n">
        <x:v>1</x:v>
      </x:c>
      <x:c r="Q196" s="4" t="str">
        <x:v>Horn of Africa</x:v>
      </x:c>
      <x:c r="R196" s="4" t="str">
        <x:v>Included</x:v>
      </x:c>
    </x:row>
    <x:row r="197" ht="162" hidden="0" customHeight="1">
      <x:c r="A197" s="16" t="str">
        <x:v>ME004</x:v>
      </x:c>
      <x:c r="B197" s="4" t="str">
        <x:v>Iraq Saudi Arar long trade closure</x:v>
      </x:c>
      <x:c r="C197" s="4" t="str">
        <x:v>Iraq; Saudi Arabia</x:v>
      </x:c>
      <x:c r="D197" s="4" t="str">
        <x:v>Arar</x:v>
      </x:c>
      <x:c r="E197" s="4" t="str">
        <x:v>Regular trade
Direction: Not established
Exceptions: Not established</x:v>
      </x:c>
      <x:c r="F197" s="4" t="str">
        <x:v>ME004-D1 — Formal policy
Arar's ordinary commercial-trade closure regime, to formal trade reopening.
Start: 1990-01-01 to 1990-12-31.
Policy endpoint: 2020-11-18.
Formal policy: 10915–11279 calendar-day difference; operational continuity not established</x:v>
      </x:c>
      <x:c r="G197" s="4" t="str">
        <x:v>Interstate disputes and pressure / Diplomatic disputes and retaliation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197" s="4" t="str">
        <x:v>ME004-D1: The entire 1990 onset range remains. Pilgrimage and exceptional passengers are excluded. Photographed aid trucks establish aid passage, not first ordinary commercial clearance; the endpoint is therefore formal permission.</x:v>
      </x:c>
      <x:c r="I197" s="4" t="str">
        <x:v>Targeted source review (REC50-R49); retained with recorded qualifications; evidence limits retained.</x:v>
      </x:c>
      <x:c r="J197" s="18" t="d">
        <x:v>2026-10-25T00:00:00.000Z</x:v>
      </x:c>
      <x:c r="K197" s="21" t="str">
        <x:f>IFERROR(HYPERLINK("https://www.investing.com/news/economy/iraqsaudi-arabia-border-crossing-opens-for-trade-first-time-since-1990-2351093","Reuters via Investing.com"),"Reuters via Investing.com")</x:f>
        <x:v>Reuters via Investing.com</x:v>
      </x:c>
      <x:c r="L197" s="21" t="str">
        <x:f>IFERROR(HYPERLINK("https://www.reutersconnect.com/item/iraq-saudi-arabia-border-crossing-opens-for-trade/dGFnOnJldXRlcnMuY29tLDIwMjA6bmV3c21sX1JDMlM1SzlaWEJOVA","Reuters Connect"),"Reuters Connect")</x:f>
        <x:v>Reuters Connect</x:v>
      </x:c>
      <x:c r="M197" s="21" t="str">
        <x:f>IFERROR(HYPERLINK("https://www.investing.com/news/world-news/saudi-arabia-and-iraq-to-reopen-border-crossing-after-27-years-518627","investing.com"),"investing.com")</x:f>
        <x:v>investing.com</x:v>
      </x:c>
      <x:c r="N197" s="4" t="str">
        <x:v>https://www.investing.com/news/economy/iraqsaudi-arabia-border-crossing-opens-for-trade-first-time-since-1990-2351093
https://www.reutersconnect.com/item/iraq-saudi-arabia-border-crossing-opens-for-trade/dGFnOnJldXRlcnMuY29tLDIwMjA6bmV3c21sX1JDMlM1SzlaWEJOVA
https://www.investing.com/news/world-news/saudi-arabia-and-iraq-to-reopen-border-crossing-after-27-years-518627
https://halifax.citynews.ca/2020/11/18/iraq-saudi-arabia-reopen-key-border-crossing-after-decades/</x:v>
      </x:c>
      <x:c r="O197" s="4" t="str">
        <x:v>Source 1: full; full text
Source 2: partial metadata
Source 3: full</x:v>
      </x:c>
      <x:c r="P197" s="20" t="n">
        <x:v>1</x:v>
      </x:c>
      <x:c r="Q197" s="4" t="str">
        <x:v>Middle East</x:v>
      </x:c>
      <x:c r="R197" s="4" t="str">
        <x:v>Included</x:v>
      </x:c>
    </x:row>
    <x:row r="198" ht="294" hidden="0" customHeight="1">
      <x:c r="A198" s="16" t="str">
        <x:v>ME005</x:v>
      </x:c>
      <x:c r="B198" s="4" t="str">
        <x:v>Jordan Iraq Trebil conflict closure</x:v>
      </x:c>
      <x:c r="C198" s="4" t="str">
        <x:v>Jordan; Iraq</x:v>
      </x:c>
      <x:c r="D198" s="4" t="str">
        <x:v>Trebil / Turaibil</x:v>
      </x:c>
      <x:c r="E198" s="4" t="str">
        <x:v>Not established
Direction: Not established
Exceptions: Not established</x:v>
      </x:c>
      <x:c r="F198" s="4" t="str">
        <x:v>ME005-R1 — Observed operation
Normal truck/passenger processing at Trebil/Karameh, excluding ceremonial delegations and temporary clearance of stranded investor goods/trucks
Start: 2015-07-01 to 2015-07-16.
Last confirmed: 2017-08-30. Reopening is not established.
confirmed through 2017-08-30; at least 776 calendar-day difference; reopening unknown</x:v>
      </x:c>
      <x:c r="G198"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x:v>
      </x:c>
      <x:c r="H198" s="4" t="str">
        <x:v>ME005-R1: Last confirmation is not reopening. Onset bounded July 1–16, with no exact initial day inferred. Temporary October 2015 clearance of stranded investor goods and ceremonial passage excluded from ordinary service. September transloading and through-entry restoration remain separate.
normal-service reopening: Ceremony does not establish actual complete restoration; later categories restored separately.</x:v>
      </x:c>
      <x:c r="I198" s="4" t="str">
        <x:v>Targeted source review (REC50-R38); completed with unresolved evidence; evidence limits retained.</x:v>
      </x:c>
      <x:c r="J198" s="18" t="d">
        <x:v>2026-10-25T00:00:00.000Z</x:v>
      </x:c>
      <x:c r="K198" s="21" t="str">
        <x:f>IFERROR(HYPERLINK("https://www.ksl.com/article/news/business/jordan-iraq-reopen-border-crossing-vital-to-trade/45610517","Associated Press / KSL"),"Associated Press / KSL")</x:f>
        <x:v>Associated Press / KSL</x:v>
      </x:c>
      <x:c r="L198" s="21" t="str">
        <x:f>IFERROR(HYPERLINK("https://www.militarytimes.com/news/your-military/2015/07/16/iraq-closes-border-crossing-with-jordan-until-further-notice/","militarytimes.com"),"militarytimes.com")</x:f>
        <x:v>militarytimes.com</x:v>
      </x:c>
      <x:c r="M198" s="21" t="str">
        <x:f>IFERROR(HYPERLINK("https://factjo.com/news/40541","Fact International"),"Fact International")</x:f>
        <x:v>Fact International</x:v>
      </x:c>
      <x:c r="N198" s="4" t="str">
        <x:v>https://www.ksl.com/article/news/business/jordan-iraq-reopen-border-crossing-vital-to-trade/45610517
https://www.militarytimes.com/news/your-military/2015/07/16/iraq-closes-border-crossing-with-jordan-until-further-notice/
https://factjo.com/news/40541
https://www.alaraby.co.uk/%D8%A7%D9%84%D8%B9%D8%B1%D8%A7%D9%82-%D9%8A%D9%82%D8%B1%D8%B1-%D9%81%D8%AA%D8%AD-%D9%85%D8%B9%D8%A8%D8%B1-%D8%B7%D8%B1%D9%8A%D8%A8%D9%8A%D9%84-%D9%85%D8%B9-%D8%A7%D9%84%D8%A3%D8%B1%D8%AF%D9%86
https://www.eqtsad.net/news/article/11777/
https://iraqdirectory.com/ar/2015/10/17/30179/%D9%85%D8%AF%D9%8A%D8%B1%D9%8A%D8%A9-%D8%A7%D9%84%D9%85%D9%86%D8%A7%D9%81%D8%B0-%D8%A7%D9%84%D8%AD%D8%AF%D9%88%D8%AF%D9%8A%D8%A9-%D9%85%D9%86%D9%81%D8%B0-%D8%B7%D8%B1%D9%8A%D8%A8%D9%8A%D9%84-%D8%A7%D9%84%D8%AD%D8%AF%D9%88%D8%AF%D9%8A-%D9%85%D8%A7%D8%B2%D8%A7%D9%84-%D9%85%D8%BA%D9%84%D9%82%D8%A7.aspx
https://www.iraq-businessnews.com/2017/09/08/6000-jordanian-trucks-ready-to-use-trebil-crossing/
https://www.iraq-businessnews.com/2017/08/30/jordanian-iraqi-border-crossing-to-reopen-after-eid-al-adha/
https://www.iru.org/news-resources/newsroom/tir-focus-jordanian-iraqi-border-reopens
https://en.ammonnews.net/article/36149
https://jordantimes.com/news/local/border-crossing-iraq-reopen-major-boost-ties
https://jordantimes.com/news/local/jordan-iraq-celebrate-reopening-border-crossing</x:v>
      </x:c>
      <x:c r="O198" s="4" t="str">
        <x:v>Source 1: full; full text
Source 2: access detail is retained in the source catalogue.
Source 3: full</x:v>
      </x:c>
      <x:c r="P198" s="20" t="n">
        <x:v>1</x:v>
      </x:c>
      <x:c r="Q198" s="4" t="str">
        <x:v>Middle East</x:v>
      </x:c>
      <x:c r="R198" s="4" t="str">
        <x:v>Included</x:v>
      </x:c>
    </x:row>
    <x:row r="199" ht="114" hidden="0" customHeight="1">
      <x:c r="A199" s="16" t="str">
        <x:v>ME030</x:v>
      </x:c>
      <x:c r="B199" s="4" t="str">
        <x:v>Jordan Syria Nassib conflict closure active at window start</x:v>
      </x:c>
      <x:c r="C199" s="4" t="str">
        <x:v>Jordan; Syria</x:v>
      </x:c>
      <x:c r="D199" s="4" t="str">
        <x:v>Jaber / Nassib</x:v>
      </x:c>
      <x:c r="E199" s="4" t="str">
        <x:v>Passengers and freight
Direction: Not established
Exceptions: Not established</x:v>
      </x:c>
      <x:c r="F199" s="4" t="str">
        <x:v>ME030-D1 — Observed operation
Ordinary civilian passenger passage at Jaber–Nassib, to the October 15 observed crossing.
Start: 2015-03-31.
Observed scoped reopening: 2018-10-15.
1294 calendar-day difference; scoped endpoint only</x:v>
      </x:c>
      <x:c r="G199" s="4" t="str">
        <x:v>Security / Armed conflict and military confrontation
Reported official reason
Applies to: March 31, 2015 closure
Jordanian spokesman says crossing closed because of nearby clashes between rebels and government forces.</x:v>
      </x:c>
      <x:c r="H199" s="4" t="str">
        <x:v>Contemporary AP establishes late March 31, 2015 onset. October 15 civilian passage is fully verified in Reuters mirror; VOA separately reports Syria-to-Jordan truck passage that day, whereas Reuters saw none by 11:30 GMT. Exact hours and all-category restoration remain unmeasured.
ME030-D1: Calendar-date interval, no exact hours. Passenger scope retained. Reuters had seen no trucks by 11:30 GMT, while VOA's later same-day account describes trucks from Syria into Jordan; that directional freight resumption is separately supported, without implying every category resumed together.</x:v>
      </x:c>
      <x:c r="I199" s="4" t="str">
        <x:v>Retained baseline assessment. Amended after source reconciliation</x:v>
      </x:c>
      <x:c r="J199" s="18" t="d">
        <x:v>2026-10-23T00:00:00.000Z</x:v>
      </x:c>
      <x:c r="K199" s="21" t="str">
        <x:f>IFERROR(HYPERLINK("https://finance.yahoo.com/news/jordan-syria-reopen-nassib-border-073349335.html","Yahoo Finance"),"Yahoo Finance")</x:f>
        <x:v>Yahoo Finance</x:v>
      </x:c>
      <x:c r="L199" s="21" t="str">
        <x:f>IFERROR(HYPERLINK("https://jordantimes.com/news/local/jaber-border-centre-officially-reopened-after-deal-concluded","Jordan Times"),"Jordan Times")</x:f>
        <x:v>Jordan Times</x:v>
      </x:c>
      <x:c r="M199" s="21" t="str">
        <x:f>IFERROR(HYPERLINK("https://today.thefinancialexpress.com.bd/world/jordan-syria-reopen-nassib-border-crossing-1539613772","The Financial Express"),"The Financial Express")</x:f>
        <x:v>The Financial Express</x:v>
      </x:c>
      <x:c r="N199" s="4" t="str">
        <x:v>https://finance.yahoo.com/news/jordan-syria-reopen-nassib-border-073349335.html
https://jordantimes.com/news/local/jaber-border-centre-officially-reopened-after-deal-concluded
https://today.thefinancialexpress.com.bd/world/jordan-syria-reopen-nassib-border-crossing-1539613772
https://www.philstar.com/world/2015/04/01/1440085/jordan-closes-border-syria-amid-heavy-clashes
https://www.voanews.com/a/key-syrian-border-crossings-reopen/4613758.html
https://www.omanobserver.om/article/45796/World/jordan-and-syria-reopen-nassib-border-crossing</x:v>
      </x:c>
      <x:c r="O199" s="4" t="str">
        <x:v>Source 1: search extract
Source 2: search extract
Source 3: opened article body</x:v>
      </x:c>
      <x:c r="P199" s="20" t="n">
        <x:v>1</x:v>
      </x:c>
      <x:c r="Q199" s="4" t="str">
        <x:v>Middle East</x:v>
      </x:c>
      <x:c r="R199" s="4" t="str">
        <x:v>Included</x:v>
      </x:c>
    </x:row>
    <x:row r="200" ht="234" hidden="0" customHeight="1">
      <x:c r="A200" s="16" t="str">
        <x:v>ME001</x:v>
      </x:c>
      <x:c r="B200" s="4" t="str">
        <x:v>Saudi Qatar blockade land component</x:v>
      </x:c>
      <x:c r="C200" s="4" t="str">
        <x:v>Saudi Arabia; Qatar</x:v>
      </x:c>
      <x:c r="D200" s="4" t="str">
        <x:v>Salwa / Abu Samra</x:v>
      </x:c>
      <x:c r="E200" s="4" t="str">
        <x:v>General passengers and freight with separate reopening phases
Direction: Not established
Exceptions: Pilgrim access from August 17 2017, followed by reported humanitarian passage before renewed December closure.</x:v>
      </x:c>
      <x:c r="F200" s="4" t="str">
        <x:v>ME001-D1 — Observed operation
Ordinary non-pilgrimage passenger passage at Salwa–Abu Samra, to observed vehicle restoration.
Start: 2017-06-01 to 2017-06-30.
Observed scoped reopening: 2021-01-09.
Contested: dated evidence; numeric duration withheld; see qualification
Held evidence: excluded from numeric duration and animation displays.</x:v>
      </x:c>
      <x:c r="G200" s="4" t="str">
        <x:v>Interstate disputes and pressure / Sanctions and coercive pressure
Analytical interpretation of reported context
Applies to: 2017 embargo regime
Coercive pressure is inferred from coordinated transport severance and the dispute over Qatar's policies; it is not presented as a separately quoted official rationale.
Interstate disputes and pressure / Diplomatic disputes and retaliation
Reported reason
Applies to: 2017 embargo regime
The land restriction accompanied an explicit diplomatic rupture with Qatar.
Security / Armed attacks and terrorism
Reported reason
Applies to: 2017 embargo regime
Saudi Arabia alleged Qatari support for extremist or terrorist groups. Qatar denied the allegations; the coding records the stated justification, not its truth.</x:v>
      </x:c>
      <x:c r="H200" s="4" t="str">
        <x:v>June month precision is retained for ordinary passenger onset. Contemporary freight blockage is documented June 5, while a later account gives a different initial gate chronology. January 9 2021 is the passenger restoration endpoint; cargo resumed February 14. Humanitarian and pilgrimage exceptions preclude a total continuous closure claim.
ME001-D1: June 2017 onset bounds and January 9, 2021 observed passenger return remain as evidence dates. June 5 freight evidence does not fix the passenger onset. August pilgrimage access was followed by mainly humanitarian passage before renewed December gate closure; the admitted non-pilgrimage cohorts are not sufficiently reconstructed. The previous 1289–1318-day operational calculation is therefore withheld. Diplomatic permission and later cargo return remain separate.
Matched ordinary non-pilgrimage passenger continuity, August-December 2017: After the August pilgrimage opening, mainly humanitarian passage continued before the renewed December gate closure. The admitted non-pilgrimage cohorts and their dates are insufficiently reconstructed, so ME001-D1 is held and its former 1289-1318-day operational duration is withheld.</x:v>
      </x:c>
      <x:c r="I200" s="4" t="str">
        <x:v>Targeted source review (REC50-R49); completed with unresolved evidence; evidence limits retained.</x:v>
      </x:c>
      <x:c r="J200" s="18" t="d">
        <x:v>2026-10-25T00:00:00.000Z</x:v>
      </x:c>
      <x:c r="K200" s="21" t="str">
        <x:f>IFERROR(HYPERLINK("https://www.malaymail.com/news/world/2021/01/09/qatar-saudi-border-reopens-after-thaw/1938906","AFP via Malay Mail"),"AFP via Malay Mail")</x:f>
        <x:v>AFP via Malay Mail</x:v>
      </x:c>
      <x:c r="L200" s="21" t="str">
        <x:f>IFERROR(HYPERLINK("https://www.egyptindependent.com/first-qatari-vehicles-cross-border-into-saudi-after-gulf-detente/","Egypt Independent"),"Egypt Independent")</x:f>
        <x:v>Egypt Independent</x:v>
      </x:c>
      <x:c r="M200" s="21" t="str">
        <x:f>IFERROR(HYPERLINK("https://thepeninsulaqatar.com/article/15/02/2021/Cargo-service-through-Abu-Samra-border-begins","The Peninsula"),"The Peninsula")</x:f>
        <x:v>The Peninsula</x:v>
      </x:c>
      <x:c r="N200" s="4" t="str">
        <x:v>https://www.malaymail.com/news/world/2021/01/09/qatar-saudi-border-reopens-after-thaw/1938906
https://www.egyptindependent.com/first-qatari-vehicles-cross-border-into-saudi-after-gulf-detente/
https://thepeninsulaqatar.com/article/15/02/2021/Cargo-service-through-Abu-Samra-border-begins
https://www.straitstimes.com/world/middle-east/saudi-king-orders-qatar-border-be-reopened-to-pilgrims-state-media
https://www.livemint.com/news/world/qatarsaudi-arabia-border-reopens-after-thaw-11610186437840.html
https://www.investing.com/news/world-news/saudi-arabia%2C-egypt%2C-uae-sever-ties-to-qatar-over-%27terrorism%27-491704
https://www.dailysabah.com/mideast/2017/12/19/saudi-arabia-closes-only-border-gate-with-qatar/amp
https://www.timesofisrael.com/saudi-king-orders-reopening-of-qatar-border-to-pilgrims/
https://www.arabnews.com/saudi-arabia/saudi-customs-opens-salwa-border-crossing-with-qatar-1789626</x:v>
      </x:c>
      <x:c r="O200" s="4" t="str">
        <x:v>Source 1: full text
Source 2: full page
Source 3: full page</x:v>
      </x:c>
      <x:c r="P200" s="20" t="n">
        <x:v>1</x:v>
      </x:c>
      <x:c r="Q200" s="4" t="str">
        <x:v>Middle East</x:v>
      </x:c>
      <x:c r="R200" s="4" t="str">
        <x:v>Included</x:v>
      </x:c>
    </x:row>
    <x:row r="201" ht="162" hidden="0" customHeight="1">
      <x:c r="A201" s="16" t="str">
        <x:v>ME020</x:v>
      </x:c>
      <x:c r="B201" s="4" t="str">
        <x:v>Turkey Syria Bab al Hawa armed-group fighting closure</x:v>
      </x:c>
      <x:c r="C201" s="4" t="str">
        <x:v>Türkiye; Syria</x:v>
      </x:c>
      <x:c r="D201" s="4" t="str">
        <x:v>Bab al Hawa / Cilvegozu</x:v>
      </x:c>
      <x:c r="E201" s="4" t="str">
        <x:v>Freight including humanitarian aid; passenger scope requires follow-up
Direction: Turkey to Syria for the documented aid and commercial cargo.
Exceptions: Not established</x:v>
      </x:c>
      <x:c r="F201" s="4" t="str">
        <x:v>ME020-D1 — Observed operation
Aid and commercial trucks from Turkey into Syria blocked by armed roadblocks on the Syrian approach to Bab al Hawa–Cilvegözü.
Start: 2017-07-19.
Observed scoped reopening: 2017-07-26.
7 calendar-day difference; scoped endpoint only</x:v>
      </x:c>
      <x:c r="G201"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01" s="4" t="str">
        <x:v>Full humanitarian reporting dates the intentional Syrian approach blockade to July 19–25. July 26 truck restoration remains supported by indexed Reuters text; the full reopening article was not retrieved. Later restrictions are separate.
ME020-D1: The July 26 observed-passage claim remains supported by substantial indexed Reuters text rather than a successfully retrieved full article. Planned July 19–21 maintenance on the Turkish side would have left an aid lane and is not the qualifying closure. Later restrictions and passenger access are outside this phase.
end: The July 26 truck endpoint is specific but remains indexed-only.
source verification: ME020-D1 July 26 actual truck restoration has substantial indexed Reuters support but no successful full-body retrieval in the applicable prior or fresh checks.</x:v>
      </x:c>
      <x:c r="I201" s="4" t="str">
        <x:v>Retained baseline assessment. Amended after source reconciliation</x:v>
      </x:c>
      <x:c r="J201" s="18" t="d">
        <x:v>2026-10-23T00:00:00.000Z</x:v>
      </x:c>
      <x:c r="K201" s="21" t="str">
        <x:f>IFERROR(HYPERLINK("https://www.jpost.com/breaking-news/syrian-rebels-reopen-main-border-crossing-with-turkey-500955/","Jerusalem Post"),"Jerusalem Post")</x:f>
        <x:v>Jerusalem Post</x:v>
      </x:c>
      <x:c r="L201" s="21" t="str">
        <x:f>IFERROR(HYPERLINK("https://www.syriahr.com/en/70644/","SOHR"),"SOHR")</x:f>
        <x:v>SOHR</x:v>
      </x:c>
      <x:c r="M201" s="21" t="str">
        <x:f>IFERROR(HYPERLINK("https://www.developmentaid.org/news-stream/post/5051/developments-in-north-western-syria","developmentaid.org"),"developmentaid.org")</x:f>
        <x:v>developmentaid.org</x:v>
      </x:c>
      <x:c r="N201" s="4" t="str">
        <x:v>https://www.jpost.com/breaking-news/syrian-rebels-reopen-main-border-crossing-with-turkey-500955/
https://www.syriahr.com/en/70644/
https://www.developmentaid.org/news-stream/post/5051/developments-in-north-western-syria
https://syriadirect.org/ankara-reopens-idlib-border-crossing-as-turkish-soldiers-build-presence-in-northern-syria/
https://logcluster.org/fr/alerts/warning-183
https://reliefweb.int/report/syrian-arab-republic/turkey-syria-developments-north-western-syria-30-july-2017-enar
https://www.reuters.com/article/us-mideast-crisis-syria-crossing/syrian-rebels-reopen-main-border-crossing-with-turkey-idUSKBN1AC2PD</x:v>
      </x:c>
      <x:c r="O201" s="4" t="str">
        <x:v>Source 1: search extract
Source 2: search extract
Source 3: access detail is retained in the source catalogue.</x:v>
      </x:c>
      <x:c r="P201" s="20" t="n">
        <x:v>1</x:v>
      </x:c>
      <x:c r="Q201" s="4" t="str">
        <x:v>Middle East</x:v>
      </x:c>
      <x:c r="R201" s="4" t="str">
        <x:v>Included</x:v>
      </x:c>
    </x:row>
    <x:row r="202" ht="162" hidden="0" customHeight="1">
      <x:c r="A202" s="16" t="str">
        <x:v>ME018</x:v>
      </x:c>
      <x:c r="B202" s="4" t="str">
        <x:v>Iran Iraqi Kurdistan post-referendum border suspension</x:v>
      </x:c>
      <x:c r="C202" s="4" t="str">
        <x:v>Iran; Iraq</x:v>
      </x:c>
      <x:c r="D202" s="4" t="str">
        <x:v>Parwezkhan and Haji Omaran, reopened January 2 2018; Bashmakh, reopened October 25 2017.
Three official Iran–Iraqi Kurdistan crossings with distinct reopening phases.</x:v>
      </x:c>
      <x:c r="E202" s="4" t="str">
        <x:v>Passengers and commercial freight
Direction: Not established
Exceptions: People already waiting were initially allowed through; semi-official Tawqela remained open.</x:v>
      </x:c>
      <x:c r="F202" s="4" t="str">
        <x:v>ME018-D1 — Observed operation
The remaining Parwezkhan and Haji Omaran crossings in the Iran–Iraqi Kurdistan restriction.
Start: 2017-10-15.
Observed scoped reopening: 2018-01-02.
79 calendar-day difference; scoped endpoint only
ME018-R1 — Observed operation
Bashmakh official land crossing during the post-referendum restriction.
Start: 2017-10-15.
Scoped endpoint: 2017-10-25.
10 calendar-day difference; scoped endpoint only</x:v>
      </x:c>
      <x:c r="G202" s="4" t="str">
        <x:v>Interstate disputes and pressure / Territorial and frontier disputes
Reported reason
Applies to: October 15 2017 main official-gate closure
Kurdish officials attributed the closure to Baghdad's request following the independence referendum. This records the reported rationale without determining sovereignty; Iran initially denied new measures.
Interstate disputes and pressure / Sanctions and coercive pressure
Reported reason
Applies to: October 15 2017 main official-gate closure
The reported Baghdad measures sought reversal of the referendum and restoration of federal control; attribution is preserved rather than asserting an independently proved security threat.</x:v>
      </x:c>
      <x:c r="H202" s="4" t="str">
        <x:v>The main closure is dated October 15 by contemporary customs reporting; Iran initially denied new measures. Two gates reopened January 2 and Bashmakh October 25. Earlier drill and air measures are separate. Other reports' differing post counts remain a reporting disagreement.
ME018-D1: Waiting travellers were initially excepted and semi-official Tawqela remained open. Iran initially denied new measures despite Kurdish customs reports of cessation. Bashmakh reopened separately on October 25. The earlier October 2 drill closure and September air restriction are excluded.
ME018-R1: The endpoint is retrospective reporting rather than a fresh contemporary October 25 observation. Travellers already waiting and semi-official crossings were excepted at the initial closure. Reporting shares Rudaw institutional origin. Earlier brief drill and air restrictions are separate.</x:v>
      </x:c>
      <x:c r="I202" s="4" t="str">
        <x:v>Retained baseline assessment. Amended after source reconciliation</x:v>
      </x:c>
      <x:c r="J202" s="18" t="d">
        <x:v>2026-10-23T00:00:00.000Z</x:v>
      </x:c>
      <x:c r="K202" s="21" t="str">
        <x:f>IFERROR(HYPERLINK("https://www.aa.com.tr/en/middle-east/iran-reopens-border-crossings-with-iraqi-kurdish-region/1020605","Anadolu"),"Anadolu")</x:f>
        <x:v>Anadolu</x:v>
      </x:c>
      <x:c r="L202" s="21" t="str">
        <x:f>IFERROR(HYPERLINK("https://www.thenationalnews.com/world/mena/iran-reopens-all-border-posts-with-iraqi-kurdistan-1.692253","The National"),"The National")</x:f>
        <x:v>The National</x:v>
      </x:c>
      <x:c r="M202" s="21" t="str">
        <x:f>IFERROR(HYPERLINK("https://www.rudaw.net/english/categories/kurdistan/1012096","rudaw.net"),"rudaw.net")</x:f>
        <x:v>rudaw.net</x:v>
      </x:c>
      <x:c r="N202" s="4" t="str">
        <x:v>https://www.aa.com.tr/en/middle-east/iran-reopens-border-crossings-with-iraqi-kurdish-region/1020605
https://www.thenationalnews.com/world/mena/iran-reopens-all-border-posts-with-iraqi-kurdistan-1.692253
https://www.rudaw.net/english/categories/kurdistan/1012096
https://www.rudaw.net/english/categories/middleeast/1015186
https://www.rudaw.net/english/categories/middleeast/1014625</x:v>
      </x:c>
      <x:c r="O202" s="4" t="str">
        <x:v>Source 1: full page
Source 2: full page
Source 3: access detail is retained in the source catalogue.</x:v>
      </x:c>
      <x:c r="P202" s="20" t="n">
        <x:v>2</x:v>
      </x:c>
      <x:c r="Q202" s="4" t="str">
        <x:v>Middle East</x:v>
      </x:c>
      <x:c r="R202" s="4" t="str">
        <x:v>Included</x:v>
      </x:c>
    </x:row>
    <x:row r="203" ht="138" hidden="0" customHeight="1">
      <x:c r="A203" s="16" t="str">
        <x:v>ME015</x:v>
      </x:c>
      <x:c r="B203" s="4" t="str">
        <x:v>Al-Wadea brief passenger interruption, 8 November 2017</x:v>
      </x:c>
      <x:c r="C203" s="4" t="str">
        <x:v>Saudi Arabia; Yemen</x:v>
      </x:c>
      <x:c r="D203" s="4" t="str">
        <x:v>Yemen land crossings; operational reopening evidence at al Wadea</x:v>
      </x:c>
      <x:c r="E203" s="4" t="str">
        <x:v>Commercial and humanitarian supplies
Direction: Not established
Exceptions: Not established</x:v>
      </x:c>
      <x:c r="F203" s="4" t="str">
        <x:v>ME015-R1 — Observed operation
Brief interruption of passenger movement at al-Wadea described by local crossing employee
Start: 2017-11-08.
Observed scoped reopening: 2017-11-08.
Same-day episode; no whole-day duration inferred</x:v>
      </x:c>
      <x:c r="G203" s="4" t="str">
        <x:v>Uncoded / Unresolved rationale
Not assigned
Applies to: Not assigned
Removed broad coalition security codes from the specific brief post interruption; no unsupported motive assigned.</x:v>
      </x:c>
      <x:c r="H203" s="4" t="str">
        <x:v>ME015-R1: Single locally attributed account; relation to coalition blockade order is uncertain because source cites legal procedures. Do not report a multi-day blockade or zero hours from same-day dates. Contemporary Yemeni accounts dated 8 November corroborate same-day closure and reopening but do not establish its motive.
relationship of local phase to the coalition order: The two-hour local closure is attributed to legal procedures; available reporting does not establish whether it implemented the coalition blockade or a separate administrative action.
Current rationale finding: The specific interruption has no established official reason. Security codes and blockade title removed; broader coalition context retained as context only.</x:v>
      </x:c>
      <x:c r="I203" s="4" t="str">
        <x:v>Retained baseline assessment. Correction pass: amended with stated qualifications</x:v>
      </x:c>
      <x:c r="J203" s="18" t="d">
        <x:v>2026-10-23T00:00:00.000Z</x:v>
      </x:c>
      <x:c r="K203" s="21" t="str">
        <x:f>IFERROR(HYPERLINK("https://sadaalwadi.net/?p=38758","Sada al-Wadi"),"Sada al-Wadi")</x:f>
        <x:v>Sada al-Wadi</x:v>
      </x:c>
      <x:c r="L203" s="21" t="str">
        <x:f>IFERROR(HYPERLINK("https://ye-voice.com/news109027.html","Yemen Voice"),"Yemen Voice")</x:f>
        <x:v>Yemen Voice</x:v>
      </x:c>
      <x:c r="M203" s="21" t="str">
        <x:f>IFERROR(HYPERLINK("https://ye-voice.com/news109026.html","ye-voice.com"),"ye-voice.com")</x:f>
        <x:v>ye-voice.com</x:v>
      </x:c>
      <x:c r="N203" s="4" t="str">
        <x:v>https://sadaalwadi.net/?p=38758
https://ye-voice.com/news109027.html
https://ye-voice.com/news109026.html
https://yemenat.net/?p=308568
https://www.investing.com/news/world-news/saudiled-coalition-opens-yemen-border-crossing-aid-agencies-warn-of-famine-842048
https://www.acaps.org/en/countries/archives/detail/yemen-sea-air-and-land-embargo
https://www.acaps.org/fileadmin/Data_Product/Main_media/20171115_acaps_short_note_yemen_sea_air_and_land_embargo_0.pdf
https://www.almashhad.news/news/97027
https://yemenat.net/archives/308568</x:v>
      </x:c>
      <x:c r="O203" s="4" t="str">
        <x:v>Source 1: full
Source 2: full relevant article text
Source 3: access detail is retained in the source catalogue.</x:v>
      </x:c>
      <x:c r="P203" s="20" t="n">
        <x:v>1</x:v>
      </x:c>
      <x:c r="Q203" s="4" t="str">
        <x:v>Middle East</x:v>
      </x:c>
      <x:c r="R203" s="4" t="str">
        <x:v>Included</x:v>
      </x:c>
    </x:row>
    <x:row r="204" ht="246" hidden="0" customHeight="1">
      <x:c r="A204" s="16" t="str">
        <x:v>ME016</x:v>
      </x:c>
      <x:c r="B204" s="4" t="str">
        <x:v>Iraq 2018 election closure order</x:v>
      </x:c>
      <x:c r="C204" s="4" t="str">
        <x:v>Iraq; Türkiye; Iran; Kuwait; Saudi Arabia; Jordan; Syria</x:v>
      </x:c>
      <x:c r="D204" s="4" t="str">
        <x:v>National land crossings</x:v>
      </x:c>
      <x:c r="E204" s="4" t="str">
        <x:v>Not established
Direction: Not established
Exceptions: Not established</x:v>
      </x:c>
      <x:c r="F204" s="4" t="str">
        <x:v>ME016-R1 — Announced window
Iraq announced election closure of land border crossings
Start: 2018-05-11 to 2018-05-12.
Scheduled endpoint: 2018-05-12 to 2018-05-13.
Ordered window: dated evidence; numeric duration withheld; see qualification</x:v>
      </x:c>
      <x:c r="G204"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
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204" s="4" t="str">
        <x:v>ME016-R1: Bounds describe competing schedules, not arbitrary duration combinations. No actual land reopening evidence; early airport reopening cannot end this land period. The former 0–2 date-difference range combined endpoints from different schedules and is withdrawn.
actual land implementation: The precise announced schedule remains disputed and the search did not establish completed land reopening. This does not invalidate the explicitly scheduled current phase.
Current continuity finding: Rudaw and EPIC retain competing 24-hour schedules. Neither establishes implemented times at land gates; numerical duration is withheld.</x:v>
      </x:c>
      <x:c r="I204" s="4" t="str">
        <x:v>Retained baseline assessment. Correction pass: amended with stated qualifications</x:v>
      </x:c>
      <x:c r="J204" s="18" t="d">
        <x:v>2026-10-23T00:00:00.000Z</x:v>
      </x:c>
      <x:c r="K204" s="21" t="str">
        <x:f>IFERROR(HYPERLINK("https://www.rudaw.net/english/middleeast/iraq/090520183","Rudaw"),"Rudaw")</x:f>
        <x:v>Rudaw</x:v>
      </x:c>
      <x:c r="L204" s="21" t="str">
        <x:f>IFERROR(HYPERLINK("https://enablingpeace.org/ishm160/","EPIC"),"EPIC")</x:f>
        <x:v>EPIC</x:v>
      </x:c>
      <x:c r="M204" s="21" t="str">
        <x:f>IFERROR(HYPERLINK("https://iranpress.ir/content/2355/iraq-closes-airports-and-border-crossings-during-election","Iran Press"),"Iran Press")</x:f>
        <x:v>Iran Press</x:v>
      </x:c>
      <x:c r="N204" s="4" t="str">
        <x:v>https://www.rudaw.net/english/middleeast/iraq/090520183
https://enablingpeace.org/ishm160/
https://iranpress.ir/content/2355/iraq-closes-airports-and-border-crossings-during-election
https://www.xinhuanet.com/english/2018-05/10/c_137167537.htm
https://www.rudaw.net/english/categories/middleeast/1021069</x:v>
      </x:c>
      <x:c r="O204" s="4" t="str">
        <x:v>Source 1: indexed excerpt; full
Source 2: indexed excerpt; full
Source 3: indexed excerpt</x:v>
      </x:c>
      <x:c r="P204" s="20" t="n">
        <x:v>1</x:v>
      </x:c>
      <x:c r="Q204" s="4" t="str">
        <x:v>Middle East</x:v>
      </x:c>
      <x:c r="R204" s="4" t="str">
        <x:v>Included</x:v>
      </x:c>
    </x:row>
    <x:row r="205" ht="198" hidden="0" customHeight="1">
      <x:c r="A205" s="16" t="str">
        <x:v>ME019</x:v>
      </x:c>
      <x:c r="B205" s="4" t="str">
        <x:v>Pakistan Iran Taftan COVID suspension</x:v>
      </x:c>
      <x:c r="C205" s="4" t="str">
        <x:v>Pakistan; Iran</x:v>
      </x:c>
      <x:c r="D205" s="4" t="str">
        <x:v>Taftan / Mirjaveh</x:v>
      </x:c>
      <x:c r="E205" s="4" t="str">
        <x:v>Trade and Pakistani citizens travelling to Iran
Direction: Initial travel/trade restrictions; limited Iranian-to-Pakistani returnee passage separately documented.
Exceptions: Pakistani returnees admitted by 28 February with screening/quarantine; March trade passage also preceded the May milestone.</x:v>
      </x:c>
      <x:c r="F205" s="4" t="str">
        <x:v>ME019-R1 — Observed operation
Pakistani citizens/pilgrims returning from Iran through Taftan during initial suspension
Start: 2020-02-23 to 2020-02-24.
Observed scoped reopening: 2020-02-28.
4–5 calendar-day difference; scoped endpoint only
ME019-R2 — Observed operation
Initial commercial cargo suspension at Taftan–Mirjaveh, ending with screened truck passage on March 7.
Start: 2020-02-23 to 2020-02-24.
Scoped endpoint: 2020-03-07.
12–13 calendar-day difference; scoped endpoint only</x:v>
      </x:c>
      <x:c r="G20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05" s="4" t="str">
        <x:v>Onset remains bounded February 23–24 in the current phases. Screened Pakistani returnees were admitted February 28 and commercial trucks resumed March 7. May is a later trade milestone; general passenger restoration and later interruption schedules remain unestablished.
ME019-R1: Endpoint restores screened returnees only; no claim all travellers or cargo reopened. Quarantine admission differs from free passage.
ME019-R2: Initial cargo phase only, overlapping the returnee restriction and not additive to it. Later recurring trade restrictions and May or June milestones are not assigned this endpoint. Local outlets may share official reporting; no independent-origin count is inferred.</x:v>
      </x:c>
      <x:c r="I205" s="4" t="str">
        <x:v>Retained baseline assessment. Amended after source reconciliation</x:v>
      </x:c>
      <x:c r="J205" s="18" t="d">
        <x:v>2026-10-23T00:00:00.000Z</x:v>
      </x:c>
      <x:c r="K205" s="21" t="str">
        <x:f>IFERROR(HYPERLINK("https://www.radio.gov.pk/23-02-2020/pak-iran-border-at-taftan-closed-to-avoid-spread-of-coronavirus-reportedly-found-in-iran","Radio Pakistan"),"Radio Pakistan")</x:f>
        <x:v>Radio Pakistan</x:v>
      </x:c>
      <x:c r="L205" s="21" t="str">
        <x:f>IFERROR(HYPERLINK("https://tribune.com.pk/story/2166219/1-govt-gradually-allow-pakistani-pilgrims-return-iran","Express Tribune"),"Express Tribune")</x:f>
        <x:v>Express Tribune</x:v>
      </x:c>
      <x:c r="M205" s="21" t="str">
        <x:f>IFERROR(HYPERLINK("https://dunyanews.tv/en/Pakistan/534602-150-pilgrims-enter-Pakistan-as-authorities-reopen-border-with-Iran","Dunya News"),"Dunya News")</x:f>
        <x:v>Dunya News</x:v>
      </x:c>
      <x:c r="N205" s="4" t="str">
        <x:v>https://www.radio.gov.pk/23-02-2020/pak-iran-border-at-taftan-closed-to-avoid-spread-of-coronavirus-reportedly-found-in-iran
https://tribune.com.pk/story/2166219/1-govt-gradually-allow-pakistani-pilgrims-return-iran
https://dunyanews.tv/en/Pakistan/534602-150-pilgrims-enter-Pakistan-as-authorities-reopen-border-with-Iran
https://www.brecorder.com/news/577904/pakistan-opens-iran-border-for-trade-despite-coronavirus-threat
https://www.radio.gov.pk/08-03-2020/coronavirus-outbreak-trade-activities-resume-at-pakistan-iran-border
https://www.aa.com.tr/en/asia-pacific/pakistan-iran-border-trade-resumes-amid-virus-surge-/1881341
https://arynews.tv/passengers-arriving-iran-quarantine
https://www.radio.gov.pk/19-06-2020/pakistan-iran-border-reopens-at-mirjaveh-for-trade
https://www.dawn.com/news/1539170
https://www.radio.gov.pk/29-02-2020/pakistan-temporarily-opens-taftan-border-to-allow-over-300-citizens-to-return-from-iran</x:v>
      </x:c>
      <x:c r="O205" s="4" t="str">
        <x:v>Source 1: full
Source 2: indexed excerpt; failed
Source 3: indexed excerpt; full</x:v>
      </x:c>
      <x:c r="P205" s="20" t="n">
        <x:v>2</x:v>
      </x:c>
      <x:c r="Q205" s="4" t="str">
        <x:v>Middle East</x:v>
      </x:c>
      <x:c r="R205" s="4" t="str">
        <x:v>Included</x:v>
      </x:c>
    </x:row>
    <x:row r="206" ht="246" hidden="0" customHeight="1">
      <x:c r="A206" s="16" t="str">
        <x:v>ME007</x:v>
      </x:c>
      <x:c r="B206" s="4" t="str">
        <x:v>Turkey Iran COVID road-crossing restrictions</x:v>
      </x:c>
      <x:c r="C206" s="4" t="str">
        <x:v>Türkiye; Iran</x:v>
      </x:c>
      <x:c r="D206" s="4" t="str">
        <x:v>Gürbulak / Bazargan and other land gates</x:v>
      </x:c>
      <x:c r="E206" s="4" t="str">
        <x:v>Passengers and ordinary road-vehicle movement; freight exceptions and substitute arrangements varied.
Direction: Iran to Türkiye initially; controlled outbound trade treated separately
Exceptions: Controlled exports and transit toward Iran continued initially; screened Turkish returns were permitted at Gürbulak. Rail wagons without personnel were permitted from March 4. On May 5 entry processing began for 280 waiting trucks under quarantine and health precautions; driver nationality was not specified.</x:v>
      </x:c>
      <x:c r="F206" s="4" t="str">
        <x:v>ME007-NP1 — Formal policy
Iran road crossings; June freight endpoint applies to Gürbulak
Start: 2020-02-23.
Policy endpoint: 2020-06-04.
Formal policy: dated evidence; numeric duration withheld; see qualification</x:v>
      </x:c>
      <x:c r="G20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06" s="4" t="str">
        <x:v>June 4 concerns general international freight restoration, not passenger reopening or the first permitted truck entry. A May 6 Trade Ministry notice identifies the May 5 exception as returning Turkish trucks already inside Iran before closure; newly arriving transit trucks were excluded. Driver nationality is not separately established. Rail substitution and screened returns preclude an all-traffic continuous interval; no matched continuous category is yet reconstructed.
ME007-NP1: Passenger restoration is unknown. June 4 is not the first possible exceptional truck passage; no operational duration is calculated.
duration: Dated trade-policy evidence only. Contactless freight and return exceptions prevent treating the announcement span as a continuous all-traffic closure.</x:v>
      </x:c>
      <x:c r="I206" s="4" t="str">
        <x:v>Retained baseline assessment. 23 October amendments; remaining qualifications retained</x:v>
      </x:c>
      <x:c r="J206" s="18" t="d">
        <x:v>2026-10-23T00:00:00.000Z</x:v>
      </x:c>
      <x:c r="K206" s="21" t="str">
        <x:f>IFERROR(HYPERLINK("https://covid19.ticaret.gov.tr/gumruk/haber/temassiz-ticarete-iliskin-bilgi-notu","Turkey Trade Ministry"),"Turkey Trade Ministry")</x:f>
        <x:v>Turkey Trade Ministry</x:v>
      </x:c>
      <x:c r="L206" s="21" t="str">
        <x:f>IFERROR(HYPERLINK("https://ticaret.gov.tr/haberler/bakan-pekcan-habur-ve-gurbulak-kapilarinin-acildigini-duyurdu","Türkiye Trade Ministry"),"Türkiye Trade Ministry")</x:f>
        <x:v>Türkiye Trade Ministry</x:v>
      </x:c>
      <x:c r="M206" s="21" t="str">
        <x:f>IFERROR(HYPERLINK("https://h.aa.com.tr/tr/ekonomi/ticaret-bakani-pekcan-gurbulak-sinir-kapisinda-bekleyen-tirlarin-turkiyeye-giris-islemleri-basladi/1829743","Anadolu"),"Anadolu")</x:f>
        <x:v>Anadolu</x:v>
      </x:c>
      <x:c r="N206" s="4" t="str">
        <x:v>https://covid19.ticaret.gov.tr/gumruk/haber/temassiz-ticarete-iliskin-bilgi-notu
https://ticaret.gov.tr/haberler/bakan-pekcan-habur-ve-gurbulak-kapilarinin-acildigini-duyurdu
https://h.aa.com.tr/tr/ekonomi/ticaret-bakani-pekcan-gurbulak-sinir-kapisinda-bekleyen-tirlarin-turkiyeye-giris-islemleri-basladi/1829743
https://wiki.unece.org/pages/viewpage.action?pageId=128420956
https://www.hurriyetdailynews.com/turkey-reopens-customs-gates-with-iran-iraq-155338
https://www.mfa.gov.tr/koronavirus-salginindaki-rol-ve-vizyonumuz-20-04-2022.en.mfa
https://u.aa.com.tr/en/health/turkey-shuts-border-with-iran-over-coronavirus-outbreak/1742448
https://www.saglik.gov.tr/EN,64320/turkey-temporarily-closes-the-border-with-iran.html
https://www.aa.com.tr/tr/ekonomi/ticaret-bakani-pekcan-turkiyeden-irana-ihracat-ve-transit-islemleri-kontrollu-devam-ediyor/1742469
https://www.aa.com.tr/tr/koronavirus/gurbulak-sinir-kapisina-koronavirus-tedbirleri-kapsaminda-termal-kamera-kuruldu/1742738
https://www.hurriyetdailynews.com/turkey-closes-border-with-iran-amid-coronavirus-concerns-152360
https://www.trthaber.com/haber/turkiye/gurbulak-sinir-kapisina-termal-kamera-kuruldu-462707.html
https://www.ticaret.gov.tr/blog/ulkelerden-ticari-haberler/iran/bazargan-gurbulak-sinir-kapisinda-bekleyen-turk-tirlarinin-turkiyeye-gecisi-ba
https://www.und.org.tr/medya-detay/undden-haberler/habur-ve-gurbulak-sinir-kapilarimiz-aciliyor</x:v>
      </x:c>
      <x:c r="O206" s="4" t="str">
        <x:v>Source 1: full
Source 2: full page
Source 3: indexed excerpt; full</x:v>
      </x:c>
      <x:c r="P206" s="20" t="n">
        <x:v>1</x:v>
      </x:c>
      <x:c r="Q206" s="4" t="str">
        <x:v>Middle East</x:v>
      </x:c>
      <x:c r="R206" s="4" t="str">
        <x:v>Included</x:v>
      </x:c>
    </x:row>
    <x:row r="207" ht="246" hidden="0" customHeight="1">
      <x:c r="A207" s="16" t="str">
        <x:v>ME014</x:v>
      </x:c>
      <x:c r="B207" s="4" t="str">
        <x:v>Iraqi Kurdistan Iran Shushme COVID trade closure</x:v>
      </x:c>
      <x:c r="C207" s="4" t="str">
        <x:v>Iraq; Iran</x:v>
      </x:c>
      <x:c r="D207" s="4" t="str">
        <x:v>Shushme / Shushmi</x:v>
      </x:c>
      <x:c r="E207" s="4" t="str">
        <x:v>Commercial freight
Direction: Not established
Exceptions: Not established</x:v>
      </x:c>
      <x:c r="F207" s="4" t="str">
        <x:v>ME014-D1 — Observed operation
Shushme / Shushmi; Commercial freight; Not established
Start: 2020-02-28.
Observed scoped reopening: 2020-05-03.
Contested: dated evidence; numeric duration withheld; see qualification
Held evidence: excluded from numeric duration and animation displays.</x:v>
      </x:c>
      <x:c r="G20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07" s="4" t="str">
        <x:v>May 3 truck passage is directly documented, but a full April 28 Iranian customs statement claims earlier reopening. The first operational restoration and continuity of the reported February 28–May 3 spell remain unresolved. An indexed IRNA summary additionally gives February 25 onset. Evidence is specific to Shushme freight.
ME014-D1: Reuters's May 3 footage and employee interview support operation that day and a reported February 28 onset. An indexed IRNA account instead gives February 25. More materially, an April 28 ISNA report reproduced by Arman Eqtesadi quotes the Iranian customs spokesman saying Shoushmi opened that day; a May 4 Alsumaria official account corroborates May 3 formal reopening. Preserve these conflicting claims and withhold the complete continuous duration until their scope is reconciled. Passenger chronology remains unestablished.
continuity and first reopening: Retain the contested phase and withheld numeric duration. A Kurdish-side order supports April 28 permission; actual implementation and February 25 versus February 28 onset remain unresolved.
Current continuity finding: April 28 and May 3 opening accounts remain unreconciled by traffic or direction. Contested duration remains withheld; stale numerical assurance removed.
start: Retain the contested phase and withheld numeric duration. A Kurdish-side order supports April 28 permission; actual implementation and February 25 versus February 28 onset remain unresolved.</x:v>
      </x:c>
      <x:c r="I207" s="4" t="str">
        <x:v>Retained baseline assessment. Correction pass: amended with stated qualifications</x:v>
      </x:c>
      <x:c r="J207" s="18" t="d">
        <x:v>2026-10-23T00:00:00.000Z</x:v>
      </x:c>
      <x:c r="K207" s="21" t="str">
        <x:f>IFERROR(HYPERLINK("https://www.reutersconnect.com/item/iraqi-kurdistan-and-iran-border-partially-reopens-for-trade/dGFnOnJldXRlcnMuY29tLDIwMjA6bmV3c21sX1ZBQ0NETTlUWg","Reuters Connect"),"Reuters Connect")</x:f>
        <x:v>Reuters Connect</x:v>
      </x:c>
      <x:c r="L207" s="21" t="str">
        <x:f>IFERROR(HYPERLINK("https://armaneghtesadi.com/484459/1399/02/09/%D9%BE%D9%86%D8%AC-%D9%85%D8%B1%D8%B2-%D8%A8%D8%A7-%D8%B9%D8%B1%D8%A7%D9%82-%D8%A8%D8%A7%D8%B2-%D8%A7%D8%B3%D8%AA/","armaneghtesadi.com"),"armaneghtesadi.com")</x:f>
        <x:v>armaneghtesadi.com</x:v>
      </x:c>
      <x:c r="M207" s="21" t="str">
        <x:f>IFERROR(HYPERLINK("https://www.globalsecurity.org/wmd/library/news/iraq/2020/index_02.htm","globalsecurity.org"),"globalsecurity.org")</x:f>
        <x:v>globalsecurity.org</x:v>
      </x:c>
      <x:c r="N207" s="4" t="str">
        <x:v>https://www.reutersconnect.com/item/iraqi-kurdistan-and-iran-border-partially-reopens-for-trade/dGFnOnJldXRlcnMuY29tLDIwMjA6bmV3c21sX1ZBQ0NETTlUWg
https://armaneghtesadi.com/484459/1399/02/09/%D9%BE%D9%86%D8%AC-%D9%85%D8%B1%D8%B2-%D8%A8%D8%A7-%D8%B9%D8%B1%D8%A7%D9%82-%D8%A8%D8%A7%D8%B2-%D8%A7%D8%B3%D8%AA/
https://www.alsumaria.tv/news/economy/344024/%D8%A7%D9%8A%D8%B1%D8%A7%D9%86-%D8%AA%D8%B9%D9%84%D9%86-%D8%A7%D8%B9%D8%A7%D8%AF%D8%A9-%D9%81%D8%AA%D8%AD-%D9%85%D8%B9%D8%A8%D8%B1%D9%8A%D9%86-%D8%AD%D8%AF%D9%88%D8%AF%D9%8A%D9%8A%D9%86-%D9%85%D8%B9-%D8%A7%D9%84%D8%B9%D8%B1%D8%A7%D9%82
https://www.globalsecurity.org/wmd/library/news/iraq/2020/index_02.htm
https://fa.alalam.ir/news/4892831/عراق-مرز-شوشمی-را-از-امروز-سه-شنبه-باز-می-کند</x:v>
      </x:c>
      <x:c r="O207" s="4" t="str">
        <x:v>Source 1: search extract
Source 2: access detail is retained in the source catalogue.
Source 3: access detail is retained in the source catalogue.</x:v>
      </x:c>
      <x:c r="P207" s="20" t="n">
        <x:v>1</x:v>
      </x:c>
      <x:c r="Q207" s="4" t="str">
        <x:v>Middle East</x:v>
      </x:c>
      <x:c r="R207" s="4" t="str">
        <x:v>Included</x:v>
      </x:c>
    </x:row>
    <x:row r="208" ht="186" hidden="0" customHeight="1">
      <x:c r="A208" s="16" t="str">
        <x:v>ME009</x:v>
      </x:c>
      <x:c r="B208" s="4" t="str">
        <x:v>Saudi national COVID citizen travel restrictions</x:v>
      </x:c>
      <x:c r="C208" s="4" t="str">
        <x:v>Saudi Arabia; Jordan; Iraq; Kuwait; Qatar; United Arab Emirates; Yemen; Bahrain</x:v>
      </x:c>
      <x:c r="D208" s="4" t="str">
        <x:v>National land entry/exit ports including causeway; changing exemptions</x:v>
      </x:c>
      <x:c r="E208" s="4" t="str">
        <x:v>Saudi citizens travelling abroad; other populations subject to differing phases
Direction: Not established
Exceptions: From 15 September 2020: specified official, diplomatic, employment, business, medical and student travel under conditions. May 2021 easing retained health eligibility requirements.</x:v>
      </x:c>
      <x:c r="F208" s="4" t="str">
        <x:v>ME009-D1 — Formal policy
Saudi restriction on ordinary citizen leisure departure, to health-eligible citizen travel permission; land component evidenced at King Fahd Causeway.
Start: 2020-03-01 to 2020-03-31.
Policy endpoint: 2021-05-17.
Formal policy: 412–442 calendar-day difference; operational continuity not established</x:v>
      </x:c>
      <x:c r="G20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08" s="4" t="str">
        <x:v>ME009-D1: The whole March onset range is retained. Earlier official/work/business/medical/student permissions are excluded; this is not all-citizen denial. Other gates and the later Saudi–Oman road are not assigned observed first passage.</x:v>
      </x:c>
      <x:c r="I208" s="4" t="str">
        <x:v>Retained baseline assessment. Retained with recorded qualifications</x:v>
      </x:c>
      <x:c r="J208" s="18" t="d">
        <x:v>2026-10-23T00:00:00.000Z</x:v>
      </x:c>
      <x:c r="K208" s="21" t="str">
        <x:f>IFERROR(HYPERLINK("https://bdnews24.com/world/saudi-arabia-to-open-land-sea-air-borders-as-on-may-17","bdnews24"),"bdnews24")</x:f>
        <x:v>bdnews24</x:v>
      </x:c>
      <x:c r="L208" s="21" t="str">
        <x:f>IFERROR(HYPERLINK("https://www.spa.gov.sa/2133211","Saudi Press Agency"),"Saudi Press Agency")</x:f>
        <x:v>Saudi Press Agency</x:v>
      </x:c>
      <x:c r="M208" s="21" t="str">
        <x:f>IFERROR(HYPERLINK("https://www.arabnews.com/saudi-arabia/saudi-arabia-limits-entry-by-land-from-uae-kuwait-bahrain-amid-coronavirus-threat-1637971","arabnews.com"),"arabnews.com")</x:f>
        <x:v>arabnews.com</x:v>
      </x:c>
      <x:c r="N208" s="4" t="str">
        <x:v>https://bdnews24.com/world/saudi-arabia-to-open-land-sea-air-borders-as-on-may-17
https://www.spa.gov.sa/2133211
https://www.reutersconnect.com/item/a-pileup-of-saudi-nationals-cars-as-they-enter-bahrain-after-saudi-authorities-lift-the-travel-ban-on-its-citizens-after-fourteen-months-due-to-coronavirus-covid-19-restrictions-at-king-fahad-causeway-bahrain/dGFnOnJldXRlcnMuY29tLDIwMjE6bmV3c21sX1JDMkRITjlBWjJTOQ
https://www.arabnews.com/saudi-arabia/saudi-arabia-limits-entry-by-land-from-uae-kuwait-bahrain-amid-coronavirus-threat-1637971
https://www.arabnews.com/saudi-arabia/saudi-citizens-allowed-to-enter-kingdom-by-land-from-uae-bahrain-and-kuwait-1708951
https://english.ajel.sa/news/saudi-arabia-reopens-king-fahd-causeway-for-travelers-to-and-from-bahrain
https://www.uqn.gov.sa/details?p=17570
https://saudigazette.com.sa/article/597910/SAUDI-ARABIA/Saudi-Arabia-to-lift-all-travel-restrictions-on-citizens-from-Jan-1</x:v>
      </x:c>
      <x:c r="O208" s="4" t="str">
        <x:v>Source 1: search extract
Source 2: search extract
Source 3: access detail is retained in the source catalogue.</x:v>
      </x:c>
      <x:c r="P208" s="20" t="n">
        <x:v>1</x:v>
      </x:c>
      <x:c r="Q208" s="4" t="str">
        <x:v>Middle East</x:v>
      </x:c>
      <x:c r="R208" s="4" t="str">
        <x:v>Included</x:v>
      </x:c>
    </x:row>
    <x:row r="209" ht="126" hidden="0" customHeight="1">
      <x:c r="A209" s="16" t="str">
        <x:v>ME036</x:v>
      </x:c>
      <x:c r="B209" s="4" t="str">
        <x:v>Jordan national COVID passenger closure</x:v>
      </x:c>
      <x:c r="C209" s="4" t="str">
        <x:v>Jordan; Syria; Iraq; Saudi Arabia; Israel; Palestine (occupied West Bank)</x:v>
      </x:c>
      <x:c r="D209" s="4" t="str">
        <x:v>National land passenger crossings</x:v>
      </x:c>
      <x:c r="E209" s="4" t="str">
        <x:v>Non-essential passenger travel
Direction: Not established
Exceptions: Commercial freight; diplomatic and international organisation categories; Jordanians in neighbouring countries forced to return, subject to health procedures.</x:v>
      </x:c>
      <x:c r="F209" s="4" t="str">
        <x:v>ME036-D1 — Observed operation
Jordan's ordinary private land-passenger restriction, through the September 27 retrospective account.
Start: 2020-03-01 to 2020-03-31.
Last confirmed: 2020-09-27. Reopening is not established.
confirmed through 2020-09-27; at least 180 calendar-day difference; reopening unknown</x:v>
      </x:c>
      <x:c r="G20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09" s="4" t="str">
        <x:v>March onset remains at month precision: the package expressly dates flight suspension March 17 but not the separate land implementation time. Roya reports three crossings reopened October 29 under quotas, using substantially the same procedural text as its advance report and providing no passenger throughput observation. This does not establish a national full reopening.
ME036-D1: Forced returns, diplomatic/international-organisation cases and freight are excluded. October 29 remains a scheduled selected-post easing, not this period's observed end. No persistence beyond September 27 is inferred.</x:v>
      </x:c>
      <x:c r="I209" s="4" t="str">
        <x:v>Retained baseline assessment. Amended after source reconciliation</x:v>
      </x:c>
      <x:c r="J209" s="18" t="d">
        <x:v>2026-10-23T00:00:00.000Z</x:v>
      </x:c>
      <x:c r="K209" s="21" t="str">
        <x:f>IFERROR(HYPERLINK("https://jordantimes.com/news/local/schools-suspended-borders-closed-gatherings-banned-govt-responds-continued-coronavirus","Jordan Times"),"Jordan Times")</x:f>
        <x:v>Jordan Times</x:v>
      </x:c>
      <x:c r="L209" s="21" t="str">
        <x:f>IFERROR(HYPERLINK("https://gulfnews.com/world/mena/covid-19-jordan-reopens-three-land-border-crossings-1.74835141","Gulf News"),"Gulf News")</x:f>
        <x:v>Gulf News</x:v>
      </x:c>
      <x:c r="M209" s="21" t="str">
        <x:f>IFERROR(HYPERLINK("https://pmc.ncbi.nlm.nih.gov/articles/PMC9376901/","Nature Communications / PMC"),"Nature Communications / PMC")</x:f>
        <x:v>Nature Communications / PMC</x:v>
      </x:c>
      <x:c r="N209" s="4" t="str">
        <x:v>https://jordantimes.com/news/local/schools-suspended-borders-closed-gatherings-banned-govt-responds-continued-coronavirus
https://gulfnews.com/world/mena/covid-19-jordan-reopens-three-land-border-crossings-1.74835141
https://pmc.ncbi.nlm.nih.gov/articles/PMC9376901/
https://www.arabnews.com/middle-east/jordan-reopens-trade-gateway-with-syria-after-month-long-covid-closure-1740856
https://international.visitjordan.com/mediacenter/shownews/15/
https://en.royanews.tv/news/23108/Three-Jordanian-border-crossings-reopen
https://en.royanews.tv/news/23077/Jordanian-border-crossings-to-reopen-Thursday</x:v>
      </x:c>
      <x:c r="O209" s="4" t="str">
        <x:v>Source 1: search extract
Source 2: search extract
Source 3: search extract</x:v>
      </x:c>
      <x:c r="P209" s="20" t="n">
        <x:v>1</x:v>
      </x:c>
      <x:c r="Q209" s="4" t="str">
        <x:v>Middle East</x:v>
      </x:c>
      <x:c r="R209" s="4" t="str">
        <x:v>Included</x:v>
      </x:c>
    </x:row>
    <x:row r="210" ht="210" hidden="0" customHeight="1">
      <x:c r="A210" s="16" t="str">
        <x:v>ME038</x:v>
      </x:c>
      <x:c r="B210" s="4" t="str">
        <x:v>Saudi Bahrain King Fahd Causeway initial COVID passenger closure</x:v>
      </x:c>
      <x:c r="C210" s="4" t="str">
        <x:v>Saudi Arabia; Bahrain</x:v>
      </x:c>
      <x:c r="D210" s="4" t="str">
        <x:v>King Fahd Causeway</x:v>
      </x:c>
      <x:c r="E210" s="4" t="str">
        <x:v>Passengers with changing citizenship exemptions
Direction: Not established
Exceptions: Humanitarian return exceptions; Saudi citizens, immediate family and domestic staff could return without prior authorisation from July 2020.</x:v>
      </x:c>
      <x:c r="F210" s="4" t="str">
        <x:v>ME038-R1 — Formal policy
Saudi citizens returning from Bahrain by King Fahd Causeway without special prior permission
Start: 2020-03-07 to 2020-03-08.
Policy endpoint: 2020-07-22 to 2020-07-23.
Formal policy: 136–138 calendar-day difference; operational continuity not established</x:v>
      </x:c>
      <x:c r="G21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10" s="4" t="str">
        <x:v>ME038-R1: Onset and endpoint bounds preserve conflicting one-day reports. Earlier humanitarian/authorised return excluded; no complete physical-closure claim and no September foreign-passenger endpoint.</x:v>
      </x:c>
      <x:c r="I210" s="4" t="str">
        <x:v>Retained baseline assessment. Retained with recorded qualifications</x:v>
      </x:c>
      <x:c r="J210" s="18" t="d">
        <x:v>2026-10-23T00:00:00.000Z</x:v>
      </x:c>
      <x:c r="K210" s="21" t="str">
        <x:f>IFERROR(HYPERLINK("https://www.thenationalnews.com/world/gcc/saudis-allowed-to-return-from-bahrain-via-king-fahd-causeway-1.1053468","The National"),"The National")</x:f>
        <x:v>The National</x:v>
      </x:c>
      <x:c r="L210" s="21" t="str">
        <x:f>IFERROR(HYPERLINK("https://www.newsofbahrain.com/bahrain/72541.html","Daily Tribune"),"Daily Tribune")</x:f>
        <x:v>Daily Tribune</x:v>
      </x:c>
      <x:c r="M210" s="21" t="str">
        <x:f>IFERROR(HYPERLINK("https://www.argaam.com/en/article/articledetail/id/1378633","Argaam"),"Argaam")</x:f>
        <x:v>Argaam</x:v>
      </x:c>
      <x:c r="N210" s="4" t="str">
        <x:v>https://www.thenationalnews.com/world/gcc/saudis-allowed-to-return-from-bahrain-via-king-fahd-causeway-1.1053468
https://www.newsofbahrain.com/bahrain/72541.html
https://www.argaam.com/en/article/articledetail/id/1378633
https://gulfnews.com/world/gulf/saudi/covid-19-saudi-bahrain-bridge-opening-reports-denied-1.1591775943294
https://www.reutersconnect.com/item/people-travel-between-bahrain-and-saudi-arabia-after-covid-19-restrictions-were-eased/dGFnOnJldXRlcnMuY29tLDIwMjA6bmV3c21sX1JDMlRZSTlDQlBXSQ?lastViewed=dGFnOnJldXRlcnMuY29tLDIwMjA6bmV3c21sX1JDMlRZSTlLUEs2UQ&amp;position=2
https://www.arabnews.com/node/1859406/saudi-arabia/1000
https://www.arabnews.com/saudi-arabia/saudi-citizens-allowed-to-enter-kingdom-by-land-from-uae-bahrain-and-kuwait-1708951
https://www.arabnews.com/saudi-arabia/saudi-arabia-limits-entry-by-land-from-uae-kuwait-bahrain-amid-coronavirus-threat-1637971
https://english.ajel.sa/news/saudi-arabia-reopens-king-fahd-causeway-for-travelers-to-and-from-bahrain
https://www.bahrainmirror.com/en/news/57290.html</x:v>
      </x:c>
      <x:c r="O210" s="4" t="str">
        <x:v>Source 1: indexed excerpt; full
Source 2: indexed excerpt; full
Source 3: indexed excerpt</x:v>
      </x:c>
      <x:c r="P210" s="20" t="n">
        <x:v>1</x:v>
      </x:c>
      <x:c r="Q210" s="4" t="str">
        <x:v>Middle East</x:v>
      </x:c>
      <x:c r="R210" s="4" t="str">
        <x:v>Included</x:v>
      </x:c>
    </x:row>
    <x:row r="211" ht="174" hidden="0" customHeight="1">
      <x:c r="A211" s="16" t="str">
        <x:v>ME008</x:v>
      </x:c>
      <x:c r="B211" s="4" t="str">
        <x:v>Turkey Iraq COVID land-crossing closure</x:v>
      </x:c>
      <x:c r="C211" s="4" t="str">
        <x:v>Türkiye; Iraq</x:v>
      </x:c>
      <x:c r="D211" s="4" t="str">
        <x:v>Habur / Ibrahim Khalil and land crossings</x:v>
      </x:c>
      <x:c r="E211" s="4" t="str">
        <x:v>Passengers and ordinary road-vehicle movement; freight exceptions and substitute arrangements varied.
Direction: Passenger/ordinary vehicle movement at Habur; freight retained through exchange arrangements
Exceptions: Freight continued through container, trailer and driver exchanges. Turkish drivers could enter under quarantine; foreign drivers were not admitted normally.</x:v>
      </x:c>
      <x:c r="F211" s="4" t="str">
        <x:v>ME008-NP1 — Formal policy
Habur on the Iraq frontier
Start: 2020-03-01.
Policy endpoint: 2020-06-04.
Formal policy: dated evidence; numeric duration withheld; see qualification</x:v>
      </x:c>
      <x:c r="G21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11" s="4" t="str">
        <x:v>June 4 is directly supported for international freight restoration. Bianet's August 4 retrospective also dates passenger reopening to June 4, but contemporary passenger implementation remains uncorroborated. Its May 4 cargo wording must not erase primary evidence of March freight continuity. The combined regime does not support an all-traffic continuous interval.
ME008-NP1: Passenger restoration is unknown. June 4 is not the first possible exceptional truck passage; no operational duration is calculated.
passenger endpoint: Dated trade-policy evidence only. Contactless freight and return exceptions prevent treating the announcement span as a continuous all-traffic closure.
duration: Dated trade-policy evidence only. Contactless freight and return exceptions prevent treating the announcement span as a continuous all-traffic closure.</x:v>
      </x:c>
      <x:c r="I211" s="4" t="str">
        <x:v>Retained baseline assessment. 23 October amendments; remaining qualifications retained</x:v>
      </x:c>
      <x:c r="J211" s="18" t="d">
        <x:v>2026-10-23T00:00:00.000Z</x:v>
      </x:c>
      <x:c r="K211" s="21" t="str">
        <x:f>IFERROR(HYPERLINK("https://covid19.ticaret.gov.tr/gumruk/haber/temassiz-ticarete-iliskin-bilgi-notu","Turkey Trade Ministry"),"Turkey Trade Ministry")</x:f>
        <x:v>Turkey Trade Ministry</x:v>
      </x:c>
      <x:c r="L211" s="21" t="str">
        <x:f>IFERROR(HYPERLINK("https://ticaret.gov.tr/haberler/bakan-pekcan-habur-ve-gurbulak-kapilarinin-acildigini-duyurdu","Turkey Trade Ministry"),"Turkey Trade Ministry")</x:f>
        <x:v>Turkey Trade Ministry</x:v>
      </x:c>
      <x:c r="M211" s="21" t="str">
        <x:f>IFERROR(HYPERLINK("https://www.hurriyetdailynews.com/turkey-reopens-customs-gates-with-iran-iraq-155338","Hürriyet Daily News"),"Hürriyet Daily News")</x:f>
        <x:v>Hürriyet Daily News</x:v>
      </x:c>
      <x:c r="N211" s="4" t="str">
        <x:v>https://covid19.ticaret.gov.tr/gumruk/haber/temassiz-ticarete-iliskin-bilgi-notu
https://ticaret.gov.tr/haberler/bakan-pekcan-habur-ve-gurbulak-kapilarinin-acildigini-duyurdu
https://www.hurriyetdailynews.com/turkey-reopens-customs-gates-with-iran-iraq-155338
https://wiki.unece.org/pages/viewpage.action?pageId=128420956
https://ticaret.gov.tr/haberler/irak-ile-ticaret-temassiz-surduruluyor
https://www.mfa.gov.tr/koronavirus-salginindaki-rol-ve-vizyonumuz-20-04-2022.en.mfa
https://www.anews.com.tr/world/2020/02/29/turkey-halts-passenger-flights-to-and-from-italy-iraq-and-south-korea
https://bianet.org/haber/border-crossing-between-turkey-iraq-s-krg-closed-due-to-coronavirus-228456
https://h.aa.com.tr/tr/dunya/ikby-habur-ibrahim-halil-gumruk-kapilarini-kovid-19-nedeniyle-yolcu-gecislerine-kapatma-karari-aldi/1930538
https://h.aa.com.tr/tr/ekonomi/bakan-pekcan-habur-ve-gurbulak-kapilari-acildi/1864567
https://mezopotamyaajansi.com/tum-haberler/content/view/107087?page=804</x:v>
      </x:c>
      <x:c r="O211" s="4" t="str">
        <x:v>Source 1: full
Source 2: indexed excerpt
Source 3: indexed excerpt</x:v>
      </x:c>
      <x:c r="P211" s="20" t="n">
        <x:v>1</x:v>
      </x:c>
      <x:c r="Q211" s="4" t="str">
        <x:v>Middle East</x:v>
      </x:c>
      <x:c r="R211" s="4" t="str">
        <x:v>Included</x:v>
      </x:c>
    </x:row>
    <x:row r="212" ht="210" hidden="0" customHeight="1">
      <x:c r="A212" s="16" t="str">
        <x:v>ME011</x:v>
      </x:c>
      <x:c r="B212" s="4" t="str">
        <x:v>Oman initial COVID selective entry prohibition</x:v>
      </x:c>
      <x:c r="C212" s="4" t="str">
        <x:v>Oman; United Arab Emirates; Yemen</x:v>
      </x:c>
      <x:c r="D212" s="4" t="str">
        <x:v>National land entry ports</x:v>
      </x:c>
      <x:c r="E212" s="4" t="str">
        <x:v>Non-Omani travellers
Direction: Entry
Exceptions: Omani citizens; GCC citizens only under the initial March 17 rule, before the noon March 18 tightening.</x:v>
      </x:c>
      <x:c r="F212" s="4" t="str">
        <x:v>ME011-FU1 — Formal policy
Omani land ports operating in March 2020; land component of a multi-mode rule
Start: 2020-03-17.
Policy endpoint: 2020-03-18.
Formal policy: 1 calendar-day difference; operational continuity not established
ME011-C7P1 — Formal policy
Land component of Oman successor entry prohibition for non-Omanis, including GCC nationals
Start: 2020-03-18.
Policy endpoint: unknown.
Formal policy: dated evidence; numeric duration withheld; see qualification
ME011-C7P2 — Formal policy
Land component of Oman prohibition on Omani citizens departing
Start: 2020-03-18.
Policy endpoint: unknown.
Formal policy: dated evidence; numeric duration withheld; see qualification</x:v>
      </x:c>
      <x:c r="G21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12" s="4" t="str">
        <x:v>The initial rule was strengthened on March 18, not ended by reopening. Conditional October 1 land-travel guidance does not establish a uniform observed endpoint. The record remains distinct from the January 2021 closure and does not assume the later direct Saudi road was operating.
ME011-FU1: This measures the initial policy version, not the length of the continuing closure for the barred group. March 18 is stricter-policy supersession, not reopening. No actual gate-level enforcement or later common endpoint is inferred.
ME011-C7P1: Legal policy onset only. Supersedes the March 17 GCC exception; implementation and later easing are not established. Freight is outside this passenger scope.
ME011-C7P2: Separate departure cohort under the successor policy. No later lifting date or continuous gate-level enforcement inferred.
duration: Propose one formal-policy-version phase March 17–18, ending with strengthening rather than reopening. The overall operational closure and repeal question remains unresolved.</x:v>
      </x:c>
      <x:c r="I212" s="4" t="str">
        <x:v>Retained baseline assessment. Correction pass: amended with stated qualifications</x:v>
      </x:c>
      <x:c r="J212" s="18" t="d">
        <x:v>2026-10-23T00:00:00.000Z</x:v>
      </x:c>
      <x:c r="K212" s="21" t="str">
        <x:f>IFERROR(HYPERLINK("https://www.moh.gov.om/en/media-center/news/covid-19-supreme-committee-issues-new-decisions/","Oman Health Ministry"),"Oman Health Ministry")</x:f>
        <x:v>Oman Health Ministry</x:v>
      </x:c>
      <x:c r="L212" s="21" t="str">
        <x:f>IFERROR(HYPERLINK("https://decree.om/2020/covidcs20200317/","decree.om"),"decree.om")</x:f>
        <x:v>decree.om</x:v>
      </x:c>
      <x:c r="M212" s="21" t="str">
        <x:f>IFERROR(HYPERLINK("https://timesofoman.com/article/91746-travelling-outside-oman-by-land-heres-what-you-need-to-know","Times of Oman"),"Times of Oman")</x:f>
        <x:v>Times of Oman</x:v>
      </x:c>
      <x:c r="N212" s="4" t="str">
        <x:v>https://www.moh.gov.om/en/media-center/news/covid-19-supreme-committee-issues-new-decisions/
https://decree.om/2020/covidcs20200317/
https://timesofoman.com/article/91746-travelling-outside-oman-by-land-heres-what-you-need-to-know
https://www.meed.com/covid-19-curbs-return-in-lebanon-and-morocco
https://cdn.timesofoman.com/article/91451-exclusive-oman-to-open-land-borders-from-october-1</x:v>
      </x:c>
      <x:c r="O212" s="4" t="str">
        <x:v>Source 1: full
Source 2: access detail is retained in the source catalogue.
Source 3: full</x:v>
      </x:c>
      <x:c r="P212" s="20" t="n">
        <x:v>3</x:v>
      </x:c>
      <x:c r="Q212" s="4" t="str">
        <x:v>Middle East</x:v>
      </x:c>
      <x:c r="R212" s="4" t="str">
        <x:v>Included</x:v>
      </x:c>
    </x:row>
    <x:row r="213" ht="102" hidden="0" customHeight="1">
      <x:c r="A213" s="16" t="str">
        <x:v>ME037</x:v>
      </x:c>
      <x:c r="B213" s="4" t="str">
        <x:v>Jordan Syria Jaber COVID freight closure</x:v>
      </x:c>
      <x:c r="C213" s="4" t="str">
        <x:v>Jordan; Syria</x:v>
      </x:c>
      <x:c r="D213" s="4" t="str">
        <x:v>Jaber / Nassib</x:v>
      </x:c>
      <x:c r="E213" s="4" t="str">
        <x:v>Commercial freight
Direction: Not established
Exceptions: Conditional entry permission for commercial trucks stranded between the crossings on September 12 2020.</x:v>
      </x:c>
      <x:c r="F213" s="4" t="str">
        <x:v>ME037-D1 — Observed operation
Ordinary commercial traffic at Jaber–Nassib, excluding special permission for stranded trucks, to general commercial restoration September 27.
Start: 2020-08-13.
Observed scoped reopening: 2020-09-27.
45 calendar-day difference; scoped endpoint only</x:v>
      </x:c>
      <x:c r="G21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13" s="4" t="str">
        <x:v>The ordinary freight restriction began August 13 and general commercial restoration occurred September 27. Conditional stranded-truck admission on September 12 prevents an all-truck continuous closure reading. This overlaps ME036 passenger policy and is not additive national closure time.
ME037-D1: North Press reports conditional admission of stranded trucks on September 12. This phase therefore measures the ordinary commercial restriction with that exception, not a continuously sealed gate. Reopening used health-controlled cargo handling. Passenger restrictions continued separately under ME036, and overlapping days are not additive.</x:v>
      </x:c>
      <x:c r="I213" s="4" t="str">
        <x:v>Retained baseline assessment. Amended after source reconciliation</x:v>
      </x:c>
      <x:c r="J213" s="18" t="d">
        <x:v>2026-10-23T00:00:00.000Z</x:v>
      </x:c>
      <x:c r="K213" s="21" t="str">
        <x:f>IFERROR(HYPERLINK("https://www.arabnews.com/middle-east/jordan-reopens-trade-gateway-with-syria-after-month-long-covid-closure-1740856","Arab News"),"Arab News")</x:f>
        <x:v>Arab News</x:v>
      </x:c>
      <x:c r="L213" s="21" t="str">
        <x:f>IFERROR(HYPERLINK("https://www.arabnews.com/node/1718931/middle-east","arabnews.com"),"arabnews.com")</x:f>
        <x:v>arabnews.com</x:v>
      </x:c>
      <x:c r="M213" s="21" t="str">
        <x:f>IFERROR(HYPERLINK("https://npasyria.com/en/47405/","npasyria.com"),"npasyria.com")</x:f>
        <x:v>npasyria.com</x:v>
      </x:c>
      <x:c r="N213" s="4" t="str">
        <x:v>https://www.arabnews.com/middle-east/jordan-reopens-trade-gateway-with-syria-after-month-long-covid-closure-1740856
https://www.arabnews.com/node/1718931/middle-east
https://npasyria.com/en/47405/
https://jordantimes.com/news/local/jaber-crossing-syria-be-closed-over-virus-concerns</x:v>
      </x:c>
      <x:c r="O213" s="4" t="str">
        <x:v>Source 1: full page
Source 2: access detail is retained in the source catalogue.
Source 3: access detail is retained in the source catalogue.</x:v>
      </x:c>
      <x:c r="P213" s="20" t="n">
        <x:v>1</x:v>
      </x:c>
      <x:c r="Q213" s="4" t="str">
        <x:v>Middle East</x:v>
      </x:c>
      <x:c r="R213" s="4" t="str">
        <x:v>Included</x:v>
      </x:c>
    </x:row>
    <x:row r="214" ht="150" hidden="0" customHeight="1">
      <x:c r="A214" s="16" t="str">
        <x:v>ME010</x:v>
      </x:c>
      <x:c r="B214" s="4" t="str">
        <x:v>Saudi December 2020 variant-related entry suspension</x:v>
      </x:c>
      <x:c r="C214" s="4" t="str">
        <x:v>Saudi Arabia; Jordan; Iraq; Kuwait; Qatar; United Arab Emirates; Yemen; Bahrain</x:v>
      </x:c>
      <x:c r="D214" s="4" t="str">
        <x:v>National land entry ports</x:v>
      </x:c>
      <x:c r="E214" s="4" t="str">
        <x:v>People entering
Direction: Entry
Exceptions: Goods and supply chains; emergency categories</x:v>
      </x:c>
      <x:c r="F214" s="4" t="str">
        <x:v>ME010-R1 — Formal policy
Temporary variant-related suspension of otherwise eligible passenger entry to Saudi Arabia via operational land ports
Start: 2020-12-20 to 2020-12-21.
Policy endpoint: 2021-01-03.
Formal policy: 13–14 calendar-day difference; operational continuity not established</x:v>
      </x:c>
      <x:c r="G21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14" s="4" t="str">
        <x:v>ME010-R1: Endpoint at 11:00; goods/supply chains excepted, broader citizen-travel ban persists, and origin-specific quarantine conditions apply. No Saudi–Oman road assumed.</x:v>
      </x:c>
      <x:c r="I214" s="4" t="str">
        <x:v>Retained baseline assessment. Retained with recorded qualifications</x:v>
      </x:c>
      <x:c r="J214" s="18" t="d">
        <x:v>2026-10-23T00:00:00.000Z</x:v>
      </x:c>
      <x:c r="K214" s="21" t="str">
        <x:f>IFERROR(HYPERLINK("https://www.khaleejtimes.com/lifestyle/health/new-covid-variant-saudi-arabia-ends-entry-ban-to-reopen-borders-today-with-some-virus-restrictions","Khaleej Times / AFP / SPA"),"Khaleej Times / AFP / SPA")</x:f>
        <x:v>Khaleej Times / AFP / SPA</x:v>
      </x:c>
      <x:c r="L214" s="21" t="str">
        <x:f>IFERROR(HYPERLINK("https://www.emro.who.int/images/stories/saudi_arabia/saudi-arabia-covid-sit-rep-209-2021-01-03.pdf","WHO Riyadh"),"WHO Riyadh")</x:f>
        <x:v>WHO Riyadh</x:v>
      </x:c>
      <x:c r="M214" s="21" t="str">
        <x:f>IFERROR(HYPERLINK("https://www.spa.gov.sa/2172854","spa.gov.sa"),"spa.gov.sa")</x:f>
        <x:v>spa.gov.sa</x:v>
      </x:c>
      <x:c r="N214" s="4" t="str">
        <x:v>https://www.khaleejtimes.com/lifestyle/health/new-covid-variant-saudi-arabia-ends-entry-ban-to-reopen-borders-today-with-some-virus-restrictions
https://www.emro.who.int/images/stories/saudi_arabia/saudi-arabia-covid-sit-rep-209-2021-01-03.pdf
https://www.spa.gov.sa/2172854
https://www.uqn.gov.sa/details?p=17209
https://saudigazette.com.sa/article/601634/SAUDI-ARABIA/Saudi-Arabia-shuts-land-air-sea-borders-over-fears-of-a-new-strain-of-coronavirus
https://www.arabnews.com/news/flights-to-saudi-arabia-resume-as-kingdom-ends-temporary-travel-ban-1786516
https://www.arabnews.com/saudi-arabia/flights-to-saudi-arabia-resume-as-kingdom-ends-temporary-travel-ban-1786461</x:v>
      </x:c>
      <x:c r="O214" s="4" t="str">
        <x:v>Source 1: indexed excerpt
Source 2: full
Source 3: indexed excerpt</x:v>
      </x:c>
      <x:c r="P214" s="20" t="n">
        <x:v>1</x:v>
      </x:c>
      <x:c r="Q214" s="4" t="str">
        <x:v>Middle East</x:v>
      </x:c>
      <x:c r="R214" s="4" t="str">
        <x:v>Included</x:v>
      </x:c>
    </x:row>
    <x:row r="215" ht="258" hidden="0" customHeight="1">
      <x:c r="A215" s="16" t="str">
        <x:v>ME031</x:v>
      </x:c>
      <x:c r="B215" s="4" t="str">
        <x:v>Kuwait December 2020 variant-related border closure</x:v>
      </x:c>
      <x:c r="C215" s="4" t="str">
        <x:v>Kuwait; Iraq; Saudi Arabia</x:v>
      </x:c>
      <x:c r="D215" s="4" t="str">
        <x:v>National land ports</x:v>
      </x:c>
      <x:c r="E215" s="4" t="str">
        <x:v>Not established
Direction: Not established
Exceptions: Not established</x:v>
      </x:c>
      <x:c r="F215" s="4" t="str">
        <x:v>ME031-R1 — Observed operation
Ordinary returning Kuwaiti citizens through Nuwaiseeb from Saudi Arabia
Start: 2020-12-21.
Observed scoped reopening: 2021-01-02.
12 calendar-day difference; scoped endpoint only</x:v>
      </x:c>
      <x:c r="G215" s="4" t="str">
        <x:v>Health and biosecurity / Human disease control
Attributed official justification
Applies to: Recorded episode; exact overlap not separately established
The recorded rationale and claim assessment support the selected subcategories. All applicable broad categories are retained together; no primary rationale is imposed.</x:v>
      </x:c>
      <x:c r="H215" s="4" t="str">
        <x:v>ME031-R1: 21 December 23:00 onset, 2 January 09:00 limited opening; hours then 09:00–15:00. Does not establish all-nationality or all-post reopening; extraordinary permissions not inventoried.</x:v>
      </x:c>
      <x:c r="I215" s="4" t="str">
        <x:v>Retained baseline assessment. Retained with recorded qualifications</x:v>
      </x:c>
      <x:c r="J215" s="18" t="d">
        <x:v>2026-10-23T00:00:00.000Z</x:v>
      </x:c>
      <x:c r="K215" s="21" t="str">
        <x:f>IFERROR(HYPERLINK("https://www.ynetnews.com/article/BJku5fCnv","Ynet"),"Ynet")</x:f>
        <x:v>Ynet</x:v>
      </x:c>
      <x:c r="L215" s="21" t="str">
        <x:f>IFERROR(HYPERLINK("https://gulfbusiness.com/en/2020/covid-19/kuwait-to-resume-flights-reopen-borders-on-january-2/","Gulf Business"),"Gulf Business")</x:f>
        <x:v>Gulf Business</x:v>
      </x:c>
      <x:c r="M215" s="21" t="str">
        <x:f>IFERROR(HYPERLINK("https://www.arabtimesonline.com/news/cabinet-holds-weekly-meeting-all-ports-to-open-on-jan-2nd/","Arab Times"),"Arab Times")</x:f>
        <x:v>Arab Times</x:v>
      </x:c>
      <x:c r="N215" s="4" t="str">
        <x:v>https://www.ynetnews.com/article/BJku5fCnv
https://gulfbusiness.com/en/2020/covid-19/kuwait-to-resume-flights-reopen-borders-on-january-2/
https://www.alraimedia.com/article/1515019/%D9%85%D8%AD%D9%84%D9%8A%D8%A7%D8%AA/%D8%A7%D9%81%D8%AA%D8%AA%D8%A7%D8%AD-%D9%85%D8%AD%D8%AF%D9%88%D8%AF-%D9%84%D9%84%D9%85%D9%86%D8%A7%D9%81%D8%B0-%D8%A7%D9%84%D8%A8%D8%B1%D9%8A%D8%A9-%D8%A8%D9%8A%D9%86-%D8%A7%D9%84%D9%83%D9%88%D9%8A%D8%AA-%D9%88%D8%A7%D9%84%D8%B3%D8%B9%D9%88%D8%AF%D9%8A%D8%A9
https://www.alraimedia.com/article/1514983/%D9%85%D8%AD%D9%84%D9%8A%D8%A7%D8%AA/%D9%88%D8%B2%D9%8A%D8%B1-%D8%A7%D9%84%D8%AF%D8%A7%D8%AE%D9%84%D9%8A%D8%A9-%D9%8A%D8%AA%D9%81%D9%82%D8%AF-%D9%85%D9%86%D9%81%D8%B0-%D8%A7%D9%84%D9%86%D9%88%D9%8A%D8%B5%D9%8A%D8%A8-%D8%A7%D9%84%D8%AD%D8%AF%D9%88%D8%AF%D9%8A
https://www.arabtimesonline.com/news/cabinet-holds-weekly-meeting-all-ports-to-open-on-jan-2nd/
https://www.alraimedia.com/article/1514983/محليات/وزير-الداخلية-يتفقد-منفذ-النويصيب-الحدودي
https://www.alraimedia.com/article/1515019/محليات/افتتاح-محدود-للمنافذ-البرية-بين-الكويت-والسعودية
https://www.arabnews.com/node/1784156/middle-east
https://ambalkuwait.esteri.it/it/news/dall_ambasciata/2020/12/sospensione-dei-trasporti-marittimi/
https://kuwaittimes.com/cabinet-borders-reopen-flights-resume-from-jan-2/
https://kuwaittimes.com/kuwait-halts-flights-closes-borders-over-virus-variant/owl.video.play.png</x:v>
      </x:c>
      <x:c r="O215" s="4" t="str">
        <x:v>Source 1: full
Source 2: indexed excerpt
Source 3: indexed excerpt</x:v>
      </x:c>
      <x:c r="P215" s="20" t="n">
        <x:v>1</x:v>
      </x:c>
      <x:c r="Q215" s="4" t="str">
        <x:v>Middle East</x:v>
      </x:c>
      <x:c r="R215" s="4" t="str">
        <x:v>Included</x:v>
      </x:c>
    </x:row>
    <x:row r="216" ht="354" hidden="0" customHeight="1">
      <x:c r="A216" s="16" t="str">
        <x:v>ME012</x:v>
      </x:c>
      <x:c r="B216" s="4" t="str">
        <x:v>Oman January 2021 land closure</x:v>
      </x:c>
      <x:c r="C216" s="4" t="str">
        <x:v>Oman; United Arab Emirates; Yemen</x:v>
      </x:c>
      <x:c r="D216" s="4" t="str">
        <x:v>National land border outlets</x:v>
      </x:c>
      <x:c r="E216" s="4" t="str">
        <x:v>General land travellers; June easing for Omanis and GCC residents living in Oman and working in neighbouring countries
Direction: Not established
Exceptions: The February 10 continuation exempted trucks and permitted Omani citizens to return until February 21 at 10:00 under institutional isolation. June 2 subsequently permitted qualifying cross-border work commuters with employer proof.</x:v>
      </x:c>
      <x:c r="F216" s="4" t="str">
        <x:v>ME012-R1 — Announced window
Oman national land outlets under initial one-week order
Start: 2021-01-18.
Scheduled endpoint: 2021-01-25.
Ordered window: 7 calendar-day difference; actual end not established
ME012-C7P1 — Announced window
First scheduled extension of Oman national land-outlet closure
Start: 2021-01-25.
Scheduled endpoint: 2021-02-01.
Ordered window: 7 calendar-day difference; actual end not established
ME012-C7P2 — Announced window
Second scheduled extension of Oman national land-outlet closure
Start: 2021-02-01.
Scheduled endpoint: 2021-02-08.
Ordered window: 7 calendar-day difference; actual end not established
ME012-C7P3 — Formal policy
Oman February 7 legal closure version with Omani citizen return exception
Start: 2021-02-07.
Policy endpoint: 2021-02-10.
Formal policy: 3 calendar-day difference; operational continuity not established
ME012-C7P4 — Formal policy
Oman continued land-passenger restriction with truck exception and time-limited citizen return permission
Start: 2021-02-10.
Policy endpoint: unknown.
Formal policy: dated evidence; numeric duration withheld; see qualification</x:v>
      </x:c>
      <x:c r="G21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16" s="4" t="str">
        <x:v>January 18 at 18:00 is the initial ordered onset; January 25 is scheduled expiry only. The February continuation included truck and citizen-return exceptions. June 2 is limited commuter permission, not full reopening or observed resumption; no continuous January–June all-passenger spell or operational Saudi crossing is inferred.
ME012-R1: Extendable; expiry is not proof of reopening. No January–June continuous spell inferred.
ME012-C7P1: Scheduled continuation only; no actual opening or all-gate operation claim.
ME012-C7P2: Scheduled continuation only; February 8 is not a reopening.
ME012-C7P3: Policy-version boundaries only, not a measured closure; February 10 is supersession. Seven-day quarantine applies to the exception.
ME012-C7P4: Effective policy statement only. Citizen-grace expiry is not general reopening. English versions differ on the February 21 hour; no precise clock boundary or later easing inferred.</x:v>
      </x:c>
      <x:c r="I216" s="4" t="str">
        <x:v>Retained baseline assessment. Correction pass: amended with stated qualifications</x:v>
      </x:c>
      <x:c r="J216" s="18" t="d">
        <x:v>2026-10-23T00:00:00.000Z</x:v>
      </x:c>
      <x:c r="K216" s="21" t="str">
        <x:f>IFERROR(HYPERLINK("https://decree.om/2021/covidcs20210117/","Decree.om"),"Decree.om")</x:f>
        <x:v>Decree.om</x:v>
      </x:c>
      <x:c r="L216" s="21" t="str">
        <x:f>IFERROR(HYPERLINK("https://qanoon.om/p/2021/covidcs20210124/","qanoon.om"),"qanoon.om")</x:f>
        <x:v>qanoon.om</x:v>
      </x:c>
      <x:c r="M216" s="21" t="str">
        <x:f>IFERROR(HYPERLINK("https://decree.om/2021/covidcs20210131/","decree.om"),"decree.om")</x:f>
        <x:v>decree.om</x:v>
      </x:c>
      <x:c r="N216" s="4" t="str">
        <x:v>https://decree.om/2021/covidcs20210117/
https://qanoon.om/p/2021/covidcs20210124/
https://decree.om/2021/covidcs20210131/
https://decree.om/2021/covidcs20210207/
https://decree.om/2021/covidcs20210210/
https://cdn-4.timesofoman.com/article/98135-oman-land-borders-to-remain-closed-until-further-notice-parks-and-beaches-closed-for-two-weeks
https://decree.om/2021/covidcs20210602/
https://www.omanobserver.om/article/1105955/oman/transport/oman-uae-land-border-to-fully-open-from-sept-1
https://www.arabnews.com/middle-east/oman-land-border-closure-extended-by-a-week-on-coronavirus-concerns-1797561
https://gulfnews.com/world/gulf/oman/oman-reopens-land-borders-with-gcc-countries-1.79628471
https://www.muscatdaily.com/2021/08/28/issuance-of-visas-for-all-categories-from-sept-1/</x:v>
      </x:c>
      <x:c r="O216" s="4" t="str">
        <x:v>Source 1: full
Source 2: access detail is retained in the source catalogue.
Source 3: access detail is retained in the source catalogue.</x:v>
      </x:c>
      <x:c r="P216" s="20" t="n">
        <x:v>5</x:v>
      </x:c>
      <x:c r="Q216" s="4" t="str">
        <x:v>Middle East</x:v>
      </x:c>
      <x:c r="R216" s="4" t="str">
        <x:v>Included</x:v>
      </x:c>
    </x:row>
    <x:row r="217" ht="162" hidden="0" customHeight="1">
      <x:c r="A217" s="16" t="str">
        <x:v>ME017</x:v>
      </x:c>
      <x:c r="B217" s="4" t="str">
        <x:v>Iraq 2021 election land closure order</x:v>
      </x:c>
      <x:c r="C217" s="4" t="str">
        <x:v>Iraq; Türkiye; Iran; Kuwait; Saudi Arabia; Jordan; Syria</x:v>
      </x:c>
      <x:c r="D217" s="4" t="str">
        <x:v>National land crossings</x:v>
      </x:c>
      <x:c r="E217" s="4" t="str">
        <x:v>Not established
Direction: Not established
Exceptions: Not established</x:v>
      </x:c>
      <x:c r="F217" s="4" t="str">
        <x:v>ME017-R1 — Announced window
Iraqi national land border election order
Start: 2021-10-09.
Scheduled endpoint: 2021-10-11.
Ordered window: 2 calendar-day difference; actual end not established</x:v>
      </x:c>
      <x:c r="G217"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217" s="4" t="str">
        <x:v>The official order gives October 9 evening through October 11 at 06:00, with 21:00/23:00 start-hour disagreement. The National additionally reports an October 10 morning implementation start. Actual gate reopening is not independently observed.
ME017-R1: This is the October 9–11 ordered window, with a scheduled October 11 06:00 end. NRT quotes the Border Ports Authority giving October 9 at 21:00; the earlier KUNA account gives 23:00. The National instead reports closure from October 10 at 09:00, without a named gate observation. Preserve this order-versus-reported-implementation discrepancy and do not infer an observed duration or reopening.
implementation timing: The National reports Sunday morning whereas the Border Ports Authority schedule begins Saturday evening; current chronology is explicitly the order.
Current continuity finding: Announced October 9 evening closure and October 10 reported implementation remain distinct. Existing ordered-window qualification is retained; no observed duration inferred.</x:v>
      </x:c>
      <x:c r="I217" s="4" t="str">
        <x:v>Retained baseline assessment. Correction pass: reviewed; see attribute findings</x:v>
      </x:c>
      <x:c r="J217" s="18" t="d">
        <x:v>2026-10-23T00:00:00.000Z</x:v>
      </x:c>
      <x:c r="K217" s="21" t="str">
        <x:f>IFERROR(HYPERLINK("https://www.kuna.net.kw/ArticlePrintPage.aspx?id=3000600","KUNA"),"KUNA")</x:f>
        <x:v>KUNA</x:v>
      </x:c>
      <x:c r="L217" s="21" t="str">
        <x:f>IFERROR(HYPERLINK("https://www.kurdistan24.net/en/story/385738/Iraq-will-close-all-airports-and-borders-during-election","Kurdistan24"),"Kurdistan24")</x:f>
        <x:v>Kurdistan24</x:v>
      </x:c>
      <x:c r="M217" s="21" t="str">
        <x:f>IFERROR(HYPERLINK("https://www.nrttv.com/Ar/detail3/4025","nrttv.com"),"nrttv.com")</x:f>
        <x:v>nrttv.com</x:v>
      </x:c>
      <x:c r="N217" s="4" t="str">
        <x:v>https://www.kuna.net.kw/ArticlePrintPage.aspx?id=3000600
https://www.kurdistan24.net/en/story/385738/Iraq-will-close-all-airports-and-borders-during-election
https://www.nrttv.com/Ar/detail3/4025
https://www.thenationalnews.com/mena/iraq/2021/10/10/iraqis-head-to-polls-to-choose-new-parliament-in-early-elections/
https://www.mawazin.net/Details.aspx?jimare=170481
https://www.aa.com.tr/en/middle-east/iraq-to-close-borders-airspace-ahead-of-parliamentary-polls/2387514
https://www.al-monitor.com/originals/2021/09/iraq-close-airports-borders-october-election</x:v>
      </x:c>
      <x:c r="O217" s="4" t="str">
        <x:v>Source 1: indexed excerpt; failed
Source 2: indexed excerpt
Source 3: access detail is retained in the source catalogue.</x:v>
      </x:c>
      <x:c r="P217" s="20" t="n">
        <x:v>1</x:v>
      </x:c>
      <x:c r="Q217" s="4" t="str">
        <x:v>Middle East</x:v>
      </x:c>
      <x:c r="R217" s="4" t="str">
        <x:v>Included</x:v>
      </x:c>
    </x:row>
    <x:row r="218" ht="162" hidden="0" customHeight="1">
      <x:c r="A218" s="16" t="str">
        <x:v>ME013</x:v>
      </x:c>
      <x:c r="B218" s="4" t="str">
        <x:v>Iran Iraq closure during Baghdad unrest</x:v>
      </x:c>
      <x:c r="C218" s="4" t="str">
        <x:v>Iran; Iraq</x:v>
      </x:c>
      <x:c r="D218" s="4" t="str">
        <x:v>Iraq-bound land crossings</x:v>
      </x:c>
      <x:c r="E218" s="4" t="str">
        <x:v>Travellers including pilgrims
Direction: Not established
Exceptions: Not established</x:v>
      </x:c>
      <x:c r="F218" s="4" t="str">
        <x:v>ME013-NP1 — Formal policy
Iran–Iraq pilgrim admission restriction during Baghdad unrest
Start: 2022-08-29 to 2022-08-30.
Policy endpoint: 2022-08-30.
Formal policy: dated evidence; numeric duration withheld; see qualification</x:v>
      </x:c>
      <x:c r="G218" s="4" t="str">
        <x:v>Security / Public order and immediate safety
Reported reason
Applies to: Recorded episode; exact overlap not separately established
Iran's deputy interior minister linked land closure to Iraqi curfews; a state-TV official linked reopening to restored security and calm.</x:v>
      </x:c>
      <x:c r="H218" s="4" t="str">
        <x:v>Start differs between late 29 and 30 August; month precision is retained. August 30 reopening is an official report, not an observation at every post. Continued Mehran and Chazzabeh restrictions are supported only by an indexed Press TV account; prior full NINA retrieval confirms August 31 procession permission without identifying the first opening.
ME013-NP1: Conflicting date descriptions and lack of gate-level continuity prevent a complete operational duration.
scope and end: Seek actual crossing-specific suspension and resumption times within August 29–30.
duration: Seek actual crossing-specific suspension and resumption times within August 29–30.
source verification: Seek actual crossing-specific suspension and resumption times within August 29–30.</x:v>
      </x:c>
      <x:c r="I218" s="4" t="str">
        <x:v>Retained baseline assessment. 23 October amendments; remaining qualifications retained</x:v>
      </x:c>
      <x:c r="J218" s="18" t="d">
        <x:v>2026-10-23T00:00:00.000Z</x:v>
      </x:c>
      <x:c r="K218" s="21" t="str">
        <x:f>IFERROR(HYPERLINK("https://kashmirobserver.net/2022/08/30/nationwide-curfew-in-iraq-iran-closes-border/","kashmirobserver.net"),"kashmirobserver.net")</x:f>
        <x:v>kashmirobserver.net</x:v>
      </x:c>
      <x:c r="L218" s="21" t="str">
        <x:f>IFERROR(HYPERLINK("https://www.euronews.com/2022/08/31/iraq-politics-iran","Euronews/Reuters"),"Euronews/Reuters")</x:f>
        <x:v>Euronews/Reuters</x:v>
      </x:c>
      <x:c r="M218" s="21" t="str">
        <x:f>IFERROR(HYPERLINK("https://www.presstv.co.uk/Detail/2022/08/30/688317/Iran-border-reopening-Iraq-Baghdad-unrest-Arbaeen-pilgrimage","Press TV"),"Press TV")</x:f>
        <x:v>Press TV</x:v>
      </x:c>
      <x:c r="N218" s="4" t="str">
        <x:v>https://kashmirobserver.net/2022/08/30/nationwide-curfew-in-iraq-iran-closes-border/
https://www.euronews.com/2022/08/31/iraq-politics-iran
https://www.presstv.co.uk/Detail/2022/08/30/688317/Iran-border-reopening-Iraq-Baghdad-unrest-Arbaeen-pilgrimage
https://ninanews.com/website/News/Details?Key=997388
https://www.aa.com.tr/en/middle-east/iran-closes-land-crossings-with-iraq-amid-unrest/2672443
https://www.globalsecurity.org/wmd/library/news/iraq/2022/iraq-220829-irna02.htm
https://aa.com.tr/tr/dunya/iran-irak-ile-tum-kara-sinirlari-kapatildi-bagdata-ucuslar-durduruldu/2672297</x:v>
      </x:c>
      <x:c r="O218" s="4" t="str">
        <x:v>Source 1: access detail is retained in the source catalogue.
Source 2: full; indexed excerpt
Source 3: indexed excerpt; failed</x:v>
      </x:c>
      <x:c r="P218" s="20" t="n">
        <x:v>1</x:v>
      </x:c>
      <x:c r="Q218" s="4" t="str">
        <x:v>Middle East</x:v>
      </x:c>
      <x:c r="R218" s="4" t="str">
        <x:v>Included</x:v>
      </x:c>
    </x:row>
    <x:row r="219" ht="114" hidden="0" customHeight="1">
      <x:c r="A219" s="16" t="str">
        <x:v>ME025</x:v>
      </x:c>
      <x:c r="B219" s="4" t="str">
        <x:v>Gaza Kerem Shalom export prohibition September 2023</x:v>
      </x:c>
      <x:c r="C219" s="4" t="str">
        <x:v>Israel; Palestine (Gaza)</x:v>
      </x:c>
      <x:c r="D219" s="4" t="str">
        <x:v>Kerem Shalom / Karm Abu Salem</x:v>
      </x:c>
      <x:c r="E219" s="4" t="str">
        <x:v>Gaza exports to Israel
Direction: Gaza outward freight only
Exceptions: Not established</x:v>
      </x:c>
      <x:c r="F219" s="4" t="str">
        <x:v>ME025-D1 — Observed operation
Kerem Shalom / Karm Abu Salem; Gaza exports to Israel; Gaza outward freight only
Start: 2023-09-04 to 2023-09-05.
Observed scoped reopening: 2023-09-10.
5–6 calendar-day difference; scoped endpoint only</x:v>
      </x:c>
      <x:c r="G219" s="4" t="str">
        <x:v>Security / Smuggling and illicit trafficking
Reported reason
Applies to: Recorded episode; exact overlap not separately established
The recorded rationale and claim assessment support the selected subcategories. All applicable broad categories are retained together; no primary rationale is imposed.</x:v>
      </x:c>
      <x:c r="H219" s="4" t="str">
        <x:v>Export restriction only, with no ban on imports established. September 4 is the reported order and initial halt date; Xinhua's Palestinian sources describe implementation from September 5. The operational onset is therefore bounded to September 4–5. Actual exports resumed September 10. The alleged smuggling rationale is attributed to Israeli authorities.
ME025-D1: Operational onset is bounded to September 4–5 because reporting differs on announcement versus commencement. Endpoint is actual September 10 truck passage. Export-only restriction; imports and passengers are outside this phase. Israeli smuggling allegation remains attributed. No exact hours or exact six-day duration inferred.</x:v>
      </x:c>
      <x:c r="I219" s="4" t="str">
        <x:v>Retained baseline assessment. Amended after source reconciliation</x:v>
      </x:c>
      <x:c r="J219" s="18" t="d">
        <x:v>2026-10-23T00:00:00.000Z</x:v>
      </x:c>
      <x:c r="K219" s="21" t="str">
        <x:f>IFERROR(HYPERLINK("https://www.jpost.com/middle-east/article-757567","jpost.com"),"jpost.com")</x:f>
        <x:v>jpost.com</x:v>
      </x:c>
      <x:c r="L219" s="21" t="str">
        <x:f>IFERROR(HYPERLINK("https://www.timesofisrael.com/gaza-exports-into-israel-resume-days-after-attempted-explosives-smuggling/","timesofisrael.com"),"timesofisrael.com")</x:f>
        <x:v>timesofisrael.com</x:v>
      </x:c>
      <x:c r="M219" s="21" t="str">
        <x:f>IFERROR(HYPERLINK("https://www.aljazeera.com/amp/news/2023/9/8/gaza-exports-to-resume-after-israel-agrees-to-reopen-vital-crossing","aljazeera.com"),"aljazeera.com")</x:f>
        <x:v>aljazeera.com</x:v>
      </x:c>
      <x:c r="N219" s="4" t="str">
        <x:v>https://www.jpost.com/middle-east/article-757567
https://www.timesofisrael.com/gaza-exports-into-israel-resume-days-after-attempted-explosives-smuggling/
https://www.aljazeera.com/amp/news/2023/9/8/gaza-exports-to-resume-after-israel-agrees-to-reopen-vital-crossing
https://www.chinadailyhk.com/hk/article/349447
https://apnews.com/article/ae136ae038da45b4bd6c175147a0c48f</x:v>
      </x:c>
      <x:c r="O219" s="4" t="str">
        <x:v>Source 1: full
Source 2: full
Source 3: indexed excerpt</x:v>
      </x:c>
      <x:c r="P219" s="20" t="n">
        <x:v>1</x:v>
      </x:c>
      <x:c r="Q219" s="4" t="str">
        <x:v>Middle East</x:v>
      </x:c>
      <x:c r="R219" s="4" t="str">
        <x:v>Included</x:v>
      </x:c>
    </x:row>
    <x:row r="220" ht="90" hidden="0" customHeight="1">
      <x:c r="A220" s="16" t="str">
        <x:v>ME024</x:v>
      </x:c>
      <x:c r="B220" s="4" t="str">
        <x:v>Gaza Erez September 2023 worker closure</x:v>
      </x:c>
      <x:c r="C220" s="4" t="str">
        <x:v>Israel; Palestine (Gaza)</x:v>
      </x:c>
      <x:c r="D220" s="4" t="str">
        <x:v>Erez / Beit Hanoun</x:v>
      </x:c>
      <x:c r="E220" s="4" t="str">
        <x:v>Palestinian workers with permits
Direction: Gaza outward
Exceptions: Medical patients nominally eligible subject to permit approval</x:v>
      </x:c>
      <x:c r="F220" s="4" t="str">
        <x:v>ME024-D1 — Observed operation
Erez / Beit Hanoun; Palestinian workers with permits; Gaza outward
Start: 2023-09-15.
Observed scoped reopening: 2023-09-28.
13 calendar-day difference; scoped endpoint only</x:v>
      </x:c>
      <x:c r="G220"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220" s="4" t="str">
        <x:v>ME024-D1: Worker restriction only, not complete physical closure to all categories. Holiday onset and later security extension are different phases. Medical patients nominally eligible subject to permit approval</x:v>
      </x:c>
      <x:c r="I220" s="4" t="str">
        <x:v>Retained baseline assessment. Retained with recorded qualifications</x:v>
      </x:c>
      <x:c r="J220" s="18" t="d">
        <x:v>2026-10-23T00:00:00.000Z</x:v>
      </x:c>
      <x:c r="K220" s="21" t="str">
        <x:f>IFERROR(HYPERLINK("https://www.thenationalnews.com/mena/2023/09/28/israel-reopens-key-crossing-to-palestinian-workers-amid-ongoing-gaza-violence/","The National"),"The National")</x:f>
        <x:v>The National</x:v>
      </x:c>
      <x:c r="L220" s="21" t="str">
        <x:f>IFERROR(HYPERLINK("https://apnews.com/article/8d1d3cd570f27e6470f23daef4337216","AP"),"AP")</x:f>
        <x:v>AP</x:v>
      </x:c>
      <x:c r="M220" s="21" t="str">
        <x:f>IFERROR(HYPERLINK("https://www.timesofisrael.com/israel-temporarily-shutters-gaza-pedestrian-crossing-following-border-rioting/","timesofisrael.com"),"timesofisrael.com")</x:f>
        <x:v>timesofisrael.com</x:v>
      </x:c>
      <x:c r="N220" s="4" t="str">
        <x:v>https://www.thenationalnews.com/mena/2023/09/28/israel-reopens-key-crossing-to-palestinian-workers-amid-ongoing-gaza-violence/
https://apnews.com/article/8d1d3cd570f27e6470f23daef4337216
https://www.timesofisrael.com/israel-temporarily-shutters-gaza-pedestrian-crossing-following-border-rioting/
https://ny1.com/nyc/all-boroughs/ap-top-news/2023/09/28/israel-reopens-gaza-crossing-for-palestinian-laborers-after-sealing-it-over-rising-tensions</x:v>
      </x:c>
      <x:c r="O220" s="4" t="str">
        <x:v>Source 1: full page
Source 2: search extract
Source 3: access detail is retained in the source catalogue.</x:v>
      </x:c>
      <x:c r="P220" s="20" t="n">
        <x:v>1</x:v>
      </x:c>
      <x:c r="Q220" s="4" t="str">
        <x:v>Middle East</x:v>
      </x:c>
      <x:c r="R220" s="4" t="str">
        <x:v>Included</x:v>
      </x:c>
    </x:row>
    <x:row r="221" ht="306" hidden="0" customHeight="1">
      <x:c r="A221" s="16" t="str">
        <x:v>ME026</x:v>
      </x:c>
      <x:c r="B221" s="4" t="str">
        <x:v>Kerem Shalom direct-aid interruptions during the 2023 war</x:v>
      </x:c>
      <x:c r="C221" s="4" t="str">
        <x:v>Israel; Palestine (Gaza)</x:v>
      </x:c>
      <x:c r="D221" s="4" t="str">
        <x:v>Kerem Shalom / Karm Abu Salem</x:v>
      </x:c>
      <x:c r="E221" s="4" t="str">
        <x:v>Freight and humanitarian entry
Direction: Into Gaza
Exceptions: Not established</x:v>
      </x:c>
      <x:c r="F221" s="4" t="str">
        <x:v>ME026-D1 — Observed operation
Kerem Shalom direct aid entry; 12 December inspection arrangements are not counted as direct reopening.
Start: 2023-10-07.
Observed scoped reopening: 2023-12-17.
71 calendar-day difference; scoped endpoint only
ME026-C7P1 — Observed operation
Reported humanitarian-aid dispatch suspension through Kerem Shalom, 25–28 December 2023; eligibility as an intentional crossing restriction remains unresolved.
Start: 2023-12-25.
Observed scoped reopening: 2023-12-29.
Contested: dated evidence; numeric duration withheld; see qualification
Held evidence: excluded from numeric duration and animation displays.
REC50-R13-ME026-P1 — Observed operation
Kerem Shalom aid-entry interruption, with a documented return for one Jordan food convoy by 9 May 2024
Start: 2024-05-05.
Observed scoped reopening: by 2024-05-09; earliest bound unknown.
dated evidence; numeric duration withheld; see qualification</x:v>
      </x:c>
      <x:c r="G221" s="4" t="str">
        <x:v>Security / Armed conflict and military confrontation
Analytical interpretation of reported context
Applies to: War phase
The recorded rationale and claim assessment support the selected subcategories. All applicable broad categories are retained together; no primary rationale is imposed.
Security / Armed attacks and terrorism
Analytical interpretation of reported context
Applies to: Initial attack trigger
The recorded rationale and claim assessment support the selected subcategories. All applicable broad categories are retained together; no primary rationale is imposed.</x:v>
      </x:c>
      <x:c r="H221" s="4" t="str">
        <x:v>ME026-D1: 17 December direct aid crossing supported by dated operational tally; 12 December inspection restart is not crossing reopening. Does not establish normal trade or passenger restoration; Rafah recorded separately. Not established
ME026-C7P1: The interruption and 29 December aid resumption are retained as reported facts. Numeric restriction duration is held because a continuous intentional restriction has not been established. An official order is not required: the existing codebook also permits source-supported coercive closures. The present accounts do not resolve whether that rule explains this entire aid-dispatch interval. Ordinary trade, passengers and durable restoration remain outside this phase.
REC50-R13-ME026-P1: Closure is dated 5 May 2024; Israeli-side reopening was announced on 8 May and one Jordan food convoy entered through Kerem Shalom on 9 May. The latter is a scoped restoration upper bound. General safe aid collection remained constrained; no complete duration or normal-access endpoint is inferred.
May 2024 first actual return and access scope: The 9 May Jordan food convoy proves some entry, not the first post-closure movement or general restoration. The 8 May announcement is a different evidence category.
Geography for the new May phase: The new May phase is unlocated; earlier phase markers are not inherited.
ME026-C7P1 eligibility and continuity of intentional restriction: OCHA establishes a December 25–28 aid-dispatch interruption and December 29 resumption, but the mixed incident account does not establish a continuous intentional restriction across the full interval.</x:v>
      </x:c>
      <x:c r="I221" s="4" t="str">
        <x:v>Targeted source review (REC50-R14); accepted corrections; evidence limits retained.</x:v>
      </x:c>
      <x:c r="J221" s="18" t="d">
        <x:v>2026-10-25T00:00:00.000Z</x:v>
      </x:c>
      <x:c r="K221" s="21" t="str">
        <x:f>IFERROR(HYPERLINK("https://www.ynetnews.com/article/ry6m7phlp","Ynet"),"Ynet")</x:f>
        <x:v>Ynet</x:v>
      </x:c>
      <x:c r="L221" s="21" t="str">
        <x:f>IFERROR(HYPERLINK("https://gaza-aid-data.gov.il/mainhome/archive/","COGAT Gaza aid archive"),"COGAT Gaza aid archive")</x:f>
        <x:v>COGAT Gaza aid archive</x:v>
      </x:c>
      <x:c r="M221" s="21" t="str">
        <x:f>IFERROR(HYPERLINK("https://www.timesofisrael.com/liveblog_entry/first-aid-convoy-enters-gaza-through-kerem-shalom-crossing/","AFP via The Times of Israel"),"AFP via The Times of Israel")</x:f>
        <x:v>AFP via The Times of Israel</x:v>
      </x:c>
      <x:c r="N221" s="4" t="str">
        <x:v>https://www.ynetnews.com/article/ry6m7phlp
https://gaza-aid-data.gov.il/mainhome/archive/
https://www.timesofisrael.com/liveblog_entry/first-aid-convoy-enters-gaza-through-kerem-shalom-crossing/
https://govextra.gov.il/cogat/humanitarian-efforts/mainhome/archive/
https://www.ochaopt.org/content/hostilities-gaza-strip-and-israel-flash-update-80
https://www.ochaopt.org/sites/default/files/Gaza_casualties_info-graphic_29_Dec_2023.pdf
https://www.ochaopt.org/content/hostilities-gaza-strip-and-israel-flash-update-163
https://www.ochaopt.org/content/hostilities-gaza-strip-and-israel-flash-update-164
https://www.ochaopt.org/content/gaza-humanitarian-response-update-6-12-may-2024
https://www.ochaopt.org/content/humanitarian-access-snapshot-gaza-strip-1-31-may-2024
https://www.un.org/sg/en/content/highlight/2023-12-12.html
https://h.aa.com.tr/en/middle-east/israeli-army-targets-karm-abu-salem-commercial-crossing-killing-director/3089491
https://www.timesofisrael.com/liveblog_entry/egypt-sends-80-trucks-of-aid-to-reopened-kerem-shalom-checkpoint-for-inspection/</x:v>
      </x:c>
      <x:c r="O221" s="4" t="str">
        <x:v>Source 1: search extract
Source 2: search extract
Source 3: full text</x:v>
      </x:c>
      <x:c r="P221" s="20" t="n">
        <x:v>3</x:v>
      </x:c>
      <x:c r="Q221" s="4" t="str">
        <x:v>Middle East</x:v>
      </x:c>
      <x:c r="R221" s="4" t="str">
        <x:v>Included</x:v>
      </x:c>
    </x:row>
    <x:row r="222" ht="78" hidden="0" customHeight="1">
      <x:c r="A222" s="16" t="str">
        <x:v>ME032</x:v>
      </x:c>
      <x:c r="B222" s="4" t="str">
        <x:v>Turkey Syria July 2024 unrest closure</x:v>
      </x:c>
      <x:c r="C222" s="4" t="str">
        <x:v>Türkiye; Syria</x:v>
      </x:c>
      <x:c r="D222" s="4" t="str">
        <x:v>Northwest Syrian crossings; endpoint specifically Bab al Hawa</x:v>
      </x:c>
      <x:c r="E222" s="4" t="str">
        <x:v>Passengers and freight
Direction: Not established
Exceptions: Not established</x:v>
      </x:c>
      <x:c r="F222" s="4" t="str">
        <x:v>ME032-D1 — Observed operation
Bab al Hawa passenger and lorry restriction during the July unrest, to reported normal operation on July 3.
Start: 2024-07-01.
Observed scoped reopening: 2024-07-03.
2 calendar-day difference; scoped endpoint only</x:v>
      </x:c>
      <x:c r="G222"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222" s="4" t="str">
        <x:v>ME032-D1: The two-calendar-day difference uses reported event dates, not the article’s publication or update date. It is not a measured 48-hour duration. Restoration is administration-reported, and no endpoint is assigned to other initially closed posts.
other crossing phases: Blind reconstruction identifies July 8 aid-gate reopening but full source not inspected here.</x:v>
      </x:c>
      <x:c r="I222" s="4" t="str">
        <x:v>Targeted source review (REC50-R19); accepted corrections; evidence limits retained.</x:v>
      </x:c>
      <x:c r="J222" s="18" t="d">
        <x:v>2026-10-25T00:00:00.000Z</x:v>
      </x:c>
      <x:c r="K222" s="21" t="str">
        <x:f>IFERROR(HYPERLINK("https://www.reuters.com/world/middle-east/turkey-closes-syria-border-after-violence-flares-both-countries-2024-07-02/","Reuters"),"Reuters")</x:f>
        <x:v>Reuters</x:v>
      </x:c>
      <x:c r="L222" s="21" t="str">
        <x:f>IFERROR(HYPERLINK("https://www.thenationalnews.com/news/mena/2024/07/03/turkey-syria/","The National"),"The National")</x:f>
        <x:v>The National</x:v>
      </x:c>
      <x:c r="M222" s="21" t="str">
        <x:f>IFERROR(HYPERLINK("https://www.syriahr.com/en/337781/","syriahr.com"),"syriahr.com")</x:f>
        <x:v>syriahr.com</x:v>
      </x:c>
      <x:c r="N222" s="4" t="str">
        <x:v>https://www.reuters.com/world/middle-east/turkey-closes-syria-border-after-violence-flares-both-countries-2024-07-02/
https://www.thenationalnews.com/news/mena/2024/07/03/turkey-syria/
https://www.syriahr.com/en/337781/
https://www.securitycouncilreport.org/monthly-forecast/2024-08/syria-70.php?print=true</x:v>
      </x:c>
      <x:c r="O222" s="4" t="str">
        <x:v>Source 1: full text
Source 2: full text
Source 3: access detail is retained in the source catalogue.</x:v>
      </x:c>
      <x:c r="P222" s="20" t="n">
        <x:v>1</x:v>
      </x:c>
      <x:c r="Q222" s="4" t="str">
        <x:v>Middle East</x:v>
      </x:c>
      <x:c r="R222" s="4" t="str">
        <x:v>Included</x:v>
      </x:c>
    </x:row>
    <x:row r="223" ht="294" hidden="0" customHeight="1">
      <x:c r="A223" s="16" t="str">
        <x:v>ME021</x:v>
      </x:c>
      <x:c r="B223" s="4" t="str">
        <x:v>Jordan-facing terminal restrictions after the Allenby shooting, September 2024</x:v>
      </x:c>
      <x:c r="C223" s="4" t="str">
        <x:v>Israel; Palestine (occupied West Bank); Jordan</x:v>
      </x:c>
      <x:c r="D223" s="4" t="str">
        <x:v>Allenby / King Hussein / Al Karameh; Wadi Araba / Yitzhak Rabin; Jordan River / Sheikh Hussein
Allenby / King Hussein / Al Karameh; Wadi Araba / Yitzhak Rabin; Jordan River / Sheikh Hussein; scope is phase-specific.</x:v>
      </x:c>
      <x:c r="E223" s="4" t="str">
        <x:v>Passengers and commercial trucks in the existing Allenby phases; traffic classes at the two other terminals are not independently disaggregated.
Direction: Not established
Exceptions: Not established</x:v>
      </x:c>
      <x:c r="F223" s="4" t="str">
        <x:v>ME021-D1 — Observed operation
Allenby / King Hussein / Al Karameh bridge passenger interruption; commercial trucks excluded from this phase
Start: 2024-09-08.
Observed scoped reopening: 2024-09-10.
Contested: dated evidence; numeric duration withheld; see qualification
Held evidence: excluded from numeric duration and animation displays.
ME021-C7P1 — Observed operation
Commercial-truck restriction at Allenby / King Hussein bridge up to documented gradual freight resumption
Start: 2024-09-08.
Observed scoped reopening: by 2024-09-23; earliest bound unknown.
dated evidence; numeric duration withheld; see qualification
REC50-R38-ME021-P1 — Formal policy
Wadi Araba / Yitzhak Rabin closure statement after the Allenby shooting
Start: 2024-09-08.
Last confirmed: 2024-09-08. Reopening is not established.
Formal policy: dated evidence; numeric duration withheld; see qualification
REC50-R38-ME021-P2 — Formal policy
Jordan River / Sheikh Hussein closure statement after the Allenby shooting
Start: 2024-09-08.
Last confirmed: 2024-09-08. Reopening is not established.
Formal policy: dated evidence; numeric duration withheld; see qualification</x:v>
      </x:c>
      <x:c r="G223"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223" s="4" t="str">
        <x:v>ME021-D1: Numeric duration withheld because September 9 first-relaxation/continuity is unresolved. September 10 supports passenger operation, not freight reopening. The West Bank is occupied territory; this is not coded as an ordinary bilateral state frontier.
ME021-C7P1: September 23 is an upper bound by which some freight had resumed, not the exact first truck or unrestricted reopening. No numeric complete duration, exact direction or uniform truck access is inferred.
REC50-R38-ME021-P1: The 8 September closure is an Israel Airports Authority statement reported by Xinhua. A Polish notice later describes this terminal as reopened as of 12 September, without a first passage date or traffic-class breakdown. No Allenby passenger or cargo endpoint is transferred; numeric duration and a continuous closed interval are withheld.
REC50-R38-ME021-P2: The 8 September closure is an Israel Airports Authority statement reported by Xinhua. A Polish notice later describes this terminal as reopened as of 12 September, without a first passage date or traffic-class breakdown. No Allenby passenger or cargo endpoint is transferred; numeric duration and a continuous closed interval are withheld.
continuity/end: Official Monday-morning closure is now directly timestamped; it cannot disprove the later Times of Israel report. Keep the September 8–10 window contested and numeric duration withheld.
Other-terminal traffic scope and first restoration: Wadi Araba and Jordan River were named in the closure statement and described as open by September 12, but first actual return, exceptions and passenger/cargo differences are unresolved.</x:v>
      </x:c>
      <x:c r="I223" s="4" t="str">
        <x:v>Targeted source review (REC50-R38); accepted qualification; evidence limits retained.</x:v>
      </x:c>
      <x:c r="J223" s="18" t="d">
        <x:v>2026-10-25T00:00:00.000Z</x:v>
      </x:c>
      <x:c r="K223" s="21" t="str">
        <x:f>IFERROR(HYPERLINK("https://www.timesofisrael.com/liveblog_entry/israel-shuts-all-land-crossings-with-jordan-after-deadly-terror-attack/","Times of Israel"),"Times of Israel")</x:f>
        <x:v>Times of Israel</x:v>
      </x:c>
      <x:c r="L223" s="21" t="str">
        <x:f>IFERROR(HYPERLINK("https://english.wafa.ps/Pages/Details/149094","WAFA"),"WAFA")</x:f>
        <x:v>WAFA</x:v>
      </x:c>
      <x:c r="M223" s="21" t="str">
        <x:f>IFERROR(HYPERLINK("https://www.thenationalnews.com/news/mena/2024/09/10/allenby-israel-jordan-river/","The National"),"The National")</x:f>
        <x:v>The National</x:v>
      </x:c>
      <x:c r="N223" s="4" t="str">
        <x:v>https://www.timesofisrael.com/liveblog_entry/israel-shuts-all-land-crossings-with-jordan-after-deadly-terror-attack/
https://english.wafa.ps/Pages/Details/149094
https://www.thenationalnews.com/news/mena/2024/09/10/allenby-israel-jordan-river/
https://www.timesofisrael.com/jordan-crossing-reopens-to-pedestrians-after-terror-attack-celebrated-in-amman/amp/
https://english.wafa.ps/Pages/Details/149054
https://www.aa.com.tr/en/middle-east/jordan-again-closes-king-hussein-bridge-crossing/3325155
https://www.wafa.ps/news/2024/9/23/%D9%85%D9%87%D9%86%D8%A7-%D8%A5%D8%B9%D8%A7%D8%AF%D8%A9-%D9%81%D8%AA%D8%AD-%D9%85%D8%B9%D8%A8%D8%B1-%D8%A7%D9%84%D9%83%D8%B1%D8%A7%D9%85%D8%A9-%D8%A3%D9%85%D8%A7%D9%85-%D8%A7%D9%84%D8%AD%D8%B1%D9%83%D8%A9
https://www.bnews.ps/index.php/ar/node/23941
https://www.chinadailyhk.com/hk/article/592550
https://www.gov.pl/web/jordania/sytuacja-na-przejsciach-granicznych-na-moscie-krola-husseina-w-akabie-oraz-jordan-river
https://www.petra.gov.jo/ar/news/%D8%A7%D9%84%D8%A3%D9%85%D9%86-%D8%A7%D9%84%D8%B9%D8%A7%D9%85-%D8%A5%D8%BA%D9%84%D8%A7%D9%82-%D8%AC%D8%B3%D8%B1-%D8%A7%D9%84%D9%85%D9%84%D9%83-%D8%AD%D8%B3%D9%8A%D9%86-%D8%AD%D8%AA%D9%89-%D8%A5%D8%B4%D8%B9%D8%A7%D8%B1-%D8%A2%D8%AE%D8%B1
https://f.aa.com.tr/en/middle-east/jordan-again-closes-king-hussein-bridge-crossing/3325155
https://aa.com.tr/en/middle-east/jordan-again-closes-king-hussein-bridge-crossing/3325155
https://petra.gov.jo/dotclear/index.php/ar/news/الأمن-العام-إغلاق-جسر-الملك-حسين-حتى-إشعار-آخر</x:v>
      </x:c>
      <x:c r="O223" s="4" t="str">
        <x:v>Source 1: full page
Source 2: full text
Source 3: full text</x:v>
      </x:c>
      <x:c r="P223" s="20" t="n">
        <x:v>4</x:v>
      </x:c>
      <x:c r="Q223" s="4" t="str">
        <x:v>Middle East</x:v>
      </x:c>
      <x:c r="R223" s="4" t="str">
        <x:v>Included</x:v>
      </x:c>
    </x:row>
    <x:row r="224" ht="366" hidden="0" customHeight="1">
      <x:c r="A224" s="16" t="str">
        <x:v>ME028</x:v>
      </x:c>
      <x:c r="B224" s="4" t="str">
        <x:v>Lebanon Syria Masnaa road severed by air strike</x:v>
      </x:c>
      <x:c r="C224" s="4" t="str">
        <x:v>Lebanon; Syria</x:v>
      </x:c>
      <x:c r="D224" s="4" t="str">
        <x:v>Masnaa / Jdaidet Yabous road</x:v>
      </x:c>
      <x:c r="E224" s="4" t="str">
        <x:v>Motor vehicles and formal road access
Direction: Not established
Exceptions: Pedestrian passage across the damaged road documented by UNHCR after 4 October; vehicular through-traffic disrupted.</x:v>
      </x:c>
      <x:c r="F224" s="4" t="str">
        <x:v>ME028-REV1 — Observed operation
Severed through-vehicle road between Masnaa and Jdeidat Yabous following the October 4 strike
Start: 2024-10-04.
Last confirmed: 2024-10-04. Reopening is not established.
dated evidence; numeric duration withheld; see qualification</x:v>
      </x:c>
      <x:c r="G224"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Smuggling and illicit trafficking
Attributed official justification
Applies to: October 4, 2024 strike at Masnaa; exact overlap beyond this action not inferred
Added alongside the existing conflict rationale, without endorsing the weapons-transfer allegation or inferring a primary purpose.</x:v>
      </x:c>
      <x:c r="H224" s="4" t="str">
        <x:v>ME028-REV1: Only the October 4 vehicle-closure observation is retained. The former October 10 last-confirmation and six-day minimum lacked reproduced support and are withdrawn. Exact restoration and intervening continuity remain unresolved; later strikes are separate events.
continuity after October 10: Repeated strikes and route changes prevent continuous interval to November.
source verification: October 10 phase source remains indexed/failed access in current and fresh retrieval.
endpoint: October 10 no longer serves as a confirmed closed endpoint. Last verified vehicle-closure observation is October 4; later restoration remains unknown.
continuity: The recovered October 10 update does not establish continuous through-vehicle closure from October 4. Numeric minimum is withheld.</x:v>
      </x:c>
      <x:c r="I224" s="4" t="str">
        <x:v>Targeted source review (REC50-R24); retained with recorded qualifications; evidence limits retained.</x:v>
      </x:c>
      <x:c r="J224" s="18" t="d">
        <x:v>2026-10-25T00:00:00.000Z</x:v>
      </x:c>
      <x:c r="K224" s="21" t="str">
        <x:f>IFERROR(HYPERLINK("https://press.un.org/en/2024/db241010.doc.htm","press.un.org"),"press.un.org")</x:f>
        <x:v>press.un.org</x:v>
      </x:c>
      <x:c r="L224" s="21" t="str">
        <x:f>IFERROR(HYPERLINK("https://www.unhcr.org/sy/sites/sy/files/legacy-pdf/UNHCR-FLASH-UPDATE-10_Displacement-from-Lebanon_8-October-2024.pdf","unhcr.org"),"unhcr.org")</x:f>
        <x:v>unhcr.org</x:v>
      </x:c>
      <x:c r="M224" s="21" t="str">
        <x:f>IFERROR(HYPERLINK("https://www.unognewsroom.org/story/en/2373/lebanon-displacement-crisis-unhcr-iom/7152","unognewsroom.org"),"unognewsroom.org")</x:f>
        <x:v>unognewsroom.org</x:v>
      </x:c>
      <x:c r="N224" s="4" t="str">
        <x:v>https://press.un.org/en/2024/db241010.doc.htm
https://www.unhcr.org/sy/sites/sy/files/legacy-pdf/UNHCR-FLASH-UPDATE-10_Displacement-from-Lebanon_8-October-2024.pdf
https://www.unognewsroom.org/story/en/2373/lebanon-displacement-crisis-unhcr-iom/7152
https://www.unhcr.org/sites/default/files/2024-10/UNHCR%20FLASH%20UPDATE%20%2311_Displacement%20from%20Lebanon_10%20October%202024.pdf
https://www.lbcgroup.tv/news/lebanon-news/820101/lbci-lebanon-articles/en
https://npasyria.com/en/118734/
https://www.lbcgroup.tv/news/lebanon-news/820682/public-works-minister-masnaa-border-crossing-road-fully-repaired/en
https://data.unhcr.org/en/documents/details/111660
https://www.un.org/sg/en/content/highlight/2024-10-10.html
https://www.reuters.com/world/middle-east/israeli-strike-closes-off-road-used-flee-lebanon-syria-lebanese-transport-2024-10-04/
https://today.lorientlejour.com/article/1429925/israel-claims-to-have-struck-hezbollah-tunnel-between-lebanon-and-syria.html
https://www.unhcr.org/sites/default/files/2024-10/UNHCR%20Syria%20Flash%20Update%20%237_Displacement%20from%20Lebanon_4%20October%202024.pdf
https://today.lorientlejour.com/article/1437645/hamieh-announces-completion-of-road-restoration-at-masnaa-border-crossing.html
https://www.aman-alliance.org/Home/ContentDetail/83162
https://syria.un.org/en/282108-statement-recent-attack-masnaa-border-crossing-between-lebanon-and-syria-un-resident
https://www.reutersconnect.com/item/people-cross-from-lebanon-into-syria-on-foot-at-the-masnaa-border-crossing/dGFnOnJldXRlcnMuY29tLDIwMjQ6bmV3c21sX1JDMjdLQUEyM01VSA
https://www.enabbaladi.net/725986/تأهيل-يابوس-إسرائيل-تعطّل-المعابر-بي/?noamp=mobile
https://www.hrw.org/news/2024/10/07/lebanon-israeli-strikes-impede-fleeing-civilians-aid
https://www.unognewsroom.org/story/en/2372/un-geneva-press-briefing-04-october-2024
https://www.unhcr.org/sy/sites/sy/files/legacy-pdf/UNHCR-FLASH-UPDATE-12_Displacement-from-Lebanon_12-October-2024.pdf</x:v>
      </x:c>
      <x:c r="O224" s="4" t="str">
        <x:v>Source 1: indexed excerpt; failed
Source 2: indexed excerpt; failed
Source 3: access detail is retained in the source catalogue.</x:v>
      </x:c>
      <x:c r="P224" s="20" t="n">
        <x:v>1</x:v>
      </x:c>
      <x:c r="Q224" s="4" t="str">
        <x:v>Middle East</x:v>
      </x:c>
      <x:c r="R224" s="4" t="str">
        <x:v>Included</x:v>
      </x:c>
    </x:row>
    <x:row r="225" ht="162" hidden="0" customHeight="1">
      <x:c r="A225" s="16" t="str">
        <x:v>ME029</x:v>
      </x:c>
      <x:c r="B225" s="4" t="str">
        <x:v>Lebanon Syria Qaa road closure after strike</x:v>
      </x:c>
      <x:c r="C225" s="4" t="str">
        <x:v>Lebanon; Syria</x:v>
      </x:c>
      <x:c r="D225" s="4" t="str">
        <x:v>Qaa / Jousiyeh</x:v>
      </x:c>
      <x:c r="E225" s="4" t="str">
        <x:v>Vehicles and formal road access
Direction: Not established
Exceptions: Not established</x:v>
      </x:c>
      <x:c r="F225" s="4" t="str">
        <x:v>ME029-D1 — Observed operation
Qaa / Jousiyeh; Vehicles and formal road access; Not established
Start: 2024-10-25.
Observed scoped reopening: 2024-12-01.
Contested: dated evidence; numeric duration withheld; see qualification
Held evidence: excluded from numeric duration and animation displays.</x:v>
      </x:c>
      <x:c r="G225"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25" s="4" t="str">
        <x:v>ME029-D1: UNHCR’s December 2 update reports that pedestrians continued despite the November 30 strike and that vehicle movement resumed on December 1, with cars and buses carrying Lebanese returnees from Syria to Lebanon observed. This is direct evidence for that direction and category; equivalent first restoration for reverse-direction movements is not established. It does not prove uninterrupted October 25–December 1 vehicle closure through repeated strikes and emergency access. Numeric duration remains withheld; pedestrian access is excluded.
end/continuity: UNHCR strengthens the December 1 observed car/bus return endpoint from Syria to Lebanon, while November 27–30 vehicle continuity and reverse-direction first restoration remain unresolved. The complete interval remains contested.</x:v>
      </x:c>
      <x:c r="I225" s="4" t="str">
        <x:v>Retained baseline assessment. Follow-up adjudicated; amend</x:v>
      </x:c>
      <x:c r="J225" s="18" t="d">
        <x:v>2026-10-23T00:00:00.000Z</x:v>
      </x:c>
      <x:c r="K225" s="21" t="str">
        <x:f>IFERROR(HYPERLINK("https://today.lorientlejour.com/article/1432882/lebanons-eastern-border-crossings-with-syria-shut-after-israeli-strike.html","L Orient Today"),"L Orient Today")</x:f>
        <x:v>L Orient Today</x:v>
      </x:c>
      <x:c r="L225" s="21" t="str">
        <x:f>IFERROR(HYPERLINK("https://today.lorientlejour.com/article/1437699/qaa-border-crossing-reopens-4000-people-expected-to-cross-on-sunday.html","L Orient Today"),"L Orient Today")</x:f>
        <x:v>L Orient Today</x:v>
      </x:c>
      <x:c r="M225" s="21" t="str">
        <x:f>IFERROR(HYPERLINK("https://www.lbcgroup.tv/news/lebanon-news/820049/qaa-jusiyah-land-border-crossing-between-lebanon-and-syria-reopens-say/en","lbcgroup.tv"),"lbcgroup.tv")</x:f>
        <x:v>lbcgroup.tv</x:v>
      </x:c>
      <x:c r="N225" s="4" t="str">
        <x:v>https://today.lorientlejour.com/article/1432882/lebanons-eastern-border-crossings-with-syria-shut-after-israeli-strike.html
https://today.lorientlejour.com/article/1437699/qaa-border-crossing-reopens-4000-people-expected-to-cross-on-sunday.html
https://www.lbcgroup.tv/news/lebanon-news/820049/qaa-jusiyah-land-border-crossing-between-lebanon-and-syria-reopens-say/en
https://www.mtv.com.lb/en/News/Local/1525527/jousieh-border-crossing-reopens-to-facilitate-return-of-displaced-lebanese
https://today.lorientlejour.com/article/1437739/qaa-crossing-reopens-as-4000-expected-to-cross-sunday.html
https://data.unhcr.org/fr/documents/download/112887
https://www.unhcr.org/sy/sites/sy/files/legacy-pdf/UNHCR-Emergency-Response-Brief_5-December-2024.pdf</x:v>
      </x:c>
      <x:c r="O225" s="4" t="str">
        <x:v>Source 1: search extract
Source 2: full page
Source 3: access detail is retained in the source catalogue.</x:v>
      </x:c>
      <x:c r="P225" s="20" t="n">
        <x:v>1</x:v>
      </x:c>
      <x:c r="Q225" s="4" t="str">
        <x:v>Middle East</x:v>
      </x:c>
      <x:c r="R225" s="4" t="str">
        <x:v>Included</x:v>
      </x:c>
    </x:row>
    <x:row r="226" ht="258" hidden="0" customHeight="1">
      <x:c r="A226" s="16" t="str">
        <x:v>ME002</x:v>
      </x:c>
      <x:c r="B226" s="4" t="str">
        <x:v>Jordan Syria Jaber security closure during Assad collapse</x:v>
      </x:c>
      <x:c r="C226" s="4" t="str">
        <x:v>Jordan; Syria</x:v>
      </x:c>
      <x:c r="D226" s="4" t="str">
        <x:v>Jaber / Nassib</x:v>
      </x:c>
      <x:c r="E226" s="4" t="str">
        <x:v>Not established
Direction: Outward movement from Jordan suspended; return exception
Exceptions: Returning Jordanians and Jordanian trucks</x:v>
      </x:c>
      <x:c r="F226" s="4" t="str">
        <x:v>ME002-NP1 — Formal policy
Jaber outbound restriction and later freight authorisation
Start: 2024-12-06.
Policy endpoint: 2024-12-18.
Formal policy: dated evidence; numeric duration withheld; see qualification</x:v>
      </x:c>
      <x:c r="G226"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26" s="4" t="str">
        <x:v>ME002-NP1: These decisions concern different traffic scopes; some trucks reportedly moved earlier. No 12-day operational closure is inferred, and later 24-hour opening is not first reopening.
end/continuity: December 6 and 18 decisions recorded without an operational duration.
duration: December 6 and 18 decisions recorded without an operational duration.</x:v>
      </x:c>
      <x:c r="I226" s="4" t="str">
        <x:v>Retained baseline assessment. 23 October amendments; remaining qualifications retained</x:v>
      </x:c>
      <x:c r="J226" s="18" t="d">
        <x:v>2026-10-23T00:00:00.000Z</x:v>
      </x:c>
      <x:c r="K226" s="21" t="str">
        <x:f>IFERROR(HYPERLINK("https://jordantimes.com/news/local/jordan-closes-border-crossing-syria-%E2%80%93-interior-minister","jordantimes.com"),"jordantimes.com")</x:f>
        <x:v>jordantimes.com</x:v>
      </x:c>
      <x:c r="L226" s="21" t="str">
        <x:f>IFERROR(HYPERLINK("https://jordantimes.com/news/local/jordan-reopens-jaber-border-crossing-syria-truck-movement","Jordan Times"),"Jordan Times")</x:f>
        <x:v>Jordan Times</x:v>
      </x:c>
      <x:c r="M226" s="21" t="str">
        <x:f>IFERROR(HYPERLINK("https://petra.gov.jo/Include/InnerPage.jsp?ID=66644&amp;lang=en&amp;name=en_news","Petra"),"Petra")</x:f>
        <x:v>Petra</x:v>
      </x:c>
      <x:c r="N226" s="4" t="str">
        <x:v>https://jordantimes.com/news/local/jordan-closes-border-crossing-syria-%E2%80%93-interior-minister
https://jordantimes.com/news/local/jordan-reopens-jaber-border-crossing-syria-truck-movement
https://petra.gov.jo/Include/InnerPage.jsp?ID=66644&amp;lang=en&amp;name=en_news
https://english.enabbaladi.net/archives/2024/12/trade-movement-resumes-between-jordan-and-syria/?noamp=mobile
https://english.enabbaladi.net/archives/2024/12/jordan-seeks-to-enhance-border-traffic-with-syria/
https://www.reuters.com/ar/world/HFFD23KI2ZMRBO6RLUAFCYOPUQ-2024-12-06/
https://jordantimes.com/news/local/interior-ministry-allows-land-travel-syria-without-prior-permits
https://kwsn.com/2024/12/06/jordan-closes-border-crossing-into-syria-ministry-says/
https://www.aljazeera.net/ebusiness/2024/12/19/trade-between-syria-jordan-resumes
https://www.timesofisrael.com/liveblog_entry/jordan-closes-border-with-syria-as-insurgency-expands-to-countrys-south-approaches-israeli-border/
https://english.enabbaladi.net/archives/2024/12/jordan-closes-jaber-crossing-with-syria/?so=related
https://www.aa.com.tr/en/middle-east/jordan-to-reopen-jaber-border-crossing-with-syria-for-trucks/3427313
https://petra.gov.jo/dotclear/index.php/ar/news/نقابة-التخليص-تثمن-سرعة-استجابة-الحكومة-لفتح-معبر-جابر-أمام-الشاحنات-إعادة-للعنوان
https://www.ajlounnews.net/استئناف-عمل-مركز-جابر-ينعش-حركة-الشاح/
https://e.gov.kw/sites/kgoenglish/Pages/ApplicationPages/NewsDetail.aspx?nid=34658586</x:v>
      </x:c>
      <x:c r="O226" s="4" t="str">
        <x:v>Source 1: access detail is retained in the source catalogue.
Source 2: indexed excerpt
Source 3: indexed excerpt</x:v>
      </x:c>
      <x:c r="P226" s="20" t="n">
        <x:v>1</x:v>
      </x:c>
      <x:c r="Q226" s="4" t="str">
        <x:v>Middle East</x:v>
      </x:c>
      <x:c r="R226" s="4" t="str">
        <x:v>Included</x:v>
      </x:c>
    </x:row>
    <x:row r="227" ht="174" hidden="0" customHeight="1">
      <x:c r="A227" s="16" t="str">
        <x:v>ME003</x:v>
      </x:c>
      <x:c r="B227" s="4" t="str">
        <x:v>Iraq Syria Qaim closure after Assad fall</x:v>
      </x:c>
      <x:c r="C227" s="4" t="str">
        <x:v>Iraq; Syria</x:v>
      </x:c>
      <x:c r="D227" s="4" t="str">
        <x:v>Al Qaim / Al Bukamal</x:v>
      </x:c>
      <x:c r="E227" s="4" t="str">
        <x:v>Passengers and goods
Direction: Not established
Exceptions: Humanitarian movements and stranded trucks; exceptional repatriations, including Syrian soldiers on 19 December, documented before June 2025.</x:v>
      </x:c>
      <x:c r="F227" s="4" t="str">
        <x:v>ME003-D1 — Observed operation
Regular ordinary commercial and unrestricted civilian operation at Al Qaim–Al Bukamal, excluding authorised humanitarian/repatriation movements and Iraqi nationals returning with valid identification from December 10.
Start: 2024-12-08.
Observed scoped reopening: 2025-06-14.
188 calendar-day difference; scoped endpoint only</x:v>
      </x:c>
      <x:c r="G227"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27" s="4" t="str">
        <x:v>ME003-D1: December 10 category-based Iraqi return access, stranded trucks, humanitarian movements and December 19 soldier repatriation are exceptions. June 14 is regular trade/passenger resumption, not first movement. No zero-traffic duration.
other exceptional traffic: Dates/extent of other exceptions not all reconfirmed by these two fresh texts.</x:v>
      </x:c>
      <x:c r="I227" s="4" t="str">
        <x:v>Retained baseline assessment. Amended after source reconciliation</x:v>
      </x:c>
      <x:c r="J227" s="18" t="d">
        <x:v>2026-10-23T00:00:00.000Z</x:v>
      </x:c>
      <x:c r="K227" s="21" t="str">
        <x:f>IFERROR(HYPERLINK("https://www.aa.com.tr/en/middle-east/iraq-says-border-crossing-with-syria-closed-after-assad-s-fall/3418302","Anadolu"),"Anadolu")</x:f>
        <x:v>Anadolu</x:v>
      </x:c>
      <x:c r="L227" s="21" t="str">
        <x:f>IFERROR(HYPERLINK("https://www.thestar.com.my/news/world/2025/06/14/iraq-reopens-syria-crossing-for-trade-and-passenger-traffic","The Star"),"The Star")</x:f>
        <x:v>The Star</x:v>
      </x:c>
      <x:c r="M227" s="21" t="str">
        <x:f>IFERROR(HYPERLINK("https://www.unhcr.org/iq/wp-content/uploads/sites/165/2024/12/Iraq-Lebanese-Response-Update-24.pdf","UNHCR"),"UNHCR")</x:f>
        <x:v>UNHCR</x:v>
      </x:c>
      <x:c r="N227" s="4" t="str">
        <x:v>https://www.aa.com.tr/en/middle-east/iraq-says-border-crossing-with-syria-closed-after-assad-s-fall/3418302
https://www.thestar.com.my/news/world/2025/06/14/iraq-reopens-syria-crossing-for-trade-and-passenger-traffic
https://www.unhcr.org/iq/wp-content/uploads/sites/165/2024/12/Iraq-Lebanese-Response-Update-24.pdf
https://www.rudaw.net/english/categories/middleeast/842704
https://en.964media.com/28932/
https://qna.org.qa/en/news/news-details?date=14/06/2025&amp;id=iraq-announces-resumption-of-trade-through-al-qaim-border-crossing-with-syria
https://ina.iq/en/local/40476-bpa-announce-the-resumption-of-trade-exchange-movements-at-the-al-qaim-border-crossing.html
https://www.turkiyetoday.com/region/iraq-closes-al-qaim-border-crossing-after-assad-regime-falls-90152</x:v>
      </x:c>
      <x:c r="O227" s="4" t="str">
        <x:v>Source 1: full page
Source 2: full page
Source 3: search extract</x:v>
      </x:c>
      <x:c r="P227" s="20" t="n">
        <x:v>1</x:v>
      </x:c>
      <x:c r="Q227" s="4" t="str">
        <x:v>Middle East</x:v>
      </x:c>
      <x:c r="R227" s="4" t="str">
        <x:v>Included</x:v>
      </x:c>
    </x:row>
    <x:row r="228" ht="174" hidden="0" customHeight="1">
      <x:c r="A228" s="16" t="str">
        <x:v>ME027</x:v>
      </x:c>
      <x:c r="B228" s="4" t="str">
        <x:v>Gaza March 2025 Israeli-controlled aid and goods entry ban</x:v>
      </x:c>
      <x:c r="C228" s="4" t="str">
        <x:v>Israel; Palestine (Gaza)</x:v>
      </x:c>
      <x:c r="D228" s="4" t="str">
        <x:v>Israeli-controlled Gaza cargo crossings including Kerem Shalom Erez and Zikim</x:v>
      </x:c>
      <x:c r="E228" s="4" t="str">
        <x:v>Humanitarian and commercial imports
Direction: Into Gaza
Exceptions: Not established</x:v>
      </x:c>
      <x:c r="F228" s="4" t="str">
        <x:v>ME027-D1 — Observed operation
Gaza aid-entry ban to first limited entry on 19 May; permission and distribution are different milestones.
Start: 2025-03-02.
Observed scoped reopening: 2025-05-19.
78 calendar-day difference; scoped endpoint only</x:v>
      </x:c>
      <x:c r="G228" s="4" t="str">
        <x:v>Security / Armed conflict and military confrontation
Reported reason
Applies to: War and aid restriction context
Retained conflict/security context; the newly documented initial pressure purpose is coded separately.
Interstate disputes and pressure / Sanctions and coercive pressure
Reported reason attributed to Israeli government
Applies to: March 2 initiation
Documented inter-authority coercive purpose; no endorsement of the action or sovereignty inference.</x:v>
      </x:c>
      <x:c r="H228" s="4" t="str">
        <x:v>ME027-D1: May 19 is limited crossing-entry endpoint, not unrestricted imports or delivery to households. Egyptian Rafah component excluded to avoid duplicate Africa row; rationale attribution not causal adjudication. Not established</x:v>
      </x:c>
      <x:c r="I228" s="4" t="str">
        <x:v>Targeted source review (REC50-R14); retained with recorded qualifications; evidence limits retained.</x:v>
      </x:c>
      <x:c r="J228" s="18" t="d">
        <x:v>2026-10-25T00:00:00.000Z</x:v>
      </x:c>
      <x:c r="K228" s="21" t="str">
        <x:f>IFERROR(HYPERLINK("https://www.un.org/unispal/document/ocha-calls-for-reopening-of-gaza-crossings-to-cargo-and-aid/","United Nations OCHA"),"United Nations OCHA")</x:f>
        <x:v>United Nations OCHA</x:v>
      </x:c>
      <x:c r="L228" s="21" t="str">
        <x:f>IFERROR(HYPERLINK("https://www.un.org/unispal/document/wfp-state-of-palestine-emergency-response-external-situation-report-54/","World Food Programme; UNISPAL copy"),"World Food Programme; UNISPAL copy")</x:f>
        <x:v>World Food Programme; UNISPAL copy</x:v>
      </x:c>
      <x:c r="M228" s="21" t="str">
        <x:f>IFERROR(HYPERLINK("https://www.timesofisrael.com/liveblog_entry/un-says-it-has-received-permission-to-bring-100-trucks-of-aid-into-gaza-today/","Reuters via The Times of Israel"),"Reuters via The Times of Israel")</x:f>
        <x:v>Reuters via The Times of Israel</x:v>
      </x:c>
      <x:c r="N228" s="4" t="str">
        <x:v>https://www.un.org/unispal/document/ocha-calls-for-reopening-of-gaza-crossings-to-cargo-and-aid/
https://www.un.org/unispal/document/wfp-state-of-palestine-emergency-response-external-situation-report-54/
https://www.timesofisrael.com/liveblog_entry/un-says-it-has-received-permission-to-bring-100-trucks-of-aid-into-gaza-today/
https://www.reuters.com/business/healthcare-pharmaceuticals/malnutrition-gaza-could-rise-exponentially-unrwa-official-says-2025-05-20/
https://www.ochaopt.org/content/humanitarian-situation-update-290-gaza-strip
https://www.ochaopt.org/content/humanitarian-situation-update-292-gaza-strip
https://www.ap.org/news-highlights/spotlights/2025/israel-is-criticized-after-it-bars-gaza-aid-to-pressure-hamas-to-accept-a-new-ceasefire-proposal/
https://www.timesofisrael.com/five-trucks-of-humanitarian-aid-enter-gaza-says-israel-ending-two-month-blockade/amp/</x:v>
      </x:c>
      <x:c r="O228" s="4" t="str">
        <x:v>Source 1: search extract
Source 2: indexed extract
Source 3: full text</x:v>
      </x:c>
      <x:c r="P228" s="20" t="n">
        <x:v>1</x:v>
      </x:c>
      <x:c r="Q228" s="4" t="str">
        <x:v>Middle East</x:v>
      </x:c>
      <x:c r="R228" s="4" t="str">
        <x:v>Included</x:v>
      </x:c>
    </x:row>
    <x:row r="229" ht="198" hidden="0" customHeight="1">
      <x:c r="A229" s="16" t="str">
        <x:v>ME022</x:v>
      </x:c>
      <x:c r="B229" s="4" t="str">
        <x:v>Allenby crossing September 2025 attack closure</x:v>
      </x:c>
      <x:c r="C229" s="4" t="str">
        <x:v>Israel; Palestine (occupied West Bank); Jordan</x:v>
      </x:c>
      <x:c r="D229" s="4" t="str">
        <x:v>Allenby / King Hussein bridge</x:v>
      </x:c>
      <x:c r="E229" s="4" t="str">
        <x:v>Passengers goods and aid, with different trajectories
Direction: Not established
Exceptions: Not established</x:v>
      </x:c>
      <x:c r="F229" s="4" t="str">
        <x:v>ME022-D1 — Observed operation
Allenby/King Hussein passenger restriction following the September attack, to reported passenger restoration.
Start: 2025-09-18 to 2025-09-19.
Observed scoped reopening: 2025-09-22.
Contested: dated evidence; numeric duration withheld; see qualification
Held evidence: excluded from numeric duration and animation displays.</x:v>
      </x:c>
      <x:c r="G229"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229" s="4" t="str">
        <x:v>ME022-D1: The retained dates describe a disputed window, not a verified continuous duration. Aid traffic remained restricted; an opening on one side alone does not prove completed cross-border journeys.
continuity: Retain contested continuity. Returned buses establish that the promised September 21 passage failed for some travellers, but not whether others completed journeys earlier.</x:v>
      </x:c>
      <x:c r="I229" s="4" t="str">
        <x:v>Targeted source review (REC50-R09); completed with unresolved evidence; evidence limits retained.</x:v>
      </x:c>
      <x:c r="J229" s="18" t="d">
        <x:v>2026-10-25T00:00:00.000Z</x:v>
      </x:c>
      <x:c r="K229" s="21" t="str">
        <x:f>IFERROR(HYPERLINK("https://www.reuters.com/world/middle-east/israel-says-allenby-crossing-stay-closed-sunday-coordination-with-jordan-2025-09-21/","Reuters"),"Reuters")</x:f>
        <x:v>Reuters</x:v>
      </x:c>
      <x:c r="L229" s="21" t="str">
        <x:f>IFERROR(HYPERLINK("https://www.investing.com/news/world-news/israel-to-close-allenby-crossing-from-wednesday-until-further-notice-palestinian-border-authority-says-4251088","Investing.com"),"Investing.com")</x:f>
        <x:v>Investing.com</x:v>
      </x:c>
      <x:c r="M229" s="21" t="str">
        <x:f>IFERROR(HYPERLINK("https://www.investing.com/news/world-news/israel-to-reopen-jordan-border-crossing-for-passage-of-aid-and-goods-4398415","Investing.com"),"Investing.com")</x:f>
        <x:v>Investing.com</x:v>
      </x:c>
      <x:c r="N229" s="4" t="str">
        <x:v>https://www.reuters.com/world/middle-east/israel-says-allenby-crossing-stay-closed-sunday-coordination-with-jordan-2025-09-21/
https://www.investing.com/news/world-news/israel-to-close-allenby-crossing-from-wednesday-until-further-notice-palestinian-border-authority-says-4251088
https://www.investing.com/news/world-news/israel-to-reopen-jordan-border-crossing-for-passage-of-aid-and-goods-4398415
https://www.timesofisrael.com/liveblog_entry/israel-reopens-west-bank-crossing-to-car-traffic-four-days-after-deadly-attack/
https://www.klyoum.com/u/OC99BM
https://www.almamlakatv.com/news/179038-
https://north-africa-middle-east-gulf.ec.europa.eu/news/israelpalestine-statement-high-representative-behalf-european-union-closure-allenbyking-hussein-2025-09-29_en?prefLang=el
https://en.royanews.tv/news/63394/King-Hussein-Bridge-reopens-for-travelers-after-brief-closure
https://www.sadanews.ps/en/news/233353.html
https://logcluster.org/sites/default/files/public/2025-09/logistics-clusterpalestinemeeting-minutes_250918.pdf</x:v>
      </x:c>
      <x:c r="O229" s="4" t="str">
        <x:v>Source 1: full text
Source 2: full page
Source 3: full page</x:v>
      </x:c>
      <x:c r="P229" s="20" t="n">
        <x:v>1</x:v>
      </x:c>
      <x:c r="Q229" s="4" t="str">
        <x:v>Middle East</x:v>
      </x:c>
      <x:c r="R229" s="4" t="str">
        <x:v>Included</x:v>
      </x:c>
    </x:row>
    <x:row r="230" ht="198" hidden="0" customHeight="1">
      <x:c r="A230" s="16" t="str">
        <x:v>ME023</x:v>
      </x:c>
      <x:c r="B230" s="4" t="str">
        <x:v>Allenby crossing renewed September 2025 political closure order</x:v>
      </x:c>
      <x:c r="C230" s="4" t="str">
        <x:v>Israel; Palestine (occupied West Bank); Jordan</x:v>
      </x:c>
      <x:c r="D230" s="4" t="str">
        <x:v>Allenby / King Hussein bridge</x:v>
      </x:c>
      <x:c r="E230" s="4" t="str">
        <x:v>Passengers; commercial restrictions already ongoing
Direction: Not established
Exceptions: Not established</x:v>
      </x:c>
      <x:c r="F230" s="4" t="str">
        <x:v>ME023-R1 — Formal policy
Allenby/King Hussein passenger closure order, ending at limited passenger opening
Start: 2025-09-24.
Policy endpoint: 2025-09-26.
Formal policy: 2 calendar-day difference; operational continuity not established
ME023-C7P1 — Observed operation
Renewed Allenby / King Hussein passenger closure after brief September 26 bus opening
Start: unknown.
Last confirmed: 2025-09-26. Reopening is not established.
dated evidence; numeric duration withheld; see qualification</x:v>
      </x:c>
      <x:c r="G230" s="4" t="str">
        <x:v>Uncoded / Unresolved rationale
Not assigned
Applies to: Not assigned
No additional motive inferred</x:v>
      </x:c>
      <x:c r="H230" s="4" t="str">
        <x:v>September 26 short passenger operation is substantiated, followed by reclosure the same day. Broader traffic, freight and substantive motive remain unresolved.
ME023-R1: Endpoint is September26 passenger permission (announced08:00) corroborated by2.5hours of bus operation, not unrestricted access or equal observed traffic both directions. Reclosed that day; cargo remained separate.
ME023-C7P1: Observation after the limited opening only. Intended Sunday resumption is not observed reopening; no later continuity, exact restart minute or all cargo status inferred.
rationale: Retain uncoded rationale. Neither the preceding shooting nor diplomatic-recognition context is sufficient to assign this later order a motive.</x:v>
      </x:c>
      <x:c r="I230" s="4" t="str">
        <x:v>Retained baseline assessment. 23 October targeted review; retained with qualifications</x:v>
      </x:c>
      <x:c r="J230" s="18" t="d">
        <x:v>2026-10-23T00:00:00.000Z</x:v>
      </x:c>
      <x:c r="K230" s="21" t="str">
        <x:f>IFERROR(HYPERLINK("https://www.investing.com/news/world-news/israel-to-close-allenby-crossing-from-wednesday-until-further-notice-palestinian-border-authority-says-4251088","Reuters via Investing"),"Reuters via Investing")</x:f>
        <x:v>Reuters via Investing</x:v>
      </x:c>
      <x:c r="L230" s="21" t="str">
        <x:f>IFERROR(HYPERLINK("https://www.aljazeera.net/amp/news/2025/9/26/%D8%B9%D8%A7%D9%84%D9%82%D9%88%D9%86-%D8%A8%D9%85%D8%B9%D8%A8%D8%B1-%D8%A7%D9%84%D9%83%D8%B1%D8%A7%D9%85%D8%A9-%D8%A5%D8%B3%D8%B1%D8%A7%D8%A6%D9%8A%D9%84-%D8%AA%D8%B9%D9%8A%D9%82","Al Jazeera Arabic"),"Al Jazeera Arabic")</x:f>
        <x:v>Al Jazeera Arabic</x:v>
      </x:c>
      <x:c r="M230" s="21" t="str">
        <x:f>IFERROR(HYPERLINK("https://www.timesofisrael.com/israel-to-reopen-west-bank-jordan-crossing-after-holiday-closure-attack/amp/","Times of Israel"),"Times of Israel")</x:f>
        <x:v>Times of Israel</x:v>
      </x:c>
      <x:c r="N230" s="4" t="str">
        <x:v>https://www.investing.com/news/world-news/israel-to-close-allenby-crossing-from-wednesday-until-further-notice-palestinian-border-authority-says-4251088
https://www.aljazeera.net/amp/news/2025/9/26/%D8%B9%D8%A7%D9%84%D9%82%D9%88%D9%86-%D8%A8%D9%85%D8%B9%D8%A8%D8%B1-%D8%A7%D9%84%D9%83%D8%B1%D8%A7%D9%85%D8%A9-%D8%A5%D8%B3%D8%B1%D8%A7%D8%A6%D9%8A%D9%84-%D8%AA%D8%B9%D9%8A%D9%82
https://www.timesofisrael.com/israel-to-reopen-west-bank-jordan-crossing-after-holiday-closure-attack/amp/
https://efe.com/mundo/2025-09-25/cruce-allenby-con-cisjordania-reabrira-manana/
https://www.timesofisrael.com/liveblog_entry/israel-reopens-west-bank-crossing-to-car-traffic-four-days-after-deadly-attack/
https://north-africa-middle-east-gulf.ec.europa.eu/news/israelpalestine-statement-high-representative-behalf-european-union-closure-allenbyking-hussein-2025-09-29_en?prefLang=el
https://www.consilium.europa.eu/en/press/press-releases/2025/09/27/israelpalestine-statement-by-the-high-representative-on-behalf-of-the-european-union-on-the-closure-of-the-allenbyking-hussein-bridge-crossing/pdf/</x:v>
      </x:c>
      <x:c r="O230" s="4" t="str">
        <x:v>Source 1: full
Source 2: full
Source 3: indexed excerpt</x:v>
      </x:c>
      <x:c r="P230" s="20" t="n">
        <x:v>2</x:v>
      </x:c>
      <x:c r="Q230" s="4" t="str">
        <x:v>Middle East</x:v>
      </x:c>
      <x:c r="R230" s="4" t="str">
        <x:v>Included</x:v>
      </x:c>
    </x:row>
    <x:row r="231" ht="78" hidden="0" customHeight="1">
      <x:c r="A231" s="16" t="str">
        <x:v>ME033</x:v>
      </x:c>
      <x:c r="B231" s="4" t="str">
        <x:v>Gaza February 2026 regional-war crossing closure</x:v>
      </x:c>
      <x:c r="C231" s="4" t="str">
        <x:v>Israel; Palestine (Gaza)</x:v>
      </x:c>
      <x:c r="D231" s="4" t="str">
        <x:v>Israeli-controlled Gaza crossings; endpoint at Kerem Shalom</x:v>
      </x:c>
      <x:c r="E231" s="4" t="str">
        <x:v>Cargo medical evacuations and humanitarian movements
Direction: Not established
Exceptions: Not established</x:v>
      </x:c>
      <x:c r="F231" s="4" t="str">
        <x:v>ME033-D1 — Observed operation
Affected Kerem Shalom fuel/aid movement, not all movement into Gaza.
Start: 2026-02-28.
Observed scoped reopening: 2026-03-03.
3 calendar-day difference; scoped endpoint only</x:v>
      </x:c>
      <x:c r="G231"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31" s="4" t="str">
        <x:v>ME033-D1: Rafah component excluded to avoid duplicate Africa coding. Other crossings remained closed; March 3 is limited Kerem Shalom endpoint. Saturday onset converted transparently from report-relative date. Not established</x:v>
      </x:c>
      <x:c r="I231" s="4" t="str">
        <x:v>Retained baseline assessment. Retained with recorded qualifications</x:v>
      </x:c>
      <x:c r="J231" s="18" t="d">
        <x:v>2026-10-23T00:00:00.000Z</x:v>
      </x:c>
      <x:c r="K231" s="21" t="str">
        <x:f>IFERROR(HYPERLINK("https://www.un.org/unispal/document/karem-shalom-crossing-re-opens-for-aid-fuel-amid-stepped-up-regional-tensions/","UN OCHA / UNISPAL"),"UN OCHA / UNISPAL")</x:f>
        <x:v>UN OCHA / UNISPAL</x:v>
      </x:c>
      <x:c r="L231" s="21" t="str">
        <x:f>IFERROR(HYPERLINK("https://www.un.org/unispal/document/who-occupied-palestinian-territory-flash-update-4-march-2026/","WHO / UNISPAL"),"WHO / UNISPAL")</x:f>
        <x:v>WHO / UNISPAL</x:v>
      </x:c>
      <x:c r="M231" s="21" t="str">
        <x:f>IFERROR(HYPERLINK("https://www.ochaopt.org/content/humanitarian-situation-report-6-march-2026","OCHA"),"OCHA")</x:f>
        <x:v>OCHA</x:v>
      </x:c>
      <x:c r="N231" s="4" t="str">
        <x:v>https://www.un.org/unispal/document/karem-shalom-crossing-re-opens-for-aid-fuel-amid-stepped-up-regional-tensions/
https://www.un.org/unispal/document/who-occupied-palestinian-territory-flash-update-4-march-2026/
https://www.ochaopt.org/content/humanitarian-situation-report-6-march-2026
https://www.hrw.org/news/2026/05/19/gaza-israel-curbs-aid-kills-civilians-during-ceasefire</x:v>
      </x:c>
      <x:c r="O231" s="4" t="str">
        <x:v>Source 1: search extract
Source 2: search extract
Source 3: body</x:v>
      </x:c>
      <x:c r="P231" s="20" t="n">
        <x:v>1</x:v>
      </x:c>
      <x:c r="Q231" s="4" t="str">
        <x:v>Middle East</x:v>
      </x:c>
      <x:c r="R231" s="4" t="str">
        <x:v>Included</x:v>
      </x:c>
    </x:row>
    <x:row r="232" ht="222" hidden="0" customHeight="1">
      <x:c r="A232" s="16" t="str">
        <x:v>ME034</x:v>
      </x:c>
      <x:c r="B232" s="4" t="str">
        <x:v>Iraq Iran September 2026 security review closures</x:v>
      </x:c>
      <x:c r="C232" s="4" t="str">
        <x:v>Iraq; Iran</x:v>
      </x:c>
      <x:c r="D232" s="4" t="str">
        <x:v>Sheeb / Chazabeh; Shalamcheh; Mandali</x:v>
      </x:c>
      <x:c r="E232" s="4" t="str">
        <x:v>Passengers and freight
Direction: Not established
Exceptions: Zurbatiyah and Munthiriya remained operational</x:v>
      </x:c>
      <x:c r="F232" s="4" t="str">
        <x:v>ME034-R1 — Observed operation
Ordinary passenger entry into Iraq at Sheeb/Chazabeh and Shalamcheh, excluding exceptional repatriation windows
Start: 2026-09-12.
Observed scoped reopening: 2026-09-13.
1 calendar-day difference; scoped endpoint only
ME034-R2 — Observed operation
Mandali/Sumar commercial truck movement
Start: 2026-09-12.
Observed scoped reopening: 2026-09-15.
3 calendar-day difference; scoped endpoint only
ME034-R3 — Observed operation
Sheeb/Chazabeh cargo entering Iraq
Start: 2026-09-12.
Last confirmed: 2026-09-16. Reopening is not established.
confirmed through 2026-09-16; at least 4 calendar-day difference; reopening unknown</x:v>
      </x:c>
      <x:c r="G232" s="4" t="str">
        <x:v>Security / Unspecified security
Attributed official justification
Applies to: Recorded episode; exact overlap not separately established
The recorded rationale and claim assessment support the selected subcategories. All applicable broad categories are retained together; no primary rationale is imposed.</x:v>
      </x:c>
      <x:c r="H232" s="4" t="str">
        <x:v>ME034-R1: Official completed-action account of September 13 06:00 reopening, no independent throughput measurement. September 12 report describes planned three-hour Iraqi return permission; such exceptional repatriation is excluded. Other directions and cargo excluded.
ME034-R2: Reported commercial reopening, not passenger or all-border restoration.
ME034-R3: Observation endpoint only; announced September 17 reopening is not verified here.</x:v>
      </x:c>
      <x:c r="I232" s="4" t="str">
        <x:v>Targeted source review (REC50-R34); retained with recorded qualifications; evidence limits retained.</x:v>
      </x:c>
      <x:c r="J232" s="18" t="d">
        <x:v>2026-10-25T00:00:00.000Z</x:v>
      </x:c>
      <x:c r="K232" s="21" t="str">
        <x:f>IFERROR(HYPERLINK("https://shafaq.com/en/society/Iraq-begins-phased-reopening-of-Iran-border-crossings","Shafaq News"),"Shafaq News")</x:f>
        <x:v>Shafaq News</x:v>
      </x:c>
      <x:c r="L232" s="21" t="str">
        <x:f>IFERROR(HYPERLINK("https://www.shafaq.com/en/society/Iran-Iraq-crossings-reopen-Al-Sheeb-remains-closed","Shafaq News"),"Shafaq News")</x:f>
        <x:v>Shafaq News</x:v>
      </x:c>
      <x:c r="M232" s="21" t="str">
        <x:f>IFERROR(HYPERLINK("https://www.shafaq.com/en/society/Al-Sheeb-crossing-with-Iran-to-shut-over-technical-issues","Shafaq"),"Shafaq")</x:f>
        <x:v>Shafaq</x:v>
      </x:c>
      <x:c r="N232" s="4" t="str">
        <x:v>https://shafaq.com/en/society/Iraq-begins-phased-reopening-of-Iran-border-crossings
https://www.shafaq.com/en/society/Iran-Iraq-crossings-reopen-Al-Sheeb-remains-closed
https://www.shafaq.com/en/society/Al-Sheeb-crossing-with-Iran-to-shut-over-technical-issues
https://www.video-agencyia.iq/EN/Detail/4249
https://video-agencyia.iq/EN/Detail/4313
https://www.shafaq.com/en/society/Iraq-begins-phased-reopening-of-Iran-border-crossings</x:v>
      </x:c>
      <x:c r="O232" s="4" t="str">
        <x:v>Source 1: full; full text
Source 2: full; full text
Source 3: full</x:v>
      </x:c>
      <x:c r="P232" s="20" t="n">
        <x:v>3</x:v>
      </x:c>
      <x:c r="Q232" s="4" t="str">
        <x:v>Middle East</x:v>
      </x:c>
      <x:c r="R232" s="4" t="str">
        <x:v>Included</x:v>
      </x:c>
    </x:row>
    <x:row r="233" ht="138" hidden="0" customHeight="1">
      <x:c r="A233" s="16" t="str">
        <x:v>ME035</x:v>
      </x:c>
      <x:c r="B233" s="4" t="str">
        <x:v>Iraq Iran Sheeb October 2026 closure</x:v>
      </x:c>
      <x:c r="C233" s="4" t="str">
        <x:v>Iraq; Iran</x:v>
      </x:c>
      <x:c r="D233" s="4" t="str">
        <x:v>Sheeb / Chazabeh</x:v>
      </x:c>
      <x:c r="E233" s="4" t="str">
        <x:v>Passengers vehicles and commercial trucks
Direction: Not established
Exceptions: Not established</x:v>
      </x:c>
      <x:c r="F233" s="4" t="str">
        <x:v>ME035-FU1 — Formal policy
Al-Sheib / Chazabeh border crossing
Start: 2026-10-21.
Last confirmed: 2026-10-21. Reopening is not established.
Formal policy: dated evidence; numeric duration withheld; see qualification</x:v>
      </x:c>
      <x:c r="G233" s="4" t="str">
        <x:v>Security / Smuggling and illicit trafficking
Reported reason
Applies to: Recorded episode; exact overlap not separately established
The recorded rationale and claim assessment support the selected subcategories. All applicable broad categories are retained together; no primary rationale is imposed.</x:v>
      </x:c>
      <x:c r="H233" s="4" t="str">
        <x:v>ME035-FU1: Formal suspension only, confirmed on October 21 without extension to the research date. Technical/logistical readiness and anonymous security-review explanations coexist. A transport-industry representative’s general passenger-open statement is not reconciled with the specific crossing closure. Perishable-goods permissions and other open crossings do not prove this gate reopened.
eligibility/rationale: Propose a same-date confirmed formal-suspension phase. Retain the technical-versus-security attribution issue and unknown reopening/operational exceptions; do not infer continuity into October 22.
duration: Propose a same-date confirmed formal-suspension phase. Retain the technical-versus-security attribution issue and unknown reopening/operational exceptions; do not infer continuity into October 22.</x:v>
      </x:c>
      <x:c r="I233" s="4" t="str">
        <x:v>Retained baseline assessment. Follow-up adjudicated; amend</x:v>
      </x:c>
      <x:c r="J233" s="18" t="d">
        <x:v>2026-10-23T00:00:00.000Z</x:v>
      </x:c>
      <x:c r="K233" s="21" t="str">
        <x:f>IFERROR(HYPERLINK("https://en.964media.com/54067/","964media"),"964media")</x:f>
        <x:v>964media</x:v>
      </x:c>
      <x:c r="L233" s="21" t="str">
        <x:f>IFERROR(HYPERLINK("https://www.swissinfo.ch/ara/مصادر:-العراق-يغلق-منفذ-الشيب-الحدودي-مع-إيران/92248901","swissinfo.ch"),"swissinfo.ch")</x:f>
        <x:v>swissinfo.ch</x:v>
      </x:c>
      <x:c r="M233" s="21" t="str">
        <x:f>IFERROR(HYPERLINK("https://www.reuters.com/world/middle-east/iraq-closes-sheeb-border-crossing-with-iran-urgent-security-reasons-sources-say-2026-10-21/","Reuters"),"Reuters")</x:f>
        <x:v>Reuters</x:v>
      </x:c>
      <x:c r="N233" s="4" t="str">
        <x:v>https://en.964media.com/54067/
https://www.swissinfo.ch/ara/مصادر:-العراق-يغلق-منفذ-الشيب-الحدودي-مع-إيران/92248901
https://www.reuters.com/world/middle-east/iraq-closes-sheeb-border-crossing-with-iran-urgent-security-reasons-sources-say-2026-10-21/
https://www.iraqinews.com/iraq/iraq-shuts-sheeb-border-crossing-with-iran-for-security-reasons/
https://www.internazionale.it/ultime-notizie-reuters/2026/10/21/iraq-closes-sheeb-border-crossing-with-iran-to-review-security-sources-say
https://www.thenationalnews.com/news/mena/2026/10/21/iraq-closes-major-border-crossing-with-iran-over-security-arrangements-says-official/
https://www.streetinsider.com/Reuters/Iraq%2Bcloses%2BSheeb%2Bborder%2Bcrossing%2Bwith%2BIran%2Bto%2Breview%2Bsecurity,%2Bsources%2Bsay/27212675.html</x:v>
      </x:c>
      <x:c r="O233" s="4" t="str">
        <x:v>Source 1: indexed excerpt
Source 2: access detail is retained in the source catalogue.
Source 3: indexed excerpt</x:v>
      </x:c>
      <x:c r="P233" s="20" t="n">
        <x:v>1</x:v>
      </x:c>
      <x:c r="Q233" s="4" t="str">
        <x:v>Middle East</x:v>
      </x:c>
      <x:c r="R233" s="4" t="str">
        <x:v>Included</x:v>
      </x:c>
    </x:row>
    <x:row r="234" ht="174" hidden="0" customHeight="1">
      <x:c r="A234" s="16" t="str">
        <x:v>ME006</x:v>
      </x:c>
      <x:c r="B234" s="4" t="str">
        <x:v>Iraq Syria Qaim earlier conflict closure</x:v>
      </x:c>
      <x:c r="C234" s="4" t="str">
        <x:v>Iraq; Syria</x:v>
      </x:c>
      <x:c r="D234" s="4" t="str">
        <x:v>Al Qaim / Al Bukamal</x:v>
      </x:c>
      <x:c r="E234" s="4" t="str">
        <x:v>Not established
Direction: Not established
Exceptions: Government and military traffic reported as permitted during the earlier restriction; ordinary civilian and trade continuity not reconstructed.</x:v>
      </x:c>
      <x:c r="F234" s="4" t="str">
        <x:v>ME006-C7P1 — Formal policy
Endpoint-only official permission for civilian travellers and trade at Qaim–Albukamal
Start: unknown.
Policy endpoint: 2019-09-30.
Formal policy: dated evidence; numeric duration withheld; see qualification</x:v>
      </x:c>
      <x:c r="G234"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34" s="4" t="str">
        <x:v>ME006-C7P1: No exact onset or operational duration. Government/military traffic was previously excepted. Ceremony and permission are not a census of completed crossings; no 2011–2019 continuous closed span inferred.
start/continuity: Retain unknown effective onset and formal-permission endpoint. Do not back-calculate years or turn a ceremony into observed normal passenger/freight operation.
Current onset finding: Historical year-level restriction does not establish precise onset or continuity. A September 30, 2019 formal reopening marker is added without start date or computed duration.
duration: Retain unknown effective onset and formal-permission endpoint. Do not back-calculate years or turn a ceremony into observed normal passenger/freight operation.
Current onset finding: Historical year-level restriction does not establish precise onset or continuity. A September 30, 2019 formal reopening marker is added without start date or computed duration.</x:v>
      </x:c>
      <x:c r="I234" s="4" t="str">
        <x:v>Retained baseline assessment. Correction pass: amended with stated qualifications</x:v>
      </x:c>
      <x:c r="J234" s="18" t="d">
        <x:v>2026-10-23T00:00:00.000Z</x:v>
      </x:c>
      <x:c r="K234" s="21" t="str">
        <x:f>IFERROR(HYPERLINK("https://www.euronews.com/2019/09/30/iraq-reopens-syria-crossing-in-win-for-mutual-ally-iran","Euronews"),"Euronews")</x:f>
        <x:v>Euronews</x:v>
      </x:c>
      <x:c r="L234" s="21" t="str">
        <x:f>IFERROR(HYPERLINK("https://www.thenationalnews.com/world/mena/iraq-officially-reopens-border-with-syria-closed-since-2012-1.917065","The National"),"The National")</x:f>
        <x:v>The National</x:v>
      </x:c>
      <x:c r="M234" s="21" t="str">
        <x:f>IFERROR(HYPERLINK("https://carnegieendowment.org/research/2020/03/the-transformation-of-the-iraqi-syrian-border-from-a-national-to-a-regional-frontier?lang=en","Carnegie Endowment"),"Carnegie Endowment")</x:f>
        <x:v>Carnegie Endowment</x:v>
      </x:c>
      <x:c r="N234" s="4" t="str">
        <x:v>https://www.euronews.com/2019/09/30/iraq-reopens-syria-crossing-in-win-for-mutual-ally-iran
https://www.thenationalnews.com/world/mena/iraq-officially-reopens-border-with-syria-closed-since-2012-1.917065
https://carnegieendowment.org/research/2020/03/the-transformation-of-the-iraqi-syrian-border-from-a-national-to-a-regional-frontier?lang=en
https://www.xinhuanet.com/english/2019-10/01/c_138437614.htm
https://www.hrw.org/news/2013/07/01/iraq/jordan/turkey-syrians-blocked-fleeing-war
https://digitallibrary.un.org/record/738144/files/S_2012_848-EN.pdf
https://documents.un.org/api/symbol/access?l=en&amp;s=S%2F2012%2F848&amp;t=pdf
https://www.reutersconnect.com/item/iraq-reopens-border-crossing-with-syria/dGFnOnJldXRlcnMuY29tLDIwMTk6bmV3c21sX1ZBQVlVTzRTTg
https://www.xinhuanet.com/english/2019-09/30/c_138437518.htm
https://www.aa.com.tr/en/middle-east/iraq-says-border-crossing-with-syria-closed-after-assad-s-fall/3418302</x:v>
      </x:c>
      <x:c r="O234" s="4" t="str">
        <x:v>Source 1: search extract
Source 2: full
Source 3: indexed excerpt</x:v>
      </x:c>
      <x:c r="P234" s="20" t="n">
        <x:v>1</x:v>
      </x:c>
      <x:c r="Q234" s="4" t="str">
        <x:v>Middle East</x:v>
      </x:c>
      <x:c r="R234" s="4" t="str">
        <x:v>Included</x:v>
      </x:c>
    </x:row>
    <x:row r="235" ht="162" hidden="0" customHeight="1">
      <x:c r="A235" s="16" t="str">
        <x:v>NA001</x:v>
      </x:c>
      <x:c r="B235" s="4" t="str">
        <x:v>Algeria Morocco continuing land border closure</x:v>
      </x:c>
      <x:c r="C235" s="4" t="str">
        <x:v>Algeria; Morocco</x:v>
      </x:c>
      <x:c r="D235" s="4" t="str">
        <x:v>Includes Zouj Beghal / Colonel Lotfi
Bilateral land frontier</x:v>
      </x:c>
      <x:c r="E235" s="4" t="str">
        <x:v>Ordinary land travel; detailed goods regime unverified
Direction: Not fully established
Exceptions: Exceptional prisoner handover documented 1 August 2024</x:v>
      </x:c>
      <x:c r="F235" s="4" t="str">
        <x:v>NA001-D1 — Observed operation
Ordinary Algeria–Morocco land passage; dated closure description through 29 January 2026, with exceptional handovers excluded.
Start: 1994-08-01 to 1994-08-31.
Last confirmed: 2026-01-29. Reopening is not established.
confirmed through 2026-01-29; at least 11474 calendar-day difference; reopening unknown</x:v>
      </x:c>
      <x:c r="G235" s="4" t="str">
        <x:v>Security / Armed attacks and terrorism
Reported reason
Applies to: Original attack context
The recorded rationale and claim assessment support the selected subcategories. All applicable broad categories are retained together; no primary rationale is imposed.
Interstate disputes and pressure / Diplomatic disputes and retaliation
Reported reason
Applies to: Initial visa retaliation and later diplomatic disputes
The recorded rationale and claim assessment support the selected subcategories. All applicable broad categories are retained together; no primary rationale is imposed.</x:v>
      </x:c>
      <x:c r="H235" s="4" t="str">
        <x:v>NA001-D1: August 1994 onset bounds remain. The January 29 limit is an attributed Anadolu caption statement, not visual proof of every crossing, a new official order or Reuters verification. Its contextual geopolitical explanation is not adopted as an official rationale. Exceptional transfers and unverified commodity details remain qualified. The September health-update timestamp does not extend this bound; no later status is inferred.
Dated ordinary-border status after 29 January 2026: The Canadian September 9 timestamp concerns a health-notice update. The replacement January 29 description is an attributed Anadolu caption; it does not establish later ordinary border status.</x:v>
      </x:c>
      <x:c r="I235" s="4" t="str">
        <x:v>Targeted source review (REC50-R14); accepted corrections; evidence limits retained.</x:v>
      </x:c>
      <x:c r="J235" s="18" t="d">
        <x:v>2026-10-25T00:00:00.000Z</x:v>
      </x:c>
      <x:c r="K235" s="21" t="str">
        <x:f>IFERROR(HYPERLINK("https://www.moroccoworldnews.com/2024/08/16366/morocco-receives-16-detained-citizens-from-algeria/","Morocco World News"),"Morocco World News")</x:f>
        <x:v>Morocco World News</x:v>
      </x:c>
      <x:c r="L235" s="21" t="str">
        <x:f>IFERROR(HYPERLINK("https://www.yahoo.com/news/morocco-wants-normal-ties-algeria-212213838.html","Yahoo News"),"Yahoo News")</x:f>
        <x:v>Yahoo News</x:v>
      </x:c>
      <x:c r="M235" s="21" t="str">
        <x:f>IFERROR(HYPERLINK("https://www.independent.co.uk/news/world/maghreb-row-over-visas-1386464.html","independent.co.uk"),"independent.co.uk")</x:f>
        <x:v>independent.co.uk</x:v>
      </x:c>
      <x:c r="N235" s="4" t="str">
        <x:v>https://www.moroccoworldnews.com/2024/08/16366/morocco-receives-16-detained-citizens-from-algeria/
https://www.yahoo.com/news/morocco-wants-normal-ties-algeria-212213838.html
https://www.independent.co.uk/news/world/maghreb-row-over-visas-1386464.html
https://www.deseret.com/1994/8/28/19127576/algeria-closes-its-border-with-morocco/
https://travel.gc.ca/destinations/algeria.html?wbdisable=true
https://www.lemonde.fr/archives/article/1994/08/31/fermeture-de-la-frontiere-algero-marocaine-des-crises-repetees-entre-les-deux-pays_3821869_1819218.html
https://www.reutersconnect.com/item/border-between-morocco-and-algeria-closed-since-1994/dGFnOnJldXRlcnMuY29tLDIwMjY6bmV3c21sX01UMUFOQURMMDAwMkRCWk1R</x:v>
      </x:c>
      <x:c r="O235" s="4" t="str">
        <x:v>Source 1: full; full text
Source 2: search extract
Source 3: full</x:v>
      </x:c>
      <x:c r="P235" s="20" t="n">
        <x:v>1</x:v>
      </x:c>
      <x:c r="Q235" s="4" t="str">
        <x:v>North Africa</x:v>
      </x:c>
      <x:c r="R235" s="4" t="str">
        <x:v>Included</x:v>
      </x:c>
    </x:row>
    <x:row r="236" ht="78" hidden="0" customHeight="1">
      <x:c r="A236" s="16" t="str">
        <x:v>NA019</x:v>
      </x:c>
      <x:c r="B236" s="4" t="str">
        <x:v>Rafah prolonged restricted opening regime 2014 to 2018</x:v>
      </x:c>
      <x:c r="C236" s="4" t="str">
        <x:v>Egypt; Palestine</x:v>
      </x:c>
      <x:c r="D236" s="4" t="str">
        <x:v>Rafah
External African boundary; restrictive passenger regime</x:v>
      </x:c>
      <x:c r="E236" s="4" t="str">
        <x:v>Passenger movement
Direction: Both directions
Exceptions: Exceptional opening days; registered patients, students and foreign visa holders among eligible groups</x:v>
      </x:c>
      <x:c r="F236" s="4" t="str">
        <x:v>NA019-R1 — Intermittent regime
Egyptian-controlled Rafah passenger access with exceptional opening days
Start: 2014-10-01 to 2014-10-31.
Scoped endpoint: 2018-05-01 to 2018-05-31.
Intermittent regime envelope; total closed days unknown</x:v>
      </x:c>
      <x:c r="G236"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236" s="4" t="str">
        <x:v>NA019-R1: Bounds retain month precision rather than inventing a day for mid-May. Article elsewhere refers broadly to a September 2014 closure; October dates the severe-restriction regime. Regular access still had holidays and eligibility restrictions.</x:v>
      </x:c>
      <x:c r="I236" s="4" t="str">
        <x:v>Targeted source review (REC50-R19); retained with recorded qualifications; evidence limits retained.</x:v>
      </x:c>
      <x:c r="J236" s="18" t="d">
        <x:v>2026-10-25T00:00:00.000Z</x:v>
      </x:c>
      <x:c r="K236" s="21" t="str">
        <x:f>IFERROR(HYPERLINK("https://www.ochaopt.org/content/recent-trends-palestinian-access-gaza-erez-and-rafah-crossings","UN OCHA occupied Palestinian territory"),"UN OCHA occupied Palestinian territory")</x:f>
        <x:v>UN OCHA occupied Palestinian territory</x:v>
      </x:c>
      <x:c r="L236" s="21" t="str">
        <x:f>IFERROR(HYPERLINK("https://www.ochaopt.org/content/palestinian-access-gaza-strip-declined-sharply-2017","UN OCHA occupied Palestinian territory"),"UN OCHA occupied Palestinian territory")</x:f>
        <x:v>UN OCHA occupied Palestinian territory</x:v>
      </x:c>
      <x:c r="M236" s="21" t="str">
        <x:f>IFERROR(HYPERLINK("https://www.ochaopt.org/content/2015-overview-movement-and-access-restrictions","OCHA"),"OCHA")</x:f>
        <x:v>OCHA</x:v>
      </x:c>
      <x:c r="N236" s="4" t="str">
        <x:v>https://www.ochaopt.org/content/recent-trends-palestinian-access-gaza-erez-and-rafah-crossings
https://www.ochaopt.org/content/palestinian-access-gaza-strip-declined-sharply-2017
https://www.ochaopt.org/content/2015-overview-movement-and-access-restrictions</x:v>
      </x:c>
      <x:c r="O236" s="4" t="str">
        <x:v>Source 1: full; full text
Source 2: indexed excerpt; full text
Source 3: indexed excerpt</x:v>
      </x:c>
      <x:c r="P236" s="20" t="n">
        <x:v>1</x:v>
      </x:c>
      <x:c r="Q236" s="4" t="str">
        <x:v>North Africa</x:v>
      </x:c>
      <x:c r="R236" s="4" t="str">
        <x:v>Included</x:v>
      </x:c>
    </x:row>
    <x:row r="237" ht="246" hidden="0" customHeight="1">
      <x:c r="A237" s="16" t="str">
        <x:v>NA009</x:v>
      </x:c>
      <x:c r="B237" s="4" t="str">
        <x:v>Ras Jedir July September 2018 smuggling dispute closure</x:v>
      </x:c>
      <x:c r="C237" s="4" t="str">
        <x:v>Libya; Tunisia</x:v>
      </x:c>
      <x:c r="D237" s="4" t="str">
        <x:v>Ras Jedir and approach roads
Named land crossing</x:v>
      </x:c>
      <x:c r="E237" s="4" t="str">
        <x:v>Travellers and goods
Direction: Not fully established
Exceptions: Not established</x:v>
      </x:c>
      <x:c r="F237" s="4" t="str">
        <x:v>NA009-D1 — Observed operation
Ras Jedir checkpoint reclosure after the brief July 15 opening, to the September 1 checkpoint reopening.
Start: 2018-07-15.
Observed scoped reopening: 2018-09-01.
48 calendar-day difference; scoped endpoint only</x:v>
      </x:c>
      <x:c r="G237" s="4" t="str">
        <x:v>Trade and protectionism / Import, export and production controls
Reported reason
Applies to: Recorded episode; exact overlap not separately established
The recorded rationale and claim assessment support the selected subcategories. All applicable broad categories are retained together; no primary rationale is imposed.
Security / Smuggling and illicit trafficking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237" s="4" t="str">
        <x:v>Initial checkpoint closure began July 10 evening; brief July 15 opening interrupts it. Current quantified spell begins July 15 reclosure; September 1 gate opening did not restore complete route access.
NA009-D1: This selected reclosure spell excludes the earlier closure/opening on July 15. Approach-road protesters still impeded travel after the checkpoint reopened, so the endpoint is gate operation, not full route accessibility or unrestricted passage.</x:v>
      </x:c>
      <x:c r="I237" s="4" t="str">
        <x:v>Targeted source review (REC50-R34); retained with recorded qualifications; evidence limits retained.</x:v>
      </x:c>
      <x:c r="J237" s="18" t="d">
        <x:v>2026-10-25T00:00:00.000Z</x:v>
      </x:c>
      <x:c r="K237" s="21" t="str">
        <x:f>IFERROR(HYPERLINK("https://saudigazette.com.sa/article/542514/World/Mena/Libya-re-opens-main-border-post-with-Tunisia","Saudi Gazette / AFP"),"Saudi Gazette / AFP")</x:f>
        <x:v>Saudi Gazette / AFP</x:v>
      </x:c>
      <x:c r="L237" s="21" t="str">
        <x:f>IFERROR(HYPERLINK("https://libyaobserver.ly/inbrief/libya-closes-ras-ajdir-border-again-amid-tense-situation-region","The Libya Observer"),"The Libya Observer")</x:f>
        <x:v>The Libya Observer</x:v>
      </x:c>
      <x:c r="M237" s="21" t="str">
        <x:f>IFERROR(HYPERLINK("https://libyaobserver.ly/news/libya-closes-ras-ajdir-border-tunisia","libyaobserver.ly"),"libyaobserver.ly")</x:f>
        <x:v>libyaobserver.ly</x:v>
      </x:c>
      <x:c r="N237" s="4" t="str">
        <x:v>https://saudigazette.com.sa/article/542514/World/Mena/Libya-re-opens-main-border-post-with-Tunisia
https://libyaobserver.ly/inbrief/libya-closes-ras-ajdir-border-again-amid-tense-situation-region
https://libyaobserver.ly/news/libya-closes-ras-ajdir-border-tunisia
https://www.newarab.com/analysis/tunisia-libya-border-reopening-sparks-hope-locals
https://www.arabnews.pk/node/1365721/middle-east</x:v>
      </x:c>
      <x:c r="O237" s="4" t="str">
        <x:v>Source 1: full text
Source 2: full text
Source 3: access detail is retained in the source catalogue.</x:v>
      </x:c>
      <x:c r="P237" s="20" t="n">
        <x:v>1</x:v>
      </x:c>
      <x:c r="Q237" s="4" t="str">
        <x:v>North Africa</x:v>
      </x:c>
      <x:c r="R237" s="4" t="str">
        <x:v>Included</x:v>
      </x:c>
    </x:row>
    <x:row r="238" ht="234" hidden="0" customHeight="1">
      <x:c r="A238" s="16" t="str">
        <x:v>NA003</x:v>
      </x:c>
      <x:c r="B238" s="4" t="str">
        <x:v>Melilla commercial customs closure</x:v>
      </x:c>
      <x:c r="C238" s="4" t="str">
        <x:v>Morocco; Spain</x:v>
      </x:c>
      <x:c r="D238" s="4" t="str">
        <x:v>Beni Enzar Melilla
External African boundary; commercial customs</x:v>
      </x:c>
      <x:c r="E238" s="4" t="str">
        <x:v>Commercial consignments; not a claim of general passenger closure
Direction: Documented reopening shipment Melilla to Morocco
Exceptions: Not established</x:v>
      </x:c>
      <x:c r="F238" s="4" t="str">
        <x:v>NA003-R1 — Observed operation
Commercial customs consignments at Melilla/Beni Enzar until first documented trial export
Start: 2018-08-01.
Observed scoped reopening: 2023-01-27.
1640 calendar-day difference; scoped endpoint only</x:v>
      </x:c>
      <x:c r="G238" s="4" t="str">
        <x:v>Trade and protectionism / Customs and transport rules
Officially stated reason
Applies to: 2018 commercial customs closure; no claim that every later restriction had the same purpose
The spokesperson links the land-customs restriction to developing Nador port trade; contemporary reporting describes redirection to direct port unloading. No diplomatic or sovereignty-dispute purpose is inferred from the statement’s sovereignty wording.</x:v>
      </x:c>
      <x:c r="H238" s="4" t="str">
        <x:v>Named Moroccan spokesperson provides a stated commercial-port-development rationale; it does not establish every motive. Closely matching August 30 press reports share a reporting lineage and describe closure since July 31, whereas the retained onset is August 1 from other evidence. January 27, 2023 trial passage does not prove unrestricted restoration.
NA003-R1: Ends with first documented experimental export about13:30 January27,2023, not full-day closure or unrestricted/bilateral trade. Passenger traffic excluded; government-based reports share origin.
onset precision: August 30 press-conference reports describe closure since July 31, while the retained phase starts August 1. This may distinguish notice/overnight effect but is not reconciled.</x:v>
      </x:c>
      <x:c r="I238" s="4" t="str">
        <x:v>Retained baseline assessment. Follow-up adjudicated; amend</x:v>
      </x:c>
      <x:c r="J238" s="18" t="d">
        <x:v>2026-10-23T00:00:00.000Z</x:v>
      </x:c>
      <x:c r="K238" s="21" t="str">
        <x:f>IFERROR(HYPERLINK("https://www.europapress.es/ceuta-y-melilla/noticia-melilla-reabre-fase-prueba-aduana-comercial-marruecos-cuatro-anos-medio-cerrada-20230127184110.html","Europa Press"),"Europa Press")</x:f>
        <x:v>Europa Press</x:v>
      </x:c>
      <x:c r="L238" s="21" t="str">
        <x:f>IFERROR(HYPERLINK("https://mptmd.gob.es/portal/delegaciones_gobierno/delegaciones/melilla/actualidad/2023/01/2023-01-27","Spanish government delegation"),"Spanish government delegation")</x:f>
        <x:v>Spanish government delegation</x:v>
      </x:c>
      <x:c r="M238" s="21" t="str">
        <x:f>IFERROR(HYPERLINK("https://exteriores.gob.es/es/Comunicacion/NotasPrensa/Paginas/2023_NOTAS_P/20230224_NOTA013.aspx","Spanish Foreign Ministry"),"Spanish Foreign Ministry")</x:f>
        <x:v>Spanish Foreign Ministry</x:v>
      </x:c>
      <x:c r="N238" s="4" t="str">
        <x:v>https://www.europapress.es/ceuta-y-melilla/noticia-melilla-reabre-fase-prueba-aduana-comercial-marruecos-cuatro-anos-medio-cerrada-20230127184110.html
https://mptmd.gob.es/portal/delegaciones_gobierno/delegaciones/melilla/actualidad/2023/01/2023-01-27
https://exteriores.gob.es/es/Comunicacion/NotasPrensa/Paginas/2023_NOTAS_P/20230224_NOTA013.aspx
https://elpais.com/espana/2025-01-15/la-aduana-comercial-de-melilla-con-marruecos-se-reabre-una-semana-despues-del-intento-frustrado.html
https://www.ansa.it/ansamed/it/notizie/rubriche/politica/2025/01/16/spagna-riaperta-la-dogana-fra-melilla-e-marocco-chiusa-dal-2018_33686a73-0ed0-4c67-a124-f38cdb0107f6.html
https://mptmd.gob.es/en/portal/delegaciones_gobierno/delegaciones/melilla/actualidad/2025/01/2025-01-16_3
https://www.exteriores.gob.es/en/Comunicacion/NotasPrensa/Paginas/2023_NOTAS_P/20230224_NOTA013.aspx
https://www.europapress.es/ceuta-y-melilla/noticia-moh-tres-meses-despues-reapertura-aduana-melilla-marruecos-estamos-proceso-normalizacion-20250425150629.html
https://elfarodemelilla.es/marruecos-cierre-aduana-melilla-decision-soberana/
https://www.finanzas.com/mercados/marruecos-dice-que-cierre-de-su-aduana-con-melilla-es-una-decision-soberana_13900655_102.html</x:v>
      </x:c>
      <x:c r="O238" s="4" t="str">
        <x:v>Source 1: full; indexed excerpt
Source 2: full; indexed excerpt
Source 3: indexed excerpt</x:v>
      </x:c>
      <x:c r="P238" s="20" t="n">
        <x:v>1</x:v>
      </x:c>
      <x:c r="Q238" s="4" t="str">
        <x:v>North Africa</x:v>
      </x:c>
      <x:c r="R238" s="4" t="str">
        <x:v>Included</x:v>
      </x:c>
    </x:row>
    <x:row r="239" ht="66" hidden="0" customHeight="1">
      <x:c r="A239" s="16" t="str">
        <x:v>NA020</x:v>
      </x:c>
      <x:c r="B239" s="4" t="str">
        <x:v>Rafah outward passenger closure January 2019</x:v>
      </x:c>
      <x:c r="C239" s="4" t="str">
        <x:v>Egypt; Palestine</x:v>
      </x:c>
      <x:c r="D239" s="4" t="str">
        <x:v>Rafah
External African boundary Gaza Egypt</x:v>
      </x:c>
      <x:c r="E239" s="4" t="str">
        <x:v>Passenger movement
Direction: Gaza to Egypt closed; Egypt to Gaza continued five days a week
Exceptions: Urgent outward cases admitted exceptionally January 29</x:v>
      </x:c>
      <x:c r="F239" s="4" t="str">
        <x:v>NA020-D1 — Observed operation
Rafah to the first urgent outward passage; ordinary passenger and goods normalization are not inferred.
Start: 2019-01-07.
Observed scoped reopening: 2019-01-29.
22 calendar-day difference; scoped endpoint only</x:v>
      </x:c>
      <x:c r="G239" s="4" t="str">
        <x:v>Power and regime politics / Contested governing authority
Analytical interpretation of reported context
Applies to: Recorded episode; exact overlap not separately established
The PA–Hamas dispute is reported context for staffing/control, not an independently recovered Egyptian justification.</x:v>
      </x:c>
      <x:c r="H239" s="4" t="str">
        <x:v>NA020-D1: Endpoint is exceptional urgent-case reopening; date of unrestricted outward restoration unresolved. Urgent outward cases admitted exceptionally January 29</x:v>
      </x:c>
      <x:c r="I239" s="4" t="str">
        <x:v>Targeted source review (REC50-R34); retained with recorded qualifications; evidence limits retained.</x:v>
      </x:c>
      <x:c r="J239" s="18" t="d">
        <x:v>2026-10-25T00:00:00.000Z</x:v>
      </x:c>
      <x:c r="K239" s="21" t="str">
        <x:f>IFERROR(HYPERLINK("https://www.ochaopt.org/content/protection-civilians-report-15-28-january-2019","UN OCHA oPt"),"UN OCHA oPt")</x:f>
        <x:v>UN OCHA oPt</x:v>
      </x:c>
      <x:c r="L239" s="21" t="str">
        <x:f>IFERROR(HYPERLINK("https://www.ecoi.net/en/file/local/2007651/Monthly_report_PAL_Jan_2019_en.pdf","ecoi.net"),"ecoi.net")</x:f>
        <x:v>ecoi.net</x:v>
      </x:c>
      <x:c r="M239" s="21" t="str">
        <x:f>IFERROR(HYPERLINK("https://www.aa.com.tr/en/middle-east/egypt-opens-gaza-border-crossing/1377848","aa.com.tr"),"aa.com.tr")</x:f>
        <x:v>aa.com.tr</x:v>
      </x:c>
      <x:c r="N239" s="4" t="str">
        <x:v>https://www.ochaopt.org/content/protection-civilians-report-15-28-january-2019
https://www.ecoi.net/en/file/local/2007651/Monthly_report_PAL_Jan_2019_en.pdf
https://www.aa.com.tr/en/middle-east/egypt-opens-gaza-border-crossing/1377848
https://www.newarab.com/news/rafah-crossing-fully-reopen-tuesday
https://www.ochaopt.org/content/overview-january-2019</x:v>
      </x:c>
      <x:c r="O239" s="4" t="str">
        <x:v>Source 1: full text
Source 2: access detail is retained in the source catalogue.
Source 3: access detail is retained in the source catalogue.</x:v>
      </x:c>
      <x:c r="P239" s="20" t="n">
        <x:v>1</x:v>
      </x:c>
      <x:c r="Q239" s="4" t="str">
        <x:v>North Africa</x:v>
      </x:c>
      <x:c r="R239" s="4" t="str">
        <x:v>Included</x:v>
      </x:c>
    </x:row>
    <x:row r="240" ht="222" hidden="0" customHeight="1">
      <x:c r="A240" s="16" t="str">
        <x:v>NA010</x:v>
      </x:c>
      <x:c r="B240" s="4" t="str">
        <x:v>Ras Jedir October November 2019 closure</x:v>
      </x:c>
      <x:c r="C240" s="4" t="str">
        <x:v>Libya; Tunisia</x:v>
      </x:c>
      <x:c r="D240" s="4" t="str">
        <x:v>Ras Jedir
Named land crossing</x:v>
      </x:c>
      <x:c r="E240" s="4" t="str">
        <x:v>Passengers and goods except returning nationals
Direction: Not fully established
Exceptions: Return of citizens from either country</x:v>
      </x:c>
      <x:c r="F240" s="4" t="str">
        <x:v>NA010-D1 — Observed operation
Libyan-side ordinary non-returnee passage restriction at Ras Jedir during the October–November episode.
Start: 2019-10-23 to 2019-10-24.
Observed scoped reopening: 2019-11-07.
14–15 calendar-day difference; scoped endpoint only</x:v>
      </x:c>
      <x:c r="G240" s="4" t="str">
        <x:v>Interstate disputes and pressure / Diplomatic disputes and retaliation
Reported reason
Applies to: October–November 2019 Libyan-side closure
Indexed Webdo reporting describes Libyan-side closure as protest against long waits experienced by Libyan travellers entering Tunisia. Code the reported bilateral pressure/retaliation only; an original Libyan order and reciprocal mistreatment allegations are not verified. The reopening passage attributes its information to TAP; no independent source family is claimed.</x:v>
      </x:c>
      <x:c r="H240" s="4" t="str">
        <x:v>The November 7 Webdo account is available as indexed text and attributes passenger resumption in both directions to a TAP security source. Direct Webdo retrieval failed, and the claimed full Tunisie Numerique body could not be reproduced. Independent lineage, exact overnight onset and detailed throughput remain unverified. Reciprocal mistreatment claims are not treated as verified; the rounded three-week duration is not used.
NA010-D1: Overnight onset bounds and returning-citizen/ambulance exceptions remain. Indexed Webdo text dated November 7, attributing agreement and passenger resumption to a TAP security source, describes Tunisian and Libyan passengers in both directions. Its direct page retrieval failed, while Tunisie Numerique returned a title/paywall without reproducible body. Independent reporting lineage and detailed observed throughput remain unverified; no rounded three-week duration is used.
end: Indexed Webdo/TAP text corroborates the retained November 7 reported passenger resumption, but a full independently verified endpoint report, exact time and throughput remain unavailable.
source verification: The claimed full Tunisie Numerique body could not be reproduced by either challenger or author. Webdo/TAP text is available through the index only and shares TAP lineage. The full-source and independence gaps remain open.</x:v>
      </x:c>
      <x:c r="I240" s="4" t="str">
        <x:v>Retained baseline assessment. Follow-up adjudicated; amend</x:v>
      </x:c>
      <x:c r="J240" s="18" t="d">
        <x:v>2026-10-23T00:00:00.000Z</x:v>
      </x:c>
      <x:c r="K240" s="21" t="str">
        <x:f>IFERROR(HYPERLINK("https://www.xinhuanet.com/english/2019-10/24/c_138499853.htm","Xinhua"),"Xinhua")</x:f>
        <x:v>Xinhua</x:v>
      </x:c>
      <x:c r="L240" s="21" t="str">
        <x:f>IFERROR(HYPERLINK("https://www.tap.info.tn/en/Portal-Regions/12008843-medenine-border","TAP"),"TAP")</x:f>
        <x:v>TAP</x:v>
      </x:c>
      <x:c r="M240" s="21" t="str">
        <x:f>IFERROR(HYPERLINK("https://directinfo.webmanagercenter.com/2019/10/29/tunisie-ras-jedir-reouverture-du-passage-frontalier-reportee-de-2-jours/","directinfo.webmanagercenter.com"),"directinfo.webmanagercenter.com")</x:f>
        <x:v>directinfo.webmanagercenter.com</x:v>
      </x:c>
      <x:c r="N240" s="4" t="str">
        <x:v>https://www.xinhuanet.com/english/2019-10/24/c_138499853.htm
https://www.tap.info.tn/en/Portal-Regions/12008843-medenine-border
https://directinfo.webmanagercenter.com/2019/10/29/tunisie-ras-jedir-reouverture-du-passage-frontalier-reportee-de-2-jours/
https://lana.gov.ly/post.php?id=157595&amp;lang=en
https://www.webdo.tn/fr/?p=147414
https://www.tunisienumerique.com/tunisie-reouverture-du-poste-frontalier-de-ras-jedir-avec-la-libye-apres-trois-semaines-de-fermeture/
https://www.mosaiquefm.net/amp/fr/national-tunisie/627669/la-libye-ferme-le-passage-de-ras-jedir</x:v>
      </x:c>
      <x:c r="O240" s="4" t="str">
        <x:v>Source 1: full page
Source 2: search extract
Source 3: access detail is retained in the source catalogue.</x:v>
      </x:c>
      <x:c r="P240" s="20" t="n">
        <x:v>1</x:v>
      </x:c>
      <x:c r="Q240" s="4" t="str">
        <x:v>North Africa</x:v>
      </x:c>
      <x:c r="R240" s="4" t="str">
        <x:v>Included</x:v>
      </x:c>
    </x:row>
    <x:row r="241" ht="162" hidden="0" customHeight="1">
      <x:c r="A241" s="16" t="str">
        <x:v>NA002</x:v>
      </x:c>
      <x:c r="B241" s="4" t="str">
        <x:v>Ceuta and Melilla pandemic border closure and phased reopening</x:v>
      </x:c>
      <x:c r="C241" s="4" t="str">
        <x:v>Morocco; Spain</x:v>
      </x:c>
      <x:c r="D241" s="4" t="str">
        <x:v>El Tarajal and Beni Enzar
External African boundaries of Spanish enclaves</x:v>
      </x:c>
      <x:c r="E241" s="4" t="str">
        <x:v>Ordinary passenger traffic; commercial customs separate
Direction: Both directions reopened for permitted categories
Exceptions: From May 17 EU residents and Schengen-authorised travellers; cross-border workers planned from May 31</x:v>
      </x:c>
      <x:c r="F241" s="4" t="str">
        <x:v>NA002-D1 — Observed operation
Ordinary authorised passenger passage at Ceuta and Melilla, to initial EU-resident/Schengen-authorised traveller restoration.
Start: 2020-03-01 to 2020-03-31.
Observed scoped reopening: 2022-05-17.
777–807 calendar-day difference; scoped endpoint only</x:v>
      </x:c>
      <x:c r="G241" s="4" t="str">
        <x:v>Health and biosecurity / Human disease control
Reported reason
Applies to: Initial pandemic closure
The recorded rationale and claim assessment support the selected subcategories. All applicable broad categories are retained together; no primary rationale is imposed.
Interstate disputes and pressure / Diplomatic disputes and retaliation
Analytical interpretation of reported context
Applies to: Later continuation
The recorded rationale and claim assessment support the selected subcategories. All applicable broad categories are retained together; no primary rationale is imposed.</x:v>
      </x:c>
      <x:c r="H241" s="4" t="str">
        <x:v>NA002-D1: Spanish local May 17 corresponds to late May 16 in Morocco. The full March onset range remains. Cross-border workers had a later phase, and emergency/irregular movements are not ordinary reopening; unrestricted all-category travel is not established.</x:v>
      </x:c>
      <x:c r="I241" s="4" t="str">
        <x:v>Retained baseline assessment. Retained with recorded qualifications</x:v>
      </x:c>
      <x:c r="J241" s="18" t="d">
        <x:v>2026-10-23T00:00:00.000Z</x:v>
      </x:c>
      <x:c r="K241" s="21" t="str">
        <x:f>IFERROR(HYPERLINK("https://www.lamoncloa.gob.es/lang/en/gobierno/news/paginas/2022/20220512_morocco-borders.aspx","La Moncloa"),"La Moncloa")</x:f>
        <x:v>La Moncloa</x:v>
      </x:c>
      <x:c r="L241" s="21" t="str">
        <x:f>IFERROR(HYPERLINK("https://toronto.citynews.ca/2022/05/17/spain-morocco-reopen-land-border-crossings-as-ties-improve/","CityNews Toronto"),"CityNews Toronto")</x:f>
        <x:v>CityNews Toronto</x:v>
      </x:c>
      <x:c r="M241" s="21" t="str">
        <x:f>IFERROR(HYPERLINK("https://www.thelocal.es/20220517/spain-and-morocco-reopen-land-borders-after-two-year-closure","The Local Spain"),"The Local Spain")</x:f>
        <x:v>The Local Spain</x:v>
      </x:c>
      <x:c r="N241" s="4" t="str">
        <x:v>https://www.lamoncloa.gob.es/lang/en/gobierno/news/paginas/2022/20220512_morocco-borders.aspx
https://toronto.citynews.ca/2022/05/17/spain-morocco-reopen-land-border-crossings-as-ties-improve/
https://www.thelocal.es/20220517/spain-and-morocco-reopen-land-borders-after-two-year-closure
https://www.aa.com.tr/en/world/spain-morocco-reopen-borders-for-1st-time-since-pandemic/2590270
https://www.rtve.es/noticias/20220511/albares-fronteras-ceuta-melilla/2347777.shtml
https://www.europapress.es/ceuta-y-melilla/noticia-frontera-ceuta-sigue-cerrada-fecha-concreta-reapertura-20220413184256.html
https://www.boe.es/diario_boe/txt.php?id=BOE-A-2022-7846</x:v>
      </x:c>
      <x:c r="O241" s="4" t="str">
        <x:v>Source 1: full page
Source 2: full page
Source 3: full page</x:v>
      </x:c>
      <x:c r="P241" s="20" t="n">
        <x:v>1</x:v>
      </x:c>
      <x:c r="Q241" s="4" t="str">
        <x:v>North Africa</x:v>
      </x:c>
      <x:c r="R241" s="4" t="str">
        <x:v>Included</x:v>
      </x:c>
    </x:row>
    <x:row r="242" ht="186" hidden="0" customHeight="1">
      <x:c r="A242" s="16" t="str">
        <x:v>NA005</x:v>
      </x:c>
      <x:c r="B242" s="4" t="str">
        <x:v>Algeria Tunisia Covid passenger frontier closure</x:v>
      </x:c>
      <x:c r="C242" s="4" t="str">
        <x:v>Algeria; Tunisia</x:v>
      </x:c>
      <x:c r="D242" s="4" t="str">
        <x:v>Nine crossings including Melloula Tabarka
Bilateral land passenger crossings</x:v>
      </x:c>
      <x:c r="E242" s="4" t="str">
        <x:v>Passengers and private cars
Direction: Passenger movement both directions
Exceptions: Goods remained permitted; emergency passenger passage continued. A July 2022 ministerial account reports a 75 percent reduction in passengers, not total cessation.</x:v>
      </x:c>
      <x:c r="F242" s="4" t="str">
        <x:v>NA005-D1 — Observed operation
Ordinary non-emergency passenger travel across the Algeria–Tunisia land frontier.
Start: 2020-03-17.
Observed scoped reopening: 2022-07-15.
850 calendar-day difference; scoped endpoint only</x:v>
      </x:c>
      <x:c r="G24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42" s="4" t="str">
        <x:v>NA005-D1: Goods and emergency passenger passage continued. Archived ministerial reporting describes a 75% passenger reduction, not zero movement. Continuity concerns the ordinary-travel restriction, not an impermeable border.</x:v>
      </x:c>
      <x:c r="I242" s="4" t="str">
        <x:v>Full-record source audit (REC50-R10); retained with recorded qualifications; evidence limits retained.</x:v>
      </x:c>
      <x:c r="J242" s="18" t="d">
        <x:v>2026-10-25T00:00:00.000Z</x:v>
      </x:c>
      <x:c r="K242" s="21" t="str">
        <x:f>IFERROR(HYPERLINK("https://www.lorientlejour.com/article/1305784/flux-constant-a-la-reouverture-des-frontieres-algerie-tunisie.html","L’Orient-Le Jour / AFP"),"L’Orient-Le Jour / AFP")</x:f>
        <x:v>L’Orient-Le Jour / AFP</x:v>
      </x:c>
      <x:c r="L242" s="21" t="str">
        <x:f>IFERROR(HYPERLINK("https://news.radioalgerie.dz/ar/node/11790","Algerian Radio"),"Algerian Radio")</x:f>
        <x:v>Algerian Radio</x:v>
      </x:c>
      <x:c r="M242" s="21" t="str">
        <x:f>IFERROR(HYPERLINK("https://news.radioalgerie.dz/ar/node/11995","Algerian Radio"),"Algerian Radio")</x:f>
        <x:v>Algerian Radio</x:v>
      </x:c>
      <x:c r="N242" s="4" t="str">
        <x:v>https://www.lorientlejour.com/article/1305784/flux-constant-a-la-reouverture-des-frontieres-algerie-tunisie.html
https://news.radioalgerie.dz/ar/node/11790
https://news.radioalgerie.dz/ar/node/11995
https://news.radioalgerie.dz/ar/node/12165
https://radioalgerie.dz/news/fr/article/20200317/191133.html
https://www.aa.com.tr/fr/afrique/alg%C3%A9rie-tunisie-supervision-des-pr%C3%A9paratifs-en-pr%C3%A9vision-de-la-r%C3%A9ouverture-des-fronti%C3%A8res-terrestres/2635035
https://www.tsa-algerie.com/algerie-tunisie-la-frontiere-terrestre-rouverte-pour-les-marchandises/
https://www.arabnews.com/middle-east/algeria-tunisia-border-crossings-reopen-after-2-years-of-closure-2123221
https://news.radioalgerie.dz/fr/node/11792
https://www.transport.tn/fr/article/373/twns-ljzy-r-wd-lnsht-l-lm-br
https://www.africanews.com/2022/07/15/tunisia-and-algeria-reopen-land-border-after-two-years-closure/</x:v>
      </x:c>
      <x:c r="O242" s="4" t="str">
        <x:v>Source 1: full text
Source 2: search extract
Source 3: full text</x:v>
      </x:c>
      <x:c r="P242" s="20" t="n">
        <x:v>1</x:v>
      </x:c>
      <x:c r="Q242" s="4" t="str">
        <x:v>North Africa</x:v>
      </x:c>
      <x:c r="R242" s="4" t="str">
        <x:v>Included</x:v>
      </x:c>
    </x:row>
    <x:row r="243" ht="78" hidden="0" customHeight="1">
      <x:c r="A243" s="16" t="str">
        <x:v>NA021</x:v>
      </x:c>
      <x:c r="B243" s="4" t="str">
        <x:v>Rafah May August 2020 Covid passenger closure</x:v>
      </x:c>
      <x:c r="C243" s="4" t="str">
        <x:v>Egypt; Palestine</x:v>
      </x:c>
      <x:c r="D243" s="4" t="str">
        <x:v>Rafah
External African boundary Gaza Egypt</x:v>
      </x:c>
      <x:c r="E243" s="4" t="str">
        <x:v>Passenger movement; freight continued through Rafah commercial arrangements
Direction: Both directions
Exceptions: Goods traffic not closed</x:v>
      </x:c>
      <x:c r="F243" s="4" t="str">
        <x:v>NA021-D1 — Observed operation
Rafah passenger restriction to the first temporary passenger window; goods movement followed a different chronology.
Start: 2020-05-15.
Observed scoped reopening: 2020-08-11.
88 calendar-day difference; scoped endpoint only</x:v>
      </x:c>
      <x:c r="G24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43" s="4" t="str">
        <x:v>NA021-D1: End denotes temporary opening only. Two OCHA reports share one institutional origin but provide direct closure and actual movement evidence. Goods traffic not closed</x:v>
      </x:c>
      <x:c r="I243" s="4" t="str">
        <x:v>Full-record source audit (REC50-R30); retained with recorded qualifications; evidence limits retained.</x:v>
      </x:c>
      <x:c r="J243" s="18" t="d">
        <x:v>2026-10-25T00:00:00.000Z</x:v>
      </x:c>
      <x:c r="K243" s="21" t="str">
        <x:f>IFERROR(HYPERLINK("https://www.ochaopt.org/content/gaza-strip-snapshot-july-2020","UN OCHA"),"UN OCHA")</x:f>
        <x:v>UN OCHA</x:v>
      </x:c>
      <x:c r="L243" s="21" t="str">
        <x:f>IFERROR(HYPERLINK("https://www.ochaopt.org/content/gaza-strip-snapshot-august-2020","UN OCHA"),"UN OCHA")</x:f>
        <x:v>UN OCHA</x:v>
      </x:c>
      <x:c r="M243" s="21" t="str">
        <x:f>IFERROR(HYPERLINK("https://www.ochaopt.org/content/covid-19-emergency-situation-report-15","UN OCHA"),"UN OCHA")</x:f>
        <x:v>UN OCHA</x:v>
      </x:c>
      <x:c r="N243" s="4" t="str">
        <x:v>https://www.ochaopt.org/content/gaza-strip-snapshot-july-2020
https://www.ochaopt.org/content/gaza-strip-snapshot-august-2020
https://www.ochaopt.org/content/covid-19-emergency-situation-report-15</x:v>
      </x:c>
      <x:c r="O243" s="4" t="str">
        <x:v>Source 1: full text
Source 2: full text
Source 3: full text</x:v>
      </x:c>
      <x:c r="P243" s="20" t="n">
        <x:v>1</x:v>
      </x:c>
      <x:c r="Q243" s="4" t="str">
        <x:v>North Africa</x:v>
      </x:c>
      <x:c r="R243" s="4" t="str">
        <x:v>Included</x:v>
      </x:c>
    </x:row>
    <x:row r="244" ht="162" hidden="0" customHeight="1">
      <x:c r="A244" s="16" t="str">
        <x:v>NA004</x:v>
      </x:c>
      <x:c r="B244" s="4" t="str">
        <x:v>Guerguerat road blockade</x:v>
      </x:c>
      <x:c r="C244" s="4" t="str">
        <x:v>Western Sahara; Mauritania; Morocco</x:v>
      </x:c>
      <x:c r="D244" s="4" t="str">
        <x:v>Guerguerat
Road through disputed Western Sahara buffer strip to Mauritania</x:v>
      </x:c>
      <x:c r="E244" s="4" t="str">
        <x:v>Passenger and freight road traffic
Direction: Both directions
Exceptions: Not established</x:v>
      </x:c>
      <x:c r="F244" s="4" t="str">
        <x:v>NA004-D1 — Observed operation
Road through disputed Western Sahara buffer strip to Mauritania; Passenger and freight road traffic; Both directions
Start: 2020-10-21.
Observed scoped reopening: 2020-11-14.
24 calendar-day difference; scoped endpoint only</x:v>
      </x:c>
      <x:c r="G244" s="4" t="str">
        <x:v>Interstate disputes and pressure / Territorial and frontier disputes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44" s="4" t="str">
        <x:v>NA004-D1: Polisario’s contemporaneous position is now documented in a party statement circulated as a UN document. Attribution does not establish every protester’s affiliation or motivation. Moroccan descriptions are partisan; UN/MINURSO independently confirms civilian obstruction. Not established</x:v>
      </x:c>
      <x:c r="I244" s="4" t="str">
        <x:v>Retained baseline assessment. Retained with recorded qualifications</x:v>
      </x:c>
      <x:c r="J244" s="18" t="d">
        <x:v>2026-10-23T00:00:00.000Z</x:v>
      </x:c>
      <x:c r="K244" s="21" t="str">
        <x:f>IFERROR(HYPERLINK("https://www.lavanguardia.com/internacional/20201114/49465098707/se-retoma-el-trafico-de-camiones-entre-el-sahara-occidental-y-mauritania.html?facet=amp","La Vanguardia"),"La Vanguardia")</x:f>
        <x:v>La Vanguardia</x:v>
      </x:c>
      <x:c r="L244" s="21" t="str">
        <x:f>IFERROR(HYPERLINK("https://www.moroccoworldnews.com/2020/11/64252/traffic-resumes-in-guerguerat-after-moroccos-military-intervention/","Morocco World News"),"Morocco World News")</x:f>
        <x:v>Morocco World News</x:v>
      </x:c>
      <x:c r="M244" s="21" t="str">
        <x:f>IFERROR(HYPERLINK("https://www.un.org/sg/en/content/highlight/2020-10-21.html","UN Secretary-General / MINURSO"),"UN Secretary-General / MINURSO")</x:f>
        <x:v>UN Secretary-General / MINURSO</x:v>
      </x:c>
      <x:c r="N244" s="4" t="str">
        <x:v>https://www.lavanguardia.com/internacional/20201114/49465098707/se-retoma-el-trafico-de-camiones-entre-el-sahara-occidental-y-mauritania.html?facet=amp
https://www.moroccoworldnews.com/2020/11/64252/traffic-resumes-in-guerguerat-after-moroccos-military-intervention/
https://www.un.org/sg/en/content/highlight/2020-10-21.html
https://digitallibrary.un.org/record/3889244/files/S_2020_1048-FR.pdf
https://documents.un.org/doc/undoc/gen/n21/277/70/pdf/n2127770.pdf
https://digitallibrary.un.org/record/3964655/files/A_AC.109_2022_17-EN.pdf
https://www.ibtimes.com/traffic-resumes-truck-stop-sparked-wsahara-tensions-3082424</x:v>
      </x:c>
      <x:c r="O244" s="4" t="str">
        <x:v>Source 1: full page
Source 2: search extract
Source 3: search extract</x:v>
      </x:c>
      <x:c r="P244" s="20" t="n">
        <x:v>1</x:v>
      </x:c>
      <x:c r="Q244" s="4" t="str">
        <x:v>North Africa</x:v>
      </x:c>
      <x:c r="R244" s="4" t="str">
        <x:v>Included</x:v>
      </x:c>
    </x:row>
    <x:row r="245" ht="138" hidden="0" customHeight="1">
      <x:c r="A245" s="16" t="str">
        <x:v>NA007</x:v>
      </x:c>
      <x:c r="B245" s="4" t="str">
        <x:v>Libya Tunisia Delta wave closure</x:v>
      </x:c>
      <x:c r="C245" s="4" t="str">
        <x:v>Libya; Tunisia</x:v>
      </x:c>
      <x:c r="D245" s="4" t="str">
        <x:v>Ras Jedir and Dhehiba Wazen
Bilateral land crossings</x:v>
      </x:c>
      <x:c r="E245" s="4" t="str">
        <x:v>Ordinary passengers and commercial vehicles restricted; category and directional exceptions documented
Direction: Both directions
Exceptions: July24: stranded Libyans permitted inbound; strictly humanitarian departures; commercial vehicles officially suspended. September17 reopening subject to health protocols.</x:v>
      </x:c>
      <x:c r="F245" s="4" t="str">
        <x:v>NA007-D1 — Observed operation
Ordinary non-humanitarian passenger passage at Ras Jedir during the Delta-wave restriction.
Start: 2021-07-08 to 2021-07-09.
Observed scoped reopening: 2021-09-17.
70–71 calendar-day difference; scoped endpoint only</x:v>
      </x:c>
      <x:c r="G24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45" s="4" t="str">
        <x:v>NA007-D1: Stranded-Libyan return and humanitarian departures were exceptions. The August announcement was not implemented. Dhehiba's formal availability is not observed traveller flow and is excluded from this endpoint; goods have a separate scope.</x:v>
      </x:c>
      <x:c r="I245" s="4" t="str">
        <x:v>Retained baseline assessment. Retained with recorded qualifications</x:v>
      </x:c>
      <x:c r="J245" s="18" t="d">
        <x:v>2026-10-23T00:00:00.000Z</x:v>
      </x:c>
      <x:c r="K245" s="21" t="str">
        <x:f>IFERROR(HYPERLINK("https://www.tap.info.tn/en/Portal-Top-News-EN/14387949-tunisian-libyan","TAP"),"TAP")</x:f>
        <x:v>TAP</x:v>
      </x:c>
      <x:c r="L245" s="21" t="str">
        <x:f>IFERROR(HYPERLINK("https://www.lefigaro.fr/flash-actu/covid-19-reouverture-des-frontieres-entre-la-tunisie-et-la-libye-20210917","Le Figaro"),"Le Figaro")</x:f>
        <x:v>Le Figaro</x:v>
      </x:c>
      <x:c r="M245" s="21" t="str">
        <x:f>IFERROR(HYPERLINK("https://www.aa.com.tr/fr/sante/covid-19-r%C3%A9ouverture-des-postes-fronti%C3%A8res-entre-la-tunisie-et-la-libye/2367432","Anadolu"),"Anadolu")</x:f>
        <x:v>Anadolu</x:v>
      </x:c>
      <x:c r="N245" s="4" t="str">
        <x:v>https://www.tap.info.tn/en/Portal-Top-News-EN/14387949-tunisian-libyan
https://www.lefigaro.fr/flash-actu/covid-19-reouverture-des-frontieres-entre-la-tunisie-et-la-libye-20210917
https://www.aa.com.tr/fr/sante/covid-19-r%C3%A9ouverture-des-postes-fronti%C3%A8res-entre-la-tunisie-et-la-libye/2367432
https://www.alaraby.co.uk/society/ليبيا-تغلق-الحدود-مع-تونس-وسط-موجة-ثالثة-من-كورونا
https://libyaobserver.ly/inbrief/movement-ceased-ras-ajdir-crossing-allowing-only-emergency-humanitarian-cases-move
https://lana.gov.ly/post.php?id=213348&amp;lang=en
https://mobil.aa.com.tr/ar/الدول-العربية/كورونا-فتح-المعابر-الحدودية-بين-تونس-وليبيا/2367371
https://english.aawsat.com/home/article/3194751/libya-tunisia-border-reopens-after-covid-closure</x:v>
      </x:c>
      <x:c r="O245" s="4" t="str">
        <x:v>Source 1: search extract
Source 2: search extract
Source 3: full page</x:v>
      </x:c>
      <x:c r="P245" s="20" t="n">
        <x:v>1</x:v>
      </x:c>
      <x:c r="Q245" s="4" t="str">
        <x:v>North Africa</x:v>
      </x:c>
      <x:c r="R245" s="4" t="str">
        <x:v>Included</x:v>
      </x:c>
    </x:row>
    <x:row r="246" ht="78" hidden="0" customHeight="1">
      <x:c r="A246" s="16" t="str">
        <x:v>NA013</x:v>
      </x:c>
      <x:c r="B246" s="4" t="str">
        <x:v>Rafah October 2023 wartime closure before limited aid entry</x:v>
      </x:c>
      <x:c r="C246" s="4" t="str">
        <x:v>Egypt; Palestine</x:v>
      </x:c>
      <x:c r="D246" s="4" t="str">
        <x:v>Rafah
External African boundary Gaza Egypt</x:v>
      </x:c>
      <x:c r="E246" s="4" t="str">
        <x:v>Aid and civilian crossings
Direction: Aid entry Egypt to Gaza documented
Exceptions: Not established</x:v>
      </x:c>
      <x:c r="F246" s="4" t="str">
        <x:v>NA013-C1 — Observed operation
Rafah passenger exit from Gaza to Egypt after October 10 strikes, until first limited wounded/foreign-passport evacuation.
Start: 2023-10-10.
Observed scoped reopening: 2023-11-01.
22 calendar-day difference; scoped endpoint only</x:v>
      </x:c>
      <x:c r="G246"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46" s="4" t="str">
        <x:v>NA013-C1: Excludes earlier brief interruption and any same-day prior passage. November 1 is selected evacuation only, not ordinary passenger normalization. Aid had separate October 21 endpoint. Calendar-date difference, not full-day or hourly total.</x:v>
      </x:c>
      <x:c r="I246" s="4" t="str">
        <x:v>Retained baseline assessment. Amended after source reconciliation</x:v>
      </x:c>
      <x:c r="J246" s="18" t="d">
        <x:v>2026-10-23T00:00:00.000Z</x:v>
      </x:c>
      <x:c r="K246" s="21" t="str">
        <x:f>IFERROR(HYPERLINK("https://www.ochaopt.org/content/hostilities-gaza-strip-and-israel-flash-update-5","ochaopt.org"),"ochaopt.org")</x:f>
        <x:v>ochaopt.org</x:v>
      </x:c>
      <x:c r="L246" s="21" t="str">
        <x:f>IFERROR(HYPERLINK("https://www.ochaopt.org/content/hostilities-gaza-strip-and-israel-flash-update-26","ochaopt.org"),"ochaopt.org")</x:f>
        <x:v>ochaopt.org</x:v>
      </x:c>
      <x:c r="M246" s="21" t="str">
        <x:f>IFERROR(HYPERLINK("https://www.ochaopt.org/content/hostilities-gaza-strip-and-israel-flash-update-4","OCHA"),"OCHA")</x:f>
        <x:v>OCHA</x:v>
      </x:c>
      <x:c r="N246" s="4" t="str">
        <x:v>https://www.ochaopt.org/content/hostilities-gaza-strip-and-israel-flash-update-5
https://www.ochaopt.org/content/hostilities-gaza-strip-and-israel-flash-update-26
https://www.ochaopt.org/content/hostilities-gaza-strip-and-israel-flash-update-4
https://www.ochaopt.org/content/hostilities-gaza-strip-and-israel-flash-update-15
https://admin.diakonia.se/app/uploads/sites/2/2023/12/Legal-Brief-2023-Hostilities-in-Israel-and-Gaza.pdf</x:v>
      </x:c>
      <x:c r="O246" s="4" t="str">
        <x:v>Source 1: access detail is retained in the source catalogue.
Source 2: access detail is retained in the source catalogue.
Source 3: indexed excerpt; full</x:v>
      </x:c>
      <x:c r="P246" s="20" t="n">
        <x:v>1</x:v>
      </x:c>
      <x:c r="Q246" s="4" t="str">
        <x:v>North Africa</x:v>
      </x:c>
      <x:c r="R246" s="4" t="str">
        <x:v>Included</x:v>
      </x:c>
    </x:row>
    <x:row r="247" ht="330" hidden="0" customHeight="1">
      <x:c r="A247" s="16" t="str">
        <x:v>NA011</x:v>
      </x:c>
      <x:c r="B247" s="4" t="str">
        <x:v>Ras Jedir March July 2024 conflict closure</x:v>
      </x:c>
      <x:c r="C247" s="4" t="str">
        <x:v>Libya; Tunisia</x:v>
      </x:c>
      <x:c r="D247" s="4" t="str">
        <x:v>Ras Jedir
Named land crossing</x:v>
      </x:c>
      <x:c r="E247" s="4" t="str">
        <x:v>Passengers and goods; other crossing at Dhehiba Wazen remained a possible route
Direction: Both directions at reopened checkpoint
Exceptions: Mid-June humanitarian/diplomatic exceptions; some Tunisia-to-Libya ambulance departures reported June 13 despite technical nonoperation. Full two-way implementation is not established.</x:v>
      </x:c>
      <x:c r="F247" s="4" t="str">
        <x:v>NA011-D1 — Formal policy
Ras Jedir ordinary public passenger/goods restriction, to formal public checkpoint reopening.
Start: 2024-03-18 to 2024-03-19.
Policy endpoint: 2024-07-01.
Formal policy: 104–105 calendar-day difference; operational continuity not established</x:v>
      </x:c>
      <x:c r="G247"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Smuggling and illicit trafficking
Reported reason
Applies to: Recorded episode; exact overlap not separately established
The recorded rationale and claim assessment support the selected subcategories. All applicable broad categories are retained together; no primary rationale is imposed.
Security / Crime and law enforcement
Reported reason
Applies to: Recorded episode; exact overlap not separately established
The recorded rationale and claim assessment support the selected subcategories. All applicable broad categories are retained together; no primary rationale is imposed.
Power and regime politics / Contested governing authority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47" s="4" t="str">
        <x:v>NA011-D1: Mid-June medical, humanitarian and diplomatic exceptions are reported. A June 13 contemporary indexed report describes technical nonoperation and no entries, while some ambulances departed Tunisia for Libya. June 13 therefore does not establish uniform two-way exceptional access. July 1 is formal public restoration, not measured unrestricted throughput; March 18–19 onset remains bounded.
mid-June exception scope: The direction and breadth of humanitarian/diplomatic access beyond the reported ambulance departures remain uncertain.</x:v>
      </x:c>
      <x:c r="I247" s="4" t="str">
        <x:v>Retained baseline assessment. Amended after source reconciliation</x:v>
      </x:c>
      <x:c r="J247" s="18" t="d">
        <x:v>2026-10-23T00:00:00.000Z</x:v>
      </x:c>
      <x:c r="K247" s="21" t="str">
        <x:f>IFERROR(HYPERLINK("https://www.aa.com.tr/en/africa/libya-reopens-ras-ijdir-border-crossing-with-tunisia-after-3-month-closure/3263192","Anadolu"),"Anadolu")</x:f>
        <x:v>Anadolu</x:v>
      </x:c>
      <x:c r="L247" s="21" t="str">
        <x:f>IFERROR(HYPERLINK("https://www.agenzianova.com/en/news/libia-tunisia-riapre-il-valico-di-ras-jedir-dopo-tre-mesi-di-stop-per-motivi-di-sicurezza/","Agenzia Nova"),"Agenzia Nova")</x:f>
        <x:v>Agenzia Nova</x:v>
      </x:c>
      <x:c r="M247" s="21" t="str">
        <x:f>IFERROR(HYPERLINK("https://www.gettyimages.ae/detail/news-photo/tunisias-inerior-minister-khaled-nouri-and-emad-trabelsi-news-photo/2159574125","Getty Images"),"Getty Images")</x:f>
        <x:v>Getty Images</x:v>
      </x:c>
      <x:c r="N247" s="4" t="str">
        <x:v>https://www.aa.com.tr/en/africa/libya-reopens-ras-ijdir-border-crossing-with-tunisia-after-3-month-closure/3263192
https://www.agenzianova.com/en/news/libia-tunisia-riapre-il-valico-di-ras-jedir-dopo-tre-mesi-di-stop-per-motivi-di-sicurezza/
https://www.gettyimages.ae/detail/news-photo/tunisias-inerior-minister-khaled-nouri-and-emad-trabelsi-news-photo/2159574125
https://www.reuters.com/world/africa/tunisia-libya-border-crossing-closed-due-clashes-2024-03-19/
https://www.tap.info.tn/en/Portal-Top-News-EN/17634712-tunisia-libya
https://libyaobserver.ly/news/libya-tunisia-reopen-ras-ajdair-border-after-100-days-closure
https://directinfo.webmanagercenter.com/2024/06/13/probleme-technique-au-poste-frontalier-de-ras-jedir-empeche-louverture-cote-libyen/
https://digitallibrary.un.org/record/4073810/files/S_2024_914-EN.pdf
https://www.ecoi.net/en/file/local/2110410/n2408061.pdf
https://digitallibrary.un.org/record/4073810/files/S_2024_914-ES.pdf</x:v>
      </x:c>
      <x:c r="O247" s="4" t="str">
        <x:v>Source 1: full page
Source 2: full page
Source 3: full page</x:v>
      </x:c>
      <x:c r="P247" s="20" t="n">
        <x:v>1</x:v>
      </x:c>
      <x:c r="Q247" s="4" t="str">
        <x:v>North Africa</x:v>
      </x:c>
      <x:c r="R247" s="4" t="str">
        <x:v>Included</x:v>
      </x:c>
    </x:row>
    <x:row r="248" ht="162" hidden="0" customHeight="1">
      <x:c r="A248" s="16" t="str">
        <x:v>NA014</x:v>
      </x:c>
      <x:c r="B248" s="4" t="str">
        <x:v>Rafah May 2024 closure until medical reopening</x:v>
      </x:c>
      <x:c r="C248" s="4" t="str">
        <x:v>Egypt; Palestine; Israel</x:v>
      </x:c>
      <x:c r="D248" s="4" t="str">
        <x:v>Rafah
External African boundary Gaza Egypt</x:v>
      </x:c>
      <x:c r="E248" s="4" t="str">
        <x:v>Passengers, aid and medical evacuation through Rafah
Direction: Medical passengers from Gaza to Egypt
Exceptions: Not established</x:v>
      </x:c>
      <x:c r="F248" s="4" t="str">
        <x:v>NA014-D1 — Observed operation
Medical evacuation from Gaza to Egypt through Rafah, to the first resumed medical departures.
Start: 2024-05-07.
Observed scoped reopening: 2025-02-01.
270 calendar-day difference; scoped endpoint only</x:v>
      </x:c>
      <x:c r="G248" s="4" t="str">
        <x:v>Security / Armed conflict and military confrontation
Analytical interpretation of reported context
Applies to: Recorded episode; exact overlap not separately established
Armed-operation context and AP's attribution of Egyptian protest over Israeli control are recorded separately; no single motive is assigned to all actors.
Interstate disputes and pressure / Diplomatic disputes and retaliation
Reported reason
Applies to: Recorded episode; exact overlap not separately established
Armed-operation context and AP's attribution of Egyptian protest over Israeli control are recorded separately; no single motive is assigned to all actors.</x:v>
      </x:c>
      <x:c r="H248" s="4" t="str">
        <x:v>NA014-D1: Medical evacuation through Kerem Shalom is a different route. The endpoint does not establish unrestricted passengers, goods, or aid access through Rafah. WHO evidence was newly recovered as indexed text in this tranche; older claim annotations remain unchanged.</x:v>
      </x:c>
      <x:c r="I248" s="4" t="str">
        <x:v>Targeted source review (REC50-R14); retained with recorded qualifications; evidence limits retained.</x:v>
      </x:c>
      <x:c r="J248" s="18" t="d">
        <x:v>2026-10-25T00:00:00.000Z</x:v>
      </x:c>
      <x:c r="K248" s="21" t="str">
        <x:f>IFERROR(HYPERLINK("https://www.ochaopt.org/content/hostilities-gaza-strip-and-israel-flash-update-164","UN OCHA occupied Palestinian territory"),"UN OCHA occupied Palestinian territory")</x:f>
        <x:v>UN OCHA occupied Palestinian territory</x:v>
      </x:c>
      <x:c r="L248" s="21" t="str">
        <x:f>IFERROR(HYPERLINK("https://www.emro.who.int/images/stories/palestine/Sitrep_54n.pdf","WHO Eastern Mediterranean Regional Office"),"WHO Eastern Mediterranean Regional Office")</x:f>
        <x:v>WHO Eastern Mediterranean Regional Office</x:v>
      </x:c>
      <x:c r="M248" s="21" t="str">
        <x:f>IFERROR(HYPERLINK("https://www.clickondetroit.com/news/world/2025/02/01/sick-and-wounded-children-begin-crossing-from-gaza-to-egypt-in-first-opening-in-months/","Associated Press via ClickOnDetroit"),"Associated Press via ClickOnDetroit")</x:f>
        <x:v>Associated Press via ClickOnDetroit</x:v>
      </x:c>
      <x:c r="N248" s="4" t="str">
        <x:v>https://www.ochaopt.org/content/hostilities-gaza-strip-and-israel-flash-update-164
https://www.emro.who.int/images/stories/palestine/Sitrep_54n.pdf
https://www.clickondetroit.com/news/world/2025/02/01/sick-and-wounded-children-begin-crossing-from-gaza-to-egypt-in-first-opening-in-months/
https://www.eeas.europa.eu/eubam-rafah/eu-specialised-teams-honoured-service-rafah-crossing-point_en
https://www.ochaopt.org/content/humanitarian-situation-update-357-gaza-strip
https://joomla.emro.who.int/images/stories/palestine/Sitrep_54n.pdf</x:v>
      </x:c>
      <x:c r="O248" s="4" t="str">
        <x:v>Source 1: full text
Source 2: unavailable
Source 3: full text</x:v>
      </x:c>
      <x:c r="P248" s="20" t="n">
        <x:v>1</x:v>
      </x:c>
      <x:c r="Q248" s="4" t="str">
        <x:v>North Africa</x:v>
      </x:c>
      <x:c r="R248" s="4" t="str">
        <x:v>Included</x:v>
      </x:c>
    </x:row>
    <x:row r="249" ht="78" hidden="0" customHeight="1">
      <x:c r="A249" s="16" t="str">
        <x:v>NA015</x:v>
      </x:c>
      <x:c r="B249" s="4" t="str">
        <x:v>Rafah March 2025 closure after renewed hostilities</x:v>
      </x:c>
      <x:c r="C249" s="4" t="str">
        <x:v>Egypt; Palestine; Israel</x:v>
      </x:c>
      <x:c r="D249" s="4" t="str">
        <x:v>Rafah
External African boundary Gaza Egypt</x:v>
      </x:c>
      <x:c r="E249" s="4" t="str">
        <x:v>Passenger movement through Rafah
Direction: Controlled numbers in both directions on reopening
Exceptions: Not established</x:v>
      </x:c>
      <x:c r="F249" s="4" t="str">
        <x:v>NA015-D1 — Observed operation
Medical evacuation from Gaza to Egypt through Rafah after the March 2025 closure.
Start: 2025-03-18.
Observed scoped reopening: 2026-02-02.
321 calendar-day difference; scoped endpoint only</x:v>
      </x:c>
      <x:c r="G249"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49" s="4" t="str">
        <x:v>NA015-D1: Controlled medical passage is the endpoint. Other routes, passenger classes and goods are not inferred to share this period; return movements have a different chronology.</x:v>
      </x:c>
      <x:c r="I249" s="4" t="str">
        <x:v>Targeted source review (REC50-R14); retained with recorded qualifications; evidence limits retained.</x:v>
      </x:c>
      <x:c r="J249" s="18" t="d">
        <x:v>2026-10-25T00:00:00.000Z</x:v>
      </x:c>
      <x:c r="K249" s="21" t="str">
        <x:f>IFERROR(HYPERLINK("https://www.eeas.europa.eu/eubam-rafah/eu-specialised-teams-honoured-service-rafah-crossing-point_en","EU Border Assistance Mission Rafah / EEAS"),"EU Border Assistance Mission Rafah / EEAS")</x:f>
        <x:v>EU Border Assistance Mission Rafah / EEAS</x:v>
      </x:c>
      <x:c r="L249" s="21" t="str">
        <x:f>IFERROR(HYPERLINK("https://www.eeas.europa.eu/eu-border-assistance-mission-rafah-crossing-point/rafah-crossing-reopens-eu-support_en","EU Border Assistance Mission Rafah / EEAS"),"EU Border Assistance Mission Rafah / EEAS")</x:f>
        <x:v>EU Border Assistance Mission Rafah / EEAS</x:v>
      </x:c>
      <x:c r="M249" s="21" t="str">
        <x:f>IFERROR(HYPERLINK("https://www.ochaopt.org/content/humanitarian-situation-update-357-gaza-strip","UN OCHA occupied Palestinian territory"),"UN OCHA occupied Palestinian territory")</x:f>
        <x:v>UN OCHA occupied Palestinian territory</x:v>
      </x:c>
      <x:c r="N249" s="4" t="str">
        <x:v>https://www.eeas.europa.eu/eubam-rafah/eu-specialised-teams-honoured-service-rafah-crossing-point_en
https://www.eeas.europa.eu/eu-border-assistance-mission-rafah-crossing-point/rafah-crossing-reopens-eu-support_en
https://www.ochaopt.org/content/humanitarian-situation-update-357-gaza-strip
https://www.emro.who.int/images/stories/palestine/Medevac_23_Feb2026.pdf</x:v>
      </x:c>
      <x:c r="O249" s="4" t="str">
        <x:v>Source 1: indexed excerpt; indexed extract
Source 2: failed; full text
Source 3: full; full text</x:v>
      </x:c>
      <x:c r="P249" s="20" t="n">
        <x:v>1</x:v>
      </x:c>
      <x:c r="Q249" s="4" t="str">
        <x:v>North Africa</x:v>
      </x:c>
      <x:c r="R249" s="4" t="str">
        <x:v>Included</x:v>
      </x:c>
    </x:row>
    <x:row r="250" ht="78" hidden="0" customHeight="1">
      <x:c r="A250" s="16" t="str">
        <x:v>NA016</x:v>
      </x:c>
      <x:c r="B250" s="4" t="str">
        <x:v>Rafah February March 2026 regional escalation closure</x:v>
      </x:c>
      <x:c r="C250" s="4" t="str">
        <x:v>Egypt; Palestine; Israel</x:v>
      </x:c>
      <x:c r="D250" s="4" t="str">
        <x:v>Rafah
External African boundary Gaza Egypt</x:v>
      </x:c>
      <x:c r="E250" s="4" t="str">
        <x:v>Passenger movements under limited border framework
Direction: Both directions
Exceptions: Not established</x:v>
      </x:c>
      <x:c r="F250" s="4" t="str">
        <x:v>NA016-D1 — Observed operation
Border-mission operational pause, not closure of every crossing movement.
Start: 2026-02-28.
Observed scoped reopening: 2026-03-19.
19 calendar-day difference; scoped endpoint only</x:v>
      </x:c>
      <x:c r="G250"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x:v>
      </x:c>
      <x:c r="H250" s="4" t="str">
        <x:v>NA016-D1: Direct border-mission operational evidence supports the dates and resumed movement. Exact authority issuing the shutdown order is not specified. Cumulative passenger totals in the source are internally inconsistent and are not reproduced. Not established</x:v>
      </x:c>
      <x:c r="I250" s="4" t="str">
        <x:v>Retained baseline assessment. Retained with recorded qualifications</x:v>
      </x:c>
      <x:c r="J250" s="18" t="d">
        <x:v>2026-10-23T00:00:00.000Z</x:v>
      </x:c>
      <x:c r="K250" s="21" t="str">
        <x:f>IFERROR(HYPERLINK("https://www.eeas.europa.eu/eu-border-assistance-mission-rafah/eubam-rafah-redeployed-rafah-border-crossing_en","EEAS"),"EEAS")</x:f>
        <x:v>EEAS</x:v>
      </x:c>
      <x:c r="L250" s="21" t="str">
        <x:f>IFERROR(HYPERLINK("https://www.eeas.europa.eu/eu-border-assistance-mission-rafah/rafah-crossing-reopens-eu-border-mission-resumes-operations_en","EEAS / EUBAM Rafah"),"EEAS / EUBAM Rafah")</x:f>
        <x:v>EEAS / EUBAM Rafah</x:v>
      </x:c>
      <x:c r="M250" s="21" t="str">
        <x:f>IFERROR(HYPERLINK("https://www.un.org/unispal/document/ocha-rafah-crossing-reopens-today-medical-evacuations-possible/","un.org"),"un.org")</x:f>
        <x:v>un.org</x:v>
      </x:c>
      <x:c r="N250" s="4" t="str">
        <x:v>https://www.eeas.europa.eu/eu-border-assistance-mission-rafah/eubam-rafah-redeployed-rafah-border-crossing_en
https://www.eeas.europa.eu/eu-border-assistance-mission-rafah/rafah-crossing-reopens-eu-border-mission-resumes-operations_en
https://www.un.org/unispal/document/ocha-rafah-crossing-reopens-today-medical-evacuations-possible/</x:v>
      </x:c>
      <x:c r="O250" s="4" t="str">
        <x:v>Source 1: full page
Source 2: search extract
Source 3: access detail is retained in the source catalogue.</x:v>
      </x:c>
      <x:c r="P250" s="20" t="n">
        <x:v>1</x:v>
      </x:c>
      <x:c r="Q250" s="4" t="str">
        <x:v>North Africa</x:v>
      </x:c>
      <x:c r="R250" s="4" t="str">
        <x:v>Included</x:v>
      </x:c>
    </x:row>
    <x:row r="251" ht="102" hidden="0" customHeight="1">
      <x:c r="A251" s="16" t="str">
        <x:v>NA018</x:v>
      </x:c>
      <x:c r="B251" s="4" t="str">
        <x:v>Ras Jedir approach road protest blockade March 2026</x:v>
      </x:c>
      <x:c r="C251" s="4" t="str">
        <x:v>Tunisia; Libya</x:v>
      </x:c>
      <x:c r="D251" s="4" t="str">
        <x:v>El Kaitoun approach to Ras Jedir
De facto blockade of road to official crossing</x:v>
      </x:c>
      <x:c r="E251" s="4" t="str">
        <x:v>Travellers, traders and ambulances
Direction: Both directions
Exceptions: Not established</x:v>
      </x:c>
      <x:c r="F251" s="4" t="str">
        <x:v>NA018-D1 — Observed operation
De facto blockade of road to official crossing; Travellers, traders and ambulances; Both directions
Start: 2026-03-14.
Observed scoped reopening: 2026-03-15.
1 calendar-day difference; scoped endpoint only</x:v>
      </x:c>
      <x:c r="G251" s="4" t="str">
        <x:v>Policy and socioeconomic demands / Rights and other policy grievances
Reported reason
Applies to: Recorded episode; exact overlap not separately established
The grievance concerning alleged mistreatment and detention of traders now fits the policy/rights subtype. The allegation is not independently established.</x:v>
      </x:c>
      <x:c r="H251" s="4" t="str">
        <x:v>NA018-D1: One TAP origin relayed by Mosaique; date interval spans overnight, not two full days. Actor allegations remain attributed. Not established</x:v>
      </x:c>
      <x:c r="I251" s="4" t="str">
        <x:v>Retained baseline assessment. Retained with recorded qualifications</x:v>
      </x:c>
      <x:c r="J251" s="18" t="d">
        <x:v>2026-10-23T00:00:00.000Z</x:v>
      </x:c>
      <x:c r="K251" s="21" t="str">
        <x:f>IFERROR(HYPERLINK("https://www.mosaiquefm.net/mobile/fr/actualite-regional-tunisie/1509041/retour-a-la-normale-de-la-circulation-a-ras-jedir","mosaiquefm.net"),"mosaiquefm.net")</x:f>
        <x:v>mosaiquefm.net</x:v>
      </x:c>
      <x:c r="L251" s="21" t="str">
        <x:f>IFERROR(HYPERLINK("https://www.tunisienumerique.com/ras-jedir-reprise-de-la-circulation-apres-une-nuit-de-protestations-liees-a-larrestation-de-commercants-tunisiens/","tunisienumerique.com"),"tunisienumerique.com")</x:f>
        <x:v>tunisienumerique.com</x:v>
      </x:c>
      <x:c r="M251" s="21" t="str">
        <x:f>IFERROR(HYPERLINK("https://news-tunisia.tunisienumerique.com/ras-jedir-traffic-resumes-after-a-night-of-protests-over-the-arrest-of-tunisian-traders/","news-tunisia.tunisienumerique.com"),"news-tunisia.tunisienumerique.com")</x:f>
        <x:v>news-tunisia.tunisienumerique.com</x:v>
      </x:c>
      <x:c r="N251" s="4" t="str">
        <x:v>https://www.mosaiquefm.net/mobile/fr/actualite-regional-tunisie/1509041/retour-a-la-normale-de-la-circulation-a-ras-jedir
https://www.tunisienumerique.com/ras-jedir-reprise-de-la-circulation-apres-une-nuit-de-protestations-liees-a-larrestation-de-commercants-tunisiens/
https://news-tunisia.tunisienumerique.com/ras-jedir-traffic-resumes-after-a-night-of-protests-over-the-arrest-of-tunisian-traders/
https://www.lapresse.tn/2026/03/15/tunisiens-bloques-a-ras-jedir-et-commercants-arretes-que-se-passe-t-il-a-la-frontiere-tuniso-libyenne/</x:v>
      </x:c>
      <x:c r="O251" s="4" t="str">
        <x:v>Source 1: failed
Source 2: full
Source 3: access detail is retained in the source catalogue.</x:v>
      </x:c>
      <x:c r="P251" s="20" t="n">
        <x:v>1</x:v>
      </x:c>
      <x:c r="Q251" s="4" t="str">
        <x:v>North Africa</x:v>
      </x:c>
      <x:c r="R251" s="4" t="str">
        <x:v>Included</x:v>
      </x:c>
    </x:row>
    <x:row r="252" ht="78" hidden="0" customHeight="1">
      <x:c r="A252" s="16" t="str">
        <x:v>NA006</x:v>
      </x:c>
      <x:c r="B252" s="4" t="str">
        <x:v>Libya Tunisia initial Covid land closure</x:v>
      </x:c>
      <x:c r="C252" s="4" t="str">
        <x:v>Libya; Tunisia</x:v>
      </x:c>
      <x:c r="D252" s="4" t="str">
        <x:v>Ras Ajdir and Dehiba Wazen
Bilateral main land crossings</x:v>
      </x:c>
      <x:c r="E252" s="4" t="str">
        <x:v>Ordinary border movement; full exemptions unverified
Direction: Not fully established
Exceptions: Not established</x:v>
      </x:c>
      <x:c r="F252" s="4" t="str">
        <x:v>NA006-D1 — Observed operation
Ordinary passenger passage at Ras Jedir under the initial COVID restriction, to observed November 14 restoration.
Start: 2020-03-01 to 2020-03-31.
Observed scoped reopening: 2020-11-14.
228–258 calendar-day difference; scoped endpoint only</x:v>
      </x:c>
      <x:c r="G25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52" s="4" t="str">
        <x:v>NA006-D1: The entire March range is retained conservatively. Exceptional permissions are not exhaustively reconstructed, so no total impermeability is claimed. Dhehiba's separately reported restoration is not assigned the same level of observed evidence.</x:v>
      </x:c>
      <x:c r="I252" s="4" t="str">
        <x:v>Targeted source review (REC50-R14); retained with recorded qualifications; evidence limits retained.</x:v>
      </x:c>
      <x:c r="J252" s="18" t="d">
        <x:v>2026-10-25T00:00:00.000Z</x:v>
      </x:c>
      <x:c r="K252" s="21" t="str">
        <x:f>IFERROR(HYPERLINK("https://www.aa.com.tr/en/africa/libya-tunisia-border-crossings-reopen/2043900","Anadolu Agency"),"Anadolu Agency")</x:f>
        <x:v>Anadolu Agency</x:v>
      </x:c>
      <x:c r="L252" s="21" t="str">
        <x:f>IFERROR(HYPERLINK("https://www.arabnews.com/middle-east/tunisia-libya-border-reopens-after-seven-months-1763061","AFP via Arab News"),"AFP via Arab News")</x:f>
        <x:v>AFP via Arab News</x:v>
      </x:c>
      <x:c r="M252" s="21" t="str">
        <x:f>IFERROR(HYPERLINK("https://www.xinhuanet.com/english/2020-03/17/c_138884719.htm","xinhuanet.com"),"xinhuanet.com")</x:f>
        <x:v>xinhuanet.com</x:v>
      </x:c>
      <x:c r="N252" s="4" t="str">
        <x:v>https://www.aa.com.tr/en/africa/libya-tunisia-border-crossings-reopen/2043900
https://www.arabnews.com/middle-east/tunisia-libya-border-reopens-after-seven-months-1763061
https://www.xinhuanet.com/english/2020-03/17/c_138884719.htm
https://libyaobserver.ly/news/libya-closes-land-and-air-ports-takes-measures-prevent-coronavirus
https://www.aa.com.tr/fr/afrique/r%C3%A9ouverture-des-passages-frontaliers-entre-la-tunisie-et-la-libye/2043981</x:v>
      </x:c>
      <x:c r="O252" s="4" t="str">
        <x:v>Source 1: full text
Source 2: full text
Source 3: access detail is retained in the source catalogue.</x:v>
      </x:c>
      <x:c r="P252" s="20" t="n">
        <x:v>1</x:v>
      </x:c>
      <x:c r="Q252" s="4" t="str">
        <x:v>North Africa</x:v>
      </x:c>
      <x:c r="R252" s="4" t="str">
        <x:v>Included</x:v>
      </x:c>
    </x:row>
    <x:row r="253" ht="234" hidden="0" customHeight="1">
      <x:c r="A253" s="16" t="str">
        <x:v>NA008</x:v>
      </x:c>
      <x:c r="B253" s="4" t="str">
        <x:v>Ras Jedir September 2017 temporary closure</x:v>
      </x:c>
      <x:c r="C253" s="4" t="str">
        <x:v>Libya; Tunisia</x:v>
      </x:c>
      <x:c r="D253" s="4" t="str">
        <x:v>Ras Jedir
Named land crossing</x:v>
      </x:c>
      <x:c r="E253" s="4" t="str">
        <x:v>Not fully established
Direction: Not fully established
Exceptions: Ambulances and travellers returning home, according to border-post statement</x:v>
      </x:c>
      <x:c r="F253" s="4" t="str">
        <x:v>NA008-D1 — Observed operation
Ordinary non-exempt passage at Ras Jedir during the September 2017 interruption.
Start: 2017-09-17 to 2017-09-18.
Observed scoped reopening: 2017-09-25.
7–8 calendar-day difference; scoped endpoint only</x:v>
      </x:c>
      <x:c r="G253" s="4" t="str">
        <x:v>Security / Smuggling and illicit trafficking
Analytical interpretation of reported context
Applies to: Recorded episode; exact overlap not established
The organisational explanation and the protest/smuggling account remain distinct. The trade subtype identifies the reported commercial protest context rather than a proven protectionist state purpose.
Trade and protectionism / Trade and transport protests
Analytical interpretation of reported context
Applies to: Recorded episode; exact overlap not established
The organisational explanation and the protest/smuggling account remain distinct. The trade subtype identifies the reported commercial protest context rather than a proven protectionist state purpose.
Power and regime politics / Contested governing authority
Reported explanation attributed to border sources
Applies to: September 23 account of continued closure
Overlapping border-agency powers disputed; no exclusive motive asserted.</x:v>
      </x:c>
      <x:c r="H253" s="4" t="str">
        <x:v>NA008-D1: Ambulances and return-home travellers remained exceptions. Official organisational language, reported protest/smuggling context and the dispute over border-agency powers are separately attributed. The endpoint was freshly inspected in substantive indexed text; full direct access failed. These scoped calendar boundaries do not measure exact elapsed hours.
exact onset: The 19 September third-day and 23 September sixth-day reports imply different first days.</x:v>
      </x:c>
      <x:c r="I253" s="4" t="str">
        <x:v>Targeted source review (REC50-R21); accepted corrections; evidence limits retained.</x:v>
      </x:c>
      <x:c r="J253" s="18" t="d">
        <x:v>2026-10-25T00:00:00.000Z</x:v>
      </x:c>
      <x:c r="K253" s="21" t="str">
        <x:f>IFERROR(HYPERLINK("https://www.mosaiquefm.net/fr/actualite-regional-tunisie/207406/reprise-du-trafic-au-passage-de-ras-jedir","Mosaïque FM"),"Mosaïque FM")</x:f>
        <x:v>Mosaïque FM</x:v>
      </x:c>
      <x:c r="L253" s="21" t="str">
        <x:f>IFERROR(HYPERLINK("https://staging2.libyaherald.com/2017/09/ras-jedir-border-crossing-fremainslibya-closed","Libya Herald"),"Libya Herald")</x:f>
        <x:v>Libya Herald</x:v>
      </x:c>
      <x:c r="M253" s="21" t="str">
        <x:f>IFERROR(HYPERLINK("https://libyaobserver.ly/inbrief/libya-tunisia-border-crossing-closed-sixth-consecutive-day","The Libya Observer"),"The Libya Observer")</x:f>
        <x:v>The Libya Observer</x:v>
      </x:c>
      <x:c r="N253" s="4" t="str">
        <x:v>https://www.mosaiquefm.net/fr/actualite-regional-tunisie/207406/reprise-du-trafic-au-passage-de-ras-jedir
https://staging2.libyaherald.com/2017/09/ras-jedir-border-crossing-fremainslibya-closed
https://libyaobserver.ly/inbrief/libya-tunisia-border-crossing-closed-sixth-consecutive-day
https://www.webdo.tn/fr/actualite/national/le-poste-frontalier-de-ras-jedir-de-nouveau-ouvert/157938/</x:v>
      </x:c>
      <x:c r="O253" s="4" t="str">
        <x:v>Source 1: indexed extract
Source 2: full text
Source 3: full text</x:v>
      </x:c>
      <x:c r="P253" s="20" t="n">
        <x:v>1</x:v>
      </x:c>
      <x:c r="Q253" s="4" t="str">
        <x:v>North Africa</x:v>
      </x:c>
      <x:c r="R253" s="4" t="str">
        <x:v>Included</x:v>
      </x:c>
    </x:row>
    <x:row r="254" ht="198" hidden="0" customHeight="1">
      <x:c r="A254" s="16" t="str">
        <x:v>NA012</x:v>
      </x:c>
      <x:c r="B254" s="4" t="str">
        <x:v>Algeria Libya Ghadames Debdeb prolonged restrictions</x:v>
      </x:c>
      <x:c r="C254" s="4" t="str">
        <x:v>Algeria; Libya</x:v>
      </x:c>
      <x:c r="D254" s="4" t="str">
        <x:v>Debdeb Ghadames
Named land crossing</x:v>
      </x:c>
      <x:c r="E254" s="4" t="str">
        <x:v>Ordinary passenger movement; commercial and local exceptions varied
Direction: Not fully established
Exceptions: LANA reports local medical/trade exceptions in 2015 and commercial opening in 2022</x:v>
      </x:c>
      <x:c r="F254" s="4" t="str">
        <x:v>NA012-C7P1 — Observed operation
Ghadames–Debdeb passenger closure observed August 5, 2024
Start: unknown.
Last confirmed: 2024-08-05. Reopening is not established.
dated evidence; numeric duration withheld; see qualification</x:v>
      </x:c>
      <x:c r="G254" s="4" t="str">
        <x:v>Security / Unspecified security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54" s="4" t="str">
        <x:v>NA012-C7P1: Dated passenger status only. Onset unknown; commercial permission and local exceptions are separate. No 2011/2014-to 2024 continuous closed span or later restoration inferred.
start/end: The new named-official report supports withholding an announced December 2023 endpoint. Ordinary passenger reopening and legacy-phase onset remain unresolved; no uninterrupted 2011/2014-to-later interval is added.
Current onset finding: 2011/2014 historical onset accounts and 2015 local exceptions remain unreconciled.
Current continuity finding: No continuous interval is drawn between historical onset, commercial exceptions and passenger observations.
duration: The new named-official report supports withholding an announced December 2023 endpoint. Ordinary passenger reopening and legacy-phase onset remain unresolved; no uninterrupted 2011/2014-to-later interval is added.
Current onset finding: 2011/2014 historical onset accounts and 2015 local exceptions remain unreconciled.
Current continuity finding: No continuous interval is drawn between historical onset, commercial exceptions and passenger observations.</x:v>
      </x:c>
      <x:c r="I254" s="4" t="str">
        <x:v>Retained baseline assessment. Correction pass: amended with stated qualifications</x:v>
      </x:c>
      <x:c r="J254" s="18" t="d">
        <x:v>2026-10-23T00:00:00.000Z</x:v>
      </x:c>
      <x:c r="K254" s="21" t="str">
        <x:f>IFERROR(HYPERLINK("https://alwasat.ly/news/libya/447295","Al Wasat"),"Al Wasat")</x:f>
        <x:v>Al Wasat</x:v>
      </x:c>
      <x:c r="L254" s="21" t="str">
        <x:f>IFERROR(HYPERLINK("https://lana.gov.ly/post.php?id=284805&amp;lang=en","LANA"),"LANA")</x:f>
        <x:v>LANA</x:v>
      </x:c>
      <x:c r="M254" s="21" t="str">
        <x:f>IFERROR(HYPERLINK("https://en.alwasat.ly/news/libya/422341","Al Wasat"),"Al Wasat")</x:f>
        <x:v>Al Wasat</x:v>
      </x:c>
      <x:c r="N254" s="4" t="str">
        <x:v>https://alwasat.ly/news/libya/447295
https://lana.gov.ly/post.php?id=284805&amp;lang=en
https://en.alwasat.ly/news/libya/422341
https://lana.gov.ly/post.php?id=296534&amp;lang=en
https://lana.gov.ly/post.php?id=296966&amp;lang=en
https://www.middleeastmonitor.com/20230406-algeria-libya-talks-on-obstacles-to-reopening-the-border/
https://libyaalahrar.tv/2023/12/11/تأجيل-فتح-معبر-الدبداب-غدامس-حتى-إشعار/
https://lana.gov.ly/post.php?id=296955&amp;lang=ar</x:v>
      </x:c>
      <x:c r="O254" s="4" t="str">
        <x:v>Source 1: full
Source 2: full; indexed excerpt
Source 3: indexed excerpt</x:v>
      </x:c>
      <x:c r="P254" s="20" t="n">
        <x:v>1</x:v>
      </x:c>
      <x:c r="Q254" s="4" t="str">
        <x:v>North Africa</x:v>
      </x:c>
      <x:c r="R254" s="4" t="str">
        <x:v>Included</x:v>
      </x:c>
    </x:row>
    <x:row r="255" ht="78" hidden="0" customHeight="1">
      <x:c r="A255" s="16" t="str">
        <x:v>NA017</x:v>
      </x:c>
      <x:c r="B255" s="4" t="str">
        <x:v>Libya Tunisia brief closure during May 2025 Tripoli fighting</x:v>
      </x:c>
      <x:c r="C255" s="4" t="str">
        <x:v>Libya; Tunisia</x:v>
      </x:c>
      <x:c r="D255" s="4" t="str">
        <x:v>Ras Jedir and Dhehiba Wazen
Two main land crossings</x:v>
      </x:c>
      <x:c r="E255" s="4" t="str">
        <x:v>Not fully established
Direction: Entry and exit closed; both directions reopened
Exceptions: Not established</x:v>
      </x:c>
      <x:c r="F255" s="4" t="str">
        <x:v>NA017-D1 — Observed operation
Two main land crossings; Not fully established; Entry and exit closed; both directions reopened
Start: 2025-05-12.
Observed scoped reopening: 2025-05-13.
1 calendar-day difference; scoped endpoint only</x:v>
      </x:c>
      <x:c r="G255"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55" s="4" t="str">
        <x:v>NA017-D1: Webdo reports closure since night of 12 May; Tunisian Radio correspondent via Tunisie Numerique reports traffic at 11:00 on 13 May. Exact beginning hour and official closure rationale remain unknown. Not established</x:v>
      </x:c>
      <x:c r="I255" s="4" t="str">
        <x:v>Retained baseline assessment. Retained with recorded qualifications</x:v>
      </x:c>
      <x:c r="J255" s="18" t="d">
        <x:v>2026-10-23T00:00:00.000Z</x:v>
      </x:c>
      <x:c r="K255" s="21" t="str">
        <x:f>IFERROR(HYPERLINK("https://news-tunisia.tunisienumerique.com/tunisian-libyan-border-ras-jedir-crossing-reopens/","Tunisie Numerique"),"Tunisie Numerique")</x:f>
        <x:v>Tunisie Numerique</x:v>
      </x:c>
      <x:c r="L255" s="21" t="str">
        <x:f>IFERROR(HYPERLINK("https://www.webdo.tn/fr/actualite/national/fermeture-des-postes-frontaliers-entre-la-tunisie-et-la-libye/221933/","Webdo"),"Webdo")</x:f>
        <x:v>Webdo</x:v>
      </x:c>
      <x:c r="M255" s="21" t="str">
        <x:f>IFERROR(HYPERLINK("https://directinfo.webmanagercenter.com/2025/05/13/reouverture-du-poste-frontiere-de-ras-jedir-du-cote-libyen/","directinfo.webmanagercenter.com"),"directinfo.webmanagercenter.com")</x:f>
        <x:v>directinfo.webmanagercenter.com</x:v>
      </x:c>
      <x:c r="N255" s="4" t="str">
        <x:v>https://news-tunisia.tunisienumerique.com/tunisian-libyan-border-ras-jedir-crossing-reopens/
https://www.webdo.tn/fr/actualite/national/fermeture-des-postes-frontaliers-entre-la-tunisie-et-la-libye/221933/
https://directinfo.webmanagercenter.com/2025/05/13/reouverture-du-poste-frontiere-de-ras-jedir-du-cote-libyen/</x:v>
      </x:c>
      <x:c r="O255" s="4" t="str">
        <x:v>Source 1: search extract
Source 2: full page
Source 3: access detail is retained in the source catalogue.</x:v>
      </x:c>
      <x:c r="P255" s="20" t="n">
        <x:v>1</x:v>
      </x:c>
      <x:c r="Q255" s="4" t="str">
        <x:v>North Africa</x:v>
      </x:c>
      <x:c r="R255" s="4" t="str">
        <x:v>Included</x:v>
      </x:c>
    </x:row>
    <x:row r="256" ht="138" hidden="0" customHeight="1">
      <x:c r="A256" s="16" t="str">
        <x:v>NA022</x:v>
      </x:c>
      <x:c r="B256" s="4" t="str">
        <x:v>Rafah late 2020 passenger closure before February 2021 opening</x:v>
      </x:c>
      <x:c r="C256" s="4" t="str">
        <x:v>Egypt; Palestine</x:v>
      </x:c>
      <x:c r="D256" s="4" t="str">
        <x:v>Rafah
External African boundary Gaza Egypt</x:v>
      </x:c>
      <x:c r="E256" s="4" t="str">
        <x:v>Passenger movement
Direction: Both directions
Exceptions: Not fully established</x:v>
      </x:c>
      <x:c r="F256" s="4" t="str">
        <x:v>NA022-R1 — Observed operation
Ordinary Rafah passenger processing, excluding continued goods imports and exceptional authorised inbound entries
Start: 2020-11-26.
Observed scoped reopening: 2021-02-01.
67 calendar-day difference; scoped endpoint only</x:v>
      </x:c>
      <x:c r="G256" s="4" t="str">
        <x:v>Uncoded / Unresolved rationale
Not assigned
Applies to: Not assigned
No additional motive inferred</x:v>
      </x:c>
      <x:c r="H256" s="4" t="str">
        <x:v>NA022-R1: November26closure followed passage on that civil day; onset hour unknown.15exceptional inbound entries inDecember and9inJanuary excluded. February1 temporary reopening ends this phase, not February9regular schedule.
rationale: Keep the episode uncoded. Pandemic-regime background is now stronger, but the specific reclosure purpose remains unestablished; the November 4 security claim belongs to a different interruption.</x:v>
      </x:c>
      <x:c r="I256" s="4" t="str">
        <x:v>Retained baseline assessment. 23 October targeted review; retained with qualifications</x:v>
      </x:c>
      <x:c r="J256" s="18" t="d">
        <x:v>2026-10-23T00:00:00.000Z</x:v>
      </x:c>
      <x:c r="K256" s="21" t="str">
        <x:f>IFERROR(HYPERLINK("https://www.ochaopt.org/content/covid-19-emergency-situation-report-23","OCHA"),"OCHA")</x:f>
        <x:v>OCHA</x:v>
      </x:c>
      <x:c r="L256" s="21" t="str">
        <x:f>IFERROR(HYPERLINK("https://www.ochaopt.org/content/covid-19-emergency-situation-report-27","OCHA"),"OCHA")</x:f>
        <x:v>OCHA</x:v>
      </x:c>
      <x:c r="M256" s="21" t="str">
        <x:f>IFERROR(HYPERLINK("https://www.ochaopt.org/content/gaza-strip-snapshot-february-2021","OCHA"),"OCHA")</x:f>
        <x:v>OCHA</x:v>
      </x:c>
      <x:c r="N256" s="4" t="str">
        <x:v>https://www.ochaopt.org/content/covid-19-emergency-situation-report-23
https://www.ochaopt.org/content/covid-19-emergency-situation-report-27
https://www.ochaopt.org/content/gaza-strip-snapshot-february-2021
https://www.ochaopt.org/content/gaza-strip-snapshot-december-2020
https://www.ochaopt.org/content/gaza-strip-snapshot-january-2021
https://www.aa.com.tr/en/middle-east/egypt-reopens-gaza-crossing-after-closure/2349650
https://www.ochaopt.org/content/response-escalation-opt-situation-report-no-9-august-2021
https://www.aa.com.tr/en/middle-east/egypt-opens-rafah-crossing-with-gaza-for-3-days/2054047
https://english.wafa.ps/Pages/Details/122069
https://www.arabnews.com/middle-east/egypt-closes-rafah-crossing-after-monitoring-violations-by-hamas-1758561</x:v>
      </x:c>
      <x:c r="O256" s="4" t="str">
        <x:v>Source 1: indexed excerpt; full
Source 2: indexed excerpt
Source 3: full</x:v>
      </x:c>
      <x:c r="P256" s="20" t="n">
        <x:v>1</x:v>
      </x:c>
      <x:c r="Q256" s="4" t="str">
        <x:v>North Africa</x:v>
      </x:c>
      <x:c r="R256" s="4" t="str">
        <x:v>Included</x:v>
      </x:c>
    </x:row>
    <x:row r="257" ht="78" hidden="0" customHeight="1">
      <x:c r="A257" s="16" t="str">
        <x:v>SA001</x:v>
      </x:c>
      <x:c r="B257" s="4" t="str">
        <x:v>Pakistan closes Afghan crossings after militant attacks</x:v>
      </x:c>
      <x:c r="C257" s="4" t="str">
        <x:v>Pakistan; Afghanistan</x:v>
      </x:c>
      <x:c r="D257" s="4" t="str">
        <x:v>Torkham; Chaman
Trade and passenger crossing</x:v>
      </x:c>
      <x:c r="E257" s="4" t="str">
        <x:v>Trade and passenger crossing
Direction: Both directions
Exceptions: Temporary Afghan return movement at Torkham and Chaman on 7–8 March; trade remained restricted during that window.</x:v>
      </x:c>
      <x:c r="F257" s="4" t="str">
        <x:v>SA001-D1 — Observed operation
Commercial freight through Torkham during the February–March security closure.
Start: 2017-02-16.
Observed scoped reopening: 2017-03-21.
33 calendar-day difference; scoped endpoint only</x:v>
      </x:c>
      <x:c r="G257"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257" s="4" t="str">
        <x:v>SA001-D1: The prime minister's March 20 order precedes actual March 21 operation. Chaman is not assigned Torkham's endpoint. Pedestrian return exceptions, continuing student/handcart limits and other categories are excluded.</x:v>
      </x:c>
      <x:c r="I257" s="4" t="str">
        <x:v>Retained baseline assessment. Retained with recorded qualifications</x:v>
      </x:c>
      <x:c r="J257" s="18" t="d">
        <x:v>2026-10-23T00:00:00.000Z</x:v>
      </x:c>
      <x:c r="K257" s="21" t="str">
        <x:f>IFERROR(HYPERLINK("https://www.rferl.org/a/pakistan-reopens-border-afghanistan/28381623.html","RFE/RL"),"RFE/RL")</x:f>
        <x:v>RFE/RL</x:v>
      </x:c>
      <x:c r="L257" s="21" t="str">
        <x:f>IFERROR(HYPERLINK("https://www.brecorder.com/news/4487934","Business Recorder"),"Business Recorder")</x:f>
        <x:v>Business Recorder</x:v>
      </x:c>
      <x:c r="M257" s="21" t="str">
        <x:f>IFERROR(HYPERLINK("https://www.rferl.org/a/pakistan-afghanistan-border-crossings-opened-temporarily/28356128.html","RFE/RL"),"RFE/RL")</x:f>
        <x:v>RFE/RL</x:v>
      </x:c>
      <x:c r="N257" s="4" t="str">
        <x:v>https://www.rferl.org/a/pakistan-reopens-border-afghanistan/28381623.html
https://www.brecorder.com/news/4487934
https://www.rferl.org/a/pakistan-afghanistan-border-crossings-opened-temporarily/28356128.html
https://www.geo.tv/amp/135032-Pak-Afghan-border-reopens-at-PMs-behest
https://mofa.gov.pk/press-releases/press-release-59
https://www.geo.tv/latest/133429-Pakistan-opens-border-with-Afghanistan-for-two-days</x:v>
      </x:c>
      <x:c r="O257" s="4" t="str">
        <x:v>Source 1: full page
Source 2: full page
Source 3: full page</x:v>
      </x:c>
      <x:c r="P257" s="20" t="n">
        <x:v>1</x:v>
      </x:c>
      <x:c r="Q257" s="4" t="str">
        <x:v>South Asia</x:v>
      </x:c>
      <x:c r="R257" s="4" t="str">
        <x:v>Included</x:v>
      </x:c>
    </x:row>
    <x:row r="258" ht="162" hidden="0" customHeight="1">
      <x:c r="A258" s="16" t="str">
        <x:v>SA002</x:v>
      </x:c>
      <x:c r="B258" s="4" t="str">
        <x:v>Chaman closure after census-related border clashes</x:v>
      </x:c>
      <x:c r="C258" s="4" t="str">
        <x:v>Pakistan; Afghanistan</x:v>
      </x:c>
      <x:c r="D258" s="4" t="str">
        <x:v>Chaman / Spin Boldak / Bab-e-Dosti
People and goods</x:v>
      </x:c>
      <x:c r="E258" s="4" t="str">
        <x:v>People and goods
Direction: Both directions
Exceptions: Before the May 27 general reopening, Afghan passport/visa holders and people requiring urgent medical treatment had been allowed through.</x:v>
      </x:c>
      <x:c r="F258" s="4" t="str">
        <x:v>SA002-D1 — Observed operation
Commercial freight through the Chaman Friendship Gate, to the reported resumption of trade.
Start: 2017-05-05.
Observed scoped reopening: 2017-05-27.
22 calendar-day difference; scoped endpoint only</x:v>
      </x:c>
      <x:c r="G258"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Territorial and frontier disputes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58" s="4" t="str">
        <x:v>SA002-D1: Passport/visa holders and urgent medical passengers had earlier exceptions. This period is therefore limited to commercial freight; it is not an all-passenger closure.</x:v>
      </x:c>
      <x:c r="I258" s="4" t="str">
        <x:v>Retained baseline assessment. Retained with recorded qualifications</x:v>
      </x:c>
      <x:c r="J258" s="18" t="d">
        <x:v>2026-10-23T00:00:00.000Z</x:v>
      </x:c>
      <x:c r="K258" s="21" t="str">
        <x:f>IFERROR(HYPERLINK("https://www.geo.tv/latest/143545-chaman-border-reopens-after-over-three-weeks","Geo News"),"Geo News")</x:f>
        <x:v>Geo News</x:v>
      </x:c>
      <x:c r="L258" s="21" t="str">
        <x:f>IFERROR(HYPERLINK("https://www.voanews.com/a/pakistan-reopens-afghan-border/3873686.html","Voice of America"),"Voice of America")</x:f>
        <x:v>Voice of America</x:v>
      </x:c>
      <x:c r="M258" s="21" t="str">
        <x:f>IFERROR(HYPERLINK("https://www.app.com.pk/national/pakistan-opens-friendship-gate-with-afghanistan-at-chaman-on-humanitarian-grounds-ispr/","app.com.pk"),"app.com.pk")</x:f>
        <x:v>app.com.pk</x:v>
      </x:c>
      <x:c r="N258" s="4" t="str">
        <x:v>https://www.geo.tv/latest/143545-chaman-border-reopens-after-over-three-weeks
https://www.voanews.com/a/pakistan-reopens-afghan-border/3873686.html
https://www.app.com.pk/national/pakistan-opens-friendship-gate-with-afghanistan-at-chaman-on-humanitarian-grounds-ispr/</x:v>
      </x:c>
      <x:c r="O258" s="4" t="str">
        <x:v>Source 1: full page
Source 2: full page
Source 3: access detail is retained in the source catalogue.</x:v>
      </x:c>
      <x:c r="P258" s="20" t="n">
        <x:v>1</x:v>
      </x:c>
      <x:c r="Q258" s="4" t="str">
        <x:v>South Asia</x:v>
      </x:c>
      <x:c r="R258" s="4" t="str">
        <x:v>Included</x:v>
      </x:c>
    </x:row>
    <x:row r="259" ht="246" hidden="0" customHeight="1">
      <x:c r="A259" s="16" t="str">
        <x:v>SA016</x:v>
      </x:c>
      <x:c r="B259" s="4" t="str">
        <x:v>India suspends cross-LoC barter trade</x:v>
      </x:c>
      <x:c r="C259" s="4" t="str">
        <x:v>India; Pakistan</x:v>
      </x:c>
      <x:c r="D259" s="4" t="str">
        <x:v>Salamabad–Uri; Chakkan-da-Bagh–Poonch
Barter goods through two crossing centres; Line of Control in disputed Kashmir</x:v>
      </x:c>
      <x:c r="E259" s="4" t="str">
        <x:v>Barter goods through two crossing centres; Line of Control in disputed Kashmir
Direction: Both directions
Exceptions: Not established</x:v>
      </x:c>
      <x:c r="F259" s="4" t="str">
        <x:v>SA016-R1 — Observed operation
Salamabad/Uri cross-LoC barter trade facility only
Start: 2019-04-19.
Last confirmed: 2026-09-18. Reopening is not established.
confirmed through 2026-09-18; at least 2709 calendar-day difference; reopening unknown</x:v>
      </x:c>
      <x:c r="G259" s="4" t="str">
        <x:v>Security / Smuggling and illicit trafficking
Attributed official justification
Applies to: Recorded episode; exact overlap not separately established
The recorded rationale and claim assessment support the selected subcategories. All applicable broad categories are retained together; no primary rationale is imposed.
Security / Armed attacks and terrorism
Attributed official justification
Applies to: Recorded episode; exact overlap not separately established
The recorded rationale and claim assessment support the selected subcategories. All applicable broad categories are retained together; no primary rationale is imposed.
Trade and protectionism / Import, export and production controls
Attributed official justification
Applies to: Recorded episode; exact overlap not separately established
The recorded rationale and claim assessment support the selected subcategories. All applicable broad categories are retained together; no primary rationale is imposed.</x:v>
      </x:c>
      <x:c r="H259" s="4" t="str">
        <x:v>SA016-R1: LoC is a disputed/de facto boundary. September 18 is the report date, not reopening; later status and Chakkan-da-Bagh need separate confirmation.</x:v>
      </x:c>
      <x:c r="I259" s="4" t="str">
        <x:v>Retained baseline assessment. Retained with recorded qualifications</x:v>
      </x:c>
      <x:c r="J259" s="18" t="d">
        <x:v>2026-10-23T00:00:00.000Z</x:v>
      </x:c>
      <x:c r="K259" s="21" t="str">
        <x:f>IFERROR(HYPERLINK("https://www.pib.gov.in/newsite/PrintRelease.aspx?lang=2&amp;reg=48&amp;relid=189799","India MHA / PIB"),"India MHA / PIB")</x:f>
        <x:v>India MHA / PIB</x:v>
      </x:c>
      <x:c r="L259" s="21" t="str">
        <x:f>IFERROR(HYPERLINK("https://kashmirlife.net/cross-loc-trade-chapter-closes-as-salamabad-centre-turns-to-border-tourism-452309/","Kashmir Life"),"Kashmir Life")</x:f>
        <x:v>Kashmir Life</x:v>
      </x:c>
      <x:c r="M259" s="21" t="str">
        <x:f>IFERROR(HYPERLINK("https://kashmirlife.net/cross-loc-trade-suspension-mha-issues-a-statement-207807/","kashmirlife.net"),"kashmirlife.net")</x:f>
        <x:v>kashmirlife.net</x:v>
      </x:c>
      <x:c r="N259" s="4" t="str">
        <x:v>https://www.pib.gov.in/newsite/PrintRelease.aspx?lang=2&amp;reg=48&amp;relid=189799
https://kashmirlife.net/cross-loc-trade-chapter-closes-as-salamabad-centre-turns-to-border-tourism-452309/
https://kashmirlife.net/cross-loc-trade-suspension-mha-issues-a-statement-207807/
https://timesofindia.indiatimes.com/india/cross-loc-trade-indefinitely-suspended-via-salamabad-chakan-da-bagh-in-jk/articleshow/68945778.cms
https://www.ndtv.com/india-news/cross-loc-trade-uri-jammu-and-kashmir-trade-out-tourism-in-old-chapter-ends-at-cross-loc-facility-new-one-set-to-begin-12063189/amp/1
https://www.pib.gov.in/PressReleasePage.aspx?PRID=1570898&amp;lang=2&amp;reg=48</x:v>
      </x:c>
      <x:c r="O259" s="4" t="str">
        <x:v>Source 1: full
Source 2: full
Source 3: access detail is retained in the source catalogue.</x:v>
      </x:c>
      <x:c r="P259" s="20" t="n">
        <x:v>1</x:v>
      </x:c>
      <x:c r="Q259" s="4" t="str">
        <x:v>South Asia</x:v>
      </x:c>
      <x:c r="R259" s="4" t="str">
        <x:v>Included</x:v>
      </x:c>
    </x:row>
    <x:row r="260" ht="342" hidden="0" customHeight="1">
      <x:c r="A260" s="16" t="str">
        <x:v>SA017</x:v>
      </x:c>
      <x:c r="B260" s="4" t="str">
        <x:v>Pakistan suspends bilateral goods trade with India</x:v>
      </x:c>
      <x:c r="C260" s="4" t="str">
        <x:v>Pakistan; India</x:v>
      </x:c>
      <x:c r="D260" s="4" t="str">
        <x:v>Wagah / Attari and other bilateral goods channels
Bilateral imports and exports; land-trade component recorded</x:v>
      </x:c>
      <x:c r="E260" s="4" t="str">
        <x:v>Bilateral imports and exports; land-trade component recorded
Direction: Both directions
Exceptions: Therapeutic products exempted September 2; Afghan exports to India remained a distinct transit regime</x:v>
      </x:c>
      <x:c r="F260" s="4" t="str">
        <x:v>SA017-R1 — Formal policy
Pakistan's restriction on bilateral non-therapeutic goods trade with India, including land-route effect
Start: 2019-09-02.
Last confirmed: 2024-02-07. Reopening is not established.
Formal policy: confirmed through 2024-02-07; at least 1619 calendar-day difference; reopening unknown</x:v>
      </x:c>
      <x:c r="G260" s="4" t="str">
        <x:v>Interstate disputes and pressure / Territorial and frontier disputes
Reported reason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Reported reason
Applies to: Recorded episode; exact overlap not separately established
The recorded rationale and claim assessment support the selected subcategories. All applicable broad categories are retained together; no primary rationale is imposed.
Trade and protectionism / Import, export and production controls
Reported reason
Applies to: Recorded episode; exact overlap not separately established
The recorded rationale and claim assessment support the selected subcategories. All applicable broad categories are retained together; no primary rationale is imposed.
Interstate disputes and pressure / Sanctions and coercive pressure
Attributed official justification
Applies to: April 2021 continuation; overlap at other dates not established
Foreign minister conditions trade restoration on reversal of India’s August 5 Kashmir measures; applies to April 2021 continuation, with overlap at other dates unestablished.</x:v>
      </x:c>
      <x:c r="H260" s="4" t="str">
        <x:v>SA017-R1: Policy period, not no-traffic observation. Therapeutic goods and separate Afghan exports transit excluded; no pedestrian restriction inferred.</x:v>
      </x:c>
      <x:c r="I260" s="4" t="str">
        <x:v>Retained baseline assessment. Amended after source reconciliation</x:v>
      </x:c>
      <x:c r="J260" s="18" t="d">
        <x:v>2026-10-23T00:00:00.000Z</x:v>
      </x:c>
      <x:c r="K260" s="21" t="str">
        <x:f>IFERROR(HYPERLINK("https://www.na.gov.pk/uploads/documents/questions/1591619888_551.pdf","Pakistan National Assembly"),"Pakistan National Assembly")</x:f>
        <x:v>Pakistan National Assembly</x:v>
      </x:c>
      <x:c r="L260" s="21" t="str">
        <x:f>IFERROR(HYPERLINK("https://sansad.in/getFile/loksabhaquestions/annex/1715/AS61.pdf?source=pqals","Indian Commerce Ministry"),"Indian Commerce Ministry")</x:f>
        <x:v>Indian Commerce Ministry</x:v>
      </x:c>
      <x:c r="M260" s="21" t="str">
        <x:f>IFERROR(HYPERLINK("https://www.commerce.gov.pk/sros/","Pakistan Ministry of Commerce"),"Pakistan Ministry of Commerce")</x:f>
        <x:v>Pakistan Ministry of Commerce</x:v>
      </x:c>
      <x:c r="N260" s="4" t="str">
        <x:v>https://www.na.gov.pk/uploads/documents/questions/1591619888_551.pdf
https://sansad.in/getFile/loksabhaquestions/annex/1715/AS61.pdf?source=pqals
https://www.commerce.gov.pk/sros/
https://www.radio.gov.pk/02-04-2021/federal-cabinet-defers-eccs-proposal-for-cotton-sugar-import-from-india
https://www.radio.gov.pk/10-08-2019/govt-suspends-bilateral-trade-with-india-with-immediate-effect
https://mofa.gov.pk/transcript-of-the-press-briefing-by-spokesperson-on-thursday-16-july-2020
https://www.thenews.com.pk/print/1309130-india-trade-curbs-do-not-apply-to-drap-regulated-therapeutic-products</x:v>
      </x:c>
      <x:c r="O260" s="4" t="str">
        <x:v>Source 1: full
Source 2: full
Source 3: indexed excerpt</x:v>
      </x:c>
      <x:c r="P260" s="20" t="n">
        <x:v>1</x:v>
      </x:c>
      <x:c r="Q260" s="4" t="str">
        <x:v>South Asia</x:v>
      </x:c>
      <x:c r="R260" s="4" t="str">
        <x:v>Included</x:v>
      </x:c>
    </x:row>
    <x:row r="261" ht="258" hidden="0" customHeight="1">
      <x:c r="A261" s="16" t="str">
        <x:v>SA027</x:v>
      </x:c>
      <x:c r="B261" s="4" t="str">
        <x:v>India–China Himalayan border-trade suspension during COVID</x:v>
      </x:c>
      <x:c r="C261" s="4" t="str">
        <x:v>India; China</x:v>
      </x:c>
      <x:c r="D261" s="4" t="str">
        <x:v>Nathu La; Shipki La; Lipulekh
Local approved-goods trade at three designated passes</x:v>
      </x:c>
      <x:c r="E261" s="4" t="str">
        <x:v>Local approved-goods trade at three designated passes
Direction: Both directions
Exceptions: Not established</x:v>
      </x:c>
      <x:c r="F261" s="4" t="str">
        <x:v>SA027-REV1 — Formal policy
Nathu La/Sherethang trade-suspension phase from the affected May 2020 trading season to the formal opening of the 2026 season
Start: 2020-05-01 to 2020-05-31.
Policy endpoint: 2026-08-01.
Formal policy: 2253–2283 calendar-day difference; operational continuity not established</x:v>
      </x:c>
      <x:c r="G26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61" s="4" t="str">
        <x:v>Nathu La August 1 is formal reopening, with first trade planned for August 3 in that day's report. Lipulekh limited trader entry observed August 1 (16 traders and four staff, no goods), so its blanket unresolved wording can be refined. Shipki La departure reported, independent arrival not established. Seasonal intervals remain excluded from operational-day interpretation.
SA027-REV1: May bounds represent the affected trading-season onset, not the date of the March policy announcement or a verified first lost trading day. August 1 is formal reopening; August 3 first trade was still planned in that report. Routine winter and weekly closures are included in this policy span, so it is not operational closure-days. Nathu La/Sherethang only.</x:v>
      </x:c>
      <x:c r="I261" s="4" t="str">
        <x:v>Targeted source review (REC50-R02); retained with recorded qualifications; evidence limits retained.</x:v>
      </x:c>
      <x:c r="J261" s="18" t="d">
        <x:v>2026-10-25T00:00:00.000Z</x:v>
      </x:c>
      <x:c r="K261" s="21" t="str">
        <x:f>IFERROR(HYPERLINK("https://sansad.in/getFile/annex/268/AU2124_IPerlE.pdf?source=pqars","Rajya Sabha / Government of India"),"Rajya Sabha / Government of India")</x:f>
        <x:v>Rajya Sabha / Government of India</x:v>
      </x:c>
      <x:c r="L261" s="21" t="str">
        <x:f>IFERROR(HYPERLINK("https://www.sikkim.gov.in/media/news-announcement/news-info?name=Indo-China+Border+Trade+via+Nathula+Reopens+After+Six+Years","Government of Sikkim"),"Government of Sikkim")</x:f>
        <x:v>Government of Sikkim</x:v>
      </x:c>
      <x:c r="M261" s="21" t="str">
        <x:f>IFERROR(HYPERLINK("https://www.sikkim.gov.in/uploads/SikkimHerald/March_13_0_20200313.pdf","Government of Sikkim"),"Government of Sikkim")</x:f>
        <x:v>Government of Sikkim</x:v>
      </x:c>
      <x:c r="N261" s="4" t="str">
        <x:v>https://sansad.in/getFile/annex/268/AU2124_IPerlE.pdf?source=pqars
https://www.sikkim.gov.in/media/news-announcement/news-info?name=Indo-China+Border+Trade+via+Nathula+Reopens+After+Six+Years
https://www.sikkim.gov.in/uploads/SikkimHerald/March_13_0_20200313.pdf
https://www.indiatodayne.in/amp/breaking-news/story/coronavirus-foreign-nationals-banned-attending-bhumchu-festival-sikkim-406937-2020-03-07
https://eastmojo.com/sikkim/2026/08/01/indo-china-border-trade-from-nathula-reopens-traders-demand-more-items/
https://www.sikkim.gov.in/media/news-announcement/news-info?name=DG-cum-Secretary%2C+Health+Deptt+convened+a+press+conference+to+share+the+measures+taken+by+the+State+Government+to+prevent+the+outbreak+of+COVID-19+in+the+State
https://snu.edu.in/centres/centre-of-excellence-for-himalayan-studies/research/beyond-confidence-building-measures-cbms-nathula-cross-border-trade-from-the-perspective-of-the-border-traders/en/
https://newsonair.gov.in/india-china-border-trade-through-nathu-la-resumes-after-six-years/
https://www.business-standard.com/economy/news/india-china-border-trade-via-shipki-la-resumes-after-six-year-hiatus-126080100990_1.html
https://www.isas.nus.edu.sg/papers/reopening-china-india-border-trade-new-delhis-conundrum-on-the-border/
https://timesofindia.indiatimes.com/india/india-china-border-trade-resumes-after-6-years/articleshow/132796671.cms</x:v>
      </x:c>
      <x:c r="O261" s="4" t="str">
        <x:v>Source 1: indexed excerpt; full; full text
Source 2: indexed excerpt
Source 3: indexed excerpt; failed</x:v>
      </x:c>
      <x:c r="P261" s="20" t="n">
        <x:v>1</x:v>
      </x:c>
      <x:c r="Q261" s="4" t="str">
        <x:v>South Asia</x:v>
      </x:c>
      <x:c r="R261" s="4" t="str">
        <x:v>Included</x:v>
      </x:c>
    </x:row>
    <x:row r="262" ht="174" hidden="0" customHeight="1">
      <x:c r="A262" s="16" t="str">
        <x:v>SA028</x:v>
      </x:c>
      <x:c r="B262" s="4" t="str">
        <x:v>Khunjerab COVID closure extending beyond seasonal shutdown</x:v>
      </x:c>
      <x:c r="C262" s="4" t="str">
        <x:v>Pakistan; China</x:v>
      </x:c>
      <x:c r="D262" s="4" t="str">
        <x:v>Khunjerab, between Xinjiang and Pakistan-administered Gilgit-Baltistan
Ordinary passengers and two-way trade</x:v>
      </x:c>
      <x:c r="E262" s="4" t="str">
        <x:v>Ordinary passengers and two-way trade
Direction: Both directions
Exceptions: Temporary emergency personnel and goods openings; Chinese ministry reports two-way cargo resumed 1 April 2022 while ordinary passenger clearance resumed 3 April 2023.</x:v>
      </x:c>
      <x:c r="F262" s="4" t="str">
        <x:v>SA028-FU1 — Formal policy
Ordinary passenger entry/exit at Khunjerab Pass
Start: unknown.
Policy endpoint: 2023-04-03.
Formal policy: dated evidence; numeric duration withheld; see qualification</x:v>
      </x:c>
      <x:c r="G26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62" s="4" t="str">
        <x:v>SA028-FU1: Endpoint-only legal easing. Exact non-seasonal 2020 onset unknown; routine winters and exceptional pandemic passages preclude a continuous whole-border interval.
start: The exact non-seasonal onset remains unresolved; conflicting seasonal descriptions do not establish a single implementation day.
Current finding: China MFA April 3 2023 explicitly separates two-way cargo fromApril 1 2022 and passenger resumptionApril 3 2023, with multiple temporary exceptions and routine winter seasonality. Endpoint-only passenger permission is appropriate; a three-year continuously sealed border would be wrong.
duration: Official April 3 passenger-policy endpoint can be represented without assuming onset or uninterrupted physical closure.
continuity: No evidence establishes uninterrupted enforcement between the dated observations or actual lifting of an announced order.</x:v>
      </x:c>
      <x:c r="I262" s="4" t="str">
        <x:v>Full-record source audit (REC50-R40); retained with recorded qualifications; evidence limits retained.</x:v>
      </x:c>
      <x:c r="J262" s="18" t="d">
        <x:v>2026-10-25T00:00:00.000Z</x:v>
      </x:c>
      <x:c r="K262" s="21" t="str">
        <x:f>IFERROR(HYPERLINK("https://www.fmprc.gov.cn/nanhai/eng/fyrbt_1/202304/t20230403_11053729.htm","Ministry of Foreign Affairs of China"),"Ministry of Foreign Affairs of China")</x:f>
        <x:v>Ministry of Foreign Affairs of China</x:v>
      </x:c>
      <x:c r="L262" s="21" t="str">
        <x:f>IFERROR(HYPERLINK("https://tt.china-embassy.gov.cn/eng/zt/fyrth/202304/t20230403_11053729.htm","Chinese Ministry of Foreign Affairs"),"Chinese Ministry of Foreign Affairs")</x:f>
        <x:v>Chinese Ministry of Foreign Affairs</x:v>
      </x:c>
      <x:c r="M262" s="21" t="str">
        <x:f>IFERROR(HYPERLINK("https://www.app.com.pk/global/khunjerab-pass-opened-for-pak-china-trade-after-three-years/","APP"),"APP")</x:f>
        <x:v>APP</x:v>
      </x:c>
      <x:c r="N262" s="4" t="str">
        <x:v>https://www.fmprc.gov.cn/nanhai/eng/fyrbt_1/202304/t20230403_11053729.htm
https://tt.china-embassy.gov.cn/eng/zt/fyrth/202304/t20230403_11053729.htm
https://www.app.com.pk/global/khunjerab-pass-opened-for-pak-china-trade-after-three-years/
https://www.dawn.com/news/1571583
https://profit.pakistantoday.com.pk/2020/09/18/pak-china-khunjerab-border-reopened-till-30th/
https://www.radio.gov.pk/01-04-2023/khunjerab-pass-corridor-opens-today
https://www.app.com.pk/global/china-pakistan-border-post-in-xinjiang-resumes-passenger-clearance/
https://www.app.com.pk/global/khunjerab-pass-to-reopen-for-commercial-activities-from-april-01/
https://www.app.com.pk/global/khunjerab-pass-officially-resumes-passenger-crossing-by-monday-mao-ning/</x:v>
      </x:c>
      <x:c r="O262" s="4" t="str">
        <x:v>Source 1: full text
Source 2: full
Source 3: indexed excerpt</x:v>
      </x:c>
      <x:c r="P262" s="20" t="n">
        <x:v>1</x:v>
      </x:c>
      <x:c r="Q262" s="4" t="str">
        <x:v>South Asia</x:v>
      </x:c>
      <x:c r="R262" s="4" t="str">
        <x:v>Included</x:v>
      </x:c>
    </x:row>
    <x:row r="263" ht="150" hidden="0" customHeight="1">
      <x:c r="A263" s="16" t="str">
        <x:v>SA029</x:v>
      </x:c>
      <x:c r="B263" s="4" t="str">
        <x:v>China-side restrictions on Nepal-to-China exports at Rasuwagadhi</x:v>
      </x:c>
      <x:c r="C263" s="4" t="str">
        <x:v>China; Nepal</x:v>
      </x:c>
      <x:c r="D263" s="4" t="str">
        <x:v>Rasuwagadhi / Kerung
Nepal-to-China goods; China-to-Nepal flows resumed intermittently earlier</x:v>
      </x:c>
      <x:c r="E263" s="4" t="str">
        <x:v>Nepal-to-China goods; China-to-Nepal flows resumed intermittently earlier
Direction: Nepal to China
Exceptions: One-way Chinese exports to Nepal permitted during portions of interval</x:v>
      </x:c>
      <x:c r="F263" s="4" t="str">
        <x:v>SA029-D1 — Observed operation
Nepal-to-China export goods through Rasuwagadhi, to the documented December 27 export trucks.
Start: 2020-01-29.
Observed scoped reopening: 2022-12-27.
1063 calendar-day difference; scoped endpoint only</x:v>
      </x:c>
      <x:c r="G26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63" s="4" t="str">
        <x:v>SA029-D1: Intentional COVID restriction only; earlier snow disruption excluded. Direction is Nepal-to-China exports; reverse imports and later passenger resumption are different scopes.</x:v>
      </x:c>
      <x:c r="I263" s="4" t="str">
        <x:v>Retained baseline assessment. Amended after source reconciliation</x:v>
      </x:c>
      <x:c r="J263" s="18" t="d">
        <x:v>2026-10-23T00:00:00.000Z</x:v>
      </x:c>
      <x:c r="K263" s="21" t="str">
        <x:f>IFERROR(HYPERLINK("https://kathmandupost.com/national/2022/12/28/trade-through-the-kerung-rasuwagadhi-border-port-formally-resumes","Kathmandu Post"),"Kathmandu Post")</x:f>
        <x:v>Kathmandu Post</x:v>
      </x:c>
      <x:c r="L263" s="21" t="str">
        <x:f>IFERROR(HYPERLINK("https://kathmandupost.com/money/2022/09/15/china-to-release-all-stranded-cargo-trucks-by-sept-27","Kathmandu Post"),"Kathmandu Post")</x:f>
        <x:v>Kathmandu Post</x:v>
      </x:c>
      <x:c r="M263" s="21" t="str">
        <x:f>IFERROR(HYPERLINK("https://kathmandupost.com/money/2022/09/11/eight-containers-roll-into-nepal-as-china-opens-the-border-a-crack","Kathmandu Post"),"Kathmandu Post")</x:f>
        <x:v>Kathmandu Post</x:v>
      </x:c>
      <x:c r="N263" s="4" t="str">
        <x:v>https://kathmandupost.com/national/2022/12/28/trade-through-the-kerung-rasuwagadhi-border-port-formally-resumes
https://kathmandupost.com/money/2022/09/15/china-to-release-all-stranded-cargo-trucks-by-sept-27
https://kathmandupost.com/money/2022/09/11/eight-containers-roll-into-nepal-as-china-opens-the-border-a-crack
https://kathmandupost.com/money/2022/12/27/nepal-exports-through-rasuwagadhi-border-about-after-35-months
https://english.ratopati.com/story/13718
https://kathmandupost.com/2/2020/07/06/rasuwagadhi-kerung-border-opens-for-cargo-trucks
https://radionepalonline.com/en/2023/03/30/350306.html
https://radionepalonline.com/en/2023/04/01/350548.html</x:v>
      </x:c>
      <x:c r="O263" s="4" t="str">
        <x:v>Source 1: full page
Source 2: full page
Source 3: full page</x:v>
      </x:c>
      <x:c r="P263" s="20" t="n">
        <x:v>1</x:v>
      </x:c>
      <x:c r="Q263" s="4" t="str">
        <x:v>South Asia</x:v>
      </x:c>
      <x:c r="R263" s="4" t="str">
        <x:v>Included</x:v>
      </x:c>
    </x:row>
    <x:row r="264" ht="270" hidden="0" customHeight="1">
      <x:c r="A264" s="16" t="str">
        <x:v>SA003</x:v>
      </x:c>
      <x:c r="B264" s="4" t="str">
        <x:v>Chaman initial COVID closure</x:v>
      </x:c>
      <x:c r="C264" s="4" t="str">
        <x:v>Pakistan; Afghanistan</x:v>
      </x:c>
      <x:c r="D264" s="4" t="str">
        <x:v>Chaman / Spin Boldak
All traffic initially halted</x:v>
      </x:c>
      <x:c r="E264" s="4" t="str">
        <x:v>All traffic initially halted
Direction: Both directions
Exceptions: Passenger return windows and Saturday access differ from freight arrangements. May16 passage is observed in reporting; June20/22 later schedule is policy evidence. August21 local-access easing is separate.</x:v>
      </x:c>
      <x:c r="F264" s="4" t="str">
        <x:v>SA003-D1 — Observed operation
Food/essential-goods truck passage from Pakistan into Afghanistan through Chaman, to the first reported restored convoy.
Start: 2020-03-01 to 2020-03-02.
Observed scoped reopening: 2020-03-21.
19–20 calendar-day difference; scoped endpoint only
SA003-C7P1 — Intermittent regime
Chaman pedestrian eligibility restricted to scheduled Saturday access, with health conditions
Start: unknown.
Last confirmed: 2020-05-16. Reopening is not established.
Intermittent regime envelope; total closed days unknown
SA003-C7P2 — Formal policy
Reported August21 Chaman permission easing for local passenger/trader access
Start: unknown.
Policy endpoint: 2020-08-21.
Formal policy: dated evidence; numeric duration withheld; see qualification</x:v>
      </x:c>
      <x:c r="G26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64" s="4" t="str">
        <x:v>No uninterrupted March–August all-traffic closure is established. The existing March21 endpoint remains food/essential-goods freight only.
SA003-D1: The contemporary March 2 notice is preferred but the contrary day is not erased. Passenger return windows and later cargo schedules are separate; the initial planned March 9 expiry is not used.
SA003-C7P1: First start of this recurring arrangement is unknown. June20 announcement reiterates Saturday access but does not supply a later observed passenger-crossing day. Freight and exceptional returns are separate; do not infer continuous sealing.
SA003-C7P2: Prior Saturday and exceptional openings preclude an uninterrupted March–August closure. Retrieved text does not witness first restored crossing; retain this as permission evidence, with exact preceding onset unknown.</x:v>
      </x:c>
      <x:c r="I264" s="4" t="str">
        <x:v>Retained baseline assessment. Retained with recorded qualifications</x:v>
      </x:c>
      <x:c r="J264" s="18" t="d">
        <x:v>2026-10-23T00:00:00.000Z</x:v>
      </x:c>
      <x:c r="K264" s="21" t="str">
        <x:f>IFERROR(HYPERLINK("https://www.geo.tv/latest/275184-coronavirus-pakistan-closes-afghan-border-crossing-at-chaman-for-one-week","Geo News"),"Geo News")</x:f>
        <x:v>Geo News</x:v>
      </x:c>
      <x:c r="L264" s="21" t="str">
        <x:f>IFERROR(HYPERLINK("https://www.thenews.com.pk/latest/632420-amid-coronavirus-outbreak-pakistan-opens-border-with-afghanistan-to-permit-flow-of-goods","The News International"),"The News International")</x:f>
        <x:v>The News International</x:v>
      </x:c>
      <x:c r="M264" s="21" t="str">
        <x:f>IFERROR(HYPERLINK("https://www.radio.gov.pk/16-05-2020/govt-announces-opening-of-pak-afghan-border-at-torkham-chaman-posts","Radio Pakistan"),"Radio Pakistan")</x:f>
        <x:v>Radio Pakistan</x:v>
      </x:c>
      <x:c r="N264" s="4" t="str">
        <x:v>https://www.geo.tv/latest/275184-coronavirus-pakistan-closes-afghan-border-crossing-at-chaman-for-one-week
https://www.thenews.com.pk/latest/632420-amid-coronavirus-outbreak-pakistan-opens-border-with-afghanistan-to-permit-flow-of-goods
https://www.radio.gov.pk/16-05-2020/govt-announces-opening-of-pak-afghan-border-at-torkham-chaman-posts
https://tribune.com.pk/story/2223223/pakistan-reopens-chaman-torkham-border-trade
https://pid.gov.pk/site/press_detail/13953
https://wiki.unece.org/pages/viewpage.action?navigatingVersions=true&amp;pageId=177242625
https://www.rferl.org/a/pakistan-reopens-key-border-crossing-with-afghanistan/30796088.html
https://mofa.gov.pk/press-release-260
https://www.euaa.europa.eu/sites/default/files/publications/05_2020_EASO_COI_Report_Pakistan_Situation_of_Afghan_Refugees.pdf
https://www.brecorder.com/news/582378/chaman-border-reopened
https://www.mofa.gov.pk/press-release-260
https://mofa.gov.pk/press-releases/press-release-263
https://www.dawn.com/news/amp/1575955
https://www.geo.tv/latest/278438-pakistan-opens-border-with-afghanistan-despite-coronavirus-fears
https://www.radio.gov.pk/21-03-2020/pak-afghan-border-opened-for-transportation-of-food-items
https://tarziresearch.org/publications/attachment/1625908456attachment.pdf
https://wiki.unece.org/spaces/CTRBSBC/pages/101548494/Pakistan</x:v>
      </x:c>
      <x:c r="O264" s="4" t="str">
        <x:v>Source 1: full page
Source 2: full page
Source 3: full page</x:v>
      </x:c>
      <x:c r="P264" s="20" t="n">
        <x:v>3</x:v>
      </x:c>
      <x:c r="Q264" s="4" t="str">
        <x:v>South Asia</x:v>
      </x:c>
      <x:c r="R264" s="4" t="str">
        <x:v>Included</x:v>
      </x:c>
    </x:row>
    <x:row r="265" ht="138" hidden="0" customHeight="1">
      <x:c r="A265" s="16" t="str">
        <x:v>SA019</x:v>
      </x:c>
      <x:c r="B265" s="4" t="str">
        <x:v>India national COVID land-passenger restrictions</x:v>
      </x:c>
      <x:c r="C265" s="4" t="str">
        <x:v>India; Bangladesh; Nepal; Bhutan; Pakistan; Myanmar</x:v>
      </x:c>
      <x:c r="D265" s="4" t="str">
        <x:v>Immigration land check posts nationwide, with named exceptions
Passenger movements at non-exempt land immigration posts</x:v>
      </x:c>
      <x:c r="E265" s="4" t="str">
        <x:v>Passenger movements at non-exempt land immigration posts
Direction: Both directions
Exceptions: Specified posts remained operational; goods not covered by passenger ban</x:v>
      </x:c>
      <x:c r="F265" s="4" t="str">
        <x:v>SA019-FU1 — Formal policy
Land immigration posts within the March 23 all-107-post incoming-passenger policy; non-land posts excluded from this phase
Start: 2020-03-23.
Last confirmed: 2020-05-07. Reopening is not established.
Formal policy: dated evidence; numeric duration withheld; see qualification</x:v>
      </x:c>
      <x:c r="G26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65" s="4" t="str">
        <x:v>SA019-FU1: Censored formal policy phase, not continuous all-passenger operational closure. It is a later phase of the national policy, not the March 15/16 selected-post rule. No matched land reopening date inferred from eventual air resumption.
end: No matched repeal of the original selected-land-post restriction was found. Air and visa relaxations do not establish all-land reopening.
duration: A distinct subsequent March 23 incoming-passenger formal phase is evidenced through May 7, with exceptions; complete operational duration remains unavailable.</x:v>
      </x:c>
      <x:c r="I265" s="4" t="str">
        <x:v>Retained baseline assessment. Follow-up adjudicated; amend</x:v>
      </x:c>
      <x:c r="J265" s="18" t="d">
        <x:v>2026-10-23T00:00:00.000Z</x:v>
      </x:c>
      <x:c r="K265" s="21" t="str">
        <x:f>IFERROR(HYPERLINK("https://www.pib.gov.in/PressReleasePage.aspx?PRID=1609215&amp;lang=2&amp;reg=48","pib.gov.in"),"pib.gov.in")</x:f>
        <x:v>pib.gov.in</x:v>
      </x:c>
      <x:c r="L265" s="21" t="str">
        <x:f>IFERROR(HYPERLINK("https://www.pib.gov.in/Pressreleaseshare.aspx?PRID=1626100&amp;lang=2&amp;reg=48","pib.gov.in"),"pib.gov.in")</x:f>
        <x:v>pib.gov.in</x:v>
      </x:c>
      <x:c r="M265" s="21" t="str">
        <x:f>IFERROR(HYPERLINK("https://www.pib.gov.in/PressReleasePage.aspx?PRID=1609253&amp;lang=2&amp;reg=48","India PIB"),"India PIB")</x:f>
        <x:v>India PIB</x:v>
      </x:c>
      <x:c r="N265" s="4" t="str">
        <x:v>https://www.pib.gov.in/PressReleasePage.aspx?PRID=1609215&amp;lang=2&amp;reg=48
https://www.pib.gov.in/Pressreleaseshare.aspx?PRID=1626100&amp;lang=2&amp;reg=48
https://www.pib.gov.in/PressReleasePage.aspx?PRID=1609253&amp;lang=2&amp;reg=48
https://static.pib.gov.in/WriteReadData/userfiles/LCPs%20closed.pdf
https://indembkathmandu.gov.in/data-detail/642
https://www.asdma.gov.in/covid/GoI%20Circular/GUIDELINES/64.NewinstructionsDt14032020Restirctiononinternationalpassengertraffic.pdf
https://timesofindia.indiatimes.com/india/people-will-be-allowed-through-19-of-37-land-immigration-checkposts-govt/articleshow/74616311.cms
https://static.pib.gov.in/WriteReadData/userfiles/Closing%20of%20ICPs.jpg
https://www.pib.gov.in/PressReleasePage.aspx?PRID=1626100&amp;lang=2&amp;reg=48</x:v>
      </x:c>
      <x:c r="O265" s="4" t="str">
        <x:v>Source 1: access detail is retained in the source catalogue.
Source 2: access detail is retained in the source catalogue.
Source 3: indexed excerpt; full</x:v>
      </x:c>
      <x:c r="P265" s="20" t="n">
        <x:v>1</x:v>
      </x:c>
      <x:c r="Q265" s="4" t="str">
        <x:v>South Asia</x:v>
      </x:c>
      <x:c r="R265" s="4" t="str">
        <x:v>Included</x:v>
      </x:c>
    </x:row>
    <x:row r="266" ht="162" hidden="0" customHeight="1">
      <x:c r="A266" s="16" t="str">
        <x:v>SA004</x:v>
      </x:c>
      <x:c r="B266" s="4" t="str">
        <x:v>Torkham COVID closure and phased exceptions</x:v>
      </x:c>
      <x:c r="C266" s="4" t="str">
        <x:v>Pakistan; Afghanistan</x:v>
      </x:c>
      <x:c r="D266" s="4" t="str">
        <x:v>Torkham
Passenger and trade movement initially restricted</x:v>
      </x:c>
      <x:c r="E266" s="4" t="str">
        <x:v>Passenger and trade movement initially restricted
Direction: Both directions
Exceptions: Afghan returnees from Pakistan on 6–9 April; subsequent scheduled Pakistan-to-Afghanistan cargo. Later May schedule retained from baseline.</x:v>
      </x:c>
      <x:c r="F266" s="4" t="str">
        <x:v>SA004-D1 — Observed operation
Afghan nationals returning on foot from Pakistan through Torkham, to observed April 6 admission.
Start: 2020-03-16.
Observed scoped reopening: 2020-04-06.
21 calendar-day difference; scoped endpoint only</x:v>
      </x:c>
      <x:c r="G26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66" s="4" t="str">
        <x:v>SA004-D1: The planned two-week expiry is not used. Vehicles and ordinary unrestricted passenger travel were not restored; cargo resumed later on its own schedule. The imposing policy was Pakistani, not an Afghan closure order.</x:v>
      </x:c>
      <x:c r="I266" s="4" t="str">
        <x:v>Retained baseline assessment. Retained with recorded qualifications</x:v>
      </x:c>
      <x:c r="J266" s="18" t="d">
        <x:v>2026-10-23T00:00:00.000Z</x:v>
      </x:c>
      <x:c r="K266" s="21" t="str">
        <x:f>IFERROR(HYPERLINK("https://www.euaa.europa.eu/sites/default/files/publications/05_2020_EASO_COI_Report_Pakistan_Situation_of_Afghan_Refugees.pdf","EUAA / EASO"),"EUAA / EASO")</x:f>
        <x:v>EUAA / EASO</x:v>
      </x:c>
      <x:c r="L266" s="21" t="str">
        <x:f>IFERROR(HYPERLINK("https://mofa.gov.pk/press-release-260","Pakistan Ministry of Foreign Affairs"),"Pakistan Ministry of Foreign Affairs")</x:f>
        <x:v>Pakistan Ministry of Foreign Affairs</x:v>
      </x:c>
      <x:c r="M266" s="21" t="str">
        <x:f>IFERROR(HYPERLINK("https://www.radio.gov.pk/16-03-2020/pak-afghan-border-at-torkham-closed-for-two-weeks-as-preventive-measure-against-coronavirus","Radio Pakistan"),"Radio Pakistan")</x:f>
        <x:v>Radio Pakistan</x:v>
      </x:c>
      <x:c r="N266" s="4" t="str">
        <x:v>https://www.euaa.europa.eu/sites/default/files/publications/05_2020_EASO_COI_Report_Pakistan_Situation_of_Afghan_Refugees.pdf
https://mofa.gov.pk/press-release-260
https://www.radio.gov.pk/16-03-2020/pak-afghan-border-at-torkham-closed-for-two-weeks-as-preventive-measure-against-coronavirus
https://pajhwok.com/2020/04/06/thousands-flock-torkham-durand-line-reopens/
https://www.xinhuanet.com/english/2020-04/06/c_138951408.htm
https://www.arabnews.com/node/1656666/pakistan
https://www.radio.gov.pk/16-05-2020/govt-announces-opening-of-pak-afghan-border-at-torkham-chaman-posts
https://pid.gov.pk/site/press_detail/13953
https://data.unhcr.org/en/documents/download/76964
https://www.dawn.com/news/1582369/pedestrians-allowed-cross-border-movement-at-torkham</x:v>
      </x:c>
      <x:c r="O266" s="4" t="str">
        <x:v>Source 1: full PDF text
Source 2: search extract
Source 3: full page</x:v>
      </x:c>
      <x:c r="P266" s="20" t="n">
        <x:v>1</x:v>
      </x:c>
      <x:c r="Q266" s="4" t="str">
        <x:v>South Asia</x:v>
      </x:c>
      <x:c r="R266" s="4" t="str">
        <x:v>Included</x:v>
      </x:c>
    </x:row>
    <x:row r="267" ht="162" hidden="0" customHeight="1">
      <x:c r="A267" s="16" t="str">
        <x:v>SA020</x:v>
      </x:c>
      <x:c r="B267" s="4" t="str">
        <x:v>Bhutan COVID international land-crossing closure</x:v>
      </x:c>
      <x:c r="C267" s="4" t="str">
        <x:v>Bhutan; India</x:v>
      </x:c>
      <x:c r="D267" s="4" t="str">
        <x:v>International land gates to India
Ordinary cross-border travel</x:v>
      </x:c>
      <x:c r="E267" s="4" t="str">
        <x:v>Ordinary cross-border travel
Direction: Both directions
Exceptions: Bhutanese could enter with screening and two-week quarantine; foreigners could exit. Goods were outside this ordinary-travel record.</x:v>
      </x:c>
      <x:c r="F267" s="4" t="str">
        <x:v>SA020-D1 — Formal policy
National formal suspension/restoration framework for ordinary daily Indian border-town worker approvals, subject to local gate rollout.
Start: 2020-03-23.
Policy endpoint: 2022-09-23.
Formal policy: 914 calendar-day difference; operational continuity not established</x:v>
      </x:c>
      <x:c r="G26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67" s="4" t="str">
        <x:v>September 23, 2022 worker approvals are a national formal-policy endpoint, not every locality's reopening; Jomotshangkha dayworker access separately restored July 1, 2023.
SA020-D1: September 23, 2022 is national approval restoration, not every town's physical or legal reopening. Jomotshangkha dayworkers separately opened July 1, 2023. Earlier quarantined Bhutanese returns, foreign departures and imported resident-worker schemes are excluded.</x:v>
      </x:c>
      <x:c r="I267" s="4" t="str">
        <x:v>Retained baseline assessment. Amended after source reconciliation</x:v>
      </x:c>
      <x:c r="J267" s="18" t="d">
        <x:v>2026-10-23T00:00:00.000Z</x:v>
      </x:c>
      <x:c r="K267" s="21" t="str">
        <x:f>IFERROR(HYPERLINK("https://www.moha.gov.bt/?p=3199","moha.gov.bt"),"moha.gov.bt")</x:f>
        <x:v>moha.gov.bt</x:v>
      </x:c>
      <x:c r="L267" s="21" t="str">
        <x:f>IFERROR(HYPERLINK("https://www.moice.gov.bt/?p=260755","moice.gov.bt"),"moice.gov.bt")</x:f>
        <x:v>moice.gov.bt</x:v>
      </x:c>
      <x:c r="M267" s="21" t="str">
        <x:f>IFERROR(HYPERLINK("https://www.doi.gov.bt/?lang=en&amp;p=1732","doi.gov.bt"),"doi.gov.bt")</x:f>
        <x:v>doi.gov.bt</x:v>
      </x:c>
      <x:c r="N267" s="4" t="str">
        <x:v>https://www.moha.gov.bt/?p=3199
https://www.moice.gov.bt/?p=260755
https://www.doi.gov.bt/?lang=en&amp;p=1732
https://www.buddhistdoor.net/news/bhutan-announces-closure-of-border-crossings/
https://www.doi.gov.bt/?lang=en&amp;p=2085
https://www.moice.gov.bt/?et_blog=&amp;page_id=244011&amp;paged=7
https://www.moice.gov.bt/?p=266713
https://www.mfa.gov.bt/his-majestys-address-to-the-nation-on-22-march-2020/
https://www.doi.gov.bt/?lang=en&amp;p=1771
https://parliament.bt/uploads/topics/16920957308460.pdf
https://bhutan.travel/journal/news/bhutan-reopening
https://www.moice.gov.bt/?p=260761
https://www.moha.gov.bt/?p=4580</x:v>
      </x:c>
      <x:c r="O267" s="4" t="str">
        <x:v>Source 1: indexed excerpt
Source 2: indexed excerpt
Source 3: failed</x:v>
      </x:c>
      <x:c r="P267" s="20" t="n">
        <x:v>1</x:v>
      </x:c>
      <x:c r="Q267" s="4" t="str">
        <x:v>South Asia</x:v>
      </x:c>
      <x:c r="R267" s="4" t="str">
        <x:v>Included</x:v>
      </x:c>
    </x:row>
    <x:row r="268" ht="162" hidden="0" customHeight="1">
      <x:c r="A268" s="16" t="str">
        <x:v>SA021</x:v>
      </x:c>
      <x:c r="B268" s="4" t="str">
        <x:v>Nepal national COVID land-border closure</x:v>
      </x:c>
      <x:c r="C268" s="4" t="str">
        <x:v>Nepal; India; China</x:v>
      </x:c>
      <x:c r="D268" s="4" t="str">
        <x:v>All national land-border points
Cross-border passenger movement</x:v>
      </x:c>
      <x:c r="E268" s="4" t="str">
        <x:v>Cross-border passenger movement
Direction: Both directions
Exceptions: Emergency crossings and Nepalese Indian-Army pensioner windows occurred during closure. January 2021 easing retained foreign-entry permission requirements.</x:v>
      </x:c>
      <x:c r="F268" s="4" t="str">
        <x:v>SA021-R1 — Announced window
Initial cabinet schedule as announced for Nepal-side human movement across India and China land borders; essential goods excepted
Start: 2020-03-23.
Scheduled endpoint: 2020-03-30.
Ordered window: 7 calendar-day difference; actual end not established
SA021-C1 — Announced window
March 29 cabinet extension of Nepal-side ordinary passenger border seal, with stranded Nepalese return authorization and essential-goods exception
Start: 2020-03-29.
Scheduled endpoint: 2020-04-07.
Ordered window: 9 calendar-day difference; actual end not established</x:v>
      </x:c>
      <x:c r="G268" s="4" t="str">
        <x:v>Health and biosecurity / Human disease control
Attributed official justification
Applies to: Recorded episode; exact overlap not separately established
The recorded rationale and claim assessment support the selected subcategories. All applicable broad categories are retained together; no primary rationale is imposed.</x:v>
      </x:c>
      <x:c r="H268" s="4" t="str">
        <x:v>SA021-R1: Original one-week schedule from March 23 at 10:00 implies March 30 at 10:00; no actual opening or final policy expiry. March 29 cabinet report extends border seal to April 7 and authorizes stranded Nepalese returnees. This later amendment supersedes the initial schedule and must be shown as a linked phase; do not count initial schedule as observed closure.
SA021-C1: Amendment announcement window, overlapping and superseding SA021-R1; not observed closure-days, no actual April 7 reopening inferred, and authorized returns not assumed implemented everywhere.</x:v>
      </x:c>
      <x:c r="I268" s="4" t="str">
        <x:v>Full-record source audit (REC50-R05); retained with recorded qualifications; evidence limits retained.</x:v>
      </x:c>
      <x:c r="J268" s="18" t="d">
        <x:v>2026-10-25T00:00:00.000Z</x:v>
      </x:c>
      <x:c r="K268" s="21" t="str">
        <x:f>IFERROR(HYPERLINK("https://kathmandupost.com/2/2020/03/22/government-to-close-down-border-with-india-and-china-for-a-week","Kathmandu Post"),"Kathmandu Post")</x:f>
        <x:v>Kathmandu Post</x:v>
      </x:c>
      <x:c r="L268" s="21" t="str">
        <x:f>IFERROR(HYPERLINK("https://english.onlinekhabar.com/nepal-seals-all-border-points-for-one-week.html","OnlineKhabar"),"OnlineKhabar")</x:f>
        <x:v>OnlineKhabar</x:v>
      </x:c>
      <x:c r="M268" s="21" t="str">
        <x:f>IFERROR(HYPERLINK("https://english.onlinekhabar.com/nepal-extends-lockdown-until-april-7-international-flight-suspension-until-april-15.html","OnlineKhabar"),"OnlineKhabar")</x:f>
        <x:v>OnlineKhabar</x:v>
      </x:c>
      <x:c r="N268" s="4" t="str">
        <x:v>https://kathmandupost.com/2/2020/03/22/government-to-close-down-border-with-india-and-china-for-a-week
https://english.onlinekhabar.com/nepal-seals-all-border-points-for-one-week.html
https://english.onlinekhabar.com/nepal-extends-lockdown-until-april-7-international-flight-suspension-until-april-15.html
https://english.nepalpress.com/2021/01/30/nepal-india-border-reopened-with-restrictions/
https://thehimalayantimes.com/nepal/kakadbhitta-border-point-yet-to-open
https://timesofindia.indiatimes.com/city/dehradun/movement-across-india-nepal-border-along-ukhand-resumes-after-10-months-as-india-also-opens-its-side-of-suspension-bridges-at-border/articleshow/80712529.cms
https://pmc.ncbi.nlm.nih.gov/articles/PMC9321054/
https://kathmandupost.com/money/2021/10/01/nepal-reopens-border-to-overland-visitors-from-india</x:v>
      </x:c>
      <x:c r="O268" s="4" t="str">
        <x:v>Source 1: indexed excerpt; full
Source 2: indexed excerpt; full; full text
Source 3: full; full text</x:v>
      </x:c>
      <x:c r="P268" s="20" t="n">
        <x:v>2</x:v>
      </x:c>
      <x:c r="Q268" s="4" t="str">
        <x:v>South Asia</x:v>
      </x:c>
      <x:c r="R268" s="4" t="str">
        <x:v>Included</x:v>
      </x:c>
    </x:row>
    <x:row r="269" ht="78" hidden="0" customHeight="1">
      <x:c r="A269" s="16" t="str">
        <x:v>SA024</x:v>
      </x:c>
      <x:c r="B269" s="4" t="str">
        <x:v>Bangladesh restricts land passengers from India during COVID surge</x:v>
      </x:c>
      <x:c r="C269" s="4" t="str">
        <x:v>Bangladesh; India</x:v>
      </x:c>
      <x:c r="D269" s="4" t="str">
        <x:v>India-facing land ports
Passengers, especially entry from India</x:v>
      </x:c>
      <x:c r="E269" s="4" t="str">
        <x:v>Passengers, especially entry from India
Direction: Both directions
Exceptions: Goods continued; approved Bangladeshi returnees through designated ports with tests/quarantine</x:v>
      </x:c>
      <x:c r="F269" s="4" t="str">
        <x:v>SA024-D1 — Formal policy
Bangladesh's special-authorisation restriction on land-passenger admission at the six already-operating ports covered by the September 16 statement.
Start: 2021-04-26.
Policy endpoint: 2021-09-16.
Formal policy: 143 calendar-day difference; operational continuity not established</x:v>
      </x:c>
      <x:c r="G26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69" s="4" t="str">
        <x:v>SA024-D1: This measures an admission-permission regime, not physically sealed gates: authorised returnees and cargo already crossed. Five other ports had a later scheduled phase and are excluded; first ordinary traffic is not independently observed.</x:v>
      </x:c>
      <x:c r="I269" s="4" t="str">
        <x:v>Retained baseline assessment. Retained with recorded qualifications</x:v>
      </x:c>
      <x:c r="J269" s="18" t="d">
        <x:v>2026-10-23T00:00:00.000Z</x:v>
      </x:c>
      <x:c r="K269" s="21" t="str">
        <x:f>IFERROR(HYPERLINK("https://www.thedailystar.net/frontpage/news/border-india-shut-14-days-2083717","Daily Star"),"Daily Star")</x:f>
        <x:v>Daily Star</x:v>
      </x:c>
      <x:c r="L269" s="21" t="str">
        <x:f>IFERROR(HYPERLINK("https://www.thedailystar.net/nrb/departure-arrival/travel-advisory/news/bangladesh-lifts-restrictions-cross-border-travel-and-india-2177566","Daily Star"),"Daily Star")</x:f>
        <x:v>Daily Star</x:v>
      </x:c>
      <x:c r="M269" s="21" t="str">
        <x:f>IFERROR(HYPERLINK("https://www.aa.com.tr/en/asia-pacific/bangladesh-extends-border-lockdown-with-india/2251062","Anadolu"),"Anadolu")</x:f>
        <x:v>Anadolu</x:v>
      </x:c>
      <x:c r="N269" s="4" t="str">
        <x:v>https://www.thedailystar.net/frontpage/news/border-india-shut-14-days-2083717
https://www.thedailystar.net/nrb/departure-arrival/travel-advisory/news/bangladesh-lifts-restrictions-cross-border-travel-and-india-2177566
https://www.aa.com.tr/en/asia-pacific/bangladesh-extends-border-lockdown-with-india/2251062
https://www.unb.com.bd/category/Bangladesh/border-with-india-to-remain-shut-for-14-days-fm/68086</x:v>
      </x:c>
      <x:c r="O269" s="4" t="str">
        <x:v>Source 1: full page
Source 2: full page
Source 3: search extract</x:v>
      </x:c>
      <x:c r="P269" s="20" t="n">
        <x:v>1</x:v>
      </x:c>
      <x:c r="Q269" s="4" t="str">
        <x:v>South Asia</x:v>
      </x:c>
      <x:c r="R269" s="4" t="str">
        <x:v>Included</x:v>
      </x:c>
    </x:row>
    <x:row r="270" ht="162" hidden="0" customHeight="1">
      <x:c r="A270" s="16" t="str">
        <x:v>SA005</x:v>
      </x:c>
      <x:c r="B270" s="4" t="str">
        <x:v>Torkham renewed COVID passenger suspension</x:v>
      </x:c>
      <x:c r="C270" s="4" t="str">
        <x:v>Pakistan; Afghanistan</x:v>
      </x:c>
      <x:c r="D270" s="4" t="str">
        <x:v>Torkham
Immigration departures and arrivals</x:v>
      </x:c>
      <x:c r="E270" s="4" t="str">
        <x:v>Immigration departures and arrivals
Direction: Both directions
Exceptions: Cargo continued; student and specially permitted travel occurred during the broader restriction.</x:v>
      </x:c>
      <x:c r="F270" s="4" t="str">
        <x:v>SA005-D1 — Observed operation
Pakistani-side ordinary non-exempt Afghan passenger admission at Torkham during the renewed July restriction.
Start: 2021-07-06.
Observed scoped reopening: 2021-10-21.
107 calendar-day difference; scoped endpoint only</x:v>
      </x:c>
      <x:c r="G27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70" s="4" t="str">
        <x:v>SA005-D1: This selected tightening is not the original pandemic onset. Cargo, students, medical/specially authorised travellers and return-home movements are excluded. The Taliban's separate September pedestrian closure is not added to these overlapping policy days.</x:v>
      </x:c>
      <x:c r="I270" s="4" t="str">
        <x:v>Retained baseline assessment. Retained with recorded qualifications</x:v>
      </x:c>
      <x:c r="J270" s="18" t="d">
        <x:v>2026-10-23T00:00:00.000Z</x:v>
      </x:c>
      <x:c r="K270" s="21" t="str">
        <x:f>IFERROR(HYPERLINK("https://tribune.com.pk/story/2309069/torkham-border-shut-to-stem-covid-spread","Express Tribune"),"Express Tribune")</x:f>
        <x:v>Express Tribune</x:v>
      </x:c>
      <x:c r="L270" s="21" t="str">
        <x:f>IFERROR(HYPERLINK("https://www.dawn.com/news/1653248","Dawn"),"Dawn")</x:f>
        <x:v>Dawn</x:v>
      </x:c>
      <x:c r="M270" s="21" t="str">
        <x:f>IFERROR(HYPERLINK("https://www.pakistantoday.com.pk/2021/10/23/torkham-border-crossing-reopens","Pakistan Today"),"Pakistan Today")</x:f>
        <x:v>Pakistan Today</x:v>
      </x:c>
      <x:c r="N270" s="4" t="str">
        <x:v>https://tribune.com.pk/story/2309069/torkham-border-shut-to-stem-covid-spread
https://www.dawn.com/news/1653248
https://www.pakistantoday.com.pk/2021/10/23/torkham-border-crossing-reopens
https://www.khaama.com/torkham-border-closed-for-all-types-of-immigration-687678/
https://www.app.com.pk/national/pakistan-closes-torkham-border-due-to-covid-19-pandemic/
https://www.brecorder.com/news/40105592/torkham-border-sealed
https://u.aa.com.tr/en/asia-pacific/taliban-closes-afghanistans-main-crossing-point-with-pakistan-for-pedestrians/2363241
https://www.radio.gov.pk/13-10-2021/afghan-students-with-valid-visas-admissions-can-arrive-in-pakistan-via-torkham
https://pajhwok.com/2021/10/21/torkham-gate-reopens-for-visa-holders-after-long-closure/
https://pajhwok.com/2021/07/06/pakistan-closes-torkham-border-crossing/
https://www.dawn.com/news/1653248/pedestrian-movement-resumes-at-torkham-border</x:v>
      </x:c>
      <x:c r="O270" s="4" t="str">
        <x:v>Source 1: search-indexed full article; page blocked
Source 2: full page
Source 3: full page</x:v>
      </x:c>
      <x:c r="P270" s="20" t="n">
        <x:v>1</x:v>
      </x:c>
      <x:c r="Q270" s="4" t="str">
        <x:v>South Asia</x:v>
      </x:c>
      <x:c r="R270" s="4" t="str">
        <x:v>Included</x:v>
      </x:c>
    </x:row>
    <x:row r="271" ht="162" hidden="0" customHeight="1">
      <x:c r="A271" s="16" t="str">
        <x:v>SA007</x:v>
      </x:c>
      <x:c r="B271" s="4" t="str">
        <x:v>Taliban Chaman closure over entry-document dispute, August 2021</x:v>
      </x:c>
      <x:c r="C271" s="4" t="str">
        <x:v>Pakistan; Afghanistan</x:v>
      </x:c>
      <x:c r="D271" s="4" t="str">
        <x:v>Chaman / Spin Boldak
People and goods</x:v>
      </x:c>
      <x:c r="E271" s="4" t="str">
        <x:v>People and goods
Direction: Both directions
Exceptions: Not established</x:v>
      </x:c>
      <x:c r="F271" s="4" t="str">
        <x:v>SA007-D1 — Observed operation
Ordinary Afghan/Pakistani returnee pedestrian passage at Chaman during the Taliban document-dispute closure.
Start: 2021-08-06.
Observed scoped reopening: 2021-08-11 to 2021-08-13.
5–7 calendar-day difference; scoped endpoint only</x:v>
      </x:c>
      <x:c r="G271" s="4" t="str">
        <x:v>Migration / Admission and document disputes
Reported reason
Applies to: August 2021 Taliban closure
The recorded rationale and claim assessment support the selected subcategories. All applicable broad categories are retained together; no primary rationale is imposed.
Interstate disputes and pressure / Sanctions and coercive pressure
Attributed Taliban justification
Applies to: August 6 closure demand</x:v>
      </x:c>
      <x:c r="H271" s="4" t="str">
        <x:v>August 13 observed returnee resumption supported, but full August 11 report claims earlier actual reopening; retain conflict and bound first restoration August 11–13. Fresh Tribune also reports trucks crossing August 13.
SA007-D1: Reuters’s August 13 shot list/transcript supports returnee movement; its licensed footage was not independently viewed in this round. Geo explicitly reports August 11 actual pedestrian and trade restoration, while Dawn’s August 14 account describes an earlier reopening decision that was not implemented before Friday. The contradiction is preserved: first restoration remains bounded August 11–13, with no assertion of uninterrupted closure through August 13. Goods and unrestricted visitors remain outside this selected phase. The Tribune URL was inaccessible in the current request; earlier successful access is retained only as historical provenance.
end: Whether August 11 movement occurred or report prematurely described decision remains disputed.</x:v>
      </x:c>
      <x:c r="I271" s="4" t="str">
        <x:v>Targeted source review (REC50-R23); accepted qualification; evidence limits retained.</x:v>
      </x:c>
      <x:c r="J271" s="18" t="d">
        <x:v>2026-10-25T00:00:00.000Z</x:v>
      </x:c>
      <x:c r="K271" s="21" t="str">
        <x:f>IFERROR(HYPERLINK("https://www.geo.tv/latest/363861-taliban-close-border-with-pakistan-demand-pakistan-to-scrap-visa-requirements-for-afghans","Geo News"),"Geo News")</x:f>
        <x:v>Geo News</x:v>
      </x:c>
      <x:c r="L271" s="21" t="str">
        <x:f>IFERROR(HYPERLINK("https://www.reutersconnect.com/item/afghans-stranded-in-pakistan-cross-border-after-it-reopens/dGFnOnJldXRlcnMuY29tLDIwMjE6bmV3c21sX1ZBRVE0MzZNRg","Reuters Connect"),"Reuters Connect")</x:f>
        <x:v>Reuters Connect</x:v>
      </x:c>
      <x:c r="M271" s="21" t="str">
        <x:f>IFERROR(HYPERLINK("https://tribune.com.pk/story/2315543/chaman-border-reopens","The Express Tribune"),"The Express Tribune")</x:f>
        <x:v>The Express Tribune</x:v>
      </x:c>
      <x:c r="N271" s="4" t="str">
        <x:v>https://www.geo.tv/latest/363861-taliban-close-border-with-pakistan-demand-pakistan-to-scrap-visa-requirements-for-afghans
https://www.reutersconnect.com/item/afghans-stranded-in-pakistan-cross-border-after-it-reopens/dGFnOnJldXRlcnMuY29tLDIwMjE6bmV3c21sX1ZBRVE0MzZNRg
https://tribune.com.pk/story/2315543/chaman-border-reopens
https://www.geo.tv/latest/364655-pak-afghan-border-at-chaman-reopened-for-pedestrian-trade
https://www.dawn.com/news/amp/1640568
https://www.dawn.com/news/1640568/chaman-border-reopens-after-talks-with-taliban
https://www.thenews.com.pk/print/874273-pakistan-shuts-its-border-at-chaman</x:v>
      </x:c>
      <x:c r="O271" s="4" t="str">
        <x:v>Source 1: full page
Source 2: full text
Source 3: unavailable</x:v>
      </x:c>
      <x:c r="P271" s="20" t="n">
        <x:v>1</x:v>
      </x:c>
      <x:c r="Q271" s="4" t="str">
        <x:v>South Asia</x:v>
      </x:c>
      <x:c r="R271" s="4" t="str">
        <x:v>Included</x:v>
      </x:c>
    </x:row>
    <x:row r="272" ht="126" hidden="0" customHeight="1">
      <x:c r="A272" s="16" t="str">
        <x:v>SA006</x:v>
      </x:c>
      <x:c r="B272" s="4" t="str">
        <x:v>Taliban pedestrian closure at Torkham in September 2021</x:v>
      </x:c>
      <x:c r="C272" s="4" t="str">
        <x:v>Pakistan; Afghanistan</x:v>
      </x:c>
      <x:c r="D272" s="4" t="str">
        <x:v>Torkham
Pedestrian crossings</x:v>
      </x:c>
      <x:c r="E272" s="4" t="str">
        <x:v>Pedestrian crossings
Direction: Both directions
Exceptions: Goods continued; medical patients and onward evacuees admitted</x:v>
      </x:c>
      <x:c r="F272" s="4" t="str">
        <x:v>SA006-D1 — Observed operation
Stranded nationals' return-home pedestrian passage at Torkham during the brief Taliban interruption.
Start: 2021-09-13.
Observed scoped reopening: 2021-09-14.
1 calendar-day difference; scoped endpoint only</x:v>
      </x:c>
      <x:c r="G272" s="4" t="str">
        <x:v>Migration / Admission and document disputes
Reported reason
Applies to: September 13–14, 2021 Taliban closure
The recorded rationale and claim assessment support the selected subcategories. All applicable broad categories are retained together; no primary rationale is imposed.
Interstate disputes and pressure / Sanctions and coercive pressure
Reported reason attributed to local official
Applies to: September 13, 2021 closure</x:v>
      </x:c>
      <x:c r="H272" s="4" t="str">
        <x:v>SA006-D1: Trade, medical and evacuation exceptions are excluded. This one-calendar-date difference is not a measured 24 hours; unrestricted Afghan admission to Pakistan was not restored.</x:v>
      </x:c>
      <x:c r="I272" s="4" t="str">
        <x:v>Full-record source audit (REC50-R30); retained with recorded qualifications; evidence limits retained.</x:v>
      </x:c>
      <x:c r="J272" s="18" t="d">
        <x:v>2026-10-25T00:00:00.000Z</x:v>
      </x:c>
      <x:c r="K272" s="21" t="str">
        <x:f>IFERROR(HYPERLINK("https://www.aa.com.tr/en/asia-pacific/pakistan-reopens-border-with-afghanistan-for-pedestrians/2364348","Anadolu Agency"),"Anadolu Agency")</x:f>
        <x:v>Anadolu Agency</x:v>
      </x:c>
      <x:c r="L272" s="21" t="str">
        <x:f>IFERROR(HYPERLINK("https://u.aa.com.tr/en/asia-pacific/taliban-closes-afghanistans-main-crossing-point-with-pakistan-for-pedestrians/2363241","Anadolu Agency"),"Anadolu Agency")</x:f>
        <x:v>Anadolu Agency</x:v>
      </x:c>
      <x:c r="M272" s="21" t="str">
        <x:f>IFERROR(HYPERLINK("https://tribune.com.pk/story/2321659/taliban-reopen-torkham-border-after-brief-closure","The Express Tribune"),"The Express Tribune")</x:f>
        <x:v>The Express Tribune</x:v>
      </x:c>
      <x:c r="N272" s="4" t="str">
        <x:v>https://www.aa.com.tr/en/asia-pacific/pakistan-reopens-border-with-afghanistan-for-pedestrians/2364348
https://u.aa.com.tr/en/asia-pacific/taliban-closes-afghanistans-main-crossing-point-with-pakistan-for-pedestrians/2363241
https://tribune.com.pk/story/2321659/taliban-reopen-torkham-border-after-brief-closure
https://www.dawn.com/news/amp/1648029
https://www.anews.com.tr/middle-east/2021/09/14/pakistan-reopens-border-with-afghanistan-for-pedestrians
https://www.dawn.com/news/amp/1646234</x:v>
      </x:c>
      <x:c r="O272" s="4" t="str">
        <x:v>Source 1: full text
Source 2: full text
Source 3: unavailable</x:v>
      </x:c>
      <x:c r="P272" s="20" t="n">
        <x:v>1</x:v>
      </x:c>
      <x:c r="Q272" s="4" t="str">
        <x:v>South Asia</x:v>
      </x:c>
      <x:c r="R272" s="4" t="str">
        <x:v>Included</x:v>
      </x:c>
    </x:row>
    <x:row r="273" ht="282" hidden="0" customHeight="1">
      <x:c r="A273" s="16" t="str">
        <x:v>SA008</x:v>
      </x:c>
      <x:c r="B273" s="4" t="str">
        <x:v>Chaman October–November 2021 document-dispute closure</x:v>
      </x:c>
      <x:c r="C273" s="4" t="str">
        <x:v>Pakistan; Afghanistan</x:v>
      </x:c>
      <x:c r="D273" s="4" t="str">
        <x:v>Chaman / Spin Boldak
People and goods</x:v>
      </x:c>
      <x:c r="E273" s="4" t="str">
        <x:v>People and goods
Direction: Both directions
Exceptions: Brief medical-patient opening on October 24, followed by renewed closure.</x:v>
      </x:c>
      <x:c r="F273" s="4" t="str">
        <x:v>SA008-D1 — Observed operation
Commercial goods movement through Chaman during the October–November document dispute.
Start: 2021-10-05.
Observed scoped reopening: 2021-11-02.
28 calendar-day difference; scoped endpoint only</x:v>
      </x:c>
      <x:c r="G273" s="4" t="str">
        <x:v>Migration / Admission and document disputes
Reported reason
Applies to: Recorded episode; exact overlap not separately established
The existing rationale assessment also records Pakistani security and COVID concerns. These are retained alongside the admission-document dispute rather than suppressed by a single Migration label.
Security / Unspecified security
Reported reason
Applies to: Recorded episode; exact overlap not separately established
The existing rationale assessment also records Pakistani security and COVID concerns. These are retained alongside the admission-document dispute rather than suppressed by a single Migration label.
Health and biosecurity / Human disease control
Reported reason
Applies to: Recorded episode; exact overlap not separately established
The existing rationale assessment also records Pakistani security and COVID concerns. These are retained alongside the admission-document dispute rather than suppressed by a single Migration label.</x:v>
      </x:c>
      <x:c r="H273" s="4" t="str">
        <x:v>SA008-D1: The medical exception is not ignored but does not constitute commercial freight reopening. Initial imposing-side attribution remains contested. This is not an uninterrupted all-person closure or an adjudication of responsibility.</x:v>
      </x:c>
      <x:c r="I273" s="4" t="str">
        <x:v>Targeted source review (REC50-R34); retained with recorded qualifications; evidence limits retained.</x:v>
      </x:c>
      <x:c r="J273" s="18" t="d">
        <x:v>2026-10-25T00:00:00.000Z</x:v>
      </x:c>
      <x:c r="K273" s="21" t="str">
        <x:f>IFERROR(HYPERLINK("https://www.aa.com.tr/en/asia-pacific/key-pak-afghan-border-crossing-reopens/2409499","Anadolu Agency"),"Anadolu Agency")</x:f>
        <x:v>Anadolu Agency</x:v>
      </x:c>
      <x:c r="L273" s="21" t="str">
        <x:f>IFERROR(HYPERLINK("https://www.euronews.com/2021/10/26/us-afghanistan-conflict-pakistan-border","Euronews / Reuters"),"Euronews / Reuters")</x:f>
        <x:v>Euronews / Reuters</x:v>
      </x:c>
      <x:c r="M273" s="21" t="str">
        <x:f>IFERROR(HYPERLINK("https://www.rferl.org/a/afghanistan-pakistan-border-chaman-reopens/31541629.html","rferl.org"),"rferl.org")</x:f>
        <x:v>rferl.org</x:v>
      </x:c>
      <x:c r="N273" s="4" t="str">
        <x:v>https://www.aa.com.tr/en/asia-pacific/key-pak-afghan-border-crossing-reopens/2409499
https://www.euronews.com/2021/10/26/us-afghanistan-conflict-pakistan-border
https://www.rferl.org/a/afghanistan-pakistan-border-chaman-reopens/31541629.html</x:v>
      </x:c>
      <x:c r="O273" s="4" t="str">
        <x:v>Source 1: full text
Source 2: full text
Source 3: access detail is retained in the source catalogue.</x:v>
      </x:c>
      <x:c r="P273" s="20" t="n">
        <x:v>1</x:v>
      </x:c>
      <x:c r="Q273" s="4" t="str">
        <x:v>South Asia</x:v>
      </x:c>
      <x:c r="R273" s="4" t="str">
        <x:v>Included</x:v>
      </x:c>
    </x:row>
    <x:row r="274" ht="162" hidden="0" customHeight="1">
      <x:c r="A274" s="16" t="str">
        <x:v>SA022</x:v>
      </x:c>
      <x:c r="B274" s="4" t="str">
        <x:v>Nepal May 2022 election border-sealing order</x:v>
      </x:c>
      <x:c r="C274" s="4" t="str">
        <x:v>Nepal; India; China</x:v>
      </x:c>
      <x:c r="D274" s="4" t="str">
        <x:v>International border points
Cross-border movements</x:v>
      </x:c>
      <x:c r="E274" s="4" t="str">
        <x:v>Cross-border movements
Direction: Both directions
Exceptions: Emergency vehicles and government-authorized passage</x:v>
      </x:c>
      <x:c r="F274" s="4" t="str">
        <x:v>SA022-R1 — Announced window
Nepal-side international land border points covered by election directive
Start: 2022-05-10 to 2022-05-11.
Scheduled endpoint: 2022-05-13 to 2022-05-14.
Ordered window: 2–4 calendar-day difference; actual end not established
SA022-C7P1 — Observed operation
Sonauli–Belahiya non-exempt entry from India into Nepal during May2022 local elections
Start: 2022-05-10 to 2022-05-11.
Observed scoped reopening: 2022-05-13 to 2022-05-14.
Contested: dated evidence; numeric duration withheld; see qualification
Held evidence: excluded from numeric duration and animation displays.</x:v>
      </x:c>
      <x:c r="G274"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274" s="4" t="str">
        <x:v>SA022-R1: Start/end bounds are correlated interpretations of the same 72-hour schedule, not independent uncertainty or actual reopening. Emergency and authorised passage excluded.
SA022-C7P1: Emergency passage, Nepal-citizen entry and travel toward India were treated differently. Hindustan separately dates freight entry to May14 at10:00. Conflict retained; no nationwide endpoint inferred.
continuity: The election order supports a 72-hour schedule around May 10–14, with midnight wording retained as correlated bounds. Emergency permits were available. Actual completed reopening was not independently observed.</x:v>
      </x:c>
      <x:c r="I274" s="4" t="str">
        <x:v>Targeted source review (REC50-R09); completed with unresolved evidence; evidence limits retained.</x:v>
      </x:c>
      <x:c r="J274" s="18" t="d">
        <x:v>2026-10-25T00:00:00.000Z</x:v>
      </x:c>
      <x:c r="K274" s="21" t="str">
        <x:f>IFERROR(HYPERLINK("https://kathmandupost.com/national/2022/05/09/borders-to-be-sealed-for-72-hours-before-elections","The Kathmandu Post"),"The Kathmandu Post")</x:f>
        <x:v>The Kathmandu Post</x:v>
      </x:c>
      <x:c r="L274" s="21" t="str">
        <x:f>IFERROR(HYPERLINK("https://www.livehindustan.com/uttar-pradesh/maharajganj/story-indo-nepal-border-opened-after-72-hours-jammed-since-morning-6488257.html","Hindustan"),"Hindustan")</x:f>
        <x:v>Hindustan</x:v>
      </x:c>
      <x:c r="M274" s="21" t="str">
        <x:f>IFERROR(HYPERLINK("https://www.amarujala.com/gorakhpur/nepal-border-opened-after-three-days-movement-started-was-sealed-on-tuesday-due-to-elections?src=story-related-auto-amp","Amar Ujala"),"Amar Ujala")</x:f>
        <x:v>Amar Ujala</x:v>
      </x:c>
      <x:c r="N274" s="4" t="str">
        <x:v>https://kathmandupost.com/national/2022/05/09/borders-to-be-sealed-for-72-hours-before-elections
https://www.livehindustan.com/uttar-pradesh/maharajganj/story-indo-nepal-border-opened-after-72-hours-jammed-since-morning-6488257.html
https://www.amarujala.com/gorakhpur/nepal-border-opened-after-three-days-movement-started-was-sealed-on-tuesday-due-to-elections?src=story-related-auto-amp
https://english.ratopati.com/story/24472
https://english.nepalnews.com/s/nation/all-international-borders-checkpoints-closed/</x:v>
      </x:c>
      <x:c r="O274" s="4" t="str">
        <x:v>Source 1: indexed excerpt; full; full text
Source 2: full text
Source 3: full text</x:v>
      </x:c>
      <x:c r="P274" s="20" t="n">
        <x:v>2</x:v>
      </x:c>
      <x:c r="Q274" s="4" t="str">
        <x:v>South Asia</x:v>
      </x:c>
      <x:c r="R274" s="4" t="str">
        <x:v>Included</x:v>
      </x:c>
    </x:row>
    <x:row r="275" ht="78" hidden="0" customHeight="1">
      <x:c r="A275" s="16" t="str">
        <x:v>SA031</x:v>
      </x:c>
      <x:c r="B275" s="4" t="str">
        <x:v>Rasuwagadhi renewed China-side COVID cargo closure</x:v>
      </x:c>
      <x:c r="C275" s="4" t="str">
        <x:v>China; Nepal</x:v>
      </x:c>
      <x:c r="D275" s="4" t="str">
        <x:v>Rasuwagadhi / Kerung
Cargo from China to Nepal</x:v>
      </x:c>
      <x:c r="E275" s="4" t="str">
        <x:v>Cargo from China to Nepal
Direction: China to Nepal
Exceptions: Limited festival backlog shipments released September 15</x:v>
      </x:c>
      <x:c r="F275" s="4" t="str">
        <x:v>SA031-D1 — Observed operation
China-to-Nepal cargo at Rasuwagadhi during the renewed August COVID interruption, to first limited backlog release.
Start: 2022-08-06 to 2022-08-14.
Observed scoped reopening: 2022-09-15.
32–40 calendar-day difference; scoped endpoint only</x:v>
      </x:c>
      <x:c r="G27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75" s="4" t="str">
        <x:v>SA031-D1: The contradictory onset is not resolved. This is initial limited inbound cargo restoration, not two-way trade or passenger normalisation; Nepal-to-China exports remained restricted under a separate directional phase.</x:v>
      </x:c>
      <x:c r="I275" s="4" t="str">
        <x:v>Retained baseline assessment. Retained after bounded-date reconciliation</x:v>
      </x:c>
      <x:c r="J275" s="18" t="d">
        <x:v>2026-10-23T00:00:00.000Z</x:v>
      </x:c>
      <x:c r="K275" s="21" t="str">
        <x:f>IFERROR(HYPERLINK("https://english.onlinekhabar.com/tatopani-rasuwagadhi-border-closed.html","OnlineKhabar"),"OnlineKhabar")</x:f>
        <x:v>OnlineKhabar</x:v>
      </x:c>
      <x:c r="L275" s="21" t="str">
        <x:f>IFERROR(HYPERLINK("https://kathmandupost.com/money/2022/09/15/china-to-release-all-stranded-cargo-trucks-by-sept-27","Kathmandu Post"),"Kathmandu Post")</x:f>
        <x:v>Kathmandu Post</x:v>
      </x:c>
      <x:c r="M275" s="21" t="str">
        <x:f>IFERROR(HYPERLINK("https://english.onlinekhabar.com/tatopani-rasuwagadi-border-point-open.html","english.onlinekhabar.com"),"english.onlinekhabar.com")</x:f>
        <x:v>english.onlinekhabar.com</x:v>
      </x:c>
      <x:c r="N275" s="4" t="str">
        <x:v>https://english.onlinekhabar.com/tatopani-rasuwagadhi-border-closed.html
https://kathmandupost.com/money/2022/09/15/china-to-release-all-stranded-cargo-trucks-by-sept-27
https://english.onlinekhabar.com/tatopani-rasuwagadi-border-point-open.html</x:v>
      </x:c>
      <x:c r="O275" s="4" t="str">
        <x:v>Source 1: full page
Source 2: full page
Source 3: access detail is retained in the source catalogue.</x:v>
      </x:c>
      <x:c r="P275" s="20" t="n">
        <x:v>1</x:v>
      </x:c>
      <x:c r="Q275" s="4" t="str">
        <x:v>South Asia</x:v>
      </x:c>
      <x:c r="R275" s="4" t="str">
        <x:v>Included</x:v>
      </x:c>
    </x:row>
    <x:row r="276" ht="78" hidden="0" customHeight="1">
      <x:c r="A276" s="16" t="str">
        <x:v>SA030</x:v>
      </x:c>
      <x:c r="B276" s="4" t="str">
        <x:v>Tatopani renewed China-side COVID cargo closure</x:v>
      </x:c>
      <x:c r="C276" s="4" t="str">
        <x:v>China; Nepal</x:v>
      </x:c>
      <x:c r="D276" s="4" t="str">
        <x:v>Tatopani / Zhangmu
Cargo from China to Nepal</x:v>
      </x:c>
      <x:c r="E276" s="4" t="str">
        <x:v>Cargo from China to Nepal
Direction: China to Nepal
Exceptions: Stranded festival consignments released from September 10</x:v>
      </x:c>
      <x:c r="F276" s="4" t="str">
        <x:v>SA030-D1 — Observed operation
Admission of stranded China-to-Nepal festival cargo at Tatopani, to the first limited backlog release.
Start: 2022-08-10.
Observed scoped reopening: 2022-09-10.
31 calendar-day difference; scoped endpoint only</x:v>
      </x:c>
      <x:c r="G27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76" s="4" t="str">
        <x:v>SA030-D1: Officials explicitly denied general reopening. The endpoint concerns the first limited backlog consignments only, not new unrestricted trade, passengers or the opposite direction.</x:v>
      </x:c>
      <x:c r="I276" s="4" t="str">
        <x:v>Retained baseline assessment. Retained with recorded qualifications</x:v>
      </x:c>
      <x:c r="J276" s="18" t="d">
        <x:v>2026-10-23T00:00:00.000Z</x:v>
      </x:c>
      <x:c r="K276" s="21" t="str">
        <x:f>IFERROR(HYPERLINK("https://english.onlinekhabar.com/tatopani-rasuwagadhi-border-closed.html","OnlineKhabar"),"OnlineKhabar")</x:f>
        <x:v>OnlineKhabar</x:v>
      </x:c>
      <x:c r="L276" s="21" t="str">
        <x:f>IFERROR(HYPERLINK("https://kathmandupost.com/money/2022/09/11/eight-containers-roll-into-nepal-as-china-opens-the-border-a-crack","Kathmandu Post"),"Kathmandu Post")</x:f>
        <x:v>Kathmandu Post</x:v>
      </x:c>
      <x:c r="M276" s="21" t="str">
        <x:f>IFERROR(HYPERLINK("https://english.onlinekhabar.com/tatopani-rasuwagadi-border-point-open.html","english.onlinekhabar.com"),"english.onlinekhabar.com")</x:f>
        <x:v>english.onlinekhabar.com</x:v>
      </x:c>
      <x:c r="N276" s="4" t="str">
        <x:v>https://english.onlinekhabar.com/tatopani-rasuwagadhi-border-closed.html
https://kathmandupost.com/money/2022/09/11/eight-containers-roll-into-nepal-as-china-opens-the-border-a-crack
https://english.onlinekhabar.com/tatopani-rasuwagadi-border-point-open.html</x:v>
      </x:c>
      <x:c r="O276" s="4" t="str">
        <x:v>Source 1: full page
Source 2: full page
Source 3: access detail is retained in the source catalogue.</x:v>
      </x:c>
      <x:c r="P276" s="20" t="n">
        <x:v>1</x:v>
      </x:c>
      <x:c r="Q276" s="4" t="str">
        <x:v>South Asia</x:v>
      </x:c>
      <x:c r="R276" s="4" t="str">
        <x:v>Included</x:v>
      </x:c>
    </x:row>
    <x:row r="277" ht="126" hidden="0" customHeight="1">
      <x:c r="A277" s="16" t="str">
        <x:v>SA009</x:v>
      </x:c>
      <x:c r="B277" s="4" t="str">
        <x:v>Chaman closure after security-guard shooting</x:v>
      </x:c>
      <x:c r="C277" s="4" t="str">
        <x:v>Pakistan; Afghanistan</x:v>
      </x:c>
      <x:c r="D277" s="4" t="str">
        <x:v>Chaman / Spin Boldak main Friendship Gate
People and goods</x:v>
      </x:c>
      <x:c r="E277" s="4" t="str">
        <x:v>People and goods
Direction: Both directions
Exceptions: Emergency-route repatriation occurred during the main-gate closure.</x:v>
      </x:c>
      <x:c r="F277" s="4" t="str">
        <x:v>SA009-D1 — Observed operation
People and goods in both directions through Chaman Friendship Gate only; separate emergency-route repatriation excluded.
Start: 2022-11-13.
Observed scoped reopening: 2022-11-21.
8 calendar-day difference; scoped endpoint only</x:v>
      </x:c>
      <x:c r="G277"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277" s="4" t="str">
        <x:v>SA009-D1: Responsibility disputed. Interval covers Friendship Gate alone. Emergency-route repatriation occurred during the main-gate closure.</x:v>
      </x:c>
      <x:c r="I277" s="4" t="str">
        <x:v>Retained baseline assessment. Amended after source reconciliation</x:v>
      </x:c>
      <x:c r="J277" s="18" t="d">
        <x:v>2026-10-23T00:00:00.000Z</x:v>
      </x:c>
      <x:c r="K277" s="21" t="str">
        <x:f>IFERROR(HYPERLINK("https://www.radio.gov.pk/21-11-2022/pak-afghan-border-crossing-bab-e-dosti-at-chaman-reopens","Radio Pakistan"),"Radio Pakistan")</x:f>
        <x:v>Radio Pakistan</x:v>
      </x:c>
      <x:c r="L277" s="21" t="str">
        <x:f>IFERROR(HYPERLINK("https://www.aljazeera.com/news/2022/11/21/pakistan-reopens-border-crossing-with-afghanistan-after-shooting","Al Jazeera"),"Al Jazeera")</x:f>
        <x:v>Al Jazeera</x:v>
      </x:c>
      <x:c r="M277" s="21" t="str">
        <x:f>IFERROR(HYPERLINK("https://www.dawn.com/news/1721182","Dawn"),"Dawn")</x:f>
        <x:v>Dawn</x:v>
      </x:c>
      <x:c r="N277" s="4" t="str">
        <x:v>https://www.radio.gov.pk/21-11-2022/pak-afghan-border-crossing-bab-e-dosti-at-chaman-reopens
https://www.aljazeera.com/news/2022/11/21/pakistan-reopens-border-crossing-with-afghanistan-after-shooting
https://www.dawn.com/news/1721182
https://mobil.aa.com.tr/en/asia-pacific/pakistani-afghan-border-gate-reopened-after-over-a-week/2743828
https://spectrumnews1.com/wi/madison/ap-online/2022/11/21/pakistan-reopens-border-with-afghanistan-shut-over-shooting
https://www.dawn.com/news/amp/1722146
https://www.radio.gov.pk/21-11-2022/bab-e-dosti-reopened-for-pedestrians-other-trade-activities</x:v>
      </x:c>
      <x:c r="O277" s="4" t="str">
        <x:v>Source 1: full page
Source 2: full page
Source 3: full page</x:v>
      </x:c>
      <x:c r="P277" s="20" t="n">
        <x:v>1</x:v>
      </x:c>
      <x:c r="Q277" s="4" t="str">
        <x:v>South Asia</x:v>
      </x:c>
      <x:c r="R277" s="4" t="str">
        <x:v>Included</x:v>
      </x:c>
    </x:row>
    <x:row r="278" ht="162" hidden="0" customHeight="1">
      <x:c r="A278" s="16" t="str">
        <x:v>SA023</x:v>
      </x:c>
      <x:c r="B278" s="4" t="str">
        <x:v>Nepal November 2022 election border-sealing arrangements</x:v>
      </x:c>
      <x:c r="C278" s="4" t="str">
        <x:v>Nepal; India</x:v>
      </x:c>
      <x:c r="D278" s="4" t="str">
        <x:v>India–Nepal crossings, documented Rupandehi region and Uttarakhand
Cross-border passage</x:v>
      </x:c>
      <x:c r="E278" s="4" t="str">
        <x:v>Cross-border passage
Direction: Both directions
Exceptions: Belahiya November 19 public movement after checks, patients and essential goods permitted; polling-day full suspension announced.</x:v>
      </x:c>
      <x:c r="F278" s="4" t="str">
        <x:v>SA023-R1 — Announced window
Rupandehi, Kapilvastu and Nawalparasi West / adjoining Indian districts represented in joint meeting
Start: 2022-11-18.
Scheduled endpoint: 2022-11-20 to 2022-11-21.
Ordered window: 2–3 calendar-day difference; actual end not established</x:v>
      </x:c>
      <x:c r="G278"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278" s="4" t="str">
        <x:v>SA023-R1: Scheduled local three-day agreement only; end through November 20 or midnight into November 21. At Belahiya November 19, public crossing after checks and patient/essential-goods passage were reported; full suspension on polling day remained announced. Do not infer observed uninterrupted closure or conflate Uttarakhand.
continuity: The November 18 election order covers specified border districts. November 19 reporting describes crossings after checks despite the announcement; continuous total sealing and completed November 21 reopening are not demonstrated.</x:v>
      </x:c>
      <x:c r="I278" s="4" t="str">
        <x:v>Retained baseline assessment. Correction pass: reviewed; see attribute findings</x:v>
      </x:c>
      <x:c r="J278" s="18" t="d">
        <x:v>2026-10-23T00:00:00.000Z</x:v>
      </x:c>
      <x:c r="K278" s="21" t="str">
        <x:f>IFERROR(HYPERLINK("https://kathmandupost.com/national/2022/11/05/nepal-india-border-to-close-for-three-days","Kathmandu Post"),"Kathmandu Post")</x:f>
        <x:v>Kathmandu Post</x:v>
      </x:c>
      <x:c r="L278" s="21" t="str">
        <x:f>IFERROR(HYPERLINK("https://risingnepaldaily.com/news/18775","risingnepaldaily.com"),"risingnepaldaily.com")</x:f>
        <x:v>risingnepaldaily.com</x:v>
      </x:c>
      <x:c r="M278" s="21" t="str">
        <x:f>IFERROR(HYPERLINK("https://www.ndtv.com/india-news/uttarakhand-nepal-border-to-be-sealed-during-polls-in-the-himalayan-nation-3530204","NDTV / PTI"),"NDTV / PTI")</x:f>
        <x:v>NDTV / PTI</x:v>
      </x:c>
      <x:c r="N278" s="4" t="str">
        <x:v>https://kathmandupost.com/national/2022/11/05/nepal-india-border-to-close-for-three-days
https://risingnepaldaily.com/news/18775
https://www.ndtv.com/india-news/uttarakhand-nepal-border-to-be-sealed-during-polls-in-the-himalayan-nation-3530204
https://kathmandupost.com/2/2022/11/05/nepal-india-border-to-close-for-three-days
https://www.hamropatro.com/en/news/detail/278246690602837</x:v>
      </x:c>
      <x:c r="O278" s="4" t="str">
        <x:v>Source 1: full
Source 2: access detail is retained in the source catalogue.
Source 3: full</x:v>
      </x:c>
      <x:c r="P278" s="20" t="n">
        <x:v>1</x:v>
      </x:c>
      <x:c r="Q278" s="4" t="str">
        <x:v>South Asia</x:v>
      </x:c>
      <x:c r="R278" s="4" t="str">
        <x:v>Included</x:v>
      </x:c>
    </x:row>
    <x:row r="279" ht="198" hidden="0" customHeight="1">
      <x:c r="A279" s="16" t="str">
        <x:v>SA010</x:v>
      </x:c>
      <x:c r="B279" s="4" t="str">
        <x:v>Torkham February 2023 unilateral closure and delayed bilateral reopening</x:v>
      </x:c>
      <x:c r="C279" s="4" t="str">
        <x:v>Pakistan; Afghanistan</x:v>
      </x:c>
      <x:c r="D279" s="4" t="str">
        <x:v>Torkham
Trade, transit and pedestrians</x:v>
      </x:c>
      <x:c r="E279" s="4" t="str">
        <x:v>Trade, transit and pedestrians
Direction: Both directions
Exceptions: Brief reopening followed by reclosure on 23 February; two-way pedestrian passage reported from 15:00 on 24 February while trade remained suspended.</x:v>
      </x:c>
      <x:c r="F279" s="4" t="str">
        <x:v>SA010-R1 — Observed operation
Initial Torkham ordinary commercial freight closure ending in the reported brief perishable-cargo opening
Start: 2023-02-19.
Observed scoped reopening: 2023-02-23.
4 calendar-day difference; scoped endpoint only
SA010-R2 — Observed operation
Torkham freight reclosure after brief Thursday opening
Start: 2023-02-23.
Observed scoped reopening: 2023-02-25.
2 calendar-day difference; scoped endpoint only</x:v>
      </x:c>
      <x:c r="G279" s="4" t="str">
        <x:v>Migration / Admission and document disputes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79" s="4" t="str">
        <x:v>SA010-R1: AP documents some freight passage February 23; do not infer pedestrians reopened then. Anadolu disputes Pakistani acceptance of the Thursday opening. Partial cargo endpoint only, followed by reclosure.
SA010-R2: Within-day start hour unknown; excludes earlier Thursday truck passage and Friday pedestrians.</x:v>
      </x:c>
      <x:c r="I279" s="4" t="str">
        <x:v>Retained baseline assessment. Retained with recorded qualifications</x:v>
      </x:c>
      <x:c r="J279" s="18" t="d">
        <x:v>2026-10-23T00:00:00.000Z</x:v>
      </x:c>
      <x:c r="K279" s="21" t="str">
        <x:f>IFERROR(HYPERLINK("https://apnews.com/article/3a6fe9d261894e7611084eae8d176413","Associated Press"),"Associated Press")</x:f>
        <x:v>Associated Press</x:v>
      </x:c>
      <x:c r="L279" s="21" t="str">
        <x:f>IFERROR(HYPERLINK("https://www.rferl.org/a/taliban-reopens-pakistan-border-crossing-torkham/32284536.html","RFE/RL Radio Azadi"),"RFE/RL Radio Azadi")</x:f>
        <x:v>RFE/RL Radio Azadi</x:v>
      </x:c>
      <x:c r="M279" s="21" t="str">
        <x:f>IFERROR(HYPERLINK("https://toronto.citynews.ca/2023/02/25/trade-resumes-as-pakistan-afghanistan-reopen-torkham-border/","CityNews / AP"),"CityNews / AP")</x:f>
        <x:v>CityNews / AP</x:v>
      </x:c>
      <x:c r="N279" s="4" t="str">
        <x:v>https://apnews.com/article/3a6fe9d261894e7611084eae8d176413
https://www.rferl.org/a/taliban-reopens-pakistan-border-crossing-torkham/32284536.html
https://toronto.citynews.ca/2023/02/25/trade-resumes-as-pakistan-afghanistan-reopen-torkham-border/
https://www.arabnews.pk/pakistan/pakistan-temporarily-reopens-torkham-border-for-pedestrians-keeps-it-closed-for-trade-2257391
https://www.ksat.com/news/world/2023/02/23/afghanistahns-taliban-reopen-key-trade-route-with-pakistan/
https://www.aa.com.tr/en/asia-pacific/pakistan-reopens-key-border-crossing-with-afghanistan/2830762
https://hk.marketscreener.com/news/latest/Thousands-of-trucks-stuck-at-Afghan-Pakistan-border-crossing-43038424/
https://www.digitaljournal.com/world/trade-resumes-as-key-afghan-border-crossing-with-pakistan-reopens/article
https://apnews.com/article/1ae628acfaee3b401153d3372bc32ade
https://amu.tv/37400/</x:v>
      </x:c>
      <x:c r="O279" s="4" t="str">
        <x:v>Source 1: indexed excerpt; failed
Source 2: indexed excerpt
Source 3: indexed excerpt; full</x:v>
      </x:c>
      <x:c r="P279" s="20" t="n">
        <x:v>2</x:v>
      </x:c>
      <x:c r="Q279" s="4" t="str">
        <x:v>South Asia</x:v>
      </x:c>
      <x:c r="R279" s="4" t="str">
        <x:v>Included</x:v>
      </x:c>
    </x:row>
    <x:row r="280" ht="162" hidden="0" customHeight="1">
      <x:c r="A280" s="16" t="str">
        <x:v>SA011</x:v>
      </x:c>
      <x:c r="B280" s="4" t="str">
        <x:v>Torkham September 2023 clash-related closure</x:v>
      </x:c>
      <x:c r="C280" s="4" t="str">
        <x:v>Pakistan; Afghanistan</x:v>
      </x:c>
      <x:c r="D280" s="4" t="str">
        <x:v>Torkham
People and goods</x:v>
      </x:c>
      <x:c r="E280" s="4" t="str">
        <x:v>People and goods
Direction: Both directions
Exceptions: Not established</x:v>
      </x:c>
      <x:c r="F280" s="4" t="str">
        <x:v>SA011-D1 — Observed operation
People and goods; People and goods; Both directions
Start: 2023-09-06.
Observed scoped reopening: 2023-09-15.
9 calendar-day difference; scoped endpoint only</x:v>
      </x:c>
      <x:c r="G280"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Territorial and frontier disputes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80" s="4" t="str">
        <x:v>SA011-D1: Responsibility for construction violation disputed; closure occurrence and reopening better established than initiating blame. Not established</x:v>
      </x:c>
      <x:c r="I280" s="4" t="str">
        <x:v>Retained baseline assessment. Retained with recorded qualifications</x:v>
      </x:c>
      <x:c r="J280" s="18" t="d">
        <x:v>2026-10-23T00:00:00.000Z</x:v>
      </x:c>
      <x:c r="K280" s="21" t="str">
        <x:f>IFERROR(HYPERLINK("https://www.brecorder.com/news/40263404/main-afghanistan-pakistan-border-crossing-reopens-after-nine-day-closure","Business Recorder"),"Business Recorder")</x:f>
        <x:v>Business Recorder</x:v>
      </x:c>
      <x:c r="L280" s="21" t="str">
        <x:f>IFERROR(HYPERLINK("https://apnews.com/article/87a7663901de1e41d0fc6d2ee87318aa","Associated Press"),"Associated Press")</x:f>
        <x:v>Associated Press</x:v>
      </x:c>
      <x:c r="M280" s="21" t="str">
        <x:f>IFERROR(HYPERLINK("https://www.brecorder.com/news/40261917/border-gunfight-shuts-crossing-between-afghanistan-and-pakistan","Business Recorder"),"Business Recorder")</x:f>
        <x:v>Business Recorder</x:v>
      </x:c>
      <x:c r="N280" s="4" t="str">
        <x:v>https://www.brecorder.com/news/40263404/main-afghanistan-pakistan-border-crossing-reopens-after-nine-day-closure
https://apnews.com/article/87a7663901de1e41d0fc6d2ee87318aa
https://www.brecorder.com/news/40261917/border-gunfight-shuts-crossing-between-afghanistan-and-pakistan
https://www.app.com.pk/domestic/torkham-border-reopened-after-closure-of-ten-days/</x:v>
      </x:c>
      <x:c r="O280" s="4" t="str">
        <x:v>Source 1: full page
Source 2: search extract
Source 3: body</x:v>
      </x:c>
      <x:c r="P280" s="20" t="n">
        <x:v>1</x:v>
      </x:c>
      <x:c r="Q280" s="4" t="str">
        <x:v>South Asia</x:v>
      </x:c>
      <x:c r="R280" s="4" t="str">
        <x:v>Included</x:v>
      </x:c>
    </x:row>
    <x:row r="281" ht="282" hidden="0" customHeight="1">
      <x:c r="A281" s="16" t="str">
        <x:v>SA013</x:v>
      </x:c>
      <x:c r="B281" s="4" t="str">
        <x:v>Chaman protest-related truck closure and phased restoration</x:v>
      </x:c>
      <x:c r="C281" s="4" t="str">
        <x:v>Pakistan; Afghanistan</x:v>
      </x:c>
      <x:c r="D281" s="4" t="str">
        <x:v>Chaman / Spin Boldak
Truck movements blocked; local passenger movement also disrupted</x:v>
      </x:c>
      <x:c r="E281" s="4" t="str">
        <x:v>Truck movements blocked; local passenger movement also disrupted
Direction: Both directions
Exceptions: Some documented trade resumption by 3 March 2024; passenger crossings observed July 22–23</x:v>
      </x:c>
      <x:c r="F281" s="4" t="str">
        <x:v>SA013-D1 — Observed operation
Chaman truck movement blocked by the protest, through the dated January logistics update.
Start: 2023-11-19 to 2023-11-20.
Last confirmed: 2024-01-24. Reopening is not established.
confirmed through 2024-01-24; at least 65 calendar-day difference; reopening unknown</x:v>
      </x:c>
      <x:c r="G281" s="4" t="str">
        <x:v>Migration / Admission and document disputes
Reported reason
Applies to: Protest against document regime
Protest against document regime; Attributed to protest leaders opposing the document regime.
Policy and socioeconomic demands / Jobs, services and livelihoods
Attributed protester justification
Applies to: November 2023 protest blockade
November 2023 protest blockade; Attributed to protest leaders opposing the document regime.
Trade and protectionism / Trade and transport protests
Attributed protester justification
Applies to: November 2023 trade/labour blockade
November 2023 trade/labour blockade; Attributed to protest leaders opposing the document regime.
Security / Smuggling and illicit trafficking
Attributed official justification
Applies to: Underlying document policy, not protesters' blockade motive
Underlying document policy, not protesters' blockade motive; Underlying government policy explanation, not the protesters’ motive.</x:v>
      </x:c>
      <x:c r="H281" s="4" t="str">
        <x:v>SA013-D1: The January 24 logistics bulletin confirms restricted truck movement and blocked highway access. Arab News on Sunday March 3 relays Radio Pakistan reporting that goods trade resumed during that week; it does not identify the first day or identical access throughout the intervening period. No endpoint is assigned. July photo-essay captions concern passenger movement and continued document checks, and do not establish a truck reopening date. The generic nine-month account is not extended into a continuous freight closure.
First restored truck scope after January 24: The January 24 logistics bulletin confirms restricted truck movement and blocked highway access. Arab News on Sunday March 3 relays Radio Pakistan reporting that goods trade resumed during that week; it does not identify the first day or identical access throughout the intervening period. No endpoint is assigned. July photo-essay captions concern passenger movement and continued document checks, and do not establish a truck reopening date. The generic nine-month account is not extended into a continuous freight closure.</x:v>
      </x:c>
      <x:c r="I281" s="4" t="str">
        <x:v>Targeted source review (REC50-R23); accepted qualification; evidence limits retained.</x:v>
      </x:c>
      <x:c r="J281" s="18" t="d">
        <x:v>2026-10-25T00:00:00.000Z</x:v>
      </x:c>
      <x:c r="K281" s="21" t="str">
        <x:f>IFERROR(HYPERLINK("https://logcluster.org/en/node/45647","Logistics Cluster"),"Logistics Cluster")</x:f>
        <x:v>Logistics Cluster</x:v>
      </x:c>
      <x:c r="L281" s="21" t="str">
        <x:f>IFERROR(HYPERLINK("https://www.arabnews.pk/pakistan/respite-for-residents-as-trade-activities-resume-at-pakistan-afghanistan-border-in-chaman-2470386","Arab News Pakistan"),"Arab News Pakistan")</x:f>
        <x:v>Arab News Pakistan</x:v>
      </x:c>
      <x:c r="M281" s="21" t="str">
        <x:f>IFERROR(HYPERLINK("https://www.rferl.org/a/pakistan-reopens-chaman-border-afghanistan/33048871.html","RFE/RL Radio Mashaal"),"RFE/RL Radio Mashaal")</x:f>
        <x:v>RFE/RL Radio Mashaal</x:v>
      </x:c>
      <x:c r="N281" s="4" t="str">
        <x:v>https://logcluster.org/en/node/45647
https://www.arabnews.pk/pakistan/respite-for-residents-as-trade-activities-resume-at-pakistan-afghanistan-border-in-chaman-2470386
https://www.rferl.org/a/pakistan-reopens-chaman-border-afghanistan/33048871.html
https://www.rferl.org/a/pakistan-border-afghanistan-protest-restrictions/32692454.html
https://efe.com/latest-news/2024-07-21/protesters-end-sit-in-over-pakistans-afghan-border-visa-policy/
https://www.arabnews.pk/pakistan/residents-of-southwestern-pakistani-border-town-end-months-long-protest-against-strict-visa-policy-2553941
https://www.dawn.com/news/1838740</x:v>
      </x:c>
      <x:c r="O281" s="4" t="str">
        <x:v>Source 1: full text
Source 2: full text
Source 3: full text</x:v>
      </x:c>
      <x:c r="P281" s="20" t="n">
        <x:v>1</x:v>
      </x:c>
      <x:c r="Q281" s="4" t="str">
        <x:v>South Asia</x:v>
      </x:c>
      <x:c r="R281" s="4" t="str">
        <x:v>Included</x:v>
      </x:c>
    </x:row>
    <x:row r="282" ht="126" hidden="0" customHeight="1">
      <x:c r="A282" s="16" t="str">
        <x:v>SA012</x:v>
      </x:c>
      <x:c r="B282" s="4" t="str">
        <x:v>Torkham January 2024 driver-document closure</x:v>
      </x:c>
      <x:c r="C282" s="4" t="str">
        <x:v>Pakistan; Afghanistan</x:v>
      </x:c>
      <x:c r="D282" s="4" t="str">
        <x:v>Torkham
Drivers, trucks and associated crossing movements</x:v>
      </x:c>
      <x:c r="E282" s="4" t="str">
        <x:v>Drivers, trucks and associated crossing movements
Direction: Both directions
Exceptions: Not established</x:v>
      </x:c>
      <x:c r="F282" s="4" t="str">
        <x:v>SA012-D1 — Observed operation
Torkham truck/driver passage affected by the January passport/visa dispute.
Start: 2024-01-12 to 2024-01-13.
Observed scoped reopening: 2024-01-23.
10–11 calendar-day difference; scoped endpoint only</x:v>
      </x:c>
      <x:c r="G282" s="4" t="str">
        <x:v>Migration / Entry and asylum control
Reported reason
Applies to: Pakistani driver-document enforcement January 2024
The recorded rationale and claim assessment support the selected subcategories. All applicable broad categories are retained together; no primary rationale is imposed.
Migration / Admission and document disputes
Reported reason
Applies to: Reciprocal Taliban truck restriction January 2024</x:v>
      </x:c>
      <x:c r="H282" s="4" t="str">
        <x:v>SA012-D1: The one-day onset disagreement is retained. This does not establish a separate protectionist motive, and unspecified passenger categories are not automatically assigned the truck endpoint.</x:v>
      </x:c>
      <x:c r="I282" s="4" t="str">
        <x:v>Retained baseline assessment. Amended after source reconciliation</x:v>
      </x:c>
      <x:c r="J282" s="18" t="d">
        <x:v>2026-10-23T00:00:00.000Z</x:v>
      </x:c>
      <x:c r="K282" s="21" t="str">
        <x:f>IFERROR(HYPERLINK("https://logcluster.org/en/node/45647","Logistics Cluster"),"Logistics Cluster")</x:f>
        <x:v>Logistics Cluster</x:v>
      </x:c>
      <x:c r="L282" s="21" t="str">
        <x:f>IFERROR(HYPERLINK("https://www.rferl.org/a/pakistan-afghanistan-torkham-opened/32788073.html","RFE/RL"),"RFE/RL")</x:f>
        <x:v>RFE/RL</x:v>
      </x:c>
      <x:c r="M282" s="21" t="str">
        <x:f>IFERROR(HYPERLINK("https://www.aa.com.tr/en/asia-pacific/key-pakistani-afghan-border-crossing-opens-for-trade-after-10-days/3116179","aa.com.tr"),"aa.com.tr")</x:f>
        <x:v>aa.com.tr</x:v>
      </x:c>
      <x:c r="N282" s="4" t="str">
        <x:v>https://logcluster.org/en/node/45647
https://www.rferl.org/a/pakistan-afghanistan-torkham-opened/32788073.html
https://www.aa.com.tr/en/asia-pacific/key-pakistani-afghan-border-crossing-opens-for-trade-after-10-days/3116179</x:v>
      </x:c>
      <x:c r="O282" s="4" t="str">
        <x:v>Source 1: full page
Source 2: full page
Source 3: access detail is retained in the source catalogue.</x:v>
      </x:c>
      <x:c r="P282" s="20" t="n">
        <x:v>1</x:v>
      </x:c>
      <x:c r="Q282" s="4" t="str">
        <x:v>South Asia</x:v>
      </x:c>
      <x:c r="R282" s="4" t="str">
        <x:v>Included</x:v>
      </x:c>
    </x:row>
    <x:row r="283" ht="150" hidden="0" customHeight="1">
      <x:c r="A283" s="16" t="str">
        <x:v>SA025</x:v>
      </x:c>
      <x:c r="B283" s="4" t="str">
        <x:v>India–Bangladesh land-trade interruption during August 2024 unrest</x:v>
      </x:c>
      <x:c r="C283" s="4" t="str">
        <x:v>India; Bangladesh</x:v>
      </x:c>
      <x:c r="D283" s="4" t="str">
        <x:v>Petrapole–Benapole; Hili; Changrabandha; Mahadipur; Fulbari; Gojadanga
Land trade</x:v>
      </x:c>
      <x:c r="E283" s="4" t="str">
        <x:v>Land trade
Direction: Both directions
Exceptions: Some West Bengal ports resumed limited perishable-goods trade August 7</x:v>
      </x:c>
      <x:c r="F283" s="4" t="str">
        <x:v>SA025-D1 — Observed operation
Petrapole–Benapole land trade during Bangladesh's August political unrest.
Start: 2024-08-05.
Observed scoped reopening: 2024-08-08.
Contested: dated evidence; numeric duration withheld; see qualification
Held evidence: excluded from numeric duration and animation displays.</x:v>
      </x:c>
      <x:c r="G283" s="4" t="str">
        <x:v>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83" s="4" t="str">
        <x:v>Reference only: Correction pass: reviewed; see attribute findings
SA025-D1: Operational trade interruption is reported, but named officials describe worker absence and voluntary nonacceptance of goods amid insecurity. No intentional gate denial or coercive blockade is established; quarantined from analysis pending mechanism evidence.
eligibility: Fresh local evidence reinforces operational disruption and voluntary withdrawal/absence. A deliberate denial mechanism is still not established; retain quarantine.
rationale: August 5–8 trade disruption is evidenced, but reports describe absent personnel, insecurity and non-clearance rather than a demonstrated deliberate border closure. Passengers still crossed. Existing quarantine is warranted.</x:v>
      </x:c>
      <x:c r="I283" s="4" t="str">
        <x:v>Full-record source audit (REC50-R05); accepted corrections; evidence limits retained.</x:v>
      </x:c>
      <x:c r="J283" s="18" t="d">
        <x:v>2026-10-25T00:00:00.000Z</x:v>
      </x:c>
      <x:c r="K283" s="21" t="str">
        <x:f>IFERROR(HYPERLINK("https://www.business-standard.com/external-affairs-defence-security/news/amid-tight-security-indo-bangla-trade-resumes-from-petrapole-land-port-124080800255_1.html","Business Standard / PTI"),"Business Standard / PTI")</x:f>
        <x:v>Business Standard / PTI</x:v>
      </x:c>
      <x:c r="L283" s="21" t="str">
        <x:f>IFERROR(HYPERLINK("https://www.thedailystar.net/business/news/trade-through-benapole-resumes-3672486","The Daily Star"),"The Daily Star")</x:f>
        <x:v>The Daily Star</x:v>
      </x:c>
      <x:c r="M283" s="21" t="str">
        <x:f>IFERROR(HYPERLINK("https://economictimes.indiatimes.com/news/economy/foreign-trade/trade-via-bengal-land-ports-disrupted-amid-unrest-in-bangladesh/articleshow/112313969.cms?from=mdr","economictimes.indiatimes.com"),"economictimes.indiatimes.com")</x:f>
        <x:v>economictimes.indiatimes.com</x:v>
      </x:c>
      <x:c r="N283" s="4" t="str">
        <x:v>https://www.business-standard.com/external-affairs-defence-security/news/amid-tight-security-indo-bangla-trade-resumes-from-petrapole-land-port-124080800255_1.html
https://www.thedailystar.net/business/news/trade-through-benapole-resumes-3672486
https://economictimes.indiatimes.com/news/economy/foreign-trade/trade-via-bengal-land-ports-disrupted-amid-unrest-in-bangladesh/articleshow/112313969.cms?from=mdr
https://www.tbsnews.net/bangladesh/business-grind-halt-benapole-port-amid-security-fears-911931
https://www.dailyexcelsior.com/indo-bangla-trade-halted-amid-crisis/
https://www.thedailystar.net/business/export/news/benapole-land-port-closed-indefinitely-3671711</x:v>
      </x:c>
      <x:c r="O283" s="4" t="str">
        <x:v>Source 1: full text
Source 2: full text
Source 3: access detail is retained in the source catalogue.</x:v>
      </x:c>
      <x:c r="P283" s="20" t="n">
        <x:v>1</x:v>
      </x:c>
      <x:c r="Q283" s="4" t="str">
        <x:v>South Asia</x:v>
      </x:c>
      <x:c r="R283" s="4" t="str">
        <x:v>Reference only (excluded)</x:v>
      </x:c>
    </x:row>
    <x:row r="284" ht="162" hidden="0" customHeight="1">
      <x:c r="A284" s="16" t="str">
        <x:v>SA014</x:v>
      </x:c>
      <x:c r="B284" s="4" t="str">
        <x:v>Torkham February–March 2025 clash closure</x:v>
      </x:c>
      <x:c r="C284" s="4" t="str">
        <x:v>Pakistan; Afghanistan</x:v>
      </x:c>
      <x:c r="D284" s="4" t="str">
        <x:v>Torkham
People and goods</x:v>
      </x:c>
      <x:c r="E284" s="4" t="str">
        <x:v>People and goods
Direction: Both directions
Exceptions: APP reported patient access alongside March 19 cargo; TOLO's commissioner said patient/passenger access remained planned for Friday. Patient restoration therefore contested; March 22 ordinary pedestrian phase separately reported.</x:v>
      </x:c>
      <x:c r="F284" s="4" t="str">
        <x:v>SA014-D1 — Observed operation
Commercial cargo movement through Torkham during the checkpoint-dispute closure.
Start: 2025-02-21.
Observed scoped reopening: 2025-03-19.
26 calendar-day difference; scoped endpoint only
SA014-C7P1 — Observed operation
Ordinary passport/visa pedestrian restriction at Torkham, separately from March19 freight/patient easing
Start: unknown.
Observed scoped reopening: 2025-03-22.
dated evidence; numeric duration withheld; see qualification</x:v>
      </x:c>
      <x:c r="G284"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Territorial and frontier disputes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84" s="4" t="str">
        <x:v>SA014-D1: Patients also crossed in the initial phase, but ordinary passport/visa pedestrians resumed March 22 after a delayed plan. Those later passenger dates are not the cargo endpoint, and headline day counts are not substituted for calendar arithmetic.
SA014-C7P1: Broad February21 closure does not independently establish every day of this precise passenger scope; retain unknown onset. Health/patient exceptions and direction-specific evidence prevent an all-traffic interpretation.</x:v>
      </x:c>
      <x:c r="I284" s="4" t="str">
        <x:v>Retained baseline assessment. Amended after source reconciliation</x:v>
      </x:c>
      <x:c r="J284" s="18" t="d">
        <x:v>2026-10-23T00:00:00.000Z</x:v>
      </x:c>
      <x:c r="K284" s="21" t="str">
        <x:f>IFERROR(HYPERLINK("https://www.brecorder.com/news/amp/40353742","Business Recorder"),"Business Recorder")</x:f>
        <x:v>Business Recorder</x:v>
      </x:c>
      <x:c r="L284" s="21" t="str">
        <x:f>IFERROR(HYPERLINK("https://www.afintl.com/en/202503224549","Afghanistan International"),"Afghanistan International")</x:f>
        <x:v>Afghanistan International</x:v>
      </x:c>
      <x:c r="M284" s="21" t="str">
        <x:f>IFERROR(HYPERLINK("https://www.app.com.pk/domestic/pakistan-afghanistan-resume-cross-border-trade-as-torkham-border-reopens-after-27-days/","app.com.pk"),"app.com.pk")</x:f>
        <x:v>app.com.pk</x:v>
      </x:c>
      <x:c r="N284" s="4" t="str">
        <x:v>https://www.brecorder.com/news/amp/40353742
https://www.afintl.com/en/202503224549
https://www.app.com.pk/domestic/pakistan-afghanistan-resume-cross-border-trade-as-torkham-border-reopens-after-27-days/
https://www.brecorder.com/news/40354228
https://www.dawn.com/news/1899686/torkham-border-reopens-for-pedestrians
https://www.tolonews.com/afghanistan-193518
https://www.reuters.com/world/asia-pacific/pakistan-afghanistan-open-main-border-crossing-closed-nearly-month-2025-03-19/
https://swn.af/en/2025/03/torkham-border-gate-reopens-for-passenger-traffic-after-nearly-a-month/
https://www.tolonews.com/index.php/afghanistan-193545</x:v>
      </x:c>
      <x:c r="O284" s="4" t="str">
        <x:v>Source 1: full page
Source 2: search extract
Source 3: indexed excerpt</x:v>
      </x:c>
      <x:c r="P284" s="20" t="n">
        <x:v>2</x:v>
      </x:c>
      <x:c r="Q284" s="4" t="str">
        <x:v>South Asia</x:v>
      </x:c>
      <x:c r="R284" s="4" t="str">
        <x:v>Included</x:v>
      </x:c>
    </x:row>
    <x:row r="285" ht="210" hidden="0" customHeight="1">
      <x:c r="A285" s="16" t="str">
        <x:v>SA018</x:v>
      </x:c>
      <x:c r="B285" s="4" t="str">
        <x:v>Attari passenger and goods closure after Pahalgam attack</x:v>
      </x:c>
      <x:c r="C285" s="4" t="str">
        <x:v>India; Pakistan</x:v>
      </x:c>
      <x:c r="D285" s="4" t="str">
        <x:v>Attari / Wagah
Incoming and outgoing passengers and goods</x:v>
      </x:c>
      <x:c r="E285" s="4" t="str">
        <x:v>Incoming and outgoing passengers and goods
Direction: Both directions
Exceptions: May 7 permission was implemented for five Afghan trucks May 16 and fourteen May 17 according to Tribune reporting; ordinary operation remained closed.</x:v>
      </x:c>
      <x:c r="F285" s="4" t="str">
        <x:v>SA018-D1 — Formal policy
Indian ordinary goods-movement prohibition at Attari, excluding the specified one-time Afghan perishable-cargo permission.
Start: 2025-04-24.
Last confirmed: 2025-05-07. Reopening is not established.
Formal policy: confirmed through 2025-05-07; at least 13 calendar-day difference; reopening unknown
SA018-C1 — Observed operation
Afghan cargo imports through Attari before the first exceptional consignment entered; not all passengers or permanent ordinary trade reopening.
Start: 2025-04-24.
Observed scoped reopening: 2025-05-16.
22 calendar-day difference; scoped endpoint only</x:v>
      </x:c>
      <x:c r="G285"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Reported reason
Applies to: Recorded episode; exact overlap not separately established
The recorded rationale and claim assessment support the selected subcategories. All applicable broad categories are retained together; no primary rationale is imposed.</x:v>
      </x:c>
      <x:c r="H285" s="4" t="str">
        <x:v>SA018-D1: This is an Indian legal-policy segment, not a demonstrated physical-gate interval or bilateral operating status. Announcement, implementing memo and customs-circulation dates differ. Nationality-specific passenger returns are separate; no status after May 7 is inferred.
SA018-C1: Endpoint is first restricted cargo exception. This operational segment overlaps the existing legal-policy segment and must not be summed with it. No ordinary reopening inferred.</x:v>
      </x:c>
      <x:c r="I285" s="4" t="str">
        <x:v>Retained baseline assessment. Amended after source reconciliation</x:v>
      </x:c>
      <x:c r="J285" s="18" t="d">
        <x:v>2026-10-23T00:00:00.000Z</x:v>
      </x:c>
      <x:c r="K285" s="21" t="str">
        <x:f>IFERROR(HYPERLINK("https://taxguru.in/custom-duty/attari-check-post-closed-india-pakistan-border-custom-notification.html","TaxGuru"),"TaxGuru")</x:f>
        <x:v>TaxGuru</x:v>
      </x:c>
      <x:c r="L285" s="21" t="str">
        <x:f>IFERROR(HYPERLINK("https://www.globalsecurity.org/wmd/library/news/india/2025/india-250423-india-meab01.htm","GlobalSecurity"),"GlobalSecurity")</x:f>
        <x:v>GlobalSecurity</x:v>
      </x:c>
      <x:c r="M285" s="21" t="str">
        <x:f>IFERROR(HYPERLINK("https://taxguru.in/custom-duty/attari-icp-partially-open-afghan-goods.html","TaxGuru"),"TaxGuru")</x:f>
        <x:v>TaxGuru</x:v>
      </x:c>
      <x:c r="N285" s="4" t="str">
        <x:v>https://taxguru.in/custom-duty/attari-check-post-closed-india-pakistan-border-custom-notification.html
https://www.globalsecurity.org/wmd/library/news/india/2025/india-250423-india-meab01.htm
https://taxguru.in/custom-duty/attari-icp-partially-open-afghan-goods.html
https://taxguru.in/custom-duty/india-pakistan-travel-via-attari-icp-allowed-cbic.html
https://www.tribuneindia.com/news/punjab/attari-wagah-check-post-reopens-stranded-afghan-trucks-allowed-entry-after-22-day-closure/
https://www.tribuneindia.com/news/punjab/second-batch-of-stranded-afghan-trucks-enters-india-via-attari-check-post/
https://www.taxmanagementindia.com/visitor/detail_circular.asp?ID=68572
https://www.theweek.in/news/india/2025/04/23/pahalgam-attack-india-fires-diplomatic-salvo-on-pak-indus-water-treaty-in-abeyance.html
https://www.tradeprep.in/notification/closing-of-the-integrated-check-post-attari-for-all-types-of-cus64634
https://finodha.in/instruction-08-2025-customs-attari-checkpost-closure/?cst=&amp;query-0-page=1393
https://www.taxmanagementindia.com/visitor/detail_circular.asp?ID=68587
https://www.gov.uk/foreign-travel-advice/india</x:v>
      </x:c>
      <x:c r="O285" s="4" t="str">
        <x:v>Source 1: full page
Source 2: failed: 403
Source 3: full page</x:v>
      </x:c>
      <x:c r="P285" s="20" t="n">
        <x:v>2</x:v>
      </x:c>
      <x:c r="Q285" s="4" t="str">
        <x:v>South Asia</x:v>
      </x:c>
      <x:c r="R285" s="4" t="str">
        <x:v>Included</x:v>
      </x:c>
    </x:row>
    <x:row r="286" ht="162" hidden="0" customHeight="1">
      <x:c r="A286" s="16" t="str">
        <x:v>SA026</x:v>
      </x:c>
      <x:c r="B286" s="4" t="str">
        <x:v>India excludes selected Bangladeshi imports from land ports</x:v>
      </x:c>
      <x:c r="C286" s="4" t="str">
        <x:v>India; Bangladesh</x:v>
      </x:c>
      <x:c r="D286" s="4" t="str">
        <x:v>All land ports for garments and later specified fibre/jute products; northeast states plus Changrabandha/Fulbari for other May-listed goods.
May 17: garments barred at every land port; listed foods, drinks, cotton waste, plastic/PVC goods and furniture barred at named regional ports. June 27 and August 11 amendments added specified flax/jute fibres, yarns, fabrics, cordage and sacks/bags to all-land-port prohibitions.</x:v>
      </x:c>
      <x:c r="E286" s="4" t="str">
        <x:v>Specified Bangladeshi garments and regional import categories from May 17; additional flax/jute fibre, yarn, fabric, cordage and sack/bag categories from June 27 and August 11.
Direction: Bangladesh to India
Exceptions: May notification exempts fish, LPG, edible oil, crushed stone and Bangladesh transit exports to Nepal/Bhutan. Named seaports remain permitted; June/August additions route through Nhava Sheva, with Nepal/Bhutan transit exempt but re-export into India prohibited.</x:v>
      </x:c>
      <x:c r="F286" s="4" t="str">
        <x:v>SA026-D1 — Formal policy
India's land-port prohibition on Bangladeshi ready-made garment imports, through the August amendment of the continuing regime.
Start: 2025-05-17.
Last confirmed: 2025-08-11. Reopening is not established.
Formal policy: confirmed through 2025-08-11; at least 86 calendar-day difference; reopening unknown</x:v>
      </x:c>
      <x:c r="G286" s="4" t="str">
        <x:v>Trade and protectionism / Import, export and production controls
Reported reason
Applies to: Recorded episode; exact overlap not separately established
The recorded rationale and claim assessment support the selected subcategories. All applicable broad categories are retained together; no primary rationale is imposed.
Trade and protectionism / Customs and transport rules
Reported reason
Applies to: Recorded episode; exact overlap not separately established
The recorded rationale and claim assessment support the selected subcategories. All applicable broad categories are retained together; no primary rationale is imposed.</x:v>
      </x:c>
      <x:c r="H286" s="4" t="str">
        <x:v>SA026-D1: Policy persistence only, not measured gate compliance. Other products have different onset/port rules; named seaports and protected Nepal/Bhutan transit remain distinct. The reproductions and schedule share one documentary origin. No post-August status is inferred.</x:v>
      </x:c>
      <x:c r="I286" s="4" t="str">
        <x:v>Retained baseline assessment. Retained with recorded qualifications</x:v>
      </x:c>
      <x:c r="J286" s="18" t="d">
        <x:v>2026-10-23T00:00:00.000Z</x:v>
      </x:c>
      <x:c r="K286" s="21" t="str">
        <x:f>IFERROR(HYPERLINK("https://egazette.gov.in/WriteReadData/2025/263229.pdf","India Gazette"),"India Gazette")</x:f>
        <x:v>India Gazette</x:v>
      </x:c>
      <x:c r="L286" s="21" t="str">
        <x:f>IFERROR(HYPERLINK("https://taxguru.in/dgft/india-imposes-import-port-rules-goods-bangladesh.html","TaxGuru"),"TaxGuru")</x:f>
        <x:v>TaxGuru</x:v>
      </x:c>
      <x:c r="M286" s="21" t="str">
        <x:f>IFERROR(HYPERLINK("https://content.dgft.gov.in/Website/General_Notes_to_Import_Policy_2025.pdf","India DGFT"),"India DGFT")</x:f>
        <x:v>India DGFT</x:v>
      </x:c>
      <x:c r="N286" s="4" t="str">
        <x:v>https://egazette.gov.in/WriteReadData/2025/263229.pdf
https://taxguru.in/dgft/india-imposes-import-port-rules-goods-bangladesh.html
https://content.dgft.gov.in/Website/General_Notes_to_Import_Policy_2025.pdf
https://content.dgft.gov.in/Website/dgftprod/99951360-a8cb-433c-8324-efc0ce4d0511/Notification%2021%20eng_0001.pdf
https://content.dgft.gov.in/Website/dgftprod/6accfbc6-287f-4861-9756-fe16dc364e8b/Notification%2024%20Eng_0001%20%281%29.pdf
https://www.pib.gov.in/PressReleasePage.aspx?PRID=2129380&amp;lang=2&amp;reg=48
https://taxguru.in/dgft/dgft-imposes-port-restrictions-bangladesh-imports.html</x:v>
      </x:c>
      <x:c r="O286" s="4" t="str">
        <x:v>Source 1: failed: timeout
Source 2: full page
Source 3: full PDF text</x:v>
      </x:c>
      <x:c r="P286" s="20" t="n">
        <x:v>1</x:v>
      </x:c>
      <x:c r="Q286" s="4" t="str">
        <x:v>South Asia</x:v>
      </x:c>
      <x:c r="R286" s="4" t="str">
        <x:v>Included</x:v>
      </x:c>
    </x:row>
    <x:row r="287" ht="114" hidden="0" customHeight="1">
      <x:c r="A287" s="16" t="str">
        <x:v>SA015</x:v>
      </x:c>
      <x:c r="B287" s="4" t="str">
        <x:v>Pakistan–Afghanistan crossing closures after October 2025 clashes</x:v>
      </x:c>
      <x:c r="C287" s="4" t="str">
        <x:v>Pakistan; Afghanistan</x:v>
      </x:c>
      <x:c r="D287" s="4" t="str">
        <x:v>Torkham; Chaman; Ghulam Khan; Kharlachi; Angoor Adda
General travel and bilateral/transit trade</x:v>
      </x:c>
      <x:c r="E287" s="4" t="str">
        <x:v>General travel and bilateral/transit trade
Direction: Both directions
Exceptions: Afghan departure window from November 1; later staged empty Pakistani truck repatriation reported August 2 2026. Neither establishes ordinary cargo reopening.</x:v>
      </x:c>
      <x:c r="F287" s="4" t="str">
        <x:v>SA015-D1 — Observed operation
Ordinary bilateral and transit trade through Torkham after the October 2025 clashes, through the October 4 2026 trade account.
Start: 2025-10-12.
Last confirmed: 2026-10-04. Reopening is not established.
confirmed through 2026-10-04; at least 357 calendar-day difference; reopening unknown</x:v>
      </x:c>
      <x:c r="G287"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87" s="4" t="str">
        <x:v>SA015-D1: The November 1 Afghan-departure window and reported 2026 empty Pakistani truck repatriations are exceptions, not ordinary bilateral/transit goods trade. Chaman administrative onset differs. October 4 is last confirmed only; no status afterward inferred.</x:v>
      </x:c>
      <x:c r="I287" s="4" t="str">
        <x:v>Retained baseline assessment. Amended after source reconciliation</x:v>
      </x:c>
      <x:c r="J287" s="18" t="d">
        <x:v>2026-10-23T00:00:00.000Z</x:v>
      </x:c>
      <x:c r="K287" s="21" t="str">
        <x:f>IFERROR(HYPERLINK("https://pid.gov.pk/site/press_detail/30751","Pakistan Press Information Department"),"Pakistan Press Information Department")</x:f>
        <x:v>Pakistan Press Information Department</x:v>
      </x:c>
      <x:c r="L287" s="21" t="str">
        <x:f>IFERROR(HYPERLINK("https://apnews.com/article/81b8dad2d70062c5bf4bdcdc5eee9c00","Associated Press"),"Associated Press")</x:f>
        <x:v>Associated Press</x:v>
      </x:c>
      <x:c r="M287" s="21" t="str">
        <x:f>IFERROR(HYPERLINK("https://www.rferl.org/a/afghanistan-pakistan-border-closure-year-taliban/33868985.html","RFE/RL"),"RFE/RL")</x:f>
        <x:v>RFE/RL</x:v>
      </x:c>
      <x:c r="N287" s="4" t="str">
        <x:v>https://pid.gov.pk/site/press_detail/30751
https://apnews.com/article/81b8dad2d70062c5bf4bdcdc5eee9c00
https://www.rferl.org/a/afghanistan-pakistan-border-closure-year-taliban/33868985.html
https://api.courthousenews.com/pakistan-partially-reopens-torkham-border-crossing-to-allow-afghan-refugees-to-leave/
https://thepakistanconnect.com/torkham-border-temporarily-reopens/
https://pid.gov.pk/site/press_detail/30722
https://amu.tv/249551/
https://amu.tv/254718/</x:v>
      </x:c>
      <x:c r="O287" s="4" t="str">
        <x:v>Source 1: full page
Source 2: full syndicated text
Source 3: full page</x:v>
      </x:c>
      <x:c r="P287" s="20" t="n">
        <x:v>1</x:v>
      </x:c>
      <x:c r="Q287" s="4" t="str">
        <x:v>South Asia</x:v>
      </x:c>
      <x:c r="R287" s="4" t="str">
        <x:v>Included</x:v>
      </x:c>
    </x:row>
    <x:row r="288" ht="162" hidden="0" customHeight="1">
      <x:c r="A288" s="16" t="str">
        <x:v>SA032</x:v>
      </x:c>
      <x:c r="B288" s="4" t="str">
        <x:v>Nepal March 2026 parliamentary-election border closure</x:v>
      </x:c>
      <x:c r="C288" s="4" t="str">
        <x:v>Nepal; India; China</x:v>
      </x:c>
      <x:c r="D288" s="4" t="str">
        <x:v>National border points; Parsa implementation directly reported
Ordinary passage and non-essential commercial cargo</x:v>
      </x:c>
      <x:c r="E288" s="4" t="str">
        <x:v>Ordinary passage and non-essential commercial cargo
Direction: Both directions
Exceptions: Essential fuel, gas, fruit and vegetables cleared; other emergency exceptions governed by district orders.</x:v>
      </x:c>
      <x:c r="F288" s="4" t="str">
        <x:v>SA032-R1 — Announced window
Parsa district Nepal–India border points under district election decision
Start: 2026-03-03.
Scheduled endpoint: 2026-03-06.
Ordered window: 3 calendar-day difference; actual end not established</x:v>
      </x:c>
      <x:c r="G288"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288" s="4" t="str">
        <x:v>SA032-R1: Scheduled expiry March 6 00:00, not observed general reopening. Kantipur separately schedules Birgunj customs suspension March 4 06:00–March 5 18:00, so customs restart does not settle passenger timing; Nepal News duration/onset wording remains inconsistent. Essential cargo exceptions retained.
continuity: Parsa official order supports midnight March 2/3 to midnight March 5/6 election restrictions. The date bounds correctly preserve the overnight wording. Completed reopening remains unobserved.</x:v>
      </x:c>
      <x:c r="I288" s="4" t="str">
        <x:v>Retained baseline assessment. Correction pass: reviewed; see attribute findings</x:v>
      </x:c>
      <x:c r="J288" s="18" t="d">
        <x:v>2026-10-23T00:00:00.000Z</x:v>
      </x:c>
      <x:c r="K288" s="21" t="str">
        <x:f>IFERROR(HYPERLINK("https://radionepalonline.com/en/2026/03/03/425820.html","Radio Nepal"),"Radio Nepal")</x:f>
        <x:v>Radio Nepal</x:v>
      </x:c>
      <x:c r="L288" s="21" t="str">
        <x:f>IFERROR(HYPERLINK("https://english.nepalnews.com/s/business/nepal-news-evening-economic-brief-march-05-2026/","Nepal News"),"Nepal News")</x:f>
        <x:v>Nepal News</x:v>
      </x:c>
      <x:c r="M288" s="21" t="str">
        <x:f>IFERROR(HYPERLINK("https://ekantipur.com/madhesh-pradesh/2026/03/02/en/birgunj-border-crossing-closed-for-72-hours-from-midnight-today-customs-services-suspended-for-36-hours-09-12.html","Kantipur"),"Kantipur")</x:f>
        <x:v>Kantipur</x:v>
      </x:c>
      <x:c r="N288" s="4" t="str">
        <x:v>https://radionepalonline.com/en/2026/03/03/425820.html
https://english.nepalnews.com/s/business/nepal-news-evening-economic-brief-march-05-2026/
https://ekantipur.com/madhesh-pradesh/2026/03/02/en/birgunj-border-crossing-closed-for-72-hours-from-midnight-today-customs-services-suspended-for-36-hours-09-12.html
https://english.nepalnews.com/s/business/nepal-news-evening-economic-brief-march-06-2026/
https://english.nepalnews.com/s/security/security-beefed-up-at-border-checkpoints-for-ensuring-peaceful-voting/
https://radionepalonline.com/en/2026/02/25/425505.html
https://english.himalayatimes.com.np/2026/03/96679/hor-elections-nepal-india-border-closed-for-72-hours-since-last-midnight/
https://english.ratopati.com/story/51411/indian-border-in-parsa-closed-from-midnight
https://daoparsa.moha.gov.np/post/na-ra-va-cana-sama-bna-thhama-ja-l-l-pa-rasha-sana-ka-ra-ya-lya-para-sa-ka-ata</x:v>
      </x:c>
      <x:c r="O288" s="4" t="str">
        <x:v>Source 1: indexed excerpt; failed
Source 2: indexed excerpt; full
Source 3: full</x:v>
      </x:c>
      <x:c r="P288" s="20" t="n">
        <x:v>1</x:v>
      </x:c>
      <x:c r="Q288" s="4" t="str">
        <x:v>South Asia</x:v>
      </x:c>
      <x:c r="R288" s="4" t="str">
        <x:v>Included</x:v>
      </x:c>
    </x:row>
    <x:row r="289" ht="258" hidden="0" customHeight="1">
      <x:c r="A289" s="16" t="str">
        <x:v>SC06</x:v>
      </x:c>
      <x:c r="B289" s="4" t="str">
        <x:v>Chad CAR long closure overlapping study window</x:v>
      </x:c>
      <x:c r="C289" s="4" t="str">
        <x:v>Chad; Central African Republic</x:v>
      </x:c>
      <x:c r="D289" s="4" t="str">
        <x:v>Sido; other posts require confirmation
Shared land frontier; reopened movement documented at Sido</x:v>
      </x:c>
      <x:c r="E289" s="4" t="str">
        <x:v>Not established
Direction: Not established
Exceptions: August 2019 ministerial accounts explicitly identify Sido and Goré as controlled permitted corridors; actual traffic and other interim phases are not fully reconstructed.</x:v>
      </x:c>
      <x:c r="F289" s="4" t="str">
        <x:v>SC06-REV1 — Formal policy
Chadian official prohibition on ordinary, non-authorized passage across the CAR border, before the documented August 2019 controlled-corridor phase
Start: 2014-05-11 to 2014-05-12.
Last confirmed: 2019-04-17. Reopening is not established.
Formal policy: confirmed through 2019-04-17; at least 1801 calendar-day difference; reopening unknown</x:v>
      </x:c>
      <x:c r="G289"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289" s="4" t="str">
        <x:v>SC06-REV1: A formal restriction segment, not five years of zero physical crossings. Start day is bounded May 11–12 across contemporary accounts. April 17 is confirmation, not repeal. Controlled Sido/Goré corridors are explicitly documented by August 2019 and no unchanged later scope is assumed.</x:v>
      </x:c>
      <x:c r="I289" s="4" t="str">
        <x:v>Retained baseline assessment. Correction pass: amended with stated qualifications</x:v>
      </x:c>
      <x:c r="J289" s="18" t="d">
        <x:v>2026-10-23T00:00:00.000Z</x:v>
      </x:c>
      <x:c r="K289" s="21" t="str">
        <x:f>IFERROR(HYPERLINK("https://www.voanews.com/a/reu-chad-closes-border-with-central-african-republic-/1913221.html","voanews.com"),"voanews.com")</x:f>
        <x:v>voanews.com</x:v>
      </x:c>
      <x:c r="L289" s="21" t="str">
        <x:f>IFERROR(HYPERLINK("https://documents.un.org/doc/undoc/gen/n14/538/97/pdf/n1453897.pdf","documents.un.org"),"documents.un.org")</x:f>
        <x:v>documents.un.org</x:v>
      </x:c>
      <x:c r="M289" s="21" t="str">
        <x:f>IFERROR(HYPERLINK("https://www.unhcr.org/news/briefing-notes/chad-funding-shortfall-threatens-central-african-refugees","unhcr.org"),"unhcr.org")</x:f>
        <x:v>unhcr.org</x:v>
      </x:c>
      <x:c r="N289" s="4" t="str">
        <x:v>https://www.voanews.com/a/reu-chad-closes-border-with-central-african-republic-/1913221.html
https://documents.un.org/doc/undoc/gen/n14/538/97/pdf/n1453897.pdf
https://www.unhcr.org/news/briefing-notes/chad-funding-shortfall-threatens-central-african-refugees
https://digitallibrary.un.org/record/3814172/files/S_2019_608-EN.pdf?ln=en
https://www.europapress.es/internacional/noticia-chad-cierra-fronteras-libia-sudan-rca-motivos-seguridad-20190822083126.html
https://www.ecoi.net/en/file/local/2014116/S_2019_608_E.pdf
https://www.radiondekeluka.org/70973-centrafrique-le-gouvernement-se-felicite-de-la-reouverture-des-frontieres-avec-le-tchad
https://www.amnesty.org/fr/latest/news/2014/05/chad-border-closure-will-cut-lifeline-car-refugees-2/
https://aidfdouaniers.org/reouverture-du-poste-frontiere-de-sido-entre-le-tchad-et-la-centrafrique/
https://digitallibrary.un.org/record/782335/files/S_2014_762-EN.pdf
https://www.unhcr.org/us/news/briefing-notes/chad-funding-shortfall-threatens-central-african-refugees
https://fews.net/west-africa/central-african-republic/remote-monitoring-report/june-2024
https://portail.td/reouverture-de-la-frontiere-entre-le-tchad-et-la-republique-centrafricaine-10-ans-apres-sa-fermeture/
https://www.alwihdainfo.com/tchad-six-corridors-et-postes-d-entree-ouverts-a-trois-frontieres-a76325/</x:v>
      </x:c>
      <x:c r="O289" s="4" t="str">
        <x:v>Source 1: full
Source 2: indexed excerpt
Source 3: indexed excerpt</x:v>
      </x:c>
      <x:c r="P289" s="20" t="n">
        <x:v>1</x:v>
      </x:c>
      <x:c r="Q289" s="4" t="str">
        <x:v>Southern and Central Africa</x:v>
      </x:c>
      <x:c r="R289" s="4" t="str">
        <x:v>Included</x:v>
      </x:c>
    </x:row>
    <x:row r="290" ht="78" hidden="0" customHeight="1">
      <x:c r="A290" s="16" t="str">
        <x:v>SC07</x:v>
      </x:c>
      <x:c r="B290" s="4" t="str">
        <x:v>Chad Libya security closure and Wour corridor</x:v>
      </x:c>
      <x:c r="C290" s="4" t="str">
        <x:v>Chad; Libya</x:v>
      </x:c>
      <x:c r="D290" s="4" t="str">
        <x:v>Wour corridor
Shared frontier with one later humanitarian corridor</x:v>
      </x:c>
      <x:c r="E290" s="4" t="str">
        <x:v>Cross-border travellers
Direction: Return to Chad corridor
Exceptions: Returning Chadians via Wour from partial reopening</x:v>
      </x:c>
      <x:c r="F290" s="4" t="str">
        <x:v>SC07-D1 — Formal policy
Chadian restriction on return through Wour, to restored humanitarian return permission.
Start: 2017-01-05.
Policy endpoint: 2017-02-28 to 2017-03-03.
Formal policy: 54–57 calendar-day difference; operational continuity not established</x:v>
      </x:c>
      <x:c r="G290"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290" s="4" t="str">
        <x:v>SC07-D1: Formal return-corridor phase only: first actual crossing is not observed. The rest of the Libya frontier and other traveller categories remained restricted. AFP and its reprints are one origin.</x:v>
      </x:c>
      <x:c r="I290" s="4" t="str">
        <x:v>Retained baseline assessment. Retained with recorded qualifications</x:v>
      </x:c>
      <x:c r="J290" s="18" t="d">
        <x:v>2026-10-23T00:00:00.000Z</x:v>
      </x:c>
      <x:c r="K290" s="21" t="str">
        <x:f>IFERROR(HYPERLINK("https://www.lorientlejour.com/article/1038462/tchad-reouverture-partielle-de-la-frontiere-avec-la-libye.html","L Orient Le Jour"),"L Orient Le Jour")</x:f>
        <x:v>L Orient Le Jour</x:v>
      </x:c>
      <x:c r="L290" s="21" t="str">
        <x:f>IFERROR(HYPERLINK("https://www.libyanexpress.com/chad-reopens-border-crossing-with-libya/","Libyan Express"),"Libyan Express")</x:f>
        <x:v>Libyan Express</x:v>
      </x:c>
      <x:c r="M290" s="21" t="str">
        <x:f>IFERROR(HYPERLINK("https://french.people.com.cn/Afrique/n3/2017/0301/c96852-9183900.html","People’s Daily / Xinhua"),"People’s Daily / Xinhua")</x:f>
        <x:v>People’s Daily / Xinhua</x:v>
      </x:c>
      <x:c r="N290" s="4" t="str">
        <x:v>https://www.lorientlejour.com/article/1038462/tchad-reouverture-partielle-de-la-frontiere-avec-la-libye.html
https://www.libyanexpress.com/chad-reopens-border-crossing-with-libya/
https://french.people.com.cn/Afrique/n3/2017/0301/c96852-9183900.html
https://data.unhcr.org/en/news/15380
https://fews.net/west-africa/chad/food-security-outlook-update/april-2017</x:v>
      </x:c>
      <x:c r="O290" s="4" t="str">
        <x:v>Source 1: search extract
Source 2: search extract
Source 3: full page</x:v>
      </x:c>
      <x:c r="P290" s="20" t="n">
        <x:v>1</x:v>
      </x:c>
      <x:c r="Q290" s="4" t="str">
        <x:v>Southern and Central Africa</x:v>
      </x:c>
      <x:c r="R290" s="4" t="str">
        <x:v>Included</x:v>
      </x:c>
    </x:row>
    <x:row r="291" ht="162" hidden="0" customHeight="1">
      <x:c r="A291" s="16" t="str">
        <x:v>SC25</x:v>
      </x:c>
      <x:c r="B291" s="4" t="str">
        <x:v>Equatorial Guinea Cameroon post-coup-attempt closure</x:v>
      </x:c>
      <x:c r="C291" s="4" t="str">
        <x:v>Equatorial Guinea; Cameroon</x:v>
      </x:c>
      <x:c r="D291" s="4" t="str">
        <x:v>Kye-Ossi / Ebebiyin
Kye-Ossi / Ebebiyin land border</x:v>
      </x:c>
      <x:c r="E291" s="4" t="str">
        <x:v>Not established
Direction: Not established
Exceptions: Not established</x:v>
      </x:c>
      <x:c r="F291" s="4" t="str">
        <x:v>SC25-D1 — Formal policy
Ordinary passage restriction at Kye-Ossi–Ebebiyin, to restored twice-weekly permitted opening.
Start: 2017-12-24 to 2017-12-28.
Policy endpoint: 2018-04-17.
Formal policy: 110–114 calendar-day difference; operational continuity not established</x:v>
      </x:c>
      <x:c r="G291"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
Power and regime politics / Coups and succession
Reported reason
Applies to: Recorded episode; exact overlap not separately established
The recorded rationale and claim assessment support the selected subcategories. All applicable broad categories are retained together; no primary rationale is imposed.</x:v>
      </x:c>
      <x:c r="H291" s="4" t="str">
        <x:v>SC25-D1: This is the formal partial-access phase endpoint, not unrestricted operation or independently observed first April passage. June's observed movement and the later January 2019 announcement are separate milestones; the onset conflict remains visible.</x:v>
      </x:c>
      <x:c r="I291" s="4" t="str">
        <x:v>Targeted source review (REC50-R36); retained with recorded qualifications; evidence limits retained.</x:v>
      </x:c>
      <x:c r="J291" s="18" t="d">
        <x:v>2026-10-25T00:00:00.000Z</x:v>
      </x:c>
      <x:c r="K291" s="21" t="str">
        <x:f>IFERROR(HYPERLINK("https://www.businessincameroon.com/cooperation/2501-8792-cameroon-equatorial-guinea-border-to-be-reopened-next-week","Business in Cameroon"),"Business in Cameroon")</x:f>
        <x:v>Business in Cameroon</x:v>
      </x:c>
      <x:c r="L291" s="21" t="str">
        <x:f>IFERROR(HYPERLINK("https://afrique.le360.ma/autres-pays/politique/2019/01/24/24840-cameroun-la-guinee-equatoriale-rouvre-sa-frontiere-terrestre-24840/","Le360 Afrique"),"Le360 Afrique")</x:f>
        <x:v>Le360 Afrique</x:v>
      </x:c>
      <x:c r="M291" s="21" t="str">
        <x:f>IFERROR(HYPERLINK("https://www.voanews.com/a/cameroon-equatorial-guinea-reopen-border-business-thrives/4426750.html","Voice of America"),"Voice of America")</x:f>
        <x:v>Voice of America</x:v>
      </x:c>
      <x:c r="N291" s="4" t="str">
        <x:v>https://www.businessincameroon.com/cooperation/2501-8792-cameroon-equatorial-guinea-border-to-be-reopened-next-week
https://afrique.le360.ma/autres-pays/politique/2019/01/24/24840-cameroun-la-guinee-equatoriale-rouvre-sa-frontiere-terrestre-24840/
https://www.voanews.com/a/cameroon-equatorial-guinea-reopen-border-business-thrives/4426750.html
https://actucameroun.com/2018/04/25/la-frontiere-cameroun-guinee-equatoriale-partiellement-rouverte/
https://cameroun24.net/article/48653-SUD_Cameroun__GuinAe_Equatoriale___la_frontiAre_es.html
https://www.cameroonintelligencereport.com/cameroon-equatorial-guinea-reopen-border-after-four-months/</x:v>
      </x:c>
      <x:c r="O291" s="4" t="str">
        <x:v>Source 1: unavailable
Source 2: full text
Source 3: full text</x:v>
      </x:c>
      <x:c r="P291" s="20" t="n">
        <x:v>1</x:v>
      </x:c>
      <x:c r="Q291" s="4" t="str">
        <x:v>Southern and Central Africa</x:v>
      </x:c>
      <x:c r="R291" s="4" t="str">
        <x:v>Included</x:v>
      </x:c>
    </x:row>
    <x:row r="292" ht="198" hidden="0" customHeight="1">
      <x:c r="A292" s="16" t="str">
        <x:v>SC19</x:v>
      </x:c>
      <x:c r="B292" s="4" t="str">
        <x:v>Eswatini COVID general-travel restrictions</x:v>
      </x:c>
      <x:c r="C292" s="4" t="str">
        <x:v>Eswatini; South Africa; Mozambique</x:v>
      </x:c>
      <x:c r="D292" s="4" t="str">
        <x:v>Six named closed posts: Lundzi; Bulembu; Sandlane; Nsalitje; Sicunusa; Gege
National land borders</x:v>
      </x:c>
      <x:c r="E292" s="4" t="str">
        <x:v>Not established
Direction: Not established
Exceptions: Cargo, returning nationals/residents, essential government/company/organization/medical travel and screened asylum seekers. Regulation 16(4) separately provides screening/isolation for nonessential entrants despite the general prohibition in 16(1).</x:v>
      </x:c>
      <x:c r="F292" s="4" t="str">
        <x:v>SC19-FU1 — Formal policy
Eswatini outbound non-essential travel under Regulation 16(1)
Start: 2020-03-27.
Last confirmed: 2020-03-27. Reopening is not established.
Formal policy: dated evidence; numeric duration withheld; see qualification</x:v>
      </x:c>
      <x:c r="G29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92" s="4" t="str">
        <x:v>General travel regime and six secondary-post closure must remain distinct. October 2020 easing at named main posts is not simultaneous all-post restoration.
SC19-FU1: Dated formal provision only. Inbound subsection 16(4) separately contemplates non-essential entry with isolation; do not code a universal sealed border or infer any October endpoint.
end/continuity: Fresh full gazette supports a March 27 formal observation for outbound non-essential travel. Inbound provisions have exceptions and apparent tension; no complete legal amendment chain or operational endpoint was recovered.
duration: Fresh full gazette supports a March 27 formal observation for outbound non-essential travel. Inbound provisions have exceptions and apparent tension; no complete legal amendment chain or operational endpoint was recovered.</x:v>
      </x:c>
      <x:c r="I292" s="4" t="str">
        <x:v>Retained baseline assessment. Follow-up adjudicated; amend</x:v>
      </x:c>
      <x:c r="J292" s="18" t="d">
        <x:v>2026-10-23T00:00:00.000Z</x:v>
      </x:c>
      <x:c r="K292" s="21" t="str">
        <x:f>IFERROR(HYPERLINK("https://faolex.fao.org/docs/pdf/swa195477.pdf","faolex.fao.org"),"faolex.fao.org")</x:f>
        <x:v>faolex.fao.org</x:v>
      </x:c>
      <x:c r="L292" s="21" t="str">
        <x:f>IFERROR(HYPERLINK("https://www.gov.sz/index.php/latest-news/204-latest-news/2414-government-press-statement-24-march","Government of Eswatini"),"Government of Eswatini")</x:f>
        <x:v>Government of Eswatini</x:v>
      </x:c>
      <x:c r="M292" s="21" t="str">
        <x:f>IFERROR(HYPERLINK("https://eswatinilii.org/akn/sz/act/ln/2020/72/eng%402020-03-27","EswatiniLII"),"EswatiniLII")</x:f>
        <x:v>EswatiniLII</x:v>
      </x:c>
      <x:c r="N292" s="4" t="str">
        <x:v>https://faolex.fao.org/docs/pdf/swa195477.pdf
https://www.gov.sz/index.php/latest-news/204-latest-news/2414-government-press-statement-24-march
https://eswatinilii.org/akn/sz/act/ln/2020/72/eng%402020-03-27
https://www.gov.sz/images/CORONA/PM-statement-12-Oct-2020-final.pdf
https://www.santaferelo.com/corporate-relocation/resources/news/immigration-update-covid-19-travel-advisory-for-the-kingdom-of-eswatini/
https://natlex.ilo.org/dyn/natlex2/natlex2/files/download/110049/SWZ110049.pdf
https://independentnews.co.sz/4556/travel/travel-news/eswatini-international-travel-guidelines-under-national-emergency/
https://www.gov.sz/index.php?catid=127&amp;id=2425%3Ameasures-to-be-taken-following-the-national-emergency-declaration&amp;view=article
https://www.acts.co.za/immigration-act-/n2380_notice_no__2380_of_2022
https://iol.co.za/news/south-africa/2022-07-29-all-south-african-land-border-posts-to-be-opened-on-august-1-as-covid-19-shutdown-ends/
https://www.uneswa.ac.sz/wp-content/uploads/2020/04/index.html</x:v>
      </x:c>
      <x:c r="O292" s="4" t="str">
        <x:v>Source 1: access detail is retained in the source catalogue.
Source 2: indexed excerpt
Source 3: indexed excerpt</x:v>
      </x:c>
      <x:c r="P292" s="20" t="n">
        <x:v>1</x:v>
      </x:c>
      <x:c r="Q292" s="4" t="str">
        <x:v>Southern and Central Africa</x:v>
      </x:c>
      <x:c r="R292" s="4" t="str">
        <x:v>Included</x:v>
      </x:c>
    </x:row>
    <x:row r="293" ht="138" hidden="0" customHeight="1">
      <x:c r="A293" s="16" t="str">
        <x:v>SC21</x:v>
      </x:c>
      <x:c r="B293" s="4" t="str">
        <x:v>Namibia COVID land-border restrictions</x:v>
      </x:c>
      <x:c r="C293" s="4" t="str">
        <x:v>Namibia; Angola; Zambia; Botswana; South Africa</x:v>
      </x:c>
      <x:c r="D293" s="4" t="str">
        <x:v>Not established
Selected land crossings; nationwide restrictions on passenger travel</x:v>
      </x:c>
      <x:c r="E293" s="4" t="str">
        <x:v>Not established
Direction: Not established
Exceptions: Essential trade and supplies; reciprocal business/trade missions; specially approved admissions; returning nationals/residents subject to quarantine.</x:v>
      </x:c>
      <x:c r="F293" s="4" t="str">
        <x:v>SC21-FU1 — Formal policy
Passenger restrictions announced for Oshikango, Katwitwi, Wenela, Buitepos, Ariamsvlei and Noordoewer land posts
Start: unknown.
Last confirmed: 2020-03-24. Reopening is not established.
Formal policy: dated evidence; numeric duration withheld; see qualification</x:v>
      </x:c>
      <x:c r="G29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93" s="4" t="str">
        <x:v>SC21-FU1: Documentary announcement boundary; not verified effective commencement at every gate. October 14 permission for three land posts does not establish first actual bilateral passage.
timing: A dated government-announcement observation can be retained without inventing a March operative onset. October 14 supplies a specific partial permission stage only; exact same-scope implementation and reciprocal access remain unresolved.</x:v>
      </x:c>
      <x:c r="I293" s="4" t="str">
        <x:v>Retained baseline assessment. Follow-up adjudicated; amend</x:v>
      </x:c>
      <x:c r="J293" s="18" t="d">
        <x:v>2026-10-23T00:00:00.000Z</x:v>
      </x:c>
      <x:c r="K293" s="21" t="str">
        <x:f>IFERROR(HYPERLINK("https://namibia.un.org/en/38975-namibias-national-response-measures-covid19","United Nations Namibia"),"United Nations Namibia")</x:f>
        <x:v>United Nations Namibia</x:v>
      </x:c>
      <x:c r="L293" s="21" t="str">
        <x:f>IFERROR(HYPERLINK("https://www.namibian.com.na/four-border-posts-opened-for-travel/","The Namibian"),"The Namibian")</x:f>
        <x:v>The Namibian</x:v>
      </x:c>
      <x:c r="M293" s="21" t="str">
        <x:f>IFERROR(HYPERLINK("https://namiblii.org/akn/na/act/p/2020/9/eng%402020-04-17","NamibLII"),"NamibLII")</x:f>
        <x:v>NamibLII</x:v>
      </x:c>
      <x:c r="N293" s="4" t="str">
        <x:v>https://namibia.un.org/en/38975-namibias-national-response-measures-covid19
https://www.namibian.com.na/four-border-posts-opened-for-travel/
https://namiblii.org/akn/na/act/p/2020/9/eng%402020-04-17
https://www.namibian.com.na/ariamsvlei-border-post-temporarily-closed/
https://www.namibian.com.na/borders-open-conditional-to-neighbours/
https://fliphtml5.com/jxto/pupd/Namibian_Sun_20201013/
https://www.thevillager.com.na/covid-19/2020/covid-19-forces-namibia-to-lockdown-two-regions/
https://www.namport.com.na/news/619/Namibia-announces-travel-ban-partial-lockdown-after-seventh-coronavirus-case/
https://www.namport.com.na/news/630/Namibia-Briefing-Statement-by-His-Excellency-the-President-Dr-Hage-G-Geingob-On-Covid-19-National-Response-Measures/</x:v>
      </x:c>
      <x:c r="O293" s="4" t="str">
        <x:v>Source 1: full
Source 2: indexed excerpt; full
Source 3: indexed excerpt</x:v>
      </x:c>
      <x:c r="P293" s="20" t="n">
        <x:v>1</x:v>
      </x:c>
      <x:c r="Q293" s="4" t="str">
        <x:v>Southern and Central Africa</x:v>
      </x:c>
      <x:c r="R293" s="4" t="str">
        <x:v>Included</x:v>
      </x:c>
    </x:row>
    <x:row r="294" ht="150" hidden="0" customHeight="1">
      <x:c r="A294" s="16" t="str">
        <x:v>SC22</x:v>
      </x:c>
      <x:c r="B294" s="4" t="str">
        <x:v>Lesotho COVID lockdown border prohibition</x:v>
      </x:c>
      <x:c r="C294" s="4" t="str">
        <x:v>Lesotho; South Africa</x:v>
      </x:c>
      <x:c r="D294" s="4" t="str">
        <x:v>Not established
National borders; designated posts for essential movements</x:v>
      </x:c>
      <x:c r="E294" s="4" t="str">
        <x:v>Not established
Direction: Not established
Exceptions: Essential goods/services through designated posts; authorised emergency medical travel and government-invited specialist consultants.</x:v>
      </x:c>
      <x:c r="F294" s="4" t="str">
        <x:v>SC22-R1 — Announced window
Lesotho restriction on nonexempt entry/exit during the stated lockdown period
Start: 2020-04-22.
Scheduled endpoint: 2020-05-05.
Ordered window: 13 calendar-day difference; actual end not established
SC22-C1 — Announced window
Lesotho prohibition of non-exempt entry and exit under Notice 41; named essential gateway list is not a list of all closed posts.
Start: 2020-05-06.
Scheduled endpoint: 2020-05-19.
Ordered window: 13 calendar-day difference; actual end not established</x:v>
      </x:c>
      <x:c r="G29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94" s="4" t="str">
        <x:v>SC22-R1: April 22–May 5 is the order's stated lockdown window, with no endpoint clock time established. Listed land posts are permitted essential-service gateways, not an exhaustive closed-post list. Airport provision excluded from this land period; actual reopening and longer March–October phase unresolved.
SC22-C1: Scheduled legal window only, no actual May 19 reopening established. Goods/services wording differs from preceding essential-only wording. Airport excluded; no precise endpoint clock supplied.</x:v>
      </x:c>
      <x:c r="I294" s="4" t="str">
        <x:v>Retained baseline assessment. Amended after source reconciliation</x:v>
      </x:c>
      <x:c r="J294" s="18" t="d">
        <x:v>2026-10-23T00:00:00.000Z</x:v>
      </x:c>
      <x:c r="K294" s="21" t="str">
        <x:f>IFERROR(HYPERLINK("https://faolex.fao.org/docs/pdf/les195072.pdf","Government of Lesotho / FAOLEX"),"Government of Lesotho / FAOLEX")</x:f>
        <x:v>Government of Lesotho / FAOLEX</x:v>
      </x:c>
      <x:c r="L294" s="21" t="str">
        <x:f>IFERROR(HYPERLINK("https://lesotholii.org/akn/ls/act/ln/2020/41/eng@2020-05-06","lesotholii.org"),"lesotholii.org")</x:f>
        <x:v>lesotholii.org</x:v>
      </x:c>
      <x:c r="M294" s="21" t="str">
        <x:f>IFERROR(HYPERLINK("https://lesotho.un.org/sites/default/files/2021-04/COVID-19%20situation%20update%20April%202021.pdf","United Nations Lesotho"),"United Nations Lesotho")</x:f>
        <x:v>United Nations Lesotho</x:v>
      </x:c>
      <x:c r="N294" s="4" t="str">
        <x:v>https://faolex.fao.org/docs/pdf/les195072.pdf
https://lesotholii.org/akn/ls/act/ln/2020/41/eng@2020-05-06
https://lesotho.un.org/sites/default/files/2021-04/COVID-19%20situation%20update%20April%202021.pdf
https://www.gov.ls/wp-content/uploads/2020/05/LEGAL-NOTICE-NO.-41-OF-2020.pdf
https://lesotholii.org/akn/ls/act/ln/2020/38/eng%402020-04-22
https://lesotho.un.org/en/download/14750/53003
https://lesotholii.org/akn/ls/act/ln/2020/38/eng@2020-04-22
https://fews.net/southern-africa/lesotho/remote-monitoring-report/october-2020
https://lesotholii.org/akn/ls/act/ln/2020/41/eng%402020-05-06</x:v>
      </x:c>
      <x:c r="O294" s="4" t="str">
        <x:v>Source 1: full
Source 2: access detail is retained in the source catalogue.
Source 3: full</x:v>
      </x:c>
      <x:c r="P294" s="20" t="n">
        <x:v>2</x:v>
      </x:c>
      <x:c r="Q294" s="4" t="str">
        <x:v>Southern and Central Africa</x:v>
      </x:c>
      <x:c r="R294" s="4" t="str">
        <x:v>Included</x:v>
      </x:c>
    </x:row>
    <x:row r="295" ht="162" hidden="0" customHeight="1">
      <x:c r="A295" s="16" t="str">
        <x:v>SC02</x:v>
      </x:c>
      <x:c r="B295" s="4" t="str">
        <x:v>South Africa initial COVID land-port restrictions</x:v>
      </x:c>
      <x:c r="C295" s="4" t="str">
        <x:v>South Africa; Zimbabwe; Mozambique; Lesotho; Eswatini; Botswana; Namibia</x:v>
      </x:c>
      <x:c r="D295" s="4" t="str">
        <x:v>Not established
35 of 53 land ports initially; later restrictions and partial reopenings</x:v>
      </x:c>
      <x:c r="E295" s="4" t="str">
        <x:v>Not established
Direction: Not established
Exceptions: Not established</x:v>
      </x:c>
      <x:c r="F295" s="4" t="str">
        <x:v>SC02-R1 — Formal policy
South African formal closure of Onverwacht/Nsalitje secondary port
Start: 2020-03-16.
Policy endpoint: 2022-08-01.
Formal policy: 868 calendar-day difference; operational continuity not established</x:v>
      </x:c>
      <x:c r="G29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95" s="4" t="str">
        <x:v>SC02-R1: March16 is administrative commencement in the official SARS notice, not an observed gate clock time. August1,2022 is legal reopening permission; actual first passage and exceptional permits remain unverified.
source_access/start: Original named March 26 legal text not yet retrieved full.
source verification: Exact March 26 named original legal text remains indexed-only after fresh restricted-URL failure; later full 2021 list and full IOL retrospective support scope/continuity but do not replace the initial instrument.</x:v>
      </x:c>
      <x:c r="I295" s="4" t="str">
        <x:v>Targeted source review (REC50-R49); retained with recorded qualifications; evidence limits retained.</x:v>
      </x:c>
      <x:c r="J295" s="18" t="d">
        <x:v>2026-10-25T00:00:00.000Z</x:v>
      </x:c>
      <x:c r="K295" s="21" t="str">
        <x:f>IFERROR(HYPERLINK("https://lawlibrary.org.za/akn/za/act/gn/2020/416/eng%402020-03-26","LawLibrary / South African government"),"LawLibrary / South African government")</x:f>
        <x:v>LawLibrary / South African government</x:v>
      </x:c>
      <x:c r="L295" s="21" t="str">
        <x:f>IFERROR(HYPERLINK("https://www.gov.za/sites/default/files/gcis_document/202104/44335gon271.pdf","South African Government Gazette"),"South African Government Gazette")</x:f>
        <x:v>South African Government Gazette</x:v>
      </x:c>
      <x:c r="M295" s="21" t="str">
        <x:f>IFERROR(HYPERLINK("https://iol.co.za/news/south-africa/2022-07-29-all-south-african-land-border-posts-to-be-opened-on-august-1-as-covid-19-shutdown-ends/","IOL / Sihle Mavuso"),"IOL / Sihle Mavuso")</x:f>
        <x:v>IOL / Sihle Mavuso</x:v>
      </x:c>
      <x:c r="N295" s="4" t="str">
        <x:v>https://lawlibrary.org.za/akn/za/act/gn/2020/416/eng%402020-03-26
https://www.gov.za/sites/default/files/gcis_document/202104/44335gon271.pdf
https://iol.co.za/news/south-africa/2022-07-29-all-south-african-land-border-posts-to-be-opened-on-august-1-as-covid-19-shutdown-ends/
https://www.acts.co.za/immigration-act-/n2380_notice_no__2380_of_2022
https://www.sars.gov.za/media/corona-virus-covid-19/
https://www.thepresidency.gov.za/statement-president-cyril-ramaphosa-measures-combat-covid-19-epidemic
https://www.sanews.gov.za/south-africa/sa-opens-its-borders-african-travellers
https://www.gov.za/news/speeches/president-cyril-ramaphosa-measures-combat-coronavirus-covid-19-epidemic-15-mar-2020
https://www.gov.za/ss/news/media-statements/minister-aaron-motsoaledi-re-opening-borders-and-ports-entry-international</x:v>
      </x:c>
      <x:c r="O295" s="4" t="str">
        <x:v>Source 1: indexed excerpt
Source 2: full; failed; full text
Source 3: full; indexed excerpt; full text</x:v>
      </x:c>
      <x:c r="P295" s="20" t="n">
        <x:v>1</x:v>
      </x:c>
      <x:c r="Q295" s="4" t="str">
        <x:v>Southern and Central Africa</x:v>
      </x:c>
      <x:c r="R295" s="4" t="str">
        <x:v>Included</x:v>
      </x:c>
    </x:row>
    <x:row r="296" ht="186" hidden="0" customHeight="1">
      <x:c r="A296" s="16" t="str">
        <x:v>SC16</x:v>
      </x:c>
      <x:c r="B296" s="4" t="str">
        <x:v>Cameroon COVID national border closure</x:v>
      </x:c>
      <x:c r="C296" s="4" t="str">
        <x:v>Cameroon; Nigeria; Chad; Central African Republic; Republic of the Congo; Gabon; Equatorial Guinea</x:v>
      </x:c>
      <x:c r="D296" s="4" t="str">
        <x:v>Not established
National land, air and sea borders</x:v>
      </x:c>
      <x:c r="E296" s="4" t="str">
        <x:v>Not established
Direction: Not established
Exceptions: Official text explicitly exempts cargo flights and vessels; land freight rules require further clarification</x:v>
      </x:c>
      <x:c r="F296" s="4" t="str">
        <x:v>SC16-C1 — Formal policy
Cameroonian ordinary non-authorized traveler restriction at Ngueli/Kousseri bridge; medical/administrative exceptions excluded.
Start: 2020-03-18.
Policy endpoint: 2021-06-20.
Formal policy: 459 calendar-day difference; operational continuity not established</x:v>
      </x:c>
      <x:c r="G29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96" s="4" t="str">
        <x:v>Cameroon-side Ngueli reopening June 20 2021 verified separately from Chad June 17 ceremony. National common land reopening remains unknown.
SC16-C1: Formal ordinary-person access segment, not absence of every physical crossing or freight. Chad's June 17 opening did not remove Cameroon refusal; exceptional students/emergencies excluded. No national endpoint inferred.</x:v>
      </x:c>
      <x:c r="I296" s="4" t="str">
        <x:v>Retained baseline assessment. Amended after source reconciliation</x:v>
      </x:c>
      <x:c r="J296" s="18" t="d">
        <x:v>2026-10-23T00:00:00.000Z</x:v>
      </x:c>
      <x:c r="K296" s="21" t="str">
        <x:f>IFERROR(HYPERLINK("https://www.minpmeesa.cm/site/en/government-response-strategy-to-the-coronavirus-pandemic-covid-19/","Government of Cameroon"),"Government of Cameroon")</x:f>
        <x:v>Government of Cameroon</x:v>
      </x:c>
      <x:c r="L296" s="21" t="str">
        <x:f>IFERROR(HYPERLINK("https://ialtchad.com/index.php/details/item/758-pont-n%E2%80%99gu%C3%A9li-moiti%C3%A9-ouvert%2C-moiti%C3%A9-ferm%C3%A9","ialtchad.com"),"ialtchad.com")</x:f>
        <x:v>ialtchad.com</x:v>
      </x:c>
      <x:c r="M296" s="21" t="str">
        <x:f>IFERROR(HYPERLINK("https://www.lepaystchad.com/le-pont-ngueli-officiellement-reouvert/","lepaystchad.com"),"lepaystchad.com")</x:f>
        <x:v>lepaystchad.com</x:v>
      </x:c>
      <x:c r="N296" s="4" t="str">
        <x:v>https://www.minpmeesa.cm/site/en/government-response-strategy-to-the-coronavirus-pandemic-covid-19/
https://ialtchad.com/index.php/details/item/758-pont-n%E2%80%99gu%C3%A9li-moiti%C3%A9-ouvert%2C-moiti%C3%A9-ferm%C3%A9
https://www.lepaystchad.com/le-pont-ngueli-officiellement-reouvert/
https://h.aa.com.tr/fr/afrique/covid-19-r%C3%A9ouverture-des-fronti%C3%A8res-terrestres-entre-le-cameroun-et-le-tchad/2277706
https://dtm.iom.int/sites/g/files/tmzbdl1461/files/reports/POE_regional%20report_June2022.pdf
https://www.imf.org/-/media/files/publications/cr/2021/english/1cmrea2021001.pdf
https://www.elibrary.imf.org/view/journals/002/2022/075/article-A001-en.xml
https://prc.cm/en/news/4150-coronavirus-president-paul-biya-s-instructions
https://www.businessincameroon.com/public-management/2206-11702-towards-the-normalization-of-chad-cameroon-s-commercial-exchange-with-the-reopening-of-cameroon-s-side-of-the-ngueli-border
https://www.imf.org/-/media/Files/Publications/CR/2021/English/1CMREA2021001.ashx</x:v>
      </x:c>
      <x:c r="O296" s="4" t="str">
        <x:v>Source 1: full
Source 2: access detail is retained in the source catalogue.
Source 3: access detail is retained in the source catalogue.</x:v>
      </x:c>
      <x:c r="P296" s="20" t="n">
        <x:v>1</x:v>
      </x:c>
      <x:c r="Q296" s="4" t="str">
        <x:v>Southern and Central Africa</x:v>
      </x:c>
      <x:c r="R296" s="4" t="str">
        <x:v>Included</x:v>
      </x:c>
    </x:row>
    <x:row r="297" ht="150" hidden="0" customHeight="1">
      <x:c r="A297" s="16" t="str">
        <x:v>SC11</x:v>
      </x:c>
      <x:c r="B297" s="4" t="str">
        <x:v>Angola COVID closure of passenger land movement</x:v>
      </x:c>
      <x:c r="C297" s="4" t="str">
        <x:v>Angola; Namibia; Zambia; Democratic Republic of the Congo; Republic of the Congo</x:v>
      </x:c>
      <x:c r="D297" s="4" t="str">
        <x:v>Not established
National land borders</x:v>
      </x:c>
      <x:c r="E297" s="4" t="str">
        <x:v>People; passenger movement
Direction: Not established
Exceptions: Cargo trailers explicitly exempt in March 22 2020 embassy advisory; later authorized health and other exceptions not exhaustively catalogued.</x:v>
      </x:c>
      <x:c r="F297" s="4" t="str">
        <x:v>SC11-D1 — Observed operation
Ordinary passenger passage at Santa Clara on Angola's Namibia frontier, to the observed February reopening.
Start: 2020-03-20.
Observed scoped reopening: 2022-02-02.
684 calendar-day difference; scoped endpoint only</x:v>
      </x:c>
      <x:c r="G29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97" s="4" t="str">
        <x:v>SC11-D1: The planned initial fifteen days are not used as duration. General April 2022 permission and the May ceremony are later milestones. Other Angolan posts and freight are not assigned Santa Clara's endpoint; authorised exceptions are not exhaustively reconstructed.</x:v>
      </x:c>
      <x:c r="I297" s="4" t="str">
        <x:v>Retained baseline assessment. Amended after source reconciliation</x:v>
      </x:c>
      <x:c r="J297" s="18" t="d">
        <x:v>2026-10-23T00:00:00.000Z</x:v>
      </x:c>
      <x:c r="K297" s="21" t="str">
        <x:f>IFERROR(HYPERLINK("https://www.ciam.gov.ao/ao/noticia/28","CIAM"),"CIAM")</x:f>
        <x:v>CIAM</x:v>
      </x:c>
      <x:c r="L297" s="21" t="str">
        <x:f>IFERROR(HYPERLINK("https://www.ciam.gov.ao/ao/noticia/753","CIAM"),"CIAM")</x:f>
        <x:v>CIAM</x:v>
      </x:c>
      <x:c r="M297" s="21" t="str">
        <x:f>IFERROR(HYPERLINK("https://minint.gov.ao/web/noticias/governos-de-angola-e-nam%25C3%25ADbia-reabrem-fronteira-comum","Angola Interior Ministry"),"Angola Interior Ministry")</x:f>
        <x:v>Angola Interior Ministry</x:v>
      </x:c>
      <x:c r="N297" s="4" t="str">
        <x:v>https://www.ciam.gov.ao/ao/noticia/28
https://www.ciam.gov.ao/ao/noticia/753
https://minint.gov.ao/web/noticias/governos-de-angola-e-nam%25C3%25ADbia-reabrem-fronteira-comum
https://lex.ao/docs/presidente-da-republica/2022/decreto-presidencial-n-o-72-22-de-31-de-marco/
https://kenyaembassyangola.com/update-on-the-coronavirus-covid-19-for-kenyans-travelling-to-angola-and-kenyans-residing-in-angola/
https://lex.ao/docs/presidente-da-republica/2022/decreto-presidencial-n-o-31-22-de-31-de-janeiro/
https://rna.ao/rna.ao/2022/04/21/reaberta-fronteira-de-angola-e-rdc-a-partir-de-cabinda/
https://www.verangola.net/va/en/122022/Transports/33643/Border-between-Angola-and-Zambia-reopens-two-years-after-closure.htm
https://ciam.gov.ao/ao/noticia/753</x:v>
      </x:c>
      <x:c r="O297" s="4" t="str">
        <x:v>Source 1: full page
Source 2: full page
Source 3: full page</x:v>
      </x:c>
      <x:c r="P297" s="20" t="n">
        <x:v>1</x:v>
      </x:c>
      <x:c r="Q297" s="4" t="str">
        <x:v>Southern and Central Africa</x:v>
      </x:c>
      <x:c r="R297" s="4" t="str">
        <x:v>Included</x:v>
      </x:c>
    </x:row>
    <x:row r="298" ht="126" hidden="0" customHeight="1">
      <x:c r="A298" s="16" t="str">
        <x:v>SC17</x:v>
      </x:c>
      <x:c r="B298" s="4" t="str">
        <x:v>Republic of Congo COVID border closure</x:v>
      </x:c>
      <x:c r="C298" s="4" t="str">
        <x:v>Republic of the Congo; Gabon; Cameroon; Central African Republic; Democratic Republic of the Congo; Angola</x:v>
      </x:c>
      <x:c r="D298" s="4" t="str">
        <x:v>Not established
Land and river borders as part of national closure</x:v>
      </x:c>
      <x:c r="E298" s="4" t="str">
        <x:v>Not established
Direction: Not established
Exceptions: Freight exemptions documented; crossings by special authorisation later noted</x:v>
      </x:c>
      <x:c r="F298" s="4" t="str">
        <x:v>SC17-D1 — Formal policy
Republic of Congo's ordinary non-exempt land/river passenger restriction, to formal reopening permission.
Start: 2020-03-21 to 2020-03-22.
Policy endpoint: 2022-02-28.
Formal policy: 708–709 calendar-day difference; operational continuity not established</x:v>
      </x:c>
      <x:c r="G29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98" s="4" t="str">
        <x:v>SC17-D1: Formal policy phase only. Goods and specially authorised movements are excluded. Gate-level operation and reciprocal neighbouring permission are not established; the midnight ambiguity is not silently resolved.</x:v>
      </x:c>
      <x:c r="I298" s="4" t="str">
        <x:v>Retained baseline assessment. Retained with recorded qualifications</x:v>
      </x:c>
      <x:c r="J298" s="18" t="d">
        <x:v>2026-10-23T00:00:00.000Z</x:v>
      </x:c>
      <x:c r="K298" s="21" t="str">
        <x:f>IFERROR(HYPERLINK("https://www.sgg.cg/fr/actualites/14/dclaration-n-4-du-gouvernement-relative-la-pandmie-de-coronavirus-covid-19.html","Secretariat General Government Congo"),"Secretariat General Government Congo")</x:f>
        <x:v>Secretariat General Government Congo</x:v>
      </x:c>
      <x:c r="L298" s="21" t="str">
        <x:f>IFERROR(HYPERLINK("https://developpement-durable.gouv.cg/2020/05/16/covid19_cg-communication-de-monsieur-clement-mouamba-premier-ministre-plan-de-deconfinement-relatif-a-riposte-contre-coronavirus-covid-19/","Ministry of Environment Congo"),"Ministry of Environment Congo")</x:f>
        <x:v>Ministry of Environment Congo</x:v>
      </x:c>
      <x:c r="M298" s="21" t="str">
        <x:f>IFERROR(HYPERLINK("https://gabonmediatime.com/covid-19-le-congo-leve-le-couvre-feu-et-reouvre-ses-frontieres/","Gabon Media Time"),"Gabon Media Time")</x:f>
        <x:v>Gabon Media Time</x:v>
      </x:c>
      <x:c r="N298" s="4" t="str">
        <x:v>https://www.sgg.cg/fr/actualites/14/dclaration-n-4-du-gouvernement-relative-la-pandmie-de-coronavirus-covid-19.html
https://developpement-durable.gouv.cg/2020/05/16/covid19_cg-communication-de-monsieur-clement-mouamba-premier-ministre-plan-de-deconfinement-relatif-a-riposte-contre-coronavirus-covid-19/
https://gabonmediatime.com/covid-19-le-congo-leve-le-couvre-feu-et-reouvre-ses-frontieres/
https://www.sgg.cg/fr/actualites/41/34e-runion-de-la-coordination-nationale-de-gestion-de-la-pandmie-de-coronavirus-covid-19.html
https://liziba.cg/wp-content/uploads/2024/10/Arrete-n%C2%B05670-du-22-mai-2020-maintenant-la-mesure-de-fermeture-des-frontieres-de-la-Republique-du-Congo.pdf</x:v>
      </x:c>
      <x:c r="O298" s="4" t="str">
        <x:v>Source 1: full page
Source 2: search extract
Source 3: search extract</x:v>
      </x:c>
      <x:c r="P298" s="20" t="n">
        <x:v>1</x:v>
      </x:c>
      <x:c r="Q298" s="4" t="str">
        <x:v>Southern and Central Africa</x:v>
      </x:c>
      <x:c r="R298" s="4" t="str">
        <x:v>Included</x:v>
      </x:c>
    </x:row>
    <x:row r="299" ht="102" hidden="0" customHeight="1">
      <x:c r="A299" s="16" t="str">
        <x:v>SC13</x:v>
      </x:c>
      <x:c r="B299" s="4" t="str">
        <x:v>Zimbabwe COVID general passenger closure</x:v>
      </x:c>
      <x:c r="C299" s="4" t="str">
        <x:v>Zimbabwe; South Africa; Botswana; Zambia; Mozambique</x:v>
      </x:c>
      <x:c r="D299" s="4" t="str">
        <x:v>Beitbridge; Plumtree; Victoria Falls; Chirundu; Nyamapanda; Forbes
National borders for human traffic</x:v>
      </x:c>
      <x:c r="E299" s="4" t="str">
        <x:v>Non-exempt ordinary land passengers; December1 relaxation for private-vehicle travellers and pedestrians at announced major-post subset
Direction: Zimbabwe-imposed land admission restrictions; December1 passage observed in both directions at Beitbridge. Exact outward exceptions throughout not exhaustively established.
Exceptions: Returning residents and cargo; September contemporary reporting also identifies diplomats. Full authorised-exception history not exhaustively recovered.</x:v>
      </x:c>
      <x:c r="F299" s="4" t="str">
        <x:v>SC13-D1 — Formal policy
Zimbabwe-imposed restriction on nonexempt ordinary land admission at Beitbridge, to December 1 permission and observed private-vehicle/pedestrian relaxation; cargo, diplomats and returning residents excluded.
Start: 2020-03-23.
Observed scoped reopening: 2020-12-01.
Formal policy: 253 calendar-day difference; operational continuity not established</x:v>
      </x:c>
      <x:c r="G29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299" s="4" t="str">
        <x:v>SC13-D1: 253 days is a scoped formal-policy interval for non-exempt ordinary land admission at Beitbridge through observed December1 relaxation. March23 operational implementation was not independently observed in sources inspected; direction-specific and other authorised exceptions remain incompletely catalogued. Six-post announcement is not universal implementation proof. Public transport and other categories require separate phase tracking. Returning residents and cargo; September contemporary reporting also identifies diplomats. Full authorised-exception history not exhaustively recovered.</x:v>
      </x:c>
      <x:c r="I299" s="4" t="str">
        <x:v>Retained baseline assessment. Amended after source reconciliation</x:v>
      </x:c>
      <x:c r="J299" s="18" t="d">
        <x:v>2026-10-23T00:00:00.000Z</x:v>
      </x:c>
      <x:c r="K299" s="21" t="str">
        <x:f>IFERROR(HYPERLINK("https://www.xinhuanet.com/english/2020-03/24/c_138909326.htm","Xinhua"),"Xinhua")</x:f>
        <x:v>Xinhua</x:v>
      </x:c>
      <x:c r="L299" s="21" t="str">
        <x:f>IFERROR(HYPERLINK("https://www.heraldonline.co.zw/watch-borders-reopen-on-low-note-travellers-undergo-strict-health-guidelines/","Herald Online / Chronicle"),"Herald Online / Chronicle")</x:f>
        <x:v>Herald Online / Chronicle</x:v>
      </x:c>
      <x:c r="M299" s="21" t="str">
        <x:f>IFERROR(HYPERLINK("https://www.heraldonline.co.zw/borders-still-closed-to-general-human-traffic-govt/","The Herald"),"The Herald")</x:f>
        <x:v>The Herald</x:v>
      </x:c>
      <x:c r="N299" s="4" t="str">
        <x:v>https://www.xinhuanet.com/english/2020-03/24/c_138909326.htm
https://www.heraldonline.co.zw/watch-borders-reopen-on-low-note-travellers-undergo-strict-health-guidelines/
https://www.heraldonline.co.zw/borders-still-closed-to-general-human-traffic-govt/
https://cite.org.zw/border-reopening-slow-traffic-at-beitbridge-border/
https://nehandaradio.com/2020/03/28/sa-zim-clear-final-batch-of-travellers/
https://fews.net/southern-africa/zimbabwe/food-security-outlook-update/april-2020
https://veritaszim.net/node/4614</x:v>
      </x:c>
      <x:c r="O299" s="4" t="str">
        <x:v>Source 1: full page
Source 2: full page
Source 3: relevant article body opened and inspected</x:v>
      </x:c>
      <x:c r="P299" s="20" t="n">
        <x:v>1</x:v>
      </x:c>
      <x:c r="Q299" s="4" t="str">
        <x:v>Southern and Central Africa</x:v>
      </x:c>
      <x:c r="R299" s="4" t="str">
        <x:v>Included</x:v>
      </x:c>
    </x:row>
    <x:row r="300" ht="174" hidden="0" customHeight="1">
      <x:c r="A300" s="16" t="str">
        <x:v>SC18</x:v>
      </x:c>
      <x:c r="B300" s="4" t="str">
        <x:v>Mozambique COVID partial border closure</x:v>
      </x:c>
      <x:c r="C300" s="4" t="str">
        <x:v>Mozambique; South Africa; Eswatini; Zimbabwe; Zambia; Malawi; Tanzania</x:v>
      </x:c>
      <x:c r="D300" s="4" t="str">
        <x:v>Not established
Partial restrictions at national land entry points</x:v>
      </x:c>
      <x:c r="E300" s="4" t="str">
        <x:v>Not established
Direction: Not established
Exceptions: State interest, humanitarian/health activity, accredited freight</x:v>
      </x:c>
      <x:c r="F300" s="4" t="str">
        <x:v>SC18-RREV1 — Formal policy
Original implementing-decree phase of Mozambique's closure of land crossing posts except the enumerated authorized posts; nonexempt passenger entry/exit only
Start: 2020-04-02.
Policy endpoint: 2020-05-08.
Formal policy: 36 calendar-day difference; operational continuity not established</x:v>
      </x:c>
      <x:c r="G30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00" s="4" t="str">
        <x:v>SC18-RREV1: Legal phase only, not an observed physical closure or reopening. Exempt posts: Negomano; Mandimba, II Congresso, Entrelagos; Melosa; Cassacatisa, Cuchamano, Zobwe; Machipanda; Chicualacuala; Ressano Garcia and Namaacha. Humanitarian, health, state-interest and cargo exceptions remain. May 8 marks replacement with a continuing restriction, with no endpoint clock recovered. Exact operational spells, including Goba, remain unproved.
source_access: April 9 amendment full retrieval still fails; clause preservation rests on indexed legal text already inspected.</x:v>
      </x:c>
      <x:c r="I300" s="4" t="str">
        <x:v>Retained baseline assessment. Retained with recorded qualifications</x:v>
      </x:c>
      <x:c r="J300" s="18" t="d">
        <x:v>2026-10-23T00:00:00.000Z</x:v>
      </x:c>
      <x:c r="K300" s="21" t="str">
        <x:f>IFERROR(HYPERLINK("https://www.open.ac.uk/technology/mozambique/sites/www.open.ac.uk.technology.mozambique/files/files/Decreto_12_2020_de_2_de_Abril_BR_64_I_SERIE_2020.pdf","Government of Mozambique, gazette copy at Open University"),"Government of Mozambique, gazette copy at Open University")</x:f>
        <x:v>Government of Mozambique, gazette copy at Open University</x:v>
      </x:c>
      <x:c r="L300" s="21" t="str">
        <x:f>IFERROR(HYPERLINK("https://archive.gazettes.africa/archive/mz/2020/mz-government-gazette-series-i-supplement-dated-2020-04-09-no-68.pdf","Government of Mozambique, gazette indexed at Gazettes Africa"),"Government of Mozambique, gazette indexed at Gazettes Africa")</x:f>
        <x:v>Government of Mozambique, gazette indexed at Gazettes Africa</x:v>
      </x:c>
      <x:c r="M300" s="21" t="str">
        <x:f>IFERROR(HYPERLINK("https://admin.reformar.co.mz/documentos-diversos/br_874_i_serie_suplemento_2020-decreto-26_2020-de-8-de-maio-medidas-para-prevencao-de-covid-19.pdf","Government of Mozambique, gazette copy at REFORMAR"),"Government of Mozambique, gazette copy at REFORMAR")</x:f>
        <x:v>Government of Mozambique, gazette copy at REFORMAR</x:v>
      </x:c>
      <x:c r="N300" s="4" t="str">
        <x:v>https://www.open.ac.uk/technology/mozambique/sites/www.open.ac.uk.technology.mozambique/files/files/Decreto_12_2020_de_2_de_Abril_BR_64_I_SERIE_2020.pdf
https://archive.gazettes.africa/archive/mz/2020/mz-government-gazette-series-i-supplement-dated-2020-04-09-no-68.pdf
https://admin.reformar.co.mz/documentos-diversos/br_874_i_serie_suplemento_2020-decreto-26_2020-de-8-de-maio-medidas-para-prevencao-de-covid-19.pdf
https://disasterlaw.ifrc.org/sites/default/files/media/disaster_law/2021-03/COVID-19%20Emergency%20Decree%20Research%20-%20Mozambique.pdf
https://minec.gov.mz/presidente-da-republica-declara-estado-de-emergencia/
https://covid.ingsa.org/covid-19-policy-tracker/africa/mozambique/31-march-2020-mozambique-declares-state-of-emergency/
https://cms.law/en/prt/publication/meet-the-law-covid-19-state-of-emergency-in-mozambique-restrictive-measures-approved
https://mozambiquehighcommission.org.uk/ressano-garcia-border-open-to-all-travellers.html</x:v>
      </x:c>
      <x:c r="O300" s="4" t="str">
        <x:v>Source 1: full
Source 2: indexed excerpt
Source 3: full</x:v>
      </x:c>
      <x:c r="P300" s="20" t="n">
        <x:v>1</x:v>
      </x:c>
      <x:c r="Q300" s="4" t="str">
        <x:v>Southern and Central Africa</x:v>
      </x:c>
      <x:c r="R300" s="4" t="str">
        <x:v>Included</x:v>
      </x:c>
    </x:row>
    <x:row r="301" ht="138" hidden="0" customHeight="1">
      <x:c r="A301" s="16" t="str">
        <x:v>SC20</x:v>
      </x:c>
      <x:c r="B301" s="4" t="str">
        <x:v>Goba Mhlumeni COVID crossing closure</x:v>
      </x:c>
      <x:c r="C301" s="4" t="str">
        <x:v>Mozambique; Eswatini</x:v>
      </x:c>
      <x:c r="D301" s="4" t="str">
        <x:v>Goba / Mhlumeni
Single bilateral crossing</x:v>
      </x:c>
      <x:c r="E301" s="4" t="str">
        <x:v>Not established
Direction: Not established
Exceptions: Essential travel redirected to Lomahasha</x:v>
      </x:c>
      <x:c r="F301" s="4" t="str">
        <x:v>SC20-R1 — Observed operation
Consequential Mhlumeni–Goba port closure reported by Eswatini
Start: 2020-04-03.
Last confirmed: 2020-04-06. Reopening is not established.
confirmed through 2020-04-06; at least 3 calendar-day difference; reopening unknown</x:v>
      </x:c>
      <x:c r="G30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01" s="4" t="str">
        <x:v>Goba reopening announced November 4 2021 (reported November 5) after approximately 18 months closure, with staff/equipment ready. Actual first passage not observed; do not treat announcement as actual reopening.
SC20-R1: Indexed government text only; direct retrieval timed out. Observation end is not reopening. Later Goba closed status is not used to lengthen this segment.
end: November 4 permission/readiness report does not observe first traffic.
source verification: Exact April 3 onset still lacks full-text access to the Eswatini statement; later full retrospective corroborates occurrence but not that exact date.</x:v>
      </x:c>
      <x:c r="I301" s="4" t="str">
        <x:v>Retained baseline assessment. Amended after source reconciliation</x:v>
      </x:c>
      <x:c r="J301" s="18" t="d">
        <x:v>2026-10-23T00:00:00.000Z</x:v>
      </x:c>
      <x:c r="K301" s="21" t="str">
        <x:f>IFERROR(HYPERLINK("https://www.gov.sz/index.php?id=2434","Government of Eswatini"),"Government of Eswatini")</x:f>
        <x:v>Government of Eswatini</x:v>
      </x:c>
      <x:c r="L301" s="21" t="str">
        <x:f>IFERROR(HYPERLINK("https://www.africa-press.net/mozambique/all-news/mozambique-ponta-do-ouro-reopens-for-business-as-usual-goba-remains-closed-o-pais","Africa Press / O País"),"Africa Press / O País")</x:f>
        <x:v>Africa Press / O País</x:v>
      </x:c>
      <x:c r="M301" s="21" t="str">
        <x:f>IFERROR(HYPERLINK("https://gov.sz/index.php?catid=127&amp;id=2434%3Aministerial-guidelines-following-ministry-of-public-service&amp;view=article","Government of Eswatini"),"Government of Eswatini")</x:f>
        <x:v>Government of Eswatini</x:v>
      </x:c>
      <x:c r="N301" s="4" t="str">
        <x:v>https://www.gov.sz/index.php?id=2434
https://www.africa-press.net/mozambique/all-news/mozambique-ponta-do-ouro-reopens-for-business-as-usual-goba-remains-closed-o-pais
https://gov.sz/index.php?catid=127&amp;id=2434%3Aministerial-guidelines-following-ministry-of-public-service&amp;view=article
https://www.mozambiquehighcommission.org.uk/ressano-garcia-border-opens-24-hours-a-day-over-festive-season.html
https://www.africa-press.net/mozambique/all-news/mozambique-border-with-eswatini-reopens
https://clubofmozambique.com/news/mozambique-border-with-eswatini-reopens/</x:v>
      </x:c>
      <x:c r="O301" s="4" t="str">
        <x:v>Source 1: indexed excerpt
Source 2: indexed excerpt
Source 3: indexed excerpt; failed</x:v>
      </x:c>
      <x:c r="P301" s="20" t="n">
        <x:v>1</x:v>
      </x:c>
      <x:c r="Q301" s="4" t="str">
        <x:v>Southern and Central Africa</x:v>
      </x:c>
      <x:c r="R301" s="4" t="str">
        <x:v>Included</x:v>
      </x:c>
    </x:row>
    <x:row r="302" ht="102" hidden="0" customHeight="1">
      <x:c r="A302" s="16" t="str">
        <x:v>SC14</x:v>
      </x:c>
      <x:c r="B302" s="4" t="str">
        <x:v>Malawi December 2020 land closure</x:v>
      </x:c>
      <x:c r="C302" s="4" t="str">
        <x:v>Malawi; Mozambique; Zambia; Tanzania</x:v>
      </x:c>
      <x:c r="D302" s="4" t="str">
        <x:v>Not established
All land borders</x:v>
      </x:c>
      <x:c r="E302" s="4" t="str">
        <x:v>Foreigners and movement of non-essential goods.
Direction: Not established
Exceptions: Essential goods excluded from stated prohibition; citizen/resident terms not fully recovered.</x:v>
      </x:c>
      <x:c r="F302" s="4" t="str">
        <x:v>SC14-R1 — Announced window
Initial Malawi land-border closure order for foreigners and nonessential goods
Start: 2020-12-22 to 2020-12-23.
Scheduled endpoint: 2021-01-04 to 2021-01-06.
Ordered window: dated evidence; numeric duration withheld; see qualification</x:v>
      </x:c>
      <x:c r="G30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02" s="4" t="str">
        <x:v>SC14-R1: Malawi24 quotes immediate effect December 22; FEWS dates effect December 23. Fourteen-day schedule yields January 4–6 bounds depending on onset and inclusive/elapsed counting. These are linked alternative interpretations, not evidence of a fifteen-day order or observed reopening. Renewal chain remains unresolved. Numeric day fields must be withheld: calendar bounds represent linked counting interpretations and must not be combined by independent endpoint cross-products.</x:v>
      </x:c>
      <x:c r="I302" s="4" t="str">
        <x:v>Full-record source audit (REC50-R45); accepted corrections; evidence limits retained.</x:v>
      </x:c>
      <x:c r="J302" s="18" t="d">
        <x:v>2026-10-25T00:00:00.000Z</x:v>
      </x:c>
      <x:c r="K302" s="21" t="str">
        <x:f>IFERROR(HYPERLINK("https://malawi.un.org/en/106201-malawi-covid-19-situation-update-no33-23rd-dec-2020","United Nations Malawi"),"United Nations Malawi")</x:f>
        <x:v>United Nations Malawi</x:v>
      </x:c>
      <x:c r="L302" s="21" t="str">
        <x:f>IFERROR(HYPERLINK("https://fews.net/southern-africa/malawi/food-security-outlook-update/december-2020","FEWS NET"),"FEWS NET")</x:f>
        <x:v>FEWS NET</x:v>
      </x:c>
      <x:c r="M302" s="21" t="str">
        <x:f>IFERROR(HYPERLINK("https://malawi.un.org/en/109798-malawi-covid-19-situation-update-no36-29-jan-2021","United Nations Malawi"),"United Nations Malawi")</x:f>
        <x:v>United Nations Malawi</x:v>
      </x:c>
      <x:c r="N302" s="4" t="str">
        <x:v>https://malawi.un.org/en/106201-malawi-covid-19-situation-update-no33-23rd-dec-2020
https://fews.net/southern-africa/malawi/food-security-outlook-update/december-2020
https://malawi.un.org/en/109798-malawi-covid-19-situation-update-no36-29-jan-2021
https://www.malawitourism.com/news-blogs/malawis-borders-reopen/
https://fews.net/southern-africa/malawi/food-security-outlook-update/december-2020/print
https://malawi24.com/2020/12/22/coronavirus-malawi-shuts-down-borders/
https://malawi.un.org/en/download/58467/106201
https://fews.net/southern-africa/malawi/food-security-outlook-update/april-2021/print</x:v>
      </x:c>
      <x:c r="O302" s="4" t="str">
        <x:v>Source 1: full; indexed extract
Source 2: full; indexed extract
Source 3: indexed excerpt</x:v>
      </x:c>
      <x:c r="P302" s="20" t="n">
        <x:v>1</x:v>
      </x:c>
      <x:c r="Q302" s="4" t="str">
        <x:v>Southern and Central Africa</x:v>
      </x:c>
      <x:c r="R302" s="4" t="str">
        <x:v>Included</x:v>
      </x:c>
    </x:row>
    <x:row r="303" ht="150" hidden="0" customHeight="1">
      <x:c r="A303" s="16" t="str">
        <x:v>SC23</x:v>
      </x:c>
      <x:c r="B303" s="4" t="str">
        <x:v>Lesotho January 2021 cross-border restrictions</x:v>
      </x:c>
      <x:c r="C303" s="4" t="str">
        <x:v>Lesotho; South Africa</x:v>
      </x:c>
      <x:c r="D303" s="4" t="str">
        <x:v>Not established
National border travel</x:v>
      </x:c>
      <x:c r="E303" s="4" t="str">
        <x:v>Not established
Direction: Not established
Exceptions: Essential services and returning residents</x:v>
      </x:c>
      <x:c r="F303" s="4" t="str">
        <x:v>SC23-NP1 — Formal policy
Lesotho nonessential cross-border travel during red-level restrictions
Start: 2021-01-12 to 2021-01-14.
Last confirmed: 2021-01-29. Reopening is not established.
Formal policy: dated evidence; numeric duration withheld; see qualification</x:v>
      </x:c>
      <x:c r="G30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03" s="4" t="str">
        <x:v>Retain unknown general-travel endpoint and distinguish February 15 essential-permit opening. Government direct fetch timed out; SABC full contemporaneous report supports earlier orange phase.
SC23-NP1: Earlier orange-level restrictions are separate. Returning residents and essential services were exempt; no reopening date or complete physical duration is known.
duration: Dates narrowed; obtain actual gate enforcement and category-specific restoration.</x:v>
      </x:c>
      <x:c r="I303" s="4" t="str">
        <x:v>Retained baseline assessment. 23 October amendments; remaining qualifications retained</x:v>
      </x:c>
      <x:c r="J303" s="18" t="d">
        <x:v>2026-10-23T00:00:00.000Z</x:v>
      </x:c>
      <x:c r="K303" s="21" t="str">
        <x:f>IFERROR(HYPERLINK("https://fews.net/southern-africa/lesotho/key-message-update/january-2021","FEWS NET"),"FEWS NET")</x:f>
        <x:v>FEWS NET</x:v>
      </x:c>
      <x:c r="L303" s="21" t="str">
        <x:f>IFERROR(HYPERLINK("https://lestimes.com/?p=46225","lestimes.com"),"lestimes.com")</x:f>
        <x:v>lestimes.com</x:v>
      </x:c>
      <x:c r="M303" s="21" t="str">
        <x:f>IFERROR(HYPERLINK("https://lesotho.un.org/sites/default/files/2021-04/COVID-19%20situation%20update%20April%202021.pdf","UN Lesotho"),"UN Lesotho")</x:f>
        <x:v>UN Lesotho</x:v>
      </x:c>
      <x:c r="N303" s="4" t="str">
        <x:v>https://fews.net/southern-africa/lesotho/key-message-update/january-2021
https://lestimes.com/?p=46225
https://lesotho.un.org/sites/default/files/2021-04/COVID-19%20situation%20update%20April%202021.pdf
https://www.gov.ls/health/lesotho-shuts-down/
https://www.fragomen.com/a/web/rhzBvTpH5428VA4YHEbYxo/33Qsvu/new_coronavirus_table_for_news_page_2.9_v4.pdf
https://lestimes.com/pm-unveils-fresh-restrictions-to-fight-covid-19/
https://www.tourismupdate.com/article/lesotho-locks-down-closes-borders
https://www.sabcnews.com/sabcnews/lesotho-introduces-orange-level-hard-lockdown-with-immediate-effect/
https://www.gov.ls/health/lesotho-moves-back-to-orange-colour/</x:v>
      </x:c>
      <x:c r="O303" s="4" t="str">
        <x:v>Source 1: search extract
Source 2: access detail is retained in the source catalogue.
Source 3: full</x:v>
      </x:c>
      <x:c r="P303" s="20" t="n">
        <x:v>1</x:v>
      </x:c>
      <x:c r="Q303" s="4" t="str">
        <x:v>Southern and Central Africa</x:v>
      </x:c>
      <x:c r="R303" s="4" t="str">
        <x:v>Included</x:v>
      </x:c>
    </x:row>
    <x:row r="304" ht="210" hidden="0" customHeight="1">
      <x:c r="A304" s="16" t="str">
        <x:v>SC01</x:v>
      </x:c>
      <x:c r="B304" s="4" t="str">
        <x:v>South Africa January 2021 general-travel closure</x:v>
      </x:c>
      <x:c r="C304" s="4" t="str">
        <x:v>South Africa; Zimbabwe; Mozambique; Lesotho; Eswatini; Botswana; Namibia</x:v>
      </x:c>
      <x:c r="D304" s="4" t="str">
        <x:v>Beitbridge; Lebombo; Maseru Bridge; Oshoek; Ficksburg; Kopfontein and other operating posts
20 then-operating land ports</x:v>
      </x:c>
      <x:c r="E304" s="4" t="str">
        <x:v>Ordinary travellers outside enumerated and discretionary exceptions at the twenty then-operating land posts.
Direction: Entry and departure, subject to exemptions
Exceptions: Cargo/fuel/goods; urgent medical travel; returning South African nationals/permanent residents/persons with other valid visas (presidential wording); diplomats; departing foreign nationals; school commuters. Home Affairs also provided individual exceptional-circumstance applications; this is not proof every visa holder could travel for any purpose.</x:v>
      </x:c>
      <x:c r="F304" s="4" t="str">
        <x:v>SC01-D1 — Formal policy
Ordinary entry and departure at the twenty then-operating South African land ports, excluding enumerated and individually approved exceptions.
Start: 2021-01-11.
Observed scoped reopening: 2021-02-15.
Formal policy: 35 calendar-day difference; operational continuity not established</x:v>
      </x:c>
      <x:c r="G304" s="4" t="str">
        <x:v>Health and biosecurity / Human disease control
Reported reason
Applies to: Recorded episode; exact overlap not separately established
The stated reasons include both congestion and COVID transmission. Immediate operational safety is recorded alongside disease control.
Security / Public order and immediate safety
Reported reason
Applies to: Recorded episode; exact overlap not separately established
The stated reasons include both congestion and COVID transmission. Immediate operational safety is recorded alongside disease control.</x:v>
      </x:c>
      <x:c r="H304" s="4" t="str">
        <x:v>SC01-D1: Official retrospective dating supports11 January commencement; AP reports20 posts reopened15 February. Scoped ordinary-travel policy duration only: enumerated and individually approved exceptions continued. SAnews reopening statement is an official announcement, not independent gate observation. Smaller posts remained closed. Cargo/fuel/goods; urgent medical travel; returning South African nationals/permanent residents/persons with other valid visas (presidential wording); diplomats; departing foreign nationals; school commuters. Home Affairs also provided individual exceptional-circumstance applications; this is not proof every visa holder could travel for any purpose.</x:v>
      </x:c>
      <x:c r="I304" s="4" t="str">
        <x:v>Retained baseline assessment. Amended after source reconciliation</x:v>
      </x:c>
      <x:c r="J304" s="18" t="d">
        <x:v>2026-10-23T00:00:00.000Z</x:v>
      </x:c>
      <x:c r="K304" s="21" t="str">
        <x:f>IFERROR(HYPERLINK("https://thepresidency.gov.za/statement-president-cyril-ramaphosa-progress-national-effort-contain-covid-19-pandemic-11-january","Presidency of South Africa"),"Presidency of South Africa")</x:f>
        <x:v>Presidency of South Africa</x:v>
      </x:c>
      <x:c r="L304" s="21" t="str">
        <x:f>IFERROR(HYPERLINK("https://polity.org.za/article/south-africa-to-reopen-20-land-border-crossing-points-2021-02-15","Polity"),"Polity")</x:f>
        <x:v>Polity</x:v>
      </x:c>
      <x:c r="M304" s="21" t="str">
        <x:f>IFERROR(HYPERLINK("https://www.aa.com.tr/en/africa/south-africa-to-reopen-20-land-border-crossings/2144870","Anadolu"),"Anadolu")</x:f>
        <x:v>Anadolu</x:v>
      </x:c>
      <x:c r="N304" s="4" t="str">
        <x:v>https://thepresidency.gov.za/statement-president-cyril-ramaphosa-progress-national-effort-contain-covid-19-pandemic-11-january
https://polity.org.za/article/south-africa-to-reopen-20-land-border-crossing-points-2021-02-15
https://www.aa.com.tr/en/africa/south-africa-to-reopen-20-land-border-crossings/2144870
https://newschannel9.com/news/nation-world/south-africa-reopens-its-land-borders-as-virus-cases-decline
https://www.sanews.gov.za/south-africa/20-borders-fully-reopened-30-remain-closed
https://www.gov.za/news/media-statements/minister-aaron-motsoaledi-home-affairs-priority-services-be-offered-during
https://www.parliament.gov.za/press-releases/media-statement-home-affairs-committee-chairperson-welcomes-reopening-land-border-posts
https://dirco1.azurewebsites.net/docs/speeches/2021/cram0111.htm
https://www.gov.za/nr/news/media-statements/government-activities/minister-aaron-motsoaledi-leads-deployment-senior
https://www.sanews.gov.za/node/50674
https://www.cogta.gov.za/index.php/2021/02/15/minister-dlamini-zumas-statement-on-amended-regulations-under-covid-19-alert-level-3/</x:v>
      </x:c>
      <x:c r="O304" s="4" t="str">
        <x:v>Source 1: full page
Source 2: full page
Source 3: full page</x:v>
      </x:c>
      <x:c r="P304" s="20" t="n">
        <x:v>1</x:v>
      </x:c>
      <x:c r="Q304" s="4" t="str">
        <x:v>Southern and Central Africa</x:v>
      </x:c>
      <x:c r="R304" s="4" t="str">
        <x:v>Included</x:v>
      </x:c>
    </x:row>
    <x:row r="305" ht="150" hidden="0" customHeight="1">
      <x:c r="A305" s="16" t="str">
        <x:v>SC24</x:v>
      </x:c>
      <x:c r="B305" s="4" t="str">
        <x:v>Chad closure after President Deby death</x:v>
      </x:c>
      <x:c r="C305" s="4" t="str">
        <x:v>Chad; Cameroon; Nigeria; Niger; Sudan; Libya; Central African Republic</x:v>
      </x:c>
      <x:c r="D305" s="4" t="str">
        <x:v>Not established
National land borders</x:v>
      </x:c>
      <x:c r="E305" s="4" t="str">
        <x:v>Not established
Direction: Not established
Exceptions: VOA observed limited humanitarian and hospital-equipment vehicles admitted at Cameroon crossing.</x:v>
      </x:c>
      <x:c r="F305" s="4" t="str">
        <x:v>SC24-D1 — Formal policy
Additional Chadian national border-closure order following President Déby's death, to its formal reversal.
Start: 2021-04-20.
Policy endpoint: 2021-04-21.
Formal policy: 1 calendar-day difference; operational continuity not established
SC24-C1 — Observed operation
Ordinary non-humanitarian freight crossing from Kousseri into Chad at Ngueli; hospital-equipment/humanitarian exceptions excluded.
Start: 2021-04-20.
Last confirmed: 2021-04-26. Reopening is not established.
confirmed through 2021-04-26; at least 6 calendar-day difference; reopening unknown</x:v>
      </x:c>
      <x:c r="G305" s="4" t="str">
        <x:v>Power and regime politics / Coups and succession
Analytical interpretation of reported context
Applies to: April 2021 transition closure
Analytical political-context code, not an independently established concealed motive.
Security / Armed conflict and military confrontation
Analytical interpretation of reported context
Applies to: April 2021 security closure and continued Ngueli freight denial
Attributed analyst interpretation; council separately conditions promised full reopening on improved security.</x:v>
      </x:c>
      <x:c r="H305" s="4" t="str">
        <x:v>SC24-D1: Actual freight duration remains unresolved: VOA observed Cameroon-frontier trucks still refused on April 25/26. The one-day legal window is not one day of physical closure, and the decree does not prove older bilateral restrictions ended.
SC24-C1: Last-confirmed only, no actual reopening found. Formal April 21 reversal did not restore this traffic. Overlaps D1 in a different measure layer; do not sum legal and operational segments.</x:v>
      </x:c>
      <x:c r="I305" s="4" t="str">
        <x:v>Retained baseline assessment. 23 October targeted review; retained with qualifications</x:v>
      </x:c>
      <x:c r="J305" s="18" t="d">
        <x:v>2026-10-23T00:00:00.000Z</x:v>
      </x:c>
      <x:c r="K305" s="21" t="str">
        <x:f>IFERROR(HYPERLINK("https://www.newsghana.com.gh/borders-reopen-as-curfew-eases-in-chad/","NewsGhana"),"NewsGhana")</x:f>
        <x:v>NewsGhana</x:v>
      </x:c>
      <x:c r="L305" s="21" t="str">
        <x:f>IFERROR(HYPERLINK("https://www.aa.com.tr/fr/afrique/tchad-le-conseil-militaire-de-transition-annonce-la-r%C3%A9ouverture-des-fronti%C3%A8res-terrestres-et-a%C3%A9riennes/2216226","Anadolu"),"Anadolu")</x:f>
        <x:v>Anadolu</x:v>
      </x:c>
      <x:c r="M305" s="21" t="str">
        <x:f>IFERROR(HYPERLINK("https://www.voanews.com/a/africa_trade-between-chad-and-cameroon-falls-after-debys-death/6205072.html","VOA"),"VOA")</x:f>
        <x:v>VOA</x:v>
      </x:c>
      <x:c r="N305" s="4" t="str">
        <x:v>https://www.newsghana.com.gh/borders-reopen-as-curfew-eases-in-chad/
https://www.aa.com.tr/fr/afrique/tchad-le-conseil-militaire-de-transition-annonce-la-r%C3%A9ouverture-des-fronti%C3%A8res-terrestres-et-a%C3%A9riennes/2216226
https://www.voanews.com/a/africa_trade-between-chad-and-cameroon-falls-after-debys-death/6205072.html
https://www.voanews.com/amp/africa_trade-between-chad-and-cameroon-falls-after-debys-death/6205072.html
https://french.xinhuanet.com/2021-04/21/c_139896741.htm
https://2021-2025.state.gov/reports/2021-country-reports-on-human-rights-practices/chad/</x:v>
      </x:c>
      <x:c r="O305" s="4" t="str">
        <x:v>Source 1: search extract
Source 2: full page
Source 3: full page</x:v>
      </x:c>
      <x:c r="P305" s="20" t="n">
        <x:v>2</x:v>
      </x:c>
      <x:c r="Q305" s="4" t="str">
        <x:v>Southern and Central Africa</x:v>
      </x:c>
      <x:c r="R305" s="4" t="str">
        <x:v>Included</x:v>
      </x:c>
    </x:row>
    <x:row r="306" ht="78" hidden="0" customHeight="1">
      <x:c r="A306" s="16" t="str">
        <x:v>SC15</x:v>
      </x:c>
      <x:c r="B306" s="4" t="str">
        <x:v>Malawi June 2021 entry closure</x:v>
      </x:c>
      <x:c r="C306" s="4" t="str">
        <x:v>Malawi; Mozambique; Zambia; Tanzania</x:v>
      </x:c>
      <x:c r="D306" s="4" t="str">
        <x:v>Not established
Entry for non-residents and non-citizens</x:v>
      </x:c>
      <x:c r="E306" s="4" t="str">
        <x:v>Foreign visitors; no trade disruption reported by FEWS NET in late June
Direction: Entry
Exceptions: Malawi residents and citizens</x:v>
      </x:c>
      <x:c r="F306" s="4" t="str">
        <x:v>SC15-D1 — Formal policy
Malawi's special foreign-entry restriction, to removal of the health-clearance requirement.
Start: 2021-06-12.
Policy endpoint: 2021-08-27.
Formal policy: 76 calendar-day difference; operational continuity not established</x:v>
      </x:c>
      <x:c r="G30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06" s="4" t="str">
        <x:v>SC15-D1: Reported formal-policy dates only; the original onset instrument and first actual land-gate admission are not recovered. Citizens/residents were exempt and trade continued. PCR requirements remained after relaxation.</x:v>
      </x:c>
      <x:c r="I306" s="4" t="str">
        <x:v>Retained baseline assessment. Retained with recorded qualifications</x:v>
      </x:c>
      <x:c r="J306" s="18" t="d">
        <x:v>2026-10-23T00:00:00.000Z</x:v>
      </x:c>
      <x:c r="K306" s="21" t="str">
        <x:f>IFERROR(HYPERLINK("https://www.malawitourism.com/news-blogs/malawis-borders-reopen/","Malawi Tourism"),"Malawi Tourism")</x:f>
        <x:v>Malawi Tourism</x:v>
      </x:c>
      <x:c r="L306" s="21" t="str">
        <x:f>IFERROR(HYPERLINK("https://apta-africa.org/2021/08/28/malawi-lifts-travel-quarantine-entry-restrictions/","APTA"),"APTA")</x:f>
        <x:v>APTA</x:v>
      </x:c>
      <x:c r="M306" s="21" t="str">
        <x:f>IFERROR(HYPERLINK("https://fews.net/southern-africa/malawi/food-security-outlook/june-2021","FEWS NET"),"FEWS NET")</x:f>
        <x:v>FEWS NET</x:v>
      </x:c>
      <x:c r="N306" s="4" t="str">
        <x:v>https://www.malawitourism.com/news-blogs/malawis-borders-reopen/
https://apta-africa.org/2021/08/28/malawi-lifts-travel-quarantine-entry-restrictions/
https://fews.net/southern-africa/malawi/food-security-outlook/june-2021
https://mwnation.com/covid-19-jabs-cause-panic/
https://www.wcoesarpsg.org/esa-covid-19-situation-report-third-quarter-2021/
https://apta-africa.org/2021/08/</x:v>
      </x:c>
      <x:c r="O306" s="4" t="str">
        <x:v>Source 1: full page
Source 2: full page
Source 3: full page</x:v>
      </x:c>
      <x:c r="P306" s="20" t="n">
        <x:v>1</x:v>
      </x:c>
      <x:c r="Q306" s="4" t="str">
        <x:v>Southern and Central Africa</x:v>
      </x:c>
      <x:c r="R306" s="4" t="str">
        <x:v>Included</x:v>
      </x:c>
    </x:row>
    <x:row r="307" ht="162" hidden="0" customHeight="1">
      <x:c r="A307" s="16" t="str">
        <x:v>SC10</x:v>
      </x:c>
      <x:c r="B307" s="4" t="str">
        <x:v>Equatorial Guinea election closure</x:v>
      </x:c>
      <x:c r="C307" s="4" t="str">
        <x:v>Equatorial Guinea; Cameroon; Gabon</x:v>
      </x:c>
      <x:c r="D307" s="4" t="str">
        <x:v>Not established
National land borders</x:v>
      </x:c>
      <x:c r="E307" s="4" t="str">
        <x:v>Cross-border travellers and merchants
Direction: Not established
Exceptions: Not established</x:v>
      </x:c>
      <x:c r="F307" s="4" t="str">
        <x:v>SC10-D1 — Observed operation
Selected merchant land admission in Equatorial Guinea's election restriction, to the crossings reported by VOA.
Start: 2022-10-30 to 2022-10-31.
Observed scoped reopening: 2022-11-23.
23–24 calendar-day difference; scoped endpoint only</x:v>
      </x:c>
      <x:c r="G307"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307" s="4" t="str">
        <x:v>SC10-D1: The onset conflict is retained. The endpoint is the observed selected-trader phase, not proof every post or traveller category reopened. Wider post coverage remains unestablished.</x:v>
      </x:c>
      <x:c r="I307" s="4" t="str">
        <x:v>Retained baseline assessment. Retained with recorded qualifications</x:v>
      </x:c>
      <x:c r="J307" s="18" t="d">
        <x:v>2026-10-23T00:00:00.000Z</x:v>
      </x:c>
      <x:c r="K307" s="21" t="str">
        <x:f>IFERROR(HYPERLINK("https://www.guineaecuatorialpress.com/noticias/guinea_ecuatorial_cerrara_sus_fronteras_el_31_de_octubre_hasta_la_celebracion_de_las_elecciones","Government of Equatorial Guinea"),"Government of Equatorial Guinea")</x:f>
        <x:v>Government of Equatorial Guinea</x:v>
      </x:c>
      <x:c r="L307" s="21" t="str">
        <x:f>IFERROR(HYPERLINK("https://www.voanews.com/amp/cameroon-merchants-say-equatorial-guinea-partially-reopens-border-/6846960.html","VOA"),"VOA")</x:f>
        <x:v>VOA</x:v>
      </x:c>
      <x:c r="M307" s="21" t="str">
        <x:f>IFERROR(HYPERLINK("https://www.cameroonconcordnews.com/equatorial-guinea-shuts-land-borders-ahead-of-election-campaign/","cameroonconcordnews.com"),"cameroonconcordnews.com")</x:f>
        <x:v>cameroonconcordnews.com</x:v>
      </x:c>
      <x:c r="N307" s="4" t="str">
        <x:v>https://www.guineaecuatorialpress.com/noticias/guinea_ecuatorial_cerrara_sus_fronteras_el_31_de_octubre_hasta_la_celebracion_de_las_elecciones
https://www.voanews.com/amp/cameroon-merchants-say-equatorial-guinea-partially-reopens-border-/6846960.html
https://www.cameroonconcordnews.com/equatorial-guinea-shuts-land-borders-ahead-of-election-campaign/
https://www.voanews.com/a/cameroon-merchants-say-equatorial-guinea-partially-reopens-border-/6846960.html
https://www.voanews.com/amp/traders-say-equatorial-guinea-border-closure-ahead-of-elections-hurts-business-/6823379.html</x:v>
      </x:c>
      <x:c r="O307" s="4" t="str">
        <x:v>Source 1: full page
Source 2: full page
Source 3: access detail is retained in the source catalogue.</x:v>
      </x:c>
      <x:c r="P307" s="20" t="n">
        <x:v>1</x:v>
      </x:c>
      <x:c r="Q307" s="4" t="str">
        <x:v>Southern and Central Africa</x:v>
      </x:c>
      <x:c r="R307" s="4" t="str">
        <x:v>Included</x:v>
      </x:c>
    </x:row>
    <x:row r="308" ht="198" hidden="0" customHeight="1">
      <x:c r="A308" s="16" t="str">
        <x:v>SC08</x:v>
      </x:c>
      <x:c r="B308" s="4" t="str">
        <x:v>Chad Sudan closure at outbreak of war</x:v>
      </x:c>
      <x:c r="C308" s="4" t="str">
        <x:v>Chad; Sudan</x:v>
      </x:c>
      <x:c r="D308" s="4" t="str">
        <x:v>Not established
Chad–Sudan land frontier</x:v>
      </x:c>
      <x:c r="E308" s="4" t="str">
        <x:v>Not established
Direction: Not established
Exceptions: UNHCR border teams reported actual arrivals of refugees fleeing Sudan by April 20, 2023, during the preceding days. These arrivals document refugee access during the reported order; a formally granted exemption, named gate, first admission day, general reopening or national repeal is not established.</x:v>
      </x:c>
      <x:c r="F308" s="4" t="str">
        <x:v>SC08-FU1 — Formal policy
Chadian order closing Sudan land frontier until further notice
Start: 2023-04-15.
Last confirmed: 2023-04-15. Reopening is not established.
Formal policy: dated evidence; numeric duration withheld; see qualification</x:v>
      </x:c>
      <x:c r="G308"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08" s="4" t="str">
        <x:v>SC08-FU1: Formal-order onset only. September 4 commercial passage and October local agreement do not establish the date of national legal repeal or uninterrupted physical closure. R47: UNHCR border teams reported refugee arrivals by April 20, during preceding days. This documents actual refugee access; it does not establish a formal exemption, named gate, exact first day or national repeal.
duration: Fresh Radio Tamazuj gives named official attribution for the October trade arrangement, but not its start or national repeal. Add April 15 formal-order observation only; full duration and chronology of partial trade resumption remain open.</x:v>
      </x:c>
      <x:c r="I308" s="4" t="str">
        <x:v>Targeted source review (REC50-R47); accepted qualification; evidence limits retained.</x:v>
      </x:c>
      <x:c r="J308" s="18" t="d">
        <x:v>2026-10-25T00:00:00.000Z</x:v>
      </x:c>
      <x:c r="K308" s="21" t="str">
        <x:f>IFERROR(HYPERLINK("https://www.aa.com.tr/en/africa/chad-closes-borders-with-sudan-amid-armed-clashes/2873302","Anadolu Agency"),"Anadolu Agency")</x:f>
        <x:v>Anadolu Agency</x:v>
      </x:c>
      <x:c r="L308" s="21" t="str">
        <x:f>IFERROR(HYPERLINK("https://www.unhcr.org/uk/news/unhcr-gravely-concerned-refugees-fleeing-fighting-sudan-arrive-chad","UNHCR"),"UNHCR")</x:f>
        <x:v>UNHCR</x:v>
      </x:c>
      <x:c r="M308" s="21" t="str">
        <x:f>IFERROR(HYPERLINK("https://darfur24.com/en/2023/09/05/chad-partially-opens-its-border-with-sudan/","Darfur24"),"Darfur24")</x:f>
        <x:v>Darfur24</x:v>
      </x:c>
      <x:c r="N308" s="4" t="str">
        <x:v>https://www.aa.com.tr/en/africa/chad-closes-borders-with-sudan-amid-armed-clashes/2873302
https://www.unhcr.org/uk/news/unhcr-gravely-concerned-refugees-fleeing-fighting-sudan-arrive-chad
https://darfur24.com/en/2023/09/05/chad-partially-opens-its-border-with-sudan/
https://openknowledge.worldbank.org/bitstreams/2c41e0f4-8361-4a54-bd4c-7ff9c8177928/download
https://sudan.un.org/en/276741-top-un-official-sudan-hails-re-opening-adre-border-crossing-point-chad-darfur
https://documents1.worldbank.org/curated/en/099062524135531232/pdf/P500480183a9ed0151bdee18b24c662dbe3.pdf
https://apnews.com/article/ceeccfabc33852c2aa641787a4ea2d82
https://www.acaps.org/fileadmin/Data_Product/Main_media/20230207_acaps_briefing_note_sudan_humanitarian_access_snapshot.pdf
https://fews.net/west-africa/chad/food-security-outlook/october-2023
https://www.radiotamazuj.org/en/news/article/cross-border-trade-between-sudan-and-chad-flowing-says-official</x:v>
      </x:c>
      <x:c r="O308" s="4" t="str">
        <x:v>Source 1: full
Source 2: indexed extract
Source 3: full</x:v>
      </x:c>
      <x:c r="P308" s="20" t="n">
        <x:v>1</x:v>
      </x:c>
      <x:c r="Q308" s="4" t="str">
        <x:v>Southern and Central Africa</x:v>
      </x:c>
      <x:c r="R308" s="4" t="str">
        <x:v>Included</x:v>
      </x:c>
    </x:row>
    <x:row r="309" ht="282" hidden="0" customHeight="1">
      <x:c r="A309" s="16" t="str">
        <x:v>SC04</x:v>
      </x:c>
      <x:c r="B309" s="4" t="str">
        <x:v>Gabon coup border closure</x:v>
      </x:c>
      <x:c r="C309" s="4" t="str">
        <x:v>Gabon; Cameroon; Equatorial Guinea; Republic of the Congo</x:v>
      </x:c>
      <x:c r="D309" s="4" t="str">
        <x:v>Not established
National land, sea and air closure; land component included</x:v>
      </x:c>
      <x:c r="E309" s="4" t="str">
        <x:v>Not established
Direction: Not established
Exceptions: Not established</x:v>
      </x:c>
      <x:c r="F309" s="4" t="str">
        <x:v>SC04-D1 — Formal policy
Gabon's coup-related national land-border closure order, to immediate formal reopening.
Start: 2023-08-30.
Policy endpoint: 2023-09-02.
Formal policy: 3 calendar-day difference; operational continuity not established</x:v>
      </x:c>
      <x:c r="G309" s="4" t="str">
        <x:v>Power and regime politics / Coups and succession
Reported reason
Applies to: Recorded episode; exact overlap not separately established
CTRI Communiqué No. 1 bundles the border closure with a takeover, election cancellation and an appeal to restore peace. The codes reflect that statement and its context; it does not separately isolate or rank the purpose of the border measure.
Electoral politics / Electoral disputes and transitions
Reported reason
Applies to: Recorded episode; exact overlap not separately established
CTRI Communiqué No. 1 bundles the border closure with a takeover, election cancellation and an appeal to restore peace. The codes reflect that statement and its context; it does not separately isolate or rank the purpose of the border measure.
Security / Public order and immediate safety
Reported reason
Applies to: Recorded episode; exact overlap not separately established
CTRI Communiqué No. 1 bundles the border closure with a takeover, election cancellation and an appeal to restore peace. The codes reflect that statement and its context; it does not separately isolate or rank the purpose of the border measure.</x:v>
      </x:c>
      <x:c r="H309" s="4" t="str">
        <x:v>Gabon Media Time describes land borders already closed from August 25 and maintained under August 30 coup order. Current phase measures the coup order only, not the first operational restriction of the election period.
SC04-D1: These are order dates, not independently observed first refusal/resumption at each land post. Sea/air components are not additional land episodes, and the stated rationale remains attributed to CTRI.</x:v>
      </x:c>
      <x:c r="I309" s="4" t="str">
        <x:v>Targeted source review (REC50-R24); accepted qualification; evidence limits retained.</x:v>
      </x:c>
      <x:c r="J309" s="18" t="d">
        <x:v>2026-10-25T00:00:00.000Z</x:v>
      </x:c>
      <x:c r="K309" s="21" t="str">
        <x:f>IFERROR(HYPERLINK("https://presidence.ga/2023/08/30/communique-du-ctri-n001/","Presidency of Gabon / CTRI"),"Presidency of Gabon / CTRI")</x:f>
        <x:v>Presidency of Gabon / CTRI</x:v>
      </x:c>
      <x:c r="L309" s="21" t="str">
        <x:f>IFERROR(HYPERLINK("https://presidence.ga/2023/09/02/communique-du-ctri-n005-2/","Presidency of Gabon"),"Presidency of Gabon")</x:f>
        <x:v>Presidency of Gabon</x:v>
      </x:c>
      <x:c r="M309" s="21" t="str">
        <x:f>IFERROR(HYPERLINK("https://www.investing.com/news/world-news/gabon-reopens-borders-three-days-after-military-coup-3166544","Investing.com"),"Investing.com")</x:f>
        <x:v>Investing.com</x:v>
      </x:c>
      <x:c r="N309" s="4" t="str">
        <x:v>https://presidence.ga/2023/08/30/communique-du-ctri-n001/
https://presidence.ga/2023/09/02/communique-du-ctri-n005-2/
https://www.investing.com/news/world-news/gabon-reopens-borders-three-days-after-military-coup-3166544
https://www.courrierinternational.com/depeche/gabon-l-armee-annonce-la-reouverture-des-frontieres-avec-effet-immediat.afp.com.20230902.doc.33u68qb.xml
https://gabonmatin.ga/presidentielle-2023-fermeture-des-frontieres-terrestres-et-maritimes-ce.html
https://gabonmediatime.com/coup-detat-au-gabon-reouverture-des-frontieres-terrestres-maritimes-et-aeriennes/
https://citizen.digital/article/gabon-reopens-borders-three-days-after-military-coup-n326579</x:v>
      </x:c>
      <x:c r="O309" s="4" t="str">
        <x:v>Source 1: full text
Source 2: full page
Source 3: full page</x:v>
      </x:c>
      <x:c r="P309" s="20" t="n">
        <x:v>1</x:v>
      </x:c>
      <x:c r="Q309" s="4" t="str">
        <x:v>Southern and Central Africa</x:v>
      </x:c>
      <x:c r="R309" s="4" t="str">
        <x:v>Included</x:v>
      </x:c>
    </x:row>
    <x:row r="310" ht="138" hidden="0" customHeight="1">
      <x:c r="A310" s="16" t="str">
        <x:v>SC03</x:v>
      </x:c>
      <x:c r="B310" s="4" t="str">
        <x:v>Zambia closes three DRC crossings after trade protests</x:v>
      </x:c>
      <x:c r="C310" s="4" t="str">
        <x:v>Zambia; Democratic Republic of the Congo</x:v>
      </x:c>
      <x:c r="D310" s="4" t="str">
        <x:v>Kasumbalesa; Mokambo; Sakania
Three crossing posts</x:v>
      </x:c>
      <x:c r="E310" s="4" t="str">
        <x:v>People and goods; important mineral export route
Direction: Cross-border passage at named posts
Exceptions: Not established</x:v>
      </x:c>
      <x:c r="F310" s="4" t="str">
        <x:v>SC03-D1 — Formal policy
Zambia's precautionary closure order for the three named DRC crossings, to the joint reopening decision.
Start: 2024-08-10.
Policy endpoint: 2024-08-13.
Formal policy: 3 calendar-day difference; operational continuity not established</x:v>
      </x:c>
      <x:c r="G310" s="4" t="str">
        <x:v>Security / Public order and immediate safety
Reported reason
Applies to: Recorded episode; exact overlap not separately established
Zambia's stated safety justification and the transporters' trade-policy protest are different actors' rationales within the recorded episode.
Trade and protectionism / Trade and transport protests
Analytical interpretation of reported context
Applies to: Recorded episode; exact overlap not separately established
Zambia's stated safety justification and the transporters' trade-policy protest are different actors' rationales within the recorded episode.</x:v>
      </x:c>
      <x:c r="H310" s="4" t="str">
        <x:v>SC03-D1: Formal policy dates only. DW's morning Kasumbalesa report does not verify first passage at every post, and 06:00 was an expected time. Actual all-three-post restoration remains unestablished.</x:v>
      </x:c>
      <x:c r="I310" s="4" t="str">
        <x:v>Retained baseline assessment. Retained with recorded qualifications</x:v>
      </x:c>
      <x:c r="J310" s="18" t="d">
        <x:v>2026-10-23T00:00:00.000Z</x:v>
      </x:c>
      <x:c r="K310" s="21" t="str">
        <x:f>IFERROR(HYPERLINK("https://www.mcti.gov.zm/?p=7891","mcti.gov.zm"),"mcti.gov.zm")</x:f>
        <x:v>mcti.gov.zm</x:v>
      </x:c>
      <x:c r="L310" s="21" t="str">
        <x:f>IFERROR(HYPERLINK("https://www.reuters.com/world/africa/zambia-reopen-closed-border-with-democratic-republic-congo-2024-08-12/","Reuters"),"Reuters")</x:f>
        <x:v>Reuters</x:v>
      </x:c>
      <x:c r="M310" s="21" t="str">
        <x:f>IFERROR(HYPERLINK("https://www.chinadailyhk.com/hk/article/590488","China Daily Hong Kong"),"China Daily Hong Kong")</x:f>
        <x:v>China Daily Hong Kong</x:v>
      </x:c>
      <x:c r="N310" s="4" t="str">
        <x:v>https://www.mcti.gov.zm/?p=7891
https://www.reuters.com/world/africa/zambia-reopen-closed-border-with-democratic-republic-congo-2024-08-12/
https://www.chinadailyhk.com/hk/article/590488
https://www.aa.com.tr/en/africa/zambia-democratic-republic-of-congo-agree-to-reopen-borders-tuesday/3302211
https://amp.dw.com/fr/frontiere-zambie-rdc-congo-reouverture-accord-commercial/a-69926115
https://mail.commerce.gouv.cd/details_actualites?id=31</x:v>
      </x:c>
      <x:c r="O310" s="4" t="str">
        <x:v>Source 1: indexed excerpt
Source 2: full page
Source 3: search extract</x:v>
      </x:c>
      <x:c r="P310" s="20" t="n">
        <x:v>1</x:v>
      </x:c>
      <x:c r="Q310" s="4" t="str">
        <x:v>Southern and Central Africa</x:v>
      </x:c>
      <x:c r="R310" s="4" t="str">
        <x:v>Included</x:v>
      </x:c>
    </x:row>
    <x:row r="311" ht="330" hidden="0" customHeight="1">
      <x:c r="A311" s="16" t="str">
        <x:v>SC05</x:v>
      </x:c>
      <x:c r="B311" s="4" t="str">
        <x:v>Lebombo closure during Mozambique election unrest</x:v>
      </x:c>
      <x:c r="C311" s="4" t="str">
        <x:v>South Africa; Mozambique</x:v>
      </x:c>
      <x:c r="D311" s="4" t="str">
        <x:v>Lebombo / Ressano Garcia
Lebombo–Ressano Garcia crossing</x:v>
      </x:c>
      <x:c r="E311" s="4" t="str">
        <x:v>Travellers and freight, with intermittent homeward movements and selective truck releases
Direction: Both directions affected, with selective homeward returns to each country; exact chronology differs by side and category.
Exceptions: Homebound Mozambican nationals admitted during November6/7 temporary opening; perishable/fuel trucks reportedly released; later homebound people, empty return trucks and recovery vehicles. Timing and exact category bounds remain incomplete.</x:v>
      </x:c>
      <x:c r="F311" s="4" t="str">
        <x:v>SC05-R1 — Intermittent regime
Lebombo–Ressano Garcia recurrent restrictions during the first November unrest episode
Start: 2024-11-05.
Scoped endpoint: 2024-11-09 to 2024-11-10.
Intermittent regime envelope; total closed days unknown</x:v>
      </x:c>
      <x:c r="G311" s="4" t="str">
        <x:v>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Electoral politics / Electoral disputes and transitions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11" s="4" t="str">
        <x:v>SC05-R1: Intermittent envelope, not total days closed. Partial returnee openings and reclosures occurred November 6–8, with intermediate timings and sides unresolved. Cargo restoration bounds November 9–10 retain the BMA/SABC report of November 9 manual processing and actual truck passage versus Jornal Notícias' November 10 resumption account. No exact endpoint clock recovered. Later recurrence belongs to SC26.</x:v>
      </x:c>
      <x:c r="I311" s="4" t="str">
        <x:v>Retained baseline assessment. Retained with recorded qualifications</x:v>
      </x:c>
      <x:c r="J311" s="18" t="d">
        <x:v>2026-10-23T00:00:00.000Z</x:v>
      </x:c>
      <x:c r="K311" s="21" t="str">
        <x:f>IFERROR(HYPERLINK("https://www.gov.za/news/media-statements/border-management-authority-temporary-closure-lebombo-port-entry-05-nov-2024","South African Border Management Authority"),"South African Border Management Authority")</x:f>
        <x:v>South African Border Management Authority</x:v>
      </x:c>
      <x:c r="L311" s="21" t="str">
        <x:f>IFERROR(HYPERLINK("https://www.snl24.com/dailysun/news/mozambique-unrest-lebombo-border-partially-reopens-20241106/","Daily Sun"),"Daily Sun")</x:f>
        <x:v>Daily Sun</x:v>
      </x:c>
      <x:c r="M311" s="21" t="str">
        <x:f>IFERROR(HYPERLINK("https://www.ewn.co.za/2024/11/07/sa-shuts-lebombo-border-post-again-as-situation-in-mozambique-remains-volatile","Eyewitness News"),"Eyewitness News")</x:f>
        <x:v>Eyewitness News</x:v>
      </x:c>
      <x:c r="N311" s="4" t="str">
        <x:v>https://www.gov.za/news/media-statements/border-management-authority-temporary-closure-lebombo-port-entry-05-nov-2024
https://www.snl24.com/dailysun/news/mozambique-unrest-lebombo-border-partially-reopens-20241106/
https://www.ewn.co.za/2024/11/07/sa-shuts-lebombo-border-post-again-as-situation-in-mozambique-remains-volatile
https://www.rm.co.mz/fronteira-de-ressano-garcia-reaberta-de-forma-condicionada/
https://www.gov.za/news/media-statements/border-management-authority-partially-reopens-lebombo-port-entry-08-nov-2024
https://www.gov.za/news/media-statements/border-management-authority-and-south-african-revenue-service-working-clear
https://www.sabcnews.com/sabcnews/981758-2/
https://jornalnoticias.co.mz/destaque/quatro-dias-apos-interrupcao-ressano-garcia-reabre-ao-trafego-de-camioes/
https://www.sabcnews.com/sabcnews/lebombo-border-post-temporarily-closed-again/
https://www.reuters.com/world/africa/south-africa-partially-reopens-border-after-mozambique-vote-sparks-concern-2024-11-09/
https://www.citizen.co.za/lowvelder/news-headlines/local-news/2024/11/08/lebombo-border-post-partially-opened-to-allow-movement-of-people/
https://www.sabcnews.com/sabcnews/941244-2/
https://www.jacarandafm.com/news/news/lebombo-border-post-completely-closed-bma/
https://opais.co.mz/mocambique-perdeu-cerca-de-400-milhoes-com-o-encerramento-da-fronteira-de-ressano-garcia/
https://www.snl24.com/dailysun/news/lebombo-border-post-closed-amid-mozambique-protests-20241107/
https://www.enca.com/news-top-stories/lebombo-border-post-reopened-after-temporary-closure
https://www.sanews.gov.za/south-africa/lebombo-border-open-cargo</x:v>
      </x:c>
      <x:c r="O311" s="4" t="str">
        <x:v>Source 1: indexed excerpt; full
Source 2: indexed excerpt
Source 3: full</x:v>
      </x:c>
      <x:c r="P311" s="20" t="n">
        <x:v>1</x:v>
      </x:c>
      <x:c r="Q311" s="4" t="str">
        <x:v>Southern and Central Africa</x:v>
      </x:c>
      <x:c r="R311" s="4" t="str">
        <x:v>Included</x:v>
      </x:c>
    </x:row>
    <x:row r="312" ht="162" hidden="0" customHeight="1">
      <x:c r="A312" s="16" t="str">
        <x:v>SC26</x:v>
      </x:c>
      <x:c r="B312" s="4" t="str">
        <x:v>Lebombo December 2024 renewed suspension</x:v>
      </x:c>
      <x:c r="C312" s="4" t="str">
        <x:v>South Africa; Mozambique</x:v>
      </x:c>
      <x:c r="D312" s="4" t="str">
        <x:v>Lebombo / Ressano Garcia
Lebombo / Ressano Garcia crossing</x:v>
      </x:c>
      <x:c r="E312" s="4" t="str">
        <x:v>Passengers and cargo; later passengers only
Direction: Not established
Exceptions: Not established</x:v>
      </x:c>
      <x:c r="F312" s="4" t="str">
        <x:v>SC26-D1 — Observed operation
Ordinary commercial cargo processing at Lebombo during the renewed December 9 suspension.
Start: 2024-12-09.
Observed scoped reopening: 2024-12-12 to 2024-12-16.
3–7 calendar-day difference; scoped endpoint only</x:v>
      </x:c>
      <x:c r="G312" s="4" t="str">
        <x:v>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Electoral politics / Electoral disputes and transitions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12" s="4" t="str">
        <x:v>SC26-D1: The exact cargo restoration day is bounded, not set to the December 11 passenger counts. Earlier daily blockades and later recurrences are separate. Special releases are not exhaustively reconstructed, so this is ordinary processing, not zero vehicle movement.</x:v>
      </x:c>
      <x:c r="I312" s="4" t="str">
        <x:v>Targeted source review (REC50-R06); retained with recorded qualifications; evidence limits retained.</x:v>
      </x:c>
      <x:c r="J312" s="18" t="d">
        <x:v>2026-10-25T00:00:00.000Z</x:v>
      </x:c>
      <x:c r="K312" s="21" t="str">
        <x:f>IFERROR(HYPERLINK("https://www.sanews.gov.za/south-africa/operations-lebombo-port-entry-resume","SAnews"),"SAnews")</x:f>
        <x:v>SAnews</x:v>
      </x:c>
      <x:c r="L312" s="21" t="str">
        <x:f>IFERROR(HYPERLINK("https://fullview.co.za/key-south-african-trade-route-to-mozambique-remain-closed-as-protests-flare/","Fullview"),"Fullview")</x:f>
        <x:v>Fullview</x:v>
      </x:c>
      <x:c r="M312" s="21" t="str">
        <x:f>IFERROR(HYPERLINK("https://www.enca.com/news/lebombo-border-post-fully-operational-and-traffic-cleared","eNCA"),"eNCA")</x:f>
        <x:v>eNCA</x:v>
      </x:c>
      <x:c r="N312" s="4" t="str">
        <x:v>https://www.sanews.gov.za/south-africa/operations-lebombo-port-entry-resume
https://fullview.co.za/key-south-african-trade-route-to-mozambique-remain-closed-as-protests-flare/
https://www.enca.com/news/lebombo-border-post-fully-operational-and-traffic-cleared
https://www.gov.za/news/media-statements/border-management-authority-lebombo-operations-running-smoothly-holiday
https://www.sabcnews.com/sabcnews/995965-2/
https://www.sanews.gov.za/south-africa/operations-run-smoothly-lebombo-port-entry
https://www.bma.gov.za/wp-content/uploads/2024/12/MEDIA-STATEMENT-UPDATE-ON-THE-LEBOMBO-OPERATIONS.pdf
https://apanews.net/south-africa-halts-truck-processing-at-mozambique-border/
https://www.ewn.co.za/2024/12/24/bma-parts-of-mozambique-unstable-but-lebombo-operations-not-affected</x:v>
      </x:c>
      <x:c r="O312" s="4" t="str">
        <x:v>Source 1: full text
Source 2: full text
Source 3: full text</x:v>
      </x:c>
      <x:c r="P312" s="20" t="n">
        <x:v>1</x:v>
      </x:c>
      <x:c r="Q312" s="4" t="str">
        <x:v>Southern and Central Africa</x:v>
      </x:c>
      <x:c r="R312" s="4" t="str">
        <x:v>Included</x:v>
      </x:c>
    </x:row>
    <x:row r="313" ht="306" hidden="0" customHeight="1">
      <x:c r="A313" s="16" t="str">
        <x:v>SC09</x:v>
      </x:c>
      <x:c r="B313" s="4" t="str">
        <x:v>Chad Sudan renewed closure after incursions</x:v>
      </x:c>
      <x:c r="C313" s="4" t="str">
        <x:v>Chad; Sudan</x:v>
      </x:c>
      <x:c r="D313" s="4" t="str">
        <x:v>Not established
Chad–Sudan land frontier</x:v>
      </x:c>
      <x:c r="E313" s="4" t="str">
        <x:v>Not established
Direction: Not established
Exceptions: Exceptional humanitarian cases may be authorised</x:v>
      </x:c>
      <x:c r="F313" s="4" t="str">
        <x:v>SC09-D1 — Formal policy
Chad's ordinary-traveller closure policy at the Sudan frontier, through the live-advice observation.
Start: 2026-02-23.
Last confirmed: 2026-02-23. Reopening is not established.
Contested: Formal policy: dated evidence; numeric duration withheld; see qualification
Held evidence: excluded from numeric duration and animation displays.
SC09-C7P1 — Formal policy
Chad Sudan ordinary-traveller restriction in the October21 advice observation
Start: unknown.
Last confirmed: 2026-10-21. Reopening is not established.
Formal policy: dated evidence; numeric duration withheld; see qualification
SC09-C7P2 — Intermittent regime
Adré commercial movement disrupted by repeated Chadian openings and reclosures
Start: 2026-03-09.
Observed scoped reopening: 2026-03-31.
Intermittent regime envelope; total closed days unknown</x:v>
      </x:c>
      <x:c r="G313"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x:v>
      </x:c>
      <x:c r="H313" s="4" t="str">
        <x:v>National February 23 closure order and October 21 FCDO observation are separate evidence points. Local commercial/civilian openings on February 23, by March 2, March 11 and March 12 prevent treating the intervening policy as demonstrably continuous. Darfur24 reports March 11 opening lasted only hours before reclosure.
SC09-D1: Humanitarian permissions were excepted. Later local openings and reclosures prevent extending this observation continuously to October. Separate phases retain Adré operations and the October21 advice observation.
SC09-C7P1: Single dated advice observation; not proof that every intervening day since February23 had identical rules or physical closure. Humanitarian exceptions remain separate.
SC09-C7P2: This is an evidence envelope, not continuously closed days. March12 trading passage was also reported. March31 is scoped commercial resumption and does not establish unrestricted passenger entry or enduring later openness.
continuity: Fresh March 11 eyewitness report adds another explicit commercial opening and reclosure. Retain contested continuity status; it prevents interpreting the February–October phase as an uninterrupted operational spell. Legal permission instruments remain missing.
Current finding: Fresh local reporting establishes repeated openings and reclosures; a continuous February–October span is unsupported and has been removed.
source verification: Fresh March 11 eyewitness report adds another explicit commercial opening and reclosure. Retain contested continuity status; it prevents interpreting the February–October phase as an uninterrupted operational spell. Legal permission instruments remain missing.</x:v>
      </x:c>
      <x:c r="I313" s="4" t="str">
        <x:v>Retained baseline assessment. Correction pass: amended with stated qualifications</x:v>
      </x:c>
      <x:c r="J313" s="18" t="d">
        <x:v>2026-10-23T00:00:00.000Z</x:v>
      </x:c>
      <x:c r="K313" s="21" t="str">
        <x:f>IFERROR(HYPERLINK("https://apnews.com/article/ceeccfabc33852c2aa641787a4ea2d82","Associated Press"),"Associated Press")</x:f>
        <x:v>Associated Press</x:v>
      </x:c>
      <x:c r="L313" s="21" t="str">
        <x:f>IFERROR(HYPERLINK("https://www.arabnews.com/world/chad-says-sudan-border-closed-until-further-notice-2634101","Arab News"),"Arab News")</x:f>
        <x:v>Arab News</x:v>
      </x:c>
      <x:c r="M313" s="21" t="str">
        <x:f>IFERROR(HYPERLINK("https://www.gov.uk/foreign-travel-advice/chad/regional-risks","UK Foreign Commonwealth and Development Office"),"UK Foreign Commonwealth and Development Office")</x:f>
        <x:v>UK Foreign Commonwealth and Development Office</x:v>
      </x:c>
      <x:c r="N313" s="4" t="str">
        <x:v>https://apnews.com/article/ceeccfabc33852c2aa641787a4ea2d82
https://www.arabnews.com/world/chad-says-sudan-border-closed-until-further-notice-2634101
https://www.gov.uk/foreign-travel-advice/chad/regional-risks
https://darfur24.com/en/2026/02/25/chad-re-closes-adre-crossing-with-sudan-after-brief-reopening/
https://3ayin.com/en/chad-4-/
https://darfur24.com/en/2026/03/11/drivers-injured-as-chadian-forces-disperse-crowds-at-adre-border-crossing/
https://darfur24.com/2026/03/31/%D8%A7%D8%B3%D8%AA%D8%A6%D9%86%D8%A7%D9%81-%D8%A7%D9%84%D8%AD%D8%B1%D9%83%D8%A9-%D8%A7%D9%84%D8%AA%D8%AC%D8%A7%D8%B1%D9%8A%D8%A9-%D8%B9%D8%A8%D8%B1-%D9%85%D8%B9%D8%A8%D8%B1-%D8%A3%D8%AF%D8%B1%D9%8A/
https://darfur24.com/2026/03/09/%D8%AA%D8%B4%D8%A7%D8%AF-%D8%AA%D8%B9%D9%8A%D8%AF-%D8%A5%D8%BA%D9%84%D8%A7%D9%82-%D9%85%D8%B9%D8%A8%D8%B1-%D8%A3%D8%AF%D8%B1%D9%8A-%D8%A8%D8%B9%D8%AF-%D8%B3%D8%A7%D8%B9%D8%A7%D8%AA-%D9%85%D9%86-%D9%81/
https://sudantribune.com/article/310976
https://www.rescue.org/press-release/sudan-irc-statement-closure-chad-border-crossing
https://allafrica.com/stories/202603130020.html
https://logcluster.org/en/alerts/adre-border-crossing-extended-until-31-december</x:v>
      </x:c>
      <x:c r="O313" s="4" t="str">
        <x:v>Source 1: search extract
Source 2: full page
Source 3: full page</x:v>
      </x:c>
      <x:c r="P313" s="20" t="n">
        <x:v>3</x:v>
      </x:c>
      <x:c r="Q313" s="4" t="str">
        <x:v>Southern and Central Africa</x:v>
      </x:c>
      <x:c r="R313" s="4" t="str">
        <x:v>Included</x:v>
      </x:c>
    </x:row>
    <x:row r="314" ht="162" hidden="0" customHeight="1">
      <x:c r="A314" s="16" t="str">
        <x:v>SC12</x:v>
      </x:c>
      <x:c r="B314" s="4" t="str">
        <x:v>Botswana COVID passenger border closure</x:v>
      </x:c>
      <x:c r="C314" s="4" t="str">
        <x:v>Botswana; South Africa; Namibia; Zimbabwe; Zambia</x:v>
      </x:c>
      <x:c r="D314" s="4" t="str">
        <x:v>Kazungula road/ferry; Ngoma; Ramokgwebana; Martins Drift; Ramatlabama; Tlokweng; Mamuno; Pioneer; Mohembo reopened
National road and rail passenger travel</x:v>
      </x:c>
      <x:c r="E314" s="4" t="str">
        <x:v>Non-exempt ordinary passengers; freight and defined essential movement excepted.
Direction: Entry into and exit from Botswana, subject to returnee/essential-movement exceptions; calculated interval scoped to ordinary passengers at Tlokweng.
Exceptions: Returning citizens subject to quarantine; closely monitored essential services and commodities, including links with South Africa and Zambia.</x:v>
      </x:c>
      <x:c r="F314" s="4" t="str">
        <x:v>SC12-D1 — Observed operation
National road and rail passenger travel; Non-exempt ordinary passengers; freight and defined essential movement excepted.; Entry into and exit from Botswana, subject to returnee/essential-movement exceptions; calculated interval scoped to ordinary passengers at Tlokweng.
Start: 2020-03-24.
Observed scoped reopening: 2020-12-01.
252 calendar-day difference; scoped endpoint only</x:v>
      </x:c>
      <x:c r="G31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14" s="4" t="str">
        <x:v>SC12-D1: 252-day interval is the scoped ordinary-passenger policy phase at Tlokweng, not all-traffic closure. Newly inspected November9 legal notice schedules December1 ground reopening; actual Tlokweng traffic is documented separately. Other posts remain policy/reporting evidence, without independent gate-by-gate verification. Current WHO-page retrieval timed out; prior evidence preserved. Returning citizens subject to quarantine; closely monitored essential services and commodities, including links with South Africa and Zambia.</x:v>
      </x:c>
      <x:c r="I314" s="4" t="str">
        <x:v>Retained baseline assessment. Retained with recorded qualifications</x:v>
      </x:c>
      <x:c r="J314" s="18" t="d">
        <x:v>2026-10-23T00:00:00.000Z</x:v>
      </x:c>
      <x:c r="K314" s="21" t="str">
        <x:f>IFERROR(HYPERLINK("https://www.afro.who.int/countries/botswana/news/state-public-emergency-starts-midnight-covid-19-response","WHO Africa"),"WHO Africa")</x:f>
        <x:v>WHO Africa</x:v>
      </x:c>
      <x:c r="L314" s="21" t="str">
        <x:f>IFERROR(HYPERLINK("https://www.botswanaembassy.org/node/2258","Botswana Embassy"),"Botswana Embassy")</x:f>
        <x:v>Botswana Embassy</x:v>
      </x:c>
      <x:c r="M314" s="21" t="str">
        <x:f>IFERROR(HYPERLINK("https://dailynews.gov.bw/news-detail/59914","DailyNews"),"DailyNews")</x:f>
        <x:v>DailyNews</x:v>
      </x:c>
      <x:c r="N314" s="4" t="str">
        <x:v>https://www.afro.who.int/countries/botswana/news/state-public-emergency-starts-midnight-covid-19-response
https://www.botswanaembassy.org/node/2258
https://dailynews.gov.bw/news-detail/59914
https://extranet.who.int/sph/sites/default/files/document-library/document/IAR%20COVID-19%20Botswana%20%2809-12%20Nov%202020%29.pdf
https://www.voanews.com/a/science-health_coronavirus-outbreak_botswana-no-covid-19-cases-closes-borders-after-death-zimbabwe/6186332.html
https://dailynews.gov.bw/news-detail/55267
https://gov.bw/sites/default/files/2020-11/LIFTING.pdf
https://extranet.who.int/sph/fr/file/6280/download?token=gZg1CNFx
https://dailynews.gov.bw/news-detail/55228
https://dailynews.gov.bw/news-detail/55258</x:v>
      </x:c>
      <x:c r="O314" s="4" t="str">
        <x:v>Source 1: full page
Source 2: full page
Source 3: full page</x:v>
      </x:c>
      <x:c r="P314" s="20" t="n">
        <x:v>1</x:v>
      </x:c>
      <x:c r="Q314" s="4" t="str">
        <x:v>Southern and Central Africa</x:v>
      </x:c>
      <x:c r="R314" s="4" t="str">
        <x:v>Included</x:v>
      </x:c>
    </x:row>
    <x:row r="315" ht="162" hidden="0" customHeight="1">
      <x:c r="A315" s="16" t="str">
        <x:v>SUP-002</x:v>
      </x:c>
      <x:c r="B315" s="4" t="str">
        <x:v>Togo municipal election closure 2019</x:v>
      </x:c>
      <x:c r="C315" s="4" t="str">
        <x:v>Togo; Ghana; Benin; Burkina Faso</x:v>
      </x:c>
      <x:c r="D315" s="4" t="str">
        <x:v>All land crossings covered by the order
National land-border order</x:v>
      </x:c>
      <x:c r="E315" s="4" t="str">
        <x:v>Land-border users; detailed goods or nationality exceptions not specified
Direction: General border closure order; no directional exception specified
Exceptions: Not established in sources</x:v>
      </x:c>
      <x:c r="F315" s="4" t="str">
        <x:v>SUP-002-R1 — Announced window
Togo land-border closure order for municipal polling
Start: 2019-06-29 to 2019-06-30.
Scheduled endpoint: 2019-06-30 to 2019-07-01.
Ordered window: dated evidence; numeric duration withheld; see qualification</x:v>
      </x:c>
      <x:c r="G315"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15" s="4" t="str">
        <x:v>SUP-002-R1: Bounds preserve two correlated schedule descriptions: Saturday29evening–Sunday30evening OR June30 00:00–July1 00:00. Do not combine earliest start with latest end as an asserted two-day order. Actual enforcement unverified.
source verification: More precise midnight schedule still relies on indexed L-Frii text; broader official evening order has full verification.</x:v>
      </x:c>
      <x:c r="I315" s="4" t="str">
        <x:v>Full-record source audit (REC50-R10); accepted corrections; evidence limits retained.</x:v>
      </x:c>
      <x:c r="J315" s="18" t="d">
        <x:v>2026-10-25T00:00:00.000Z</x:v>
      </x:c>
      <x:c r="K315" s="21" t="str">
        <x:f>IFERROR(HYPERLINK("https://www.republicoftogo.com/toutes-les-rubriques/politique/frontieres-fermees-pour-les-municipales","Republic of Togo"),"Republic of Togo")</x:f>
        <x:v>Republic of Togo</x:v>
      </x:c>
      <x:c r="L315" s="21" t="str">
        <x:f>IFERROR(HYPERLINK("https://l-frii.com/togo-locales-2019-fermeture-des-frontieres-terrestres-ce-dimanche-30-juin/","L-Frii"),"L-Frii")</x:f>
        <x:v>L-Frii</x:v>
      </x:c>
      <x:c r="M315" s="21" t="str">
        <x:f>IFERROR(HYPERLINK("https://www.aa.com.tr/fr/afrique/le-togo-ferme-ses-fronti%C3%A8res-terrestres-%C3%A0-la-veille-des-municipales-/1519225","Anadolu Agency"),"Anadolu Agency")</x:f>
        <x:v>Anadolu Agency</x:v>
      </x:c>
      <x:c r="N315" s="4" t="str">
        <x:v>https://www.republicoftogo.com/toutes-les-rubriques/politique/frontieres-fermees-pour-les-municipales
https://l-frii.com/togo-locales-2019-fermeture-des-frontieres-terrestres-ce-dimanche-30-juin/
https://www.aa.com.tr/fr/afrique/le-togo-ferme-ses-fronti%C3%A8res-terrestres-%C3%A0-la-veille-des-municipales-/1519225</x:v>
      </x:c>
      <x:c r="O315" s="4" t="str">
        <x:v>Source 1: full; full text
Source 2: indexed excerpt; indexed extract
Source 3: full text</x:v>
      </x:c>
      <x:c r="P315" s="20" t="n">
        <x:v>1</x:v>
      </x:c>
      <x:c r="Q315" s="4" t="str">
        <x:v>West Africa</x:v>
      </x:c>
      <x:c r="R315" s="4" t="str">
        <x:v>Included</x:v>
      </x:c>
    </x:row>
    <x:row r="316" ht="162" hidden="0" customHeight="1">
      <x:c r="A316" s="16" t="str">
        <x:v>SUP-003</x:v>
      </x:c>
      <x:c r="B316" s="4" t="str">
        <x:v>Togo municipal election closure 2025</x:v>
      </x:c>
      <x:c r="C316" s="4" t="str">
        <x:v>Togo; Ghana; Benin; Burkina Faso</x:v>
      </x:c>
      <x:c r="D316" s="4" t="str">
        <x:v>All land crossings covered by the order
National land-border order</x:v>
      </x:c>
      <x:c r="E316" s="4" t="str">
        <x:v>Land-border users; detailed goods or nationality exceptions not specified
Direction: General border closure order; no directional exception specified
Exceptions: Not established in sources</x:v>
      </x:c>
      <x:c r="F316" s="4" t="str">
        <x:v>SUP-003-R1 — Announced window
Togo land borders only
Start: 2025-07-17.
Scheduled endpoint: 2025-07-17.
Ordered window: Same-day episode; no whole-day duration inferred</x:v>
      </x:c>
      <x:c r="G316"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16" s="4" t="str">
        <x:v>SUP-003-R1: 00:00–23:59 local time; date-only schema is not a zero-hour observed closure. Air and maritime routes exempt.</x:v>
      </x:c>
      <x:c r="I316" s="4" t="str">
        <x:v>Retained baseline assessment. Retained with recorded qualifications</x:v>
      </x:c>
      <x:c r="J316" s="18" t="d">
        <x:v>2026-10-23T00:00:00.000Z</x:v>
      </x:c>
      <x:c r="K316" s="21" t="str">
        <x:f>IFERROR(HYPERLINK("https://www.republiquetogolaise.tg/politique/1607-10883-elections-municipales-les-frontieres-terrestres-fermees-le-17-juillet","Togo official portal"),"Togo official portal")</x:f>
        <x:v>Togo official portal</x:v>
      </x:c>
      <x:c r="L316" s="21" t="str">
        <x:f>IFERROR(HYPERLINK("https://www.togofirst.com/fr/politique/1507-16766-municipales-2025-le-togo-ferme-ses-frontieres-terrestres-le-17-juillet-jour-du-scrutin","togofirst.com"),"togofirst.com")</x:f>
        <x:v>togofirst.com</x:v>
      </x:c>
      <x:c r="M316" s="21"/>
      <x:c r="N316" s="4" t="str">
        <x:v>https://www.republiquetogolaise.tg/politique/1607-10883-elections-municipales-les-frontieres-terrestres-fermees-le-17-juillet
https://www.togofirst.com/fr/politique/1507-16766-municipales-2025-le-togo-ferme-ses-frontieres-terrestres-le-17-juillet-jour-du-scrutin</x:v>
      </x:c>
      <x:c r="O316" s="4" t="str">
        <x:v>Source 1: full
Source 2: access detail is retained in the source catalogue.</x:v>
      </x:c>
      <x:c r="P316" s="20" t="n">
        <x:v>1</x:v>
      </x:c>
      <x:c r="Q316" s="4" t="str">
        <x:v>West Africa</x:v>
      </x:c>
      <x:c r="R316" s="4" t="str">
        <x:v>Included</x:v>
      </x:c>
    </x:row>
    <x:row r="317" ht="162" hidden="0" customHeight="1">
      <x:c r="A317" s="16" t="str">
        <x:v>SUP-004</x:v>
      </x:c>
      <x:c r="B317" s="4" t="str">
        <x:v>Benin legislative and municipal election closure January 2026</x:v>
      </x:c>
      <x:c r="C317" s="4" t="str">
        <x:v>Benin; Togo; Burkina Faso; Niger; Nigeria</x:v>
      </x:c>
      <x:c r="D317" s="4" t="str">
        <x:v>All land crossings covered by the order
National land-border order</x:v>
      </x:c>
      <x:c r="E317" s="4" t="str">
        <x:v>Land-border users; detailed goods or nationality exceptions not specified
Direction: General border closure order; no directional exception specified
Exceptions: Not established in sources</x:v>
      </x:c>
      <x:c r="F317" s="4" t="str">
        <x:v>No admissible dated phase. Duration and reopening remain unresolved.</x:v>
      </x:c>
      <x:c r="G317"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17" s="4" t="str">
        <x:v>Reference only: 23 October amendments; remaining qualifications retained
Earlier closure order was superseded by government correction reported January 10, 2026. No implemented closure is established; record retained only in quarantine for audit history. This does not resolve the separately restricted Niger frontier.
No single combined duration is inferred. Unknown endpoints and continuity remain unresolved. Read each phase qualification and Audit review.</x:v>
      </x:c>
      <x:c r="I317" s="4" t="str">
        <x:v>Full-record source audit (REC50-R10); accepted corrections; evidence limits retained.</x:v>
      </x:c>
      <x:c r="J317" s="18" t="d">
        <x:v>2026-10-25T00:00:00.000Z</x:v>
      </x:c>
      <x:c r="K317" s="21" t="str">
        <x:f>IFERROR(HYPERLINK("https://www.dgpr.bj/communique-radio-televise-2/","Benin Republican Police"),"Benin Republican Police")</x:f>
        <x:v>Benin Republican Police</x:v>
      </x:c>
      <x:c r="L317" s="21" t="str">
        <x:f>IFERROR(HYPERLINK("https://srtb.bj/urgent-benin-les-frontieres-demeurent-ouvertes-le-jour-des-elections-le-11-janvier/","SRTB"),"SRTB")</x:f>
        <x:v>SRTB</x:v>
      </x:c>
      <x:c r="M317" s="21" t="str">
        <x:f>IFERROR(HYPERLINK("https://africaho.bj/article/communales-et-legislatives-2026-le-benin-maintient-ses-frontieres-terrestres-ouvertes/","africaho.bj"),"africaho.bj")</x:f>
        <x:v>africaho.bj</x:v>
      </x:c>
      <x:c r="N317" s="4" t="str">
        <x:v>https://www.dgpr.bj/communique-radio-televise-2/
https://srtb.bj/urgent-benin-les-frontieres-demeurent-ouvertes-le-jour-des-elections-le-11-janvier/
https://africaho.bj/article/communales-et-legislatives-2026-le-benin-maintient-ses-frontieres-terrestres-ouvertes/</x:v>
      </x:c>
      <x:c r="O317" s="4" t="str">
        <x:v>Source 1: indexed excerpt; failed; indexed extract
Source 2: full text
Source 3: access detail is retained in the source catalogue.</x:v>
      </x:c>
      <x:c r="P317" s="20" t="n">
        <x:v>0</x:v>
      </x:c>
      <x:c r="Q317" s="4" t="str">
        <x:v>West Africa</x:v>
      </x:c>
      <x:c r="R317" s="4" t="str">
        <x:v>Reference only (excluded)</x:v>
      </x:c>
    </x:row>
    <x:row r="318" ht="162" hidden="0" customHeight="1">
      <x:c r="A318" s="16" t="str">
        <x:v>W-026</x:v>
      </x:c>
      <x:c r="B318" s="4" t="str">
        <x:v>Togo 2018 legislative election closure</x:v>
      </x:c>
      <x:c r="C318" s="4" t="str">
        <x:v>Togo; Ghana; Benin; Burkina Faso</x:v>
      </x:c>
      <x:c r="D318" s="4" t="str">
        <x:v>Not individually established
All land borders</x:v>
      </x:c>
      <x:c r="E318" s="4" t="str">
        <x:v>Not separately established
Direction: Not separately established
Exceptions: Not established</x:v>
      </x:c>
      <x:c r="F318" s="4" t="str">
        <x:v>W-026-R1 — Announced window
Togo terrestrial borders under legislative-election order
Start: 2018-12-20.
Scheduled endpoint: 2018-12-21.
Ordered window: 1 calendar-day difference; actual end not established</x:v>
      </x:c>
      <x:c r="G318"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18" s="4" t="str">
        <x:v>Contemporary 24Heures au Benin substantive article-summary page corroborates exact ordered schedule; no actual reopening observed.
W-026-R1: Scheduled December 20 00:00–December 21 00:00 window only. Retrieved 24Heures article-summary page contains schedule; its full-article link redirects homepage. No observed reopening established.</x:v>
      </x:c>
      <x:c r="I318" s="4" t="str">
        <x:v>Retained baseline assessment. Amended after source reconciliation</x:v>
      </x:c>
      <x:c r="J318" s="18" t="d">
        <x:v>2026-10-23T00:00:00.000Z</x:v>
      </x:c>
      <x:c r="K318" s="21" t="str">
        <x:f>IFERROR(HYPERLINK("https://l-frii.com/togo-officiel-fermeture-des-frontieres-togolaises-a-partir-de-minuit/","L-Frii"),"L-Frii")</x:f>
        <x:v>L-Frii</x:v>
      </x:c>
      <x:c r="L318" s="21" t="str">
        <x:f>IFERROR(HYPERLINK("https://24haubenin.info/spip.php?id_article=19184&amp;page=sum","24haubenin.info"),"24haubenin.info")</x:f>
        <x:v>24haubenin.info</x:v>
      </x:c>
      <x:c r="M318" s="21"/>
      <x:c r="N318" s="4" t="str">
        <x:v>https://l-frii.com/togo-officiel-fermeture-des-frontieres-togolaises-a-partir-de-minuit/
https://24haubenin.info/spip.php?id_article=19184&amp;page=sum</x:v>
      </x:c>
      <x:c r="O318" s="4" t="str">
        <x:v>Source 1: indexed excerpt
Source 2: access detail is retained in the source catalogue.</x:v>
      </x:c>
      <x:c r="P318" s="20" t="n">
        <x:v>1</x:v>
      </x:c>
      <x:c r="Q318" s="4" t="str">
        <x:v>West Africa and Sahel</x:v>
      </x:c>
      <x:c r="R318" s="4" t="str">
        <x:v>Included</x:v>
      </x:c>
    </x:row>
    <x:row r="319" ht="246" hidden="0" customHeight="1">
      <x:c r="A319" s="16" t="str">
        <x:v>W-033</x:v>
      </x:c>
      <x:c r="B319" s="4" t="str">
        <x:v>Nigeria Tsamiya Kamba corridor continued restrictions and 2026 reopening</x:v>
      </x:c>
      <x:c r="C319" s="4" t="str">
        <x:v>Nigeria; Benin; Niger</x:v>
      </x:c>
      <x:c r="D319" s="4" t="str">
        <x:v>Tsamiya–Ségbana and Kamba–Niger corridor
Specific corridor through Kebbi State</x:v>
      </x:c>
      <x:c r="E319" s="4" t="str">
        <x:v>For the retained February 2026 phase: Cotonou-origin transit goods trucks destined for Niger; passenger restriction not established by this phase.
Direction: Benin via Nigeria to Niger for the retained transit-truck phase.
Exceptions: Not established</x:v>
      </x:c>
      <x:c r="F319" s="4" t="str">
        <x:v>W-033-FU1 — Observed operation
Tsamiya–Kamba corridor restrictions affecting Cotonou-origin trucks destined for Niger
Start: unknown.
Observed scoped reopening: 2026-02-09.
dated evidence; numeric duration withheld; see qualification</x:v>
      </x:c>
      <x:c r="G319" s="4" t="str">
        <x:v>Security / Smuggling and illicit trafficking
Reported reason
Applies to: Recorded episode; exact overlap not separately established
The recorded rationale and claim assessment support the selected subcategories. All applicable broad categories are retained together; no primary rationale is imposed.
Security / Crime and law enforcement
Reported reason
Applies to: Recorded episode; exact overlap not separately established
The recorded rationale and claim assessment support the selected subcategories. All applicable broad categories are retained together; no primary rationale is imposed.
Trade and protectionism / Import, export and production controls
Reported reason
Applies to: Recorded episode; exact overlap not separately established
The recorded rationale and claim assessment support the selected subcategories. All applicable broad categories are retained together; no primary rationale is imposed.</x:v>
      </x:c>
      <x:c r="H319" s="4" t="str">
        <x:v>Recent Cotonou-to-Niger truck restriction reportedly lasted months before February 9, 2026 restoration. Banouto attributes it to Niger authorities; Anadolu and Nigerian local reports attribute it to Nigeria and quote Nigerian reopening orders. Exact onset and authority attribution remain unresolved. This is distinct from the 2019 regime and 2022 Kamba permission.
W-033-FU1: Endpoint evidence only. No precise start or continuous 2019–2026 interval; Banouto attributes recent blockage to Niger while Anadolu and Nigerian reporting attribute it to Nigeria. Do not merge motives or authorities.
duration: Fresh contemporary Nigerian and Anadolu reports contradict treating the recent blockage as definitively Niger-imposed. February 9 actual truck clearance is supported, so propose a reopening-only phase; preserve unknown onset and explicit actor conflict.
Current onset finding: Additional reporting corroborates February9 truck clearance but supplies no precise start.
closure authority: Banouto attributes the recent Kamba blockage to Niger; Anadolu and contemporary Nigerian reports attribute it to Nigeria. Separate concurrent measures may be conflated.
continuity: Attribution to Nigeria and Niger differs across sources; no continuous multi-year corridor seal is established.</x:v>
      </x:c>
      <x:c r="I319" s="4" t="str">
        <x:v>Targeted source review (REC50-R16); accepted corrections; evidence limits retained.</x:v>
      </x:c>
      <x:c r="J319" s="18" t="d">
        <x:v>2026-10-25T00:00:00.000Z</x:v>
      </x:c>
      <x:c r="K319" s="21" t="str">
        <x:f>IFERROR(HYPERLINK("https://thesun.ng/ncs-finally-opens-kebbi-borders-with-benin-niger-republics/","The Sun Nigeria"),"The Sun Nigeria")</x:f>
        <x:v>The Sun Nigeria</x:v>
      </x:c>
      <x:c r="L319" s="21" t="str">
        <x:f>IFERROR(HYPERLINK("https://banouto.bj/societe/article/20260211-transit-nigeria-niger-le-corridor-tsamiya-kamba-rouvre-apres-trois-mois-de-blocage-des-camions","Banouto"),"Banouto")</x:f>
        <x:v>Banouto</x:v>
      </x:c>
      <x:c r="M319" s="21" t="str">
        <x:f>IFERROR(HYPERLINK("https://www.aa.com.tr/fr/afrique/niamey-et-abuja-officialisent-un-corridor-pour-le-transit-des-marchandises-d%C3%A9barqu%C3%A9es-au-port-de-cotonou/3827367","Anadolu"),"Anadolu")</x:f>
        <x:v>Anadolu</x:v>
      </x:c>
      <x:c r="N319" s="4" t="str">
        <x:v>https://thesun.ng/ncs-finally-opens-kebbi-borders-with-benin-niger-republics/
https://banouto.bj/societe/article/20260211-transit-nigeria-niger-le-corridor-tsamiya-kamba-rouvre-apres-trois-mois-de-blocage-des-camions
https://www.aa.com.tr/fr/afrique/niamey-et-abuja-officialisent-un-corridor-pour-le-transit-des-marchandises-d%C3%A9barqu%C3%A9es-au-port-de-cotonou/3827367
https://dailytrend.com.ng/2022/04/23/3-years-after-fg-reopens-idiroko-jibiya-kamba-ikom-land-borders/
https://issafrica.org/iss-today/nigeria-niger-benin-cross-border-trade-resumes-amid-security-risks
https://fmino.gov.ng/atikus-border-claim-were-the-borders-closed/
https://thesun.ng/kebbi-govt-lauds-fg-over-kamba-border-reopening/
https://tribuneonlineng.com/fg-reopens-nigeria-niger-border-through-kamba-corridor/
https://punchng.com/reopening-of-nigeria-niger-borders-strengthens-trade-diplomacy-presidency/
https://businessday.ng/news/article/nigeria-reopens-tsamiya-border-with-benin-after-7-year-closure/
https://punchng.com/fg-approves-reopening-of-kebbi-border-for-trading-customs-cg/
https://arogboibevoice.com/customs-reopens-kamba-tsamiya-borders-following-security-talks/</x:v>
      </x:c>
      <x:c r="O319" s="4" t="str">
        <x:v>Source 1: full text
Source 2: full text
Source 3: full text</x:v>
      </x:c>
      <x:c r="P319" s="20" t="n">
        <x:v>1</x:v>
      </x:c>
      <x:c r="Q319" s="4" t="str">
        <x:v>West Africa and Sahel</x:v>
      </x:c>
      <x:c r="R319" s="4" t="str">
        <x:v>Included</x:v>
      </x:c>
    </x:row>
    <x:row r="320" ht="162" hidden="0" customHeight="1">
      <x:c r="A320" s="16" t="str">
        <x:v>W-030</x:v>
      </x:c>
      <x:c r="B320" s="4" t="str">
        <x:v>Nigeria initial February 2019 election closure before postponement</x:v>
      </x:c>
      <x:c r="C320" s="4" t="str">
        <x:v>Nigeria; Benin; Niger; Cameroon; Chad</x:v>
      </x:c>
      <x:c r="D320" s="4" t="str">
        <x:v>Not individually established
All land borders</x:v>
      </x:c>
      <x:c r="E320" s="4" t="str">
        <x:v>Not separately established
Direction: Not separately established
Exceptions: Not established</x:v>
      </x:c>
      <x:c r="F320" s="4" t="str">
        <x:v>W-030-D1 — Formal policy
Nigeria's first February 2019 election closure order, reversed after the vote was postponed.
Start: 2019-02-15.
Policy endpoint: 2019-02-16.
Formal policy: 1 calendar-day difference; operational continuity not established</x:v>
      </x:c>
      <x:c r="G320"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20" s="4" t="str">
        <x:v>W-030-D1: This is the formal policy window, not an observed one-day shutdown at every post. The later rescheduled-election closure is separate; no exact 24-hour elapsed duration is claimed.</x:v>
      </x:c>
      <x:c r="I320" s="4" t="str">
        <x:v>Retained baseline assessment. Retained with recorded qualifications</x:v>
      </x:c>
      <x:c r="J320" s="18" t="d">
        <x:v>2026-10-23T00:00:00.000Z</x:v>
      </x:c>
      <x:c r="K320" s="21" t="str">
        <x:f>IFERROR(HYPERLINK("https://shipsandports.com.ng/nigeria-shuts-borders-third-time-3-weeks/","Ships and Ports"),"Ships and Ports")</x:f>
        <x:v>Ships and Ports</x:v>
      </x:c>
      <x:c r="L320" s="21" t="str">
        <x:f>IFERROR(HYPERLINK("https://www.thisdaylive.com/2019/02/14/election-nis-orders-closure-of-borders-from-friday-noon/","thisdaylive.com"),"thisdaylive.com")</x:f>
        <x:v>thisdaylive.com</x:v>
      </x:c>
      <x:c r="M320" s="21" t="str">
        <x:f>IFERROR(HYPERLINK("https://punchng.com/election-postponement-fg-re-opens-borders/","punchng.com"),"punchng.com")</x:f>
        <x:v>punchng.com</x:v>
      </x:c>
      <x:c r="N320" s="4" t="str">
        <x:v>https://shipsandports.com.ng/nigeria-shuts-borders-third-time-3-weeks/
https://www.thisdaylive.com/2019/02/14/election-nis-orders-closure-of-borders-from-friday-noon/
https://punchng.com/election-postponement-fg-re-opens-borders/
https://www.xinhuanet.com/english/2019-02/15/c_137822580.htm
https://impactngr.com/fg-orders-closure-of-land-borders/
https://guardian.ng/news/federal-government-reopens-borders/
https://prnigeria.com/2019/02/21/nis-closes-border-election/
https://businessday.ng/ng-election/article/again-fg-closes-all-land-borders-for-elections/</x:v>
      </x:c>
      <x:c r="O320" s="4" t="str">
        <x:v>Source 1: search extract
Source 2: full
Source 3: full</x:v>
      </x:c>
      <x:c r="P320" s="20" t="n">
        <x:v>1</x:v>
      </x:c>
      <x:c r="Q320" s="4" t="str">
        <x:v>West Africa and Sahel</x:v>
      </x:c>
      <x:c r="R320" s="4" t="str">
        <x:v>Included</x:v>
      </x:c>
    </x:row>
    <x:row r="321" ht="162" hidden="0" customHeight="1">
      <x:c r="A321" s="16" t="str">
        <x:v>W-018</x:v>
      </x:c>
      <x:c r="B321" s="4" t="str">
        <x:v>Nigeria rescheduled 2019 presidential election closure</x:v>
      </x:c>
      <x:c r="C321" s="4" t="str">
        <x:v>Nigeria; Benin; Niger; Cameroon; Chad</x:v>
      </x:c>
      <x:c r="D321" s="4" t="str">
        <x:v>Not individually established
All land borders</x:v>
      </x:c>
      <x:c r="E321" s="4" t="str">
        <x:v>Not separately established
Direction: Not separately established
Exceptions: Not established</x:v>
      </x:c>
      <x:c r="F321" s="4" t="str">
        <x:v>W-018-R1 — Announced window
Nigeria external land borders covered by election order
Start: 2019-02-22.
Scheduled endpoint: 2019-02-24.
Ordered window: 2 calendar-day difference; actual end not established</x:v>
      </x:c>
      <x:c r="G321"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21" s="4" t="str">
        <x:v>W-018-R1: Ordered window only; noon endpoint follows signed reproduction. BusinessDay quotes midnight Sunday from the same statement, an unresolved reporting discrepancy rather than observed extension. Not a claim of measured enforcement. Previous postponed-election closure was separately reopened.</x:v>
      </x:c>
      <x:c r="I321" s="4" t="str">
        <x:v>Retained baseline assessment. Retained with recorded qualifications</x:v>
      </x:c>
      <x:c r="J321" s="18" t="d">
        <x:v>2026-10-23T00:00:00.000Z</x:v>
      </x:c>
      <x:c r="K321" s="21" t="str">
        <x:f>IFERROR(HYPERLINK("https://punchng.com/elections-fg-closes-land-borders/","Punch"),"Punch")</x:f>
        <x:v>Punch</x:v>
      </x:c>
      <x:c r="L321" s="21" t="str">
        <x:f>IFERROR(HYPERLINK("https://prnigeria.com/2019/02/21/nis-closes-border-election/","PRNigeria"),"PRNigeria")</x:f>
        <x:v>PRNigeria</x:v>
      </x:c>
      <x:c r="M321" s="21" t="str">
        <x:f>IFERROR(HYPERLINK("https://businessday.ng/ng-election/article/again-fg-closes-all-land-borders-for-elections/","BusinessDay"),"BusinessDay")</x:f>
        <x:v>BusinessDay</x:v>
      </x:c>
      <x:c r="N321" s="4" t="str">
        <x:v>https://punchng.com/elections-fg-closes-land-borders/
https://prnigeria.com/2019/02/21/nis-closes-border-election/
https://businessday.ng/ng-election/article/again-fg-closes-all-land-borders-for-elections/
https://www.xinhuanet.com/english/2019-02/15/c_137822580.htm
https://impactngr.com/fg-orders-closure-of-land-borders/
https://guardian.ng/news/federal-government-reopens-borders/</x:v>
      </x:c>
      <x:c r="O321" s="4" t="str">
        <x:v>Source 1: full
Source 2: full
Source 3: full</x:v>
      </x:c>
      <x:c r="P321" s="20" t="n">
        <x:v>1</x:v>
      </x:c>
      <x:c r="Q321" s="4" t="str">
        <x:v>West Africa and Sahel</x:v>
      </x:c>
      <x:c r="R321" s="4" t="str">
        <x:v>Included</x:v>
      </x:c>
    </x:row>
    <x:row r="322" ht="78" hidden="0" customHeight="1">
      <x:c r="A322" s="16" t="str">
        <x:v>W-029</x:v>
      </x:c>
      <x:c r="B322" s="4" t="str">
        <x:v>Nigeria 2019 state election closure</x:v>
      </x:c>
      <x:c r="C322" s="4" t="str">
        <x:v>Nigeria; Benin; Niger; Cameroon; Chad</x:v>
      </x:c>
      <x:c r="D322" s="4" t="str">
        <x:v>Not individually established
All land borders</x:v>
      </x:c>
      <x:c r="E322" s="4" t="str">
        <x:v>Not separately established
Direction: Not separately established
Exceptions: Not established</x:v>
      </x:c>
      <x:c r="F322" s="4" t="str">
        <x:v>W-029-R1 — Announced window
Nigeria external land borders covered by election order
Start: 2019-03-08.
Scheduled endpoint: 2019-03-10.
Ordered window: 2 calendar-day difference; actual end not established</x:v>
      </x:c>
      <x:c r="G322"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x:v>
      </x:c>
      <x:c r="H322" s="4" t="str">
        <x:v>W-029-R1: NIS-reported noon-to-noon schedule is used; GAC's contemporaneous alert instead says midnight, so the hour has a secondary-source discrepancy. No operational reopening established.</x:v>
      </x:c>
      <x:c r="I322" s="4" t="str">
        <x:v>Retained baseline assessment. Retained with recorded qualifications</x:v>
      </x:c>
      <x:c r="J322" s="18" t="d">
        <x:v>2026-10-23T00:00:00.000Z</x:v>
      </x:c>
      <x:c r="K322" s="21" t="str">
        <x:f>IFERROR(HYPERLINK("https://shipsandports.com.ng/nigeria-shuts-borders-third-time-3-weeks/","Ships &amp; Ports"),"Ships &amp; Ports")</x:f>
        <x:v>Ships &amp; Ports</x:v>
      </x:c>
      <x:c r="L322" s="21" t="str">
        <x:f>IFERROR(HYPERLINK("https://www.gac.com/hot-port-news/borders--ports-to-close-for-elections","GAC"),"GAC")</x:f>
        <x:v>GAC</x:v>
      </x:c>
      <x:c r="M322" s="21" t="str">
        <x:f>IFERROR(HYPERLINK("https://allaboutshipping.co.uk/2019/03/08/hot-port-news-from-gac-2031/","allaboutshipping.co.uk"),"allaboutshipping.co.uk")</x:f>
        <x:v>allaboutshipping.co.uk</x:v>
      </x:c>
      <x:c r="N322" s="4" t="str">
        <x:v>https://shipsandports.com.ng/nigeria-shuts-borders-third-time-3-weeks/
https://www.gac.com/hot-port-news/borders--ports-to-close-for-elections
https://allaboutshipping.co.uk/2019/03/08/hot-port-news-from-gac-2031/
https://tbiafrica.com/2019/03/08/fg-orders-closure-of-borders-for-govship-state-assembly-polls/</x:v>
      </x:c>
      <x:c r="O322" s="4" t="str">
        <x:v>Source 1: full
Source 2: indexed excerpt
Source 3: indexed excerpt</x:v>
      </x:c>
      <x:c r="P322" s="20" t="n">
        <x:v>1</x:v>
      </x:c>
      <x:c r="Q322" s="4" t="str">
        <x:v>West Africa and Sahel</x:v>
      </x:c>
      <x:c r="R322" s="4" t="str">
        <x:v>Included</x:v>
      </x:c>
    </x:row>
    <x:row r="323" ht="174" hidden="0" customHeight="1">
      <x:c r="A323" s="16" t="str">
        <x:v>W-001</x:v>
      </x:c>
      <x:c r="B323" s="4" t="str">
        <x:v>Nigeria national anti-smuggling closure</x:v>
      </x:c>
      <x:c r="C323" s="4" t="str">
        <x:v>Nigeria; Benin; Niger; Cameroon; Chad</x:v>
      </x:c>
      <x:c r="D323" s="4" t="str">
        <x:v>Seme, Illela, Maigatari, Mfum named in first reopening
National land-border policy with phased crossing reopening</x:v>
      </x:c>
      <x:c r="E323" s="4" t="str">
        <x:v>Goods; passenger restrictions varied and overlapped COVID measures.
Direction: Not separately established
Exceptions: Selected backlog consignments with previously paid duty authorized for release by NSA letter November 13 2020; selective company export permissions also reported. Rice/poultry import bans continued after December 16 general reopening permission.</x:v>
      </x:c>
      <x:c r="F323" s="4" t="str">
        <x:v>W-001-D1 — Formal policy
Nigeria added anti-smuggling restriction on ordinary non-exempt, otherwise admissible goods at Seme–Kraké, to December 16 cabinet reopening permission.
Start: 2019-08-20.
Policy endpoint: 2020-12-16.
Formal policy: 484 calendar-day difference; operational continuity not established</x:v>
      </x:c>
      <x:c r="G323" s="4" t="str">
        <x:v>Trade and protectionism / Import, export and production controls
Reported reason
Applies to: Recorded episode; exact overlap not separately established
The recorded rationale and claim assessment support the selected subcategories. All applicable broad categories are retained together; no primary rationale is imposed.
Security / Smuggling and illicit trafficking
Reported reason
Applies to: Recorded episode; exact overlap not separately established
The recorded rationale and claim assessment support the selected subcategories. All applicable broad categories are retained together; no primary rationale is imposed.</x:v>
      </x:c>
      <x:c r="H323" s="4" t="str">
        <x:v>W-001-D1: Selected exceptions occurred: November 13 NSA approval released specified backlog consignments whose import duty had been paid, with separate selective company export permissions reported. December 16 is general cabinet permission, not actual cargo restoration; December 24 reporting still found goods blocked. Rice/poultry prohibitions and passenger COVID measures remain separate. August20 is the retained national announcement date, not a settled first physical denial of Seme cargo; retrospective August18 wording remains unreconciled.</x:v>
      </x:c>
      <x:c r="I323" s="4" t="str">
        <x:v>Targeted source review (REC50-R43); accepted qualification; evidence limits retained.</x:v>
      </x:c>
      <x:c r="J323" s="18" t="d">
        <x:v>2026-10-25T00:00:00.000Z</x:v>
      </x:c>
      <x:c r="K323" s="21" t="str">
        <x:f>IFERROR(HYPERLINK("https://von.gov.ng/nigeria-re-opens-four-land-borders/","Voice of Nigeria"),"Voice of Nigeria")</x:f>
        <x:v>Voice of Nigeria</x:v>
      </x:c>
      <x:c r="L323" s="21" t="str">
        <x:f>IFERROR(HYPERLINK("https://www.africanews.com/2020/12/17/nigeria-opens-land-borders-with-benin/","AFP via Africanews"),"AFP via Africanews")</x:f>
        <x:v>AFP via Africanews</x:v>
      </x:c>
      <x:c r="M323" s="21" t="str">
        <x:f>IFERROR(HYPERLINK("https://thenationonlineng.net/borders-still-shut-to-goods-movement/","The Nation"),"The Nation")</x:f>
        <x:v>The Nation</x:v>
      </x:c>
      <x:c r="N323" s="4" t="str">
        <x:v>https://von.gov.ng/nigeria-re-opens-four-land-borders/
https://www.africanews.com/2020/12/17/nigeria-opens-land-borders-with-benin/
https://thenationonlineng.net/borders-still-shut-to-goods-movement/
https://guardian.ng/news/we-have-complied-with-fg-directive-on-border-re-opening-nis/
https://leconomistebenin.bj/fermeture-de-la-frontiere-benino-nigeriane-de-seme-kraketalon-et-buhari-ont-echange-au-japon/
https://shipsandports.com.ng/fg-approves-release-of-goods-stuck-at-seme-border/
https://www.financialafrik.com/en/2019/08/27/the-nigeria-benin-border-remains-open-but/
https://www.investing.com/news/world-news/nigeria-closes-part-of-border-with-benin-to-check-rice-smuggling-1965610
https://www.cbn.gov.ng/Out/2020/CCD/MPR%20Feb%202020%20%28Repaired%29.pdf
https://punchng.com/customs-ban-exports-imports-via-land-borders-indefinitely/
https://fmino.gov.ng/atikus-border-claim-were-the-borders-closed/
https://www.vanguardngr.com/2020/12/just-in-seme-border-reopens/</x:v>
      </x:c>
      <x:c r="O323" s="4" t="str">
        <x:v>Source 1: full page
Source 2: full text
Source 3: search extract</x:v>
      </x:c>
      <x:c r="P323" s="20" t="n">
        <x:v>1</x:v>
      </x:c>
      <x:c r="Q323" s="4" t="str">
        <x:v>West Africa and Sahel</x:v>
      </x:c>
      <x:c r="R323" s="4" t="str">
        <x:v>Included</x:v>
      </x:c>
    </x:row>
    <x:row r="324" ht="126" hidden="0" customHeight="1">
      <x:c r="A324" s="16" t="str">
        <x:v>W-003</x:v>
      </x:c>
      <x:c r="B324" s="4" t="str">
        <x:v>Togo COVID land-border closure</x:v>
      </x:c>
      <x:c r="C324" s="4" t="str">
        <x:v>Togo; Ghana; Benin; Burkina Faso</x:v>
      </x:c>
      <x:c r="D324" s="4" t="str">
        <x:v>Not individually established
All land borders</x:v>
      </x:c>
      <x:c r="E324" s="4" t="str">
        <x:v>Human traffic
Direction: Not separately established
Exceptions: Commercial traffic exempt. Daily Graphic directly observed schoolchildren and vaccinated border residents crossing at Aflao–Lome on 28 March 2022 while general Togolese restrictions remained.</x:v>
      </x:c>
      <x:c r="F324" s="4" t="str">
        <x:v>W-003-D1 — Formal policy
Togolese restriction on ordinary land-passenger travel, retaining goods, student and border-resident exceptions.
Start: 2020-03-20 to 2020-03-21.
Policy endpoint: 2022-05-17.
Formal policy: 787–788 calendar-day difference; operational continuity not established</x:v>
      </x:c>
      <x:c r="G32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24" s="4" t="str">
        <x:v>W-003-D1: The initial two-week planned expiry is not used as a reopening. Daily Graphic observed student and vaccinated-resident crossings on 28 March 2022 while general restrictions persisted. This is continuity of a restricted ordinary-travel regime, not of universal passenger denial. The retained interval is a national policy envelope; local passage accounts do not establish uniform gate closure.</x:v>
      </x:c>
      <x:c r="I324" s="4" t="str">
        <x:v>Retained baseline assessment. Correction pass: scope and endpoint semantics revised; remaining evidence limitations retained</x:v>
      </x:c>
      <x:c r="J324" s="18" t="d">
        <x:v>2026-10-23T00:00:00.000Z</x:v>
      </x:c>
      <x:c r="K324" s="21" t="str">
        <x:f>IFERROR(HYPERLINK("https://www.republiquetogolaise.tg/transports/1705-6896-le-togo-rouvre-ses-frontieres-terrestres","Togo official portal"),"Togo official portal")</x:f>
        <x:v>Togo official portal</x:v>
      </x:c>
      <x:c r="L324" s="21" t="str">
        <x:f>IFERROR(HYPERLINK("https://www.voaafrique.com/a/le-togo-rouvre-ses-fronti%C3%A8res-terrestres-apr%C3%A8s-deux-ans-de-fermeture/6576577.html","VOA Afrique"),"VOA Afrique")</x:f>
        <x:v>VOA Afrique</x:v>
      </x:c>
      <x:c r="M324" s="21" t="str">
        <x:f>IFERROR(HYPERLINK("https://gna.org.gh/2022/05/togo-reopens-land-borders-to-human-traffic-2/","Ghana News Agency"),"Ghana News Agency")</x:f>
        <x:v>Ghana News Agency</x:v>
      </x:c>
      <x:c r="N324" s="4" t="str">
        <x:v>https://www.republiquetogolaise.tg/transports/1705-6896-le-togo-rouvre-ses-frontieres-terrestres
https://www.voaafrique.com/a/le-togo-rouvre-ses-fronti%C3%A8res-terrestres-apr%C3%A8s-deux-ans-de-fermeture/6576577.html
https://gna.org.gh/2022/05/togo-reopens-land-borders-to-human-traffic-2/
https://www.togofirst.com/fr/sante/2103-5178-communique-du-gouvernement
https://www.graphic.com.gh/news/general-news/life-picking-up-at-borders-afloa-elubo-paga-traders-excited.html
https://archive.presidence.gouv.tg/2020/03/20/coronavirus-de-nouvelles-mesures-prises-par-le-gouvernement-pour-faire-face-a-la-pandemie/
https://www.gbcghanaonline.com/general/togo-opens-border/2022/</x:v>
      </x:c>
      <x:c r="O324" s="4" t="str">
        <x:v>Source 1: full page
Source 2: full page
Source 3: search extract</x:v>
      </x:c>
      <x:c r="P324" s="20" t="n">
        <x:v>1</x:v>
      </x:c>
      <x:c r="Q324" s="4" t="str">
        <x:v>West Africa and Sahel</x:v>
      </x:c>
      <x:c r="R324" s="4" t="str">
        <x:v>Included</x:v>
      </x:c>
    </x:row>
    <x:row r="325" ht="186" hidden="0" customHeight="1">
      <x:c r="A325" s="16" t="str">
        <x:v>W-023</x:v>
      </x:c>
      <x:c r="B325" s="4" t="str">
        <x:v>Senegal COVID land-border closure</x:v>
      </x:c>
      <x:c r="C325" s="4" t="str">
        <x:v>Senegal; Mauritania; Mali; Guinea; Guinea-Bissau; Gambia</x:v>
      </x:c>
      <x:c r="D325" s="4" t="str">
        <x:v>Not individually established
National land-border closure</x:v>
      </x:c>
      <x:c r="E325" s="4" t="str">
        <x:v>Not separately established
Direction: Not separately established
Exceptions: Goods transport excepted on Mauritania frontier; security personnel, foodstuffs and medical services/equipment excepted in Gambia bilateral order. October 19 Senegal High Commissioner described special clearance and a negative COVID test for intending travellers.</x:v>
      </x:c>
      <x:c r="F325" s="4" t="str">
        <x:v>W-023-D1 — Formal policy
Senegal-side restriction on ordinary non-exempt passage at the Gambia frontier.
Start: 2020-03-23 to 2020-03-24.
Last confirmed: 2020-10-19. Reopening is not established.
Formal policy: confirmed through 2020-10-19; at least 209 calendar-day difference; reopening unknown</x:v>
      </x:c>
      <x:c r="G32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25" s="4" t="str">
        <x:v>W-023-D1: This is a Senegal-side permission regime with special-clearance/testing exceptions, not universal physical closure. Gambian permission on October 16 did not remove it. Other Senegalese frontiers and later status are excluded.
end: Indexed commercial tracker attributes reopening to October 22 FCDO update; original dated advisory or Senegal instrument not recovered.</x:v>
      </x:c>
      <x:c r="I325" s="4" t="str">
        <x:v>Retained baseline assessment. Retained with recorded qualifications</x:v>
      </x:c>
      <x:c r="J325" s="18" t="d">
        <x:v>2026-10-23T00:00:00.000Z</x:v>
      </x:c>
      <x:c r="K325" s="21" t="str">
        <x:f>IFERROR(HYPERLINK("https://pmc.ncbi.nlm.nih.gov/articles/PMC9361250/","PMC"),"PMC")</x:f>
        <x:v>PMC</x:v>
      </x:c>
      <x:c r="L325" s="21" t="str">
        <x:f>IFERROR(HYPERLINK("https://www.vie-publique.sn/actualites/361/message--la-nation-du-prsident-de-la-rpublique-leve-de-ltat-durgence-instaur-dans-le-cadre-de-la-lettre-contre-la-maladie--coronavirus-covid-19_2032","Vie Publique Senegal"),"Vie Publique Senegal")</x:f>
        <x:v>Vie Publique Senegal</x:v>
      </x:c>
      <x:c r="M325" s="21" t="str">
        <x:f>IFERROR(HYPERLINK("https://standard.gm/gambia-closes-border-with-senegal-airspace-tonight/","The Standard Gambia"),"The Standard Gambia")</x:f>
        <x:v>The Standard Gambia</x:v>
      </x:c>
      <x:c r="N325" s="4" t="str">
        <x:v>https://pmc.ncbi.nlm.nih.gov/articles/PMC9361250/
https://www.vie-publique.sn/actualites/361/message--la-nation-du-prsident-de-la-rpublique-leve-de-ltat-durgence-instaur-dans-le-cadre-de-la-lettre-contre-la-maladie--coronavirus-covid-19_2032
https://standard.gm/gambia-closes-border-with-senegal-airspace-tonight/
https://thepoint.gm/africa/gambia/headlines/senegalese-diplomat-officially-unaware-of-border-reopening
https://economie.gouv.sn/sites/default/files/2021-01/Detail-des-textes-reglementaires-Covid-19-v170520.pdf
https://afrique.le360.ma/mauritanie-senegal/politique/2020/03/21/29894-coronavirus-mauritanie-senegal-fermeture-de-la-frontiere-terrestre-entre-les-deux/
https://senegal.unfpa.org/sites/default/files/pub-pdf/unfpa_senegal_situation_report_3_5_juin_au_6_juillet.pdf
https://www.leral.net/Gambie-Exclusif-Les-frontieres-ouvertes-avant-vendredi-prochain-apres-plusieurs-mois-de-fermeture_a285507.html
https://global-monitoring.com/gm/page/events/epidemic-0002028.kNLYxVz8vpss.html?lang=en</x:v>
      </x:c>
      <x:c r="O325" s="4" t="str">
        <x:v>Source 1: search extract
Source 2: search extract
Source 3: full page</x:v>
      </x:c>
      <x:c r="P325" s="20" t="n">
        <x:v>1</x:v>
      </x:c>
      <x:c r="Q325" s="4" t="str">
        <x:v>West Africa and Sahel</x:v>
      </x:c>
      <x:c r="R325" s="4" t="str">
        <x:v>Included</x:v>
      </x:c>
    </x:row>
    <x:row r="326" ht="294" hidden="0" customHeight="1">
      <x:c r="A326" s="16" t="str">
        <x:v>W-002</x:v>
      </x:c>
      <x:c r="B326" s="4" t="str">
        <x:v>Ghana COVID land-border closure</x:v>
      </x:c>
      <x:c r="C326" s="4" t="str">
        <x:v>Ghana; Togo; Burkina Faso; Côte d’Ivoire</x:v>
      </x:c>
      <x:c r="D326" s="4" t="str">
        <x:v>Not individually established
Ghanaian side of all land frontiers; neighbouring sides could remain closed</x:v>
      </x:c>
      <x:c r="E326" s="4" t="str">
        <x:v>Human traffic
Direction: Not separately established
Exceptions: Goods, supplies and cargo exempt under legal instrument.</x:v>
      </x:c>
      <x:c r="F326" s="4" t="str">
        <x:v>W-002-R1 — Formal policy
Ghana's general restriction on ordinary land passenger entry, subject to authorized exceptions
Start: 2020-03-22.
Policy endpoint: 2022-03-28.
Formal policy: 736 calendar-day difference; operational continuity not established</x:v>
      </x:c>
      <x:c r="G32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26" s="4" t="str">
        <x:v>The cross-assigned challenge retrieved the Parliament-hosted EI68 preamble confirming the reported March 22 commencement; a later root retry failed. Full presidential texts confirm December 15, 2021 retention and March 28, 2022 lifting. Adjacent-country restrictions and authorised exceptions remain separate.
W-002-R1: Renewal text and report chain do not quantify every permitted traveller. Evacuations and cargo were exceptions. Adjacent-country controls and local exemptions preclude treating this as zero passage across every gate.</x:v>
      </x:c>
      <x:c r="I326" s="4" t="str">
        <x:v>Retained baseline assessment. Amended after source reconciliation</x:v>
      </x:c>
      <x:c r="J326" s="18" t="d">
        <x:v>2026-10-23T00:00:00.000Z</x:v>
      </x:c>
      <x:c r="K326" s="21" t="str">
        <x:f>IFERROR(HYPERLINK("https://ghalii.org/akn/gh/act/ei/2020/66/eng%402020-04-03","GhaLII"),"GhaLII")</x:f>
        <x:v>GhaLII</x:v>
      </x:c>
      <x:c r="L326" s="21" t="str">
        <x:f>IFERROR(HYPERLINK("https://www.ghheadlines.com/agency/ghana-web-/20211216/152974282/land-borders-remain-closed-akufo-addo","GhHeadlines / GhanaWeb"),"GhHeadlines / GhanaWeb")</x:f>
        <x:v>GhHeadlines / GhanaWeb</x:v>
      </x:c>
      <x:c r="M326" s="21" t="str">
        <x:f>IFERROR(HYPERLINK("https://brussels.mfa.gov.gh/ghana%E2%80%99s-latest-enhanced-response-to-the-covid-19-pandemic","Ghana Embassy Brussels"),"Ghana Embassy Brussels")</x:f>
        <x:v>Ghana Embassy Brussels</x:v>
      </x:c>
      <x:c r="N326" s="4" t="str">
        <x:v>https://ghalii.org/akn/gh/act/ei/2020/66/eng%402020-04-03
https://www.ghheadlines.com/agency/ghana-web-/20211216/152974282/land-borders-remain-closed-akufo-addo
https://brussels.mfa.gov.gh/ghana%E2%80%99s-latest-enhanced-response-to-the-covid-19-pandemic
https://www.graphic.com.gh/news/general-news/life-picking-up-at-borders-afloa-elubo-paga-traders-excited.html
https://www.citinewsroom.com/2020/09/over-9000-ghanaians-evacuated-during-covid-19-border-closure-foreign-affairs-ministry/
https://www.ghheadlines.com/news/20211216?page=11
https://asaaseradio.com/covid-19-ghanas-active-cases-now-3165-death-toll-1269/
https://ghalii.org/akn/gh/act/ei/2020/64/eng@2020-03-23
https://mofep.gov.gh/speeches/2022-03-29
https://www.channelstv.com/2022/03/28/ghana-ends-mandatory-face-mask-wearing-reopens-borders-after-two-years/
https://gna.org.gh/2022/03/ho-traders-commend-government-for-opening-the-land-borders/
https://ghalii.org/akn/gh/act/ei/2020/68/eng%402020-04-17
https://ghalii.org/akn/gh/act/ei/2020/64/eng%402020-03-23
https://www.mofep.gov.gh/speeches/2022-03-29
https://gna.org.gh/2022/05/togo-reopens-land-borders-to-human-traffic-2/
https://repository.parliament.gh/bitstream/handle/123456789/2300/E.I%2068%202020.pdf?isAllowed=y&amp;sequence=1
https://www.citinewsroom.com/2021/12/full-text-nana-addos-27th-update-on-covid-19-management/</x:v>
      </x:c>
      <x:c r="O326" s="4" t="str">
        <x:v>Source 1: indexed excerpt
Source 2: indexed excerpt
Source 3: indexed excerpt</x:v>
      </x:c>
      <x:c r="P326" s="20" t="n">
        <x:v>1</x:v>
      </x:c>
      <x:c r="Q326" s="4" t="str">
        <x:v>West Africa and Sahel</x:v>
      </x:c>
      <x:c r="R326" s="4" t="str">
        <x:v>Included</x:v>
      </x:c>
    </x:row>
    <x:row r="327" ht="198" hidden="0" customHeight="1">
      <x:c r="A327" s="16" t="str">
        <x:v>W-004</x:v>
      </x:c>
      <x:c r="B327" s="4" t="str">
        <x:v>Côte d’Ivoire COVID land-border closure</x:v>
      </x:c>
      <x:c r="C327" s="4" t="str">
        <x:v>Côte d’Ivoire; Ghana; Burkina Faso; Mali; Guinea; Liberia</x:v>
      </x:c>
      <x:c r="D327" s="4" t="str">
        <x:v>Noe Elubo directly observed; national order covered all terrestrial borders
All land borders</x:v>
      </x:c>
      <x:c r="E327" s="4" t="str">
        <x:v>Human traffic
Direction: Both directions observed at Noe Elubo
Exceptions: Official initial order allowed goods subject health checks and humanitarian/security corridors for pandemic needs. Separately, AFP resident testimony describes paid exceptional family passage without establishing formal permission.</x:v>
      </x:c>
      <x:c r="F327" s="4" t="str">
        <x:v>W-004-D1 — Observed operation
Côte d'Ivoire restriction on ordinary non-exempt land passenger access, with observed Noé–Elubo reopening; not identical implementation at every gate.
Start: 2020-03-22.
Observed scoped reopening: 2023-02-16.
1061 calendar-day difference; scoped endpoint only</x:v>
      </x:c>
      <x:c r="G32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27" s="4" t="str">
        <x:v>W-004-D1: Original order allowed goods with health controls and provided humanitarian/security corridors. National reopening decree specifies midnight February 15; actual Noé–Elubo passage observed February 16. AFP resident testimony about paid exceptional family passage is not evidence of a formal exemption. No precise-hour or universal impermeability claim.</x:v>
      </x:c>
      <x:c r="I327" s="4" t="str">
        <x:v>Targeted source review (REC50-R49); retained with recorded qualifications; evidence limits retained.</x:v>
      </x:c>
      <x:c r="J327" s="18" t="d">
        <x:v>2026-10-25T00:00:00.000Z</x:v>
      </x:c>
      <x:c r="K327" s="21" t="str">
        <x:f>IFERROR(HYPERLINK("https://onu.diplomatie.gouv.ci/conseil-ministre.php?lang=en&amp;num=465","Côte d’Ivoire UN mission"),"Côte d’Ivoire UN mission")</x:f>
        <x:v>Côte d’Ivoire UN mission</x:v>
      </x:c>
      <x:c r="L327" s="21" t="str">
        <x:f>IFERROR(HYPERLINK("https://information.tv5monde.com/afrique/la-cote-divoire-rouvre-ses-frontieres-terrestres-apres-presque-de-deux-ans-de-fermeture","TV5Monde"),"TV5Monde")</x:f>
        <x:v>TV5Monde</x:v>
      </x:c>
      <x:c r="M327" s="21" t="str">
        <x:f>IFERROR(HYPERLINK("https://www.channelstv.com/2023/02/17/families-rejoice-as-cote-divoire-border-opens-after-years-of-covid-19-closure/","AFP via Channels Television"),"AFP via Channels Television")</x:f>
        <x:v>AFP via Channels Television</x:v>
      </x:c>
      <x:c r="N327" s="4" t="str">
        <x:v>https://onu.diplomatie.gouv.ci/conseil-ministre.php?lang=en&amp;num=465
https://information.tv5monde.com/afrique/la-cote-divoire-rouvre-ses-frontieres-terrestres-apres-presque-de-deux-ans-de-fermeture
https://www.channelstv.com/2023/02/17/families-rejoice-as-cote-divoire-border-opens-after-years-of-covid-19-closure/
https://jma.gov.gh/the-municipal-chief-executive-for-jomoro-inspects-the-elubo-border-after-the-reopening-of-the-noe-border/
https://www.gouv.ci/index.php/actualite/retour-sur-lessentiel-de-lactualite-gouvernementale-du-13-au-17-fevrier-2023-2444
https://bilan.gouv.ci/actualite/10974
https://gouv.ci/index.php/actualite/defense-et-securite-le-gouvernement-annonce-louverture-des-frontieres-terrestres-le-15-fevrier-2023-a-compter-de-minuit-2444
https://info-covid19.gouv.ci/welcome/actualite/les-frontieres-terrestres-maritimes-et-aeriennes-ivoiriennes-fermees-a-tout-trafic-de-personnes-a-compter-du-22-mars-2020-a-minuit100
https://www.voaafrique.com/a/r%C3%A9ouverture-des-fronti%C3%A8res-terrestres-de-la-c%C3%B4te-d-ivoire-la-fin-du-calvaire-/6967211.html</x:v>
      </x:c>
      <x:c r="O327" s="4" t="str">
        <x:v>Source 1: full page
Source 2: search extract
Source 3: full text</x:v>
      </x:c>
      <x:c r="P327" s="20" t="n">
        <x:v>1</x:v>
      </x:c>
      <x:c r="Q327" s="4" t="str">
        <x:v>West Africa and Sahel</x:v>
      </x:c>
      <x:c r="R327" s="4" t="str">
        <x:v>Included</x:v>
      </x:c>
    </x:row>
    <x:row r="328" ht="174" hidden="0" customHeight="1">
      <x:c r="A328" s="16" t="str">
        <x:v>W-024</x:v>
      </x:c>
      <x:c r="B328" s="4" t="str">
        <x:v>Gambia COVID land-border closure</x:v>
      </x:c>
      <x:c r="C328" s="4" t="str">
        <x:v>Gambia; Senegal</x:v>
      </x:c>
      <x:c r="D328" s="4" t="str">
        <x:v>Not individually established
Bilateral land frontier</x:v>
      </x:c>
      <x:c r="E328" s="4" t="str">
        <x:v>Not separately established
Direction: Not separately established
Exceptions: Security personnel, foodstuffs and medical services/equipment in initial bilateral order</x:v>
      </x:c>
      <x:c r="F328" s="4" t="str">
        <x:v>W-024-R1 — Announced window
Initial Gambia–Senegal bilateral COVID land-border order
Start: 2020-03-23.
Scheduled endpoint: 2020-04-13.
Ordered window: 21 calendar-day difference; actual end not established
W-024-R2 — Formal policy
Gambian land-border closure policy recalled in its lifting announcement
Start: 2020-05-19.
Policy endpoint: 2020-10-16.
Formal policy: 150 calendar-day difference; operational continuity not established</x:v>
      </x:c>
      <x:c r="G32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28" s="4" t="str">
        <x:v>W-024-R1: Midnight/tonight wording is retained as a source ambiguity; expiry is not reopening, and no hour is invented.
W-024-R2: Documentary May policy phase, not original onset or two-sided physical closure. September 17 government statement expressly retained border regulations after emergency expiry. Senegal still required special clearance on October 19. July and September emergency expiry dates are not border endpoints.</x:v>
      </x:c>
      <x:c r="I328" s="4" t="str">
        <x:v>Retained baseline assessment. Retained with recorded qualifications</x:v>
      </x:c>
      <x:c r="J328" s="18" t="d">
        <x:v>2026-10-23T00:00:00.000Z</x:v>
      </x:c>
      <x:c r="K328" s="21" t="str">
        <x:f>IFERROR(HYPERLINK("https://standard.gm/gambia-closes-border-with-senegal-airspace-tonight/","The Standard"),"The Standard")</x:f>
        <x:v>The Standard</x:v>
      </x:c>
      <x:c r="L328" s="21" t="str">
        <x:f>IFERROR(HYPERLINK("https://standard.gm/president-barrow-opens-land-and-sea-borders-relaxes-restrictions-on-casinos-and-night-clubs0/","The Standard"),"The Standard")</x:f>
        <x:v>The Standard</x:v>
      </x:c>
      <x:c r="M328" s="21" t="str">
        <x:f>IFERROR(HYPERLINK("https://thepoint.gm/africa/gambia/headlines/senegalese-diplomat-officially-unaware-of-border-reopening","The Point"),"The Point")</x:f>
        <x:v>The Point</x:v>
      </x:c>
      <x:c r="N328" s="4" t="str">
        <x:v>https://standard.gm/gambia-closes-border-with-senegal-airspace-tonight/
https://standard.gm/president-barrow-opens-land-and-sea-borders-relaxes-restrictions-on-casinos-and-night-clubs0/
https://thepoint.gm/africa/gambia/headlines/senegalese-diplomat-officially-unaware-of-border-reopening
https://apps.who.int/gb/COVID-19/pdf_files/15_10/Gambia.pdf
https://archive.statehouse.gm/president-barrow-lifts-state-public-emergency
https://www.kerrfatou.com/president-adama-barrow-relaxes-nightly-curfew-and-market-restrictions-public-health-regulations-remain-in-force/
https://www.elibrary.imf.org/view/journals/002/2021/025/article-A002-en.xml
https://africa.sis.gov.eg/english/covid-19/gambia/news/the-gambia-reopens-borders-after-covid-19-closure/
https://www.kerrfatou.com/gambia-government-relaxes-travel-restrictions-plans-to-reopen-some-non-essential-public-places/</x:v>
      </x:c>
      <x:c r="O328" s="4" t="str">
        <x:v>Source 1: full
Source 2: full
Source 3: full</x:v>
      </x:c>
      <x:c r="P328" s="20" t="n">
        <x:v>2</x:v>
      </x:c>
      <x:c r="Q328" s="4" t="str">
        <x:v>West Africa and Sahel</x:v>
      </x:c>
      <x:c r="R328" s="4" t="str">
        <x:v>Included</x:v>
      </x:c>
    </x:row>
    <x:row r="329" ht="126" hidden="0" customHeight="1">
      <x:c r="A329" s="16" t="str">
        <x:v>W-022</x:v>
      </x:c>
      <x:c r="B329" s="4" t="str">
        <x:v>Liberia COVID land-border closure</x:v>
      </x:c>
      <x:c r="C329" s="4" t="str">
        <x:v>Liberia; Guinea; Côte d’Ivoire; Sierra Leone</x:v>
      </x:c>
      <x:c r="D329" s="4" t="str">
        <x:v>Not individually established
National passenger restrictions with phased onset and cargo/humanitarian exceptions</x:v>
      </x:c>
      <x:c r="E329" s="4" t="str">
        <x:v>Ordinary passengers and foreign commercial drivers; goods continued under restricted transfer arrangements.
Direction: Not separately established
Exceptions: Humanitarian trucks and drivers under health controls; commercial and essential goods could be transferred at the frontier or carried onward by local drivers.</x:v>
      </x:c>
      <x:c r="F329" s="4" t="str">
        <x:v>W-022-FU1 — Observed operation
Liberia closure toward Guinea and Ivory Coast, first phase
Start: 2020-03-30.
Last confirmed: 2020-03-30. Reopening is not established.
dated evidence; numeric duration withheld; see qualification</x:v>
      </x:c>
      <x:c r="G32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29" s="4" t="str">
        <x:v>W-022-FU1: Onset observation only. Does not include Sierra Leone phase or imply that every cargo category stopped; later generic extension does not establish a same-scope endpoint.
end: Purposeful reopening search found no precise Liberian land-passenger endpoint. Add the explicit March 30 first-phase observation only; do not use Ivorian reopening or Liberian airport rules as a reciprocal land endpoint.
duration: Purposeful reopening search found no precise Liberian land-passenger endpoint. Add the explicit March 30 first-phase observation only; do not use Ivorian reopening or Liberian airport rules as a reciprocal land endpoint.</x:v>
      </x:c>
      <x:c r="I329" s="4" t="str">
        <x:v>Retained baseline assessment. Follow-up adjudicated; amend</x:v>
      </x:c>
      <x:c r="J329" s="18" t="d">
        <x:v>2026-10-23T00:00:00.000Z</x:v>
      </x:c>
      <x:c r="K329" s="21" t="str">
        <x:f>IFERROR(HYPERLINK("https://frontpageafricaonline.com/liberia-closes-borders-with-guinea-and-ivory-coast-due-to-coronavirus-pandemic-as-several-ghanaians-arrested-in-nimba/","FrontPageAfrica"),"FrontPageAfrica")</x:f>
        <x:v>FrontPageAfrica</x:v>
      </x:c>
      <x:c r="L329" s="21" t="str">
        <x:f>IFERROR(HYPERLINK("https://www.wcoomd.org/-/media/wco/public/global/pdf/topics/facilitation/activities-and-programmes/natural-disaster/covid_19/liberia_en.pdf?la=pt-PT","Liberia Customs / WCO"),"Liberia Customs / WCO")</x:f>
        <x:v>Liberia Customs / WCO</x:v>
      </x:c>
      <x:c r="M329" s="21" t="str">
        <x:f>IFERROR(HYPERLINK("https://global-monitoring.com/gm/page/events/epidemic-0002055.FAQD679jXtkt.html?lang=en","Global Monitoring"),"Global Monitoring")</x:f>
        <x:v>Global Monitoring</x:v>
      </x:c>
      <x:c r="N329" s="4" t="str">
        <x:v>https://frontpageafricaonline.com/liberia-closes-borders-with-guinea-and-ivory-coast-due-to-coronavirus-pandemic-as-several-ghanaians-arrested-in-nimba/
https://www.wcoomd.org/-/media/wco/public/global/pdf/topics/facilitation/activities-and-programmes/natural-disaster/covid_19/liberia_en.pdf?la=pt-PT
https://global-monitoring.com/gm/page/events/epidemic-0002055.FAQD679jXtkt.html?lang=en
https://wiki.unece.org/spaces/CTRBSBC/pages/101548469/Liberia
https://blogs.loc.gov/law/2020/05/liberia-government-measures-to-contain-the-spread-of-covid-19/
https://www.mofa.gov.lr/node/6153
https://www.fragomen.com/a/web/9UeMkBzWKzNZomhXn7hvRp/33Qsvu/new_coronavirus_table_for_news_page_1.4v2.pdf</x:v>
      </x:c>
      <x:c r="O329" s="4" t="str">
        <x:v>Source 1: full
Source 2: full
Source 3: indexed excerpt</x:v>
      </x:c>
      <x:c r="P329" s="20" t="n">
        <x:v>1</x:v>
      </x:c>
      <x:c r="Q329" s="4" t="str">
        <x:v>West Africa and Sahel</x:v>
      </x:c>
      <x:c r="R329" s="4" t="str">
        <x:v>Included</x:v>
      </x:c>
    </x:row>
    <x:row r="330" ht="162" hidden="0" customHeight="1">
      <x:c r="A330" s="16" t="str">
        <x:v>W-009</x:v>
      </x:c>
      <x:c r="B330" s="4" t="str">
        <x:v>Mali military authorities post-coup closure</x:v>
      </x:c>
      <x:c r="C330" s="4" t="str">
        <x:v>Mali; Algeria; Mauritania; Senegal; Guinea; Côte d’Ivoire; Burkina Faso; Niger</x:v>
      </x:c>
      <x:c r="D330" s="4" t="str">
        <x:v>Not individually established
Malian-side national border order</x:v>
      </x:c>
      <x:c r="E330" s="4" t="str">
        <x:v>Not separately established
Direction: Not separately established
Exceptions: Not established</x:v>
      </x:c>
      <x:c r="F330" s="4" t="str">
        <x:v>W-009-D1 — Formal policy
Malian authorities' national closure order only
Start: 2020-08-19.
Policy endpoint: 2020-08-21.
Formal policy: 2 calendar-day difference; operational continuity not established</x:v>
      </x:c>
      <x:c r="G330" s="4" t="str">
        <x:v>Power and regime politics / Coups and succession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Unspecified security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30" s="4" t="str">
        <x:v>Televised CNSP announcement expressly effective 19 August; AMAP retrospective shorthand links closure to the 18 August coup. Reopening permission 21 August did not override ECOWAS restrictions.
W-009-D1: Formal permission, not observed all-route reopening. ECOWAS-side sanctions continued separately.</x:v>
      </x:c>
      <x:c r="I330" s="4" t="str">
        <x:v>Retained baseline assessment. Amended after source reconciliation</x:v>
      </x:c>
      <x:c r="J330" s="18" t="d">
        <x:v>2026-10-23T00:00:00.000Z</x:v>
      </x:c>
      <x:c r="K330" s="21" t="str">
        <x:f>IFERROR(HYPERLINK("https://amap.ml/2020/08/21/mali-le-cnsp-allege-le-couvre-feu-et-rouvre-les-frontieres-communiques/","AMAP"),"AMAP")</x:f>
        <x:v>AMAP</x:v>
      </x:c>
      <x:c r="L330" s="21" t="str">
        <x:f>IFERROR(HYPERLINK("https://www.myjoyonline.com/malis-military-junta-closes-borders-and-imposes-curfew/","myjoyonline.com"),"myjoyonline.com")</x:f>
        <x:v>myjoyonline.com</x:v>
      </x:c>
      <x:c r="M330" s="21" t="str">
        <x:f>IFERROR(HYPERLINK("https://www.ecoi.net/en/document/2048168.html","ecoi.net"),"ecoi.net")</x:f>
        <x:v>ecoi.net</x:v>
      </x:c>
      <x:c r="N330" s="4" t="str">
        <x:v>https://amap.ml/2020/08/21/mali-le-cnsp-allege-le-couvre-feu-et-rouvre-les-frontieres-communiques/
https://www.myjoyonline.com/malis-military-junta-closes-borders-and-imposes-curfew/
https://www.ecoi.net/en/document/2048168.html</x:v>
      </x:c>
      <x:c r="O330" s="4" t="str">
        <x:v>Source 1: full page
Source 2: access detail is retained in the source catalogue.
Source 3: access detail is retained in the source catalogue.</x:v>
      </x:c>
      <x:c r="P330" s="20" t="n">
        <x:v>1</x:v>
      </x:c>
      <x:c r="Q330" s="4" t="str">
        <x:v>West Africa and Sahel</x:v>
      </x:c>
      <x:c r="R330" s="4" t="str">
        <x:v>Included</x:v>
      </x:c>
    </x:row>
    <x:row r="331" ht="126" hidden="0" customHeight="1">
      <x:c r="A331" s="16" t="str">
        <x:v>W-010</x:v>
      </x:c>
      <x:c r="B331" s="4" t="str">
        <x:v>ECOWAS border sanctions against Mali after 2020 coup</x:v>
      </x:c>
      <x:c r="C331" s="4" t="str">
        <x:v>Mali; Senegal; Guinea; Côte d’Ivoire; Burkina Faso; Niger</x:v>
      </x:c>
      <x:c r="D331" s="4" t="str">
        <x:v>Not individually established
ECOWAS members’ borders with Mali</x:v>
      </x:c>
      <x:c r="E331" s="4" t="str">
        <x:v>Not separately established
Direction: Not separately established
Exceptions: Not established</x:v>
      </x:c>
      <x:c r="F331" s="4" t="str">
        <x:v>W-010-D1 — Formal policy
ECOWAS border-sanctions order against Mali
Start: 2020-08-18.
Policy endpoint: 2020-10-06.
Formal policy: 49 calendar-day difference; operational continuity not established</x:v>
      </x:c>
      <x:c r="G331" s="4" t="str">
        <x:v>Interstate disputes and pressure / Sanctions and coercive pressure
Reported reason
Applies to: Recorded episode; exact overlap not separately established
The recorded rationale and claim assessment support the selected subcategories. All applicable broad categories are retained together; no primary rationale is imposed.</x:v>
      </x:c>
      <x:c r="H331" s="4" t="str">
        <x:v>W-010-D1: Legal policy period only; not a uniform physical closure or actual crossing restart. Mali's own earlier permission is a different side of the border.</x:v>
      </x:c>
      <x:c r="I331" s="4" t="str">
        <x:v>Retained baseline assessment. Retained with recorded qualifications</x:v>
      </x:c>
      <x:c r="J331" s="18" t="d">
        <x:v>2026-10-23T00:00:00.000Z</x:v>
      </x:c>
      <x:c r="K331" s="21" t="str">
        <x:f>IFERROR(HYPERLINK("https://amap.ml/2020/08/19/mutinerie-la-cedeao-suspend-le-mali-et-ferme-ses-frontieres-terrestres-et-aeriennes-communique-integral/","AMAP"),"AMAP")</x:f>
        <x:v>AMAP</x:v>
      </x:c>
      <x:c r="L331" s="21" t="str">
        <x:f>IFERROR(HYPERLINK("https://www.ecoi.net/en/file/local/2048839/S_2020_1281_E.pdf","UN via ecoi.net"),"UN via ecoi.net")</x:f>
        <x:v>UN via ecoi.net</x:v>
      </x:c>
      <x:c r="M331" s="21" t="str">
        <x:f>IFERROR(HYPERLINK("https://www.ecreee.org/ecowas-condemns-the-military-putsch-in-mali/","ecreee.org"),"ecreee.org")</x:f>
        <x:v>ecreee.org</x:v>
      </x:c>
      <x:c r="N331" s="4" t="str">
        <x:v>https://amap.ml/2020/08/19/mutinerie-la-cedeao-suspend-le-mali-et-ferme-ses-frontieres-terrestres-et-aeriennes-communique-integral/
https://www.ecoi.net/en/file/local/2048839/S_2020_1281_E.pdf
https://www.ecreee.org/ecowas-condemns-the-military-putsch-in-mali/
https://www.ecoi.net/en/document/2048168.html
https://ny1.com/nyc/queens/ap-online/2020/10/06/west-african-regional-bloc-lifts-sanctions-against-mali
https://www.securitycouncilreport.org/monthly-forecast/2020-10/mali-11.php
https://digitallibrary.un.org/nanna/record/3895975/files/S_2020_1282-EN.pdf?registerDownload=1&amp;version=1&amp;withMetadata=0&amp;withWatermark=0</x:v>
      </x:c>
      <x:c r="O331" s="4" t="str">
        <x:v>Source 1: full page
Source 2: full PDF relevant passage
Source 3: access detail is retained in the source catalogue.</x:v>
      </x:c>
      <x:c r="P331" s="20" t="n">
        <x:v>1</x:v>
      </x:c>
      <x:c r="Q331" s="4" t="str">
        <x:v>West Africa and Sahel</x:v>
      </x:c>
      <x:c r="R331" s="4" t="str">
        <x:v>Included</x:v>
      </x:c>
    </x:row>
    <x:row r="332" ht="258" hidden="0" customHeight="1">
      <x:c r="A332" s="16" t="str">
        <x:v>W-005</x:v>
      </x:c>
      <x:c r="B332" s="4" t="str">
        <x:v>Guinea closure of Senegal border before election</x:v>
      </x:c>
      <x:c r="C332" s="4" t="str">
        <x:v>Guinea; Senegal</x:v>
      </x:c>
      <x:c r="D332" s="4" t="str">
        <x:v>Not individually established
Guinean side of bilateral land frontier</x:v>
      </x:c>
      <x:c r="E332" s="4" t="str">
        <x:v>Not separately established
Direction: Not separately established
Exceptions: Not established</x:v>
      </x:c>
      <x:c r="F332" s="4" t="str">
        <x:v>W-005-R1 — Formal policy
Guinea-imposed general land-border restriction facing Senegal
Start: 2020-09-01 to 2020-09-29.
Policy endpoint: 2021-09-29.
Formal policy: 365–393 calendar-day difference; operational continuity not established</x:v>
      </x:c>
      <x:c r="G332" s="4" t="str">
        <x:v>Security / Unspecified security
Attributed official justification
Applies to: Recorded episode; exact overlap not separately established
An unnamed government official quoted by AFP cited unspecified security reasons; the security minister was not reached. Election and opposition factors remain reported context, not additional established official reasons.
Electoral politics / Election administration and security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Power and regime politics / Opposition and political reform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32" s="4" t="str">
        <x:v>W-005-R1: Onset kept within September and no later than contemporary 29 September report. Exceptions/permeability unquantified. Coup overlay belongs to W-008 and is not additive.</x:v>
      </x:c>
      <x:c r="I332" s="4" t="str">
        <x:v>Targeted source review (REC50-R24); accepted qualification; evidence limits retained.</x:v>
      </x:c>
      <x:c r="J332" s="18" t="d">
        <x:v>2026-10-25T00:00:00.000Z</x:v>
      </x:c>
      <x:c r="K332" s="21" t="str">
        <x:f>IFERROR(HYPERLINK("https://www.seneplus.com/article/la-guinee-ferme-ses-frontieres-avec-le-senegal-et-la-guinee-bissau","SenePlus / AFP"),"SenePlus / AFP")</x:f>
        <x:v>SenePlus / AFP</x:v>
      </x:c>
      <x:c r="L332" s="21" t="str">
        <x:f>IFERROR(HYPERLINK("https://guineenews.org/2021/09/13/guinee-la-junte-annonce-la-reouverture-graduelle-des-frontieres-terrestres/","Guinéenews"),"Guinéenews")</x:f>
        <x:v>Guinéenews</x:v>
      </x:c>
      <x:c r="M332" s="21" t="str">
        <x:f>IFERROR(HYPERLINK("https://afrique.le360.ma/senegal-guinee/politique/2021/09/30/35586-guinee-senegal-la-junte-acheve-la-reouverture-des-frontieres-35586/","Le360 Afrique"),"Le360 Afrique")</x:f>
        <x:v>Le360 Afrique</x:v>
      </x:c>
      <x:c r="N332" s="4" t="str">
        <x:v>https://www.seneplus.com/article/la-guinee-ferme-ses-frontieres-avec-le-senegal-et-la-guinee-bissau
https://guineenews.org/2021/09/13/guinee-la-junte-annonce-la-reouverture-graduelle-des-frontieres-terrestres/
https://afrique.le360.ma/senegal-guinee/politique/2021/09/30/35586-guinee-senegal-la-junte-acheve-la-reouverture-des-frontieres-35586/
https://www.guinee360.com/27/07/2021/reouverture-de-frontieres-nous-attendons-nos-amis-senegalais-aladji-cellou/
https://guineenews.org/2021/09/28/les-frontieres-guineo-senegalaises-rouvertes-a-partir-de-ce-mercredi-communique-de-la-junte/
https://kytisa.com/communique-n041/
https://www.afrik.com/la-frontiere-entre-la-guinee-et-le-senegal-rouverte
https://www.sbc.sc/news/guinea-closes-borders-with-guinea-bissau-senegal-ahead-of-vote/
https://senego.com/59e-session-cedeao-le-senegal-et-la-guinee-rouvrent-leurs-frontieres_1286142.html</x:v>
      </x:c>
      <x:c r="O332" s="4" t="str">
        <x:v>Source 1: full; full text
Source 2: full
Source 3: full</x:v>
      </x:c>
      <x:c r="P332" s="20" t="n">
        <x:v>1</x:v>
      </x:c>
      <x:c r="Q332" s="4" t="str">
        <x:v>West Africa and Sahel</x:v>
      </x:c>
      <x:c r="R332" s="4" t="str">
        <x:v>Included</x:v>
      </x:c>
    </x:row>
    <x:row r="333" ht="162" hidden="0" customHeight="1">
      <x:c r="A333" s="16" t="str">
        <x:v>W-006</x:v>
      </x:c>
      <x:c r="B333" s="4" t="str">
        <x:v>Guinea closure of Guinea-Bissau border before election</x:v>
      </x:c>
      <x:c r="C333" s="4" t="str">
        <x:v>Guinea; Guinea-Bissau</x:v>
      </x:c>
      <x:c r="D333" s="4" t="str">
        <x:v>Not individually established
Guinean side of bilateral land frontier</x:v>
      </x:c>
      <x:c r="E333" s="4" t="str">
        <x:v>Not separately established
Direction: Not separately established
Exceptions: Not established</x:v>
      </x:c>
      <x:c r="F333" s="4" t="str">
        <x:v>W-006-R1 — Formal policy
Guinea-imposed general restriction facing Guinea-Bissau
Start: 2020-09-27.
Policy endpoint: 2021-09-27 to 2021-09-28.
Formal policy: 365–366 calendar-day difference; operational continuity not established</x:v>
      </x:c>
      <x:c r="G333" s="4" t="str">
        <x:v>Security / Unspecified security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Electoral politics / Election administration and security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33" s="4" t="str">
        <x:v>W-006-R1: Not zero-passage duration; actual traffic on 27 September limits any claim of continued universal physical closure through 28 September. Coup overlay not additive.</x:v>
      </x:c>
      <x:c r="I333" s="4" t="str">
        <x:v>Retained baseline assessment. Retained with recorded qualifications</x:v>
      </x:c>
      <x:c r="J333" s="18" t="d">
        <x:v>2026-10-23T00:00:00.000Z</x:v>
      </x:c>
      <x:c r="K333" s="21" t="str">
        <x:f>IFERROR(HYPERLINK("https://www.seneplus.com/article/la-guinee-ferme-ses-frontieres-avec-le-senegal-et-la-guinee-bissau","SenePlus"),"SenePlus")</x:f>
        <x:v>SenePlus</x:v>
      </x:c>
      <x:c r="L333" s="21" t="str">
        <x:f>IFERROR(HYPERLINK("https://guineenews.org/2021/09/13/guinee-la-junte-annonce-la-reouverture-graduelle-des-frontieres-terrestres/","Guinéenews"),"Guinéenews")</x:f>
        <x:v>Guinéenews</x:v>
      </x:c>
      <x:c r="M333" s="21" t="str">
        <x:f>IFERROR(HYPERLINK("https://afrique.le360.ma/senegal-guinee/politique/2021/09/30/35586-guinee-senegal-la-junte-acheve-la-reouverture-des-frontieres-35586/","Le360 Afrique"),"Le360 Afrique")</x:f>
        <x:v>Le360 Afrique</x:v>
      </x:c>
      <x:c r="N333" s="4" t="str">
        <x:v>https://www.seneplus.com/article/la-guinee-ferme-ses-frontieres-avec-le-senegal-et-la-guinee-bissau
https://guineenews.org/2021/09/13/guinee-la-junte-annonce-la-reouverture-graduelle-des-frontieres-terrestres/
https://afrique.le360.ma/senegal-guinee/politique/2021/09/30/35586-guinee-senegal-la-junte-acheve-la-reouverture-des-frontieres-35586/
https://kytisa.com/communique-n039/
https://guineenews.org/2021/09/27/la-frontiere-de-la-guinee-avec-la-guinee-bissau-reouverte/
https://www.africaguinee.com/ouverture-des-frontieres-aucun-ennemi-ne-viendra-de-la-guinee/
https://www.sbc.sc/news/guinea-closes-borders-with-guinea-bissau-senegal-ahead-of-vote/
https://guineeminesnature.com/la-guinee-ouvre-ses-frontieres-avec-la-guinee-bissau-ce-mardi-28-septembre-2021communique/</x:v>
      </x:c>
      <x:c r="O333" s="4" t="str">
        <x:v>Source 1: full
Source 2: full
Source 3: full</x:v>
      </x:c>
      <x:c r="P333" s="20" t="n">
        <x:v>1</x:v>
      </x:c>
      <x:c r="Q333" s="4" t="str">
        <x:v>West Africa and Sahel</x:v>
      </x:c>
      <x:c r="R333" s="4" t="str">
        <x:v>Included</x:v>
      </x:c>
    </x:row>
    <x:row r="334" ht="162" hidden="0" customHeight="1">
      <x:c r="A334" s="16" t="str">
        <x:v>W-008</x:v>
      </x:c>
      <x:c r="B334" s="4" t="str">
        <x:v>Guinea post-coup national closure</x:v>
      </x:c>
      <x:c r="C334" s="4" t="str">
        <x:v>Guinea; Guinea-Bissau; Senegal; Mali; Côte d’Ivoire; Liberia; Sierra Leone</x:v>
      </x:c>
      <x:c r="D334" s="4" t="str">
        <x:v>Not individually established
National order; Senegal/Bissau already closed</x:v>
      </x:c>
      <x:c r="E334" s="4" t="str">
        <x:v>Not separately established
Direction: Not separately established
Exceptions: Not established</x:v>
      </x:c>
      <x:c r="F334" s="4" t="str">
        <x:v>W-008-REV1 — Observed operation
Guinea-side Pamelap crossing with Sierra Leone as described by the local reopening correspondent
Start: 2021-09-05.
Observed scoped reopening: 2021-09-17.
12 calendar-day difference; scoped endpoint only</x:v>
      </x:c>
      <x:c r="G334" s="4" t="str">
        <x:v>Power and regime politics / Coups and succession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Unspecified security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34" s="4" t="str">
        <x:v>W-008-REV1: Reuters reported a broad September 6 announcement allowing commercial/humanitarian exchanges; that announcement is not documented local reopening. The CNRD September 16 order and local September 17 implementation differ by a day. Exceptions and exact onset hour are unquantified; do not infer a nationwide all-movement closure.</x:v>
      </x:c>
      <x:c r="I334" s="4" t="str">
        <x:v>Retained baseline assessment. Retained with recorded qualifications</x:v>
      </x:c>
      <x:c r="J334" s="18" t="d">
        <x:v>2026-10-23T00:00:00.000Z</x:v>
      </x:c>
      <x:c r="K334" s="21" t="str">
        <x:f>IFERROR(HYPERLINK("https://guineenews.org/2021/09/13/guinee-la-junte-annonce-la-reouverture-graduelle-des-frontieres-terrestres/","Guinéenews"),"Guinéenews")</x:f>
        <x:v>Guinéenews</x:v>
      </x:c>
      <x:c r="L334" s="21" t="str">
        <x:f>IFERROR(HYPERLINK("https://guineenews.org/2021/09/16/la-frontiere-guineo-sierra-leonaise-reouverte-a-compter-de-ce-jeudi-cnrd/","Guinéenews"),"Guinéenews")</x:f>
        <x:v>Guinéenews</x:v>
      </x:c>
      <x:c r="M334" s="21" t="str">
        <x:f>IFERROR(HYPERLINK("https://www.boursorama.com/bourse/actualites/incertitude-en-guinee-qui-rouvre-ses-frontieres-au-lendemain-du-coup-d-etat-15f907bd75469b72f6396f2e7f53e35f","boursorama.com"),"boursorama.com")</x:f>
        <x:v>boursorama.com</x:v>
      </x:c>
      <x:c r="N334" s="4" t="str">
        <x:v>https://guineenews.org/2021/09/13/guinee-la-junte-annonce-la-reouverture-graduelle-des-frontieres-terrestres/
https://guineenews.org/2021/09/16/la-frontiere-guineo-sierra-leonaise-reouverte-a-compter-de-ce-jeudi-cnrd/
https://www.boursorama.com/bourse/actualites/incertitude-en-guinee-qui-rouvre-ses-frontieres-au-lendemain-du-coup-d-etat-15f907bd75469b72f6396f2e7f53e35f
https://laguinee.info/2021/09/17/la-frontiere-terrestre-guinee-sierra-leone-ouverte-la-zone-sous-haute-securite/
https://guineenews.org/2021/09/17/guinee-les-frontieres-avec-le-liberia-a-nouveau-ouvertes-cnrd/
https://afrique.le360.ma/senegal-guinee/politique/2021/09/30/35586-guinee-senegal-la-junte-acheve-la-reouverture-des-frontieres-35586/</x:v>
      </x:c>
      <x:c r="O334" s="4" t="str">
        <x:v>Source 1: full
Source 2: indexed excerpt; full
Source 3: full</x:v>
      </x:c>
      <x:c r="P334" s="20" t="n">
        <x:v>1</x:v>
      </x:c>
      <x:c r="Q334" s="4" t="str">
        <x:v>West Africa and Sahel</x:v>
      </x:c>
      <x:c r="R334" s="4" t="str">
        <x:v>Included</x:v>
      </x:c>
    </x:row>
    <x:row r="335" ht="174" hidden="0" customHeight="1">
      <x:c r="A335" s="16" t="str">
        <x:v>W-011</x:v>
      </x:c>
      <x:c r="B335" s="4" t="str">
        <x:v>ECOWAS border sanctions against Mali over transition delay</x:v>
      </x:c>
      <x:c r="C335" s="4" t="str">
        <x:v>Mali; Senegal; Guinea; Côte d’Ivoire; Burkina Faso; Niger</x:v>
      </x:c>
      <x:c r="D335" s="4" t="str">
        <x:v>Not individually established
Regional order; implementation varied</x:v>
      </x:c>
      <x:c r="E335" s="4" t="str">
        <x:v>Not separately established
Direction: Not separately established
Exceptions: Food, pharmaceutical and medical products, petroleum products and electricity exempt from commercial sanctions.</x:v>
      </x:c>
      <x:c r="F335" s="4" t="str">
        <x:v>W-011-D1 — Formal policy
ECOWAS sanctions border-closure policy against Mali, excluding any inference of member-by-member compliance
Start: 2022-01-09.
Policy endpoint: 2022-07-03.
Formal policy: 175 calendar-day difference; operational continuity not established</x:v>
      </x:c>
      <x:c r="G335" s="4" t="str">
        <x:v>Interstate disputes and pressure / Sanctions and coercive pressure
Reported reason
Applies to: Recorded episode; exact overlap not separately established
ECOWAS pressure for an election timetable is distinguished from election-day border administration.
Electoral politics / Electoral disputes and transitions
Reported reason
Applies to: Recorded episode; exact overlap not separately established
ECOWAS pressure for an election timetable is distinguished from election-day border administration.</x:v>
      </x:c>
      <x:c r="H335" s="4" t="str">
        <x:v>W-011-D1: Guinea refused implementation; essential-goods exemptions and reciprocal measures varied. Policy dates do not describe continuous effective closure or every post's restart. Official attachment was not accessible.</x:v>
      </x:c>
      <x:c r="I335" s="4" t="str">
        <x:v>Retained baseline assessment. Retained with recorded qualifications</x:v>
      </x:c>
      <x:c r="J335" s="18" t="d">
        <x:v>2026-10-23T00:00:00.000Z</x:v>
      </x:c>
      <x:c r="K335" s="21" t="str">
        <x:f>IFERROR(HYPERLINK("https://www.marketscreener.com/news/latest/West-African-leaders-lift-economic-and-financial-sanctions-on-Mali-40887617/","MarketScreener"),"MarketScreener")</x:f>
        <x:v>MarketScreener</x:v>
      </x:c>
      <x:c r="L335" s="21" t="str">
        <x:f>IFERROR(HYPERLINK("https://www.modernghana.com/news/1169053/relief-in-mali-as-post-coup-sanctions-are-lifted.html","Modern Ghana"),"Modern Ghana")</x:f>
        <x:v>Modern Ghana</x:v>
      </x:c>
      <x:c r="M335" s="21" t="str">
        <x:f>IFERROR(HYPERLINK("https://press.un.org/en/2022/sc14762.doc.htm","UN Meetings Coverage"),"UN Meetings Coverage")</x:f>
        <x:v>UN Meetings Coverage</x:v>
      </x:c>
      <x:c r="N335" s="4" t="str">
        <x:v>https://www.marketscreener.com/news/latest/West-African-leaders-lift-economic-and-financial-sanctions-on-Mali-40887617/
https://www.modernghana.com/news/1169053/relief-in-mali-as-post-coup-sanctions-are-lifted.html
https://press.un.org/en/2022/sc14762.doc.htm
https://www.aa.com.tr/en/africa/ecowas-imposes-further-sanctions-on-mali/2469634
https://www.ecowas.int/final-communique-ecowas-extraordinary-summit-on-mali/
https://y94.com/2022/01/21/at-mali-border-with-ivory-coast-lines-of-trucks-held-up-by-sanctions/
https://www.thecable.ng/ecowas-lifts-economic-sanctions-on-mali-after-six-months/
https://www.africanews.com/2022/01/11/guinea-keeps-borders-open-with-mali-hit-by-ecowas-sanctions/
https://digitallibrary.un.org/record/3984440/files/S_2022_542-EN.pdf
https://press.un.org/en/2022/sc14761.doc.htm
https://www.securitycouncilreport.org/atf/cf/%7B65BFCF9B-6D27-4E9C-8CD3-CF6E4FF96FF9%7D/S_2022_278.pdf</x:v>
      </x:c>
      <x:c r="O335" s="4" t="str">
        <x:v>Source 1: full page
Source 2: full page
Source 3: search extract</x:v>
      </x:c>
      <x:c r="P335" s="20" t="n">
        <x:v>1</x:v>
      </x:c>
      <x:c r="Q335" s="4" t="str">
        <x:v>West Africa and Sahel</x:v>
      </x:c>
      <x:c r="R335" s="4" t="str">
        <x:v>Included</x:v>
      </x:c>
    </x:row>
    <x:row r="336" ht="162" hidden="0" customHeight="1">
      <x:c r="A336" s="16" t="str">
        <x:v>W-012</x:v>
      </x:c>
      <x:c r="B336" s="4" t="str">
        <x:v>Burkina Faso January coup border closure</x:v>
      </x:c>
      <x:c r="C336" s="4" t="str">
        <x:v>Burkina Faso; Mali; Niger; Benin; Togo; Ghana; Côte d’Ivoire</x:v>
      </x:c>
      <x:c r="D336" s="4" t="str">
        <x:v>Not individually established
All national borders</x:v>
      </x:c>
      <x:c r="E336" s="4" t="str">
        <x:v>Not separately established
Direction: Not separately established
Exceptions: 25 January humanitarian vehicles, essential goods, and defence/security supplies exempt.</x:v>
      </x:c>
      <x:c r="F336" s="4" t="str">
        <x:v>W-012-D1 — Formal policy
Burkina Faso national land-border closure order
Start: 2022-01-24.
Policy endpoint: 2022-02-02.
Formal policy: 9 calendar-day difference; operational continuity not established</x:v>
      </x:c>
      <x:c r="G336" s="4" t="str">
        <x:v>Power and regime politics / Coups and succession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Unspecified security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36" s="4" t="str">
        <x:v>W-012-D1: Humanitarian, essential and military cargo exemptions applied from January 25. Repeal is not an observed first crossing; reports of the same decree are not independent operational confirmations.</x:v>
      </x:c>
      <x:c r="I336" s="4" t="str">
        <x:v>Retained baseline assessment. Retained with recorded qualifications</x:v>
      </x:c>
      <x:c r="J336" s="18" t="d">
        <x:v>2026-10-23T00:00:00.000Z</x:v>
      </x:c>
      <x:c r="K336" s="21" t="str">
        <x:f>IFERROR(HYPERLINK("https://www.sidwaya.info/burkina-les-frontieres-aeriennes-sont-rouvertes-communique/","Sidwaya"),"Sidwaya")</x:f>
        <x:v>Sidwaya</x:v>
      </x:c>
      <x:c r="L336" s="21" t="str">
        <x:f>IFERROR(HYPERLINK("https://www.auswaertiges-amt.de/en/newsroom/news/burkina-faso-2508234","German Foreign Office"),"German Foreign Office")</x:f>
        <x:v>German Foreign Office</x:v>
      </x:c>
      <x:c r="M336" s="21" t="str">
        <x:f>IFERROR(HYPERLINK("https://www.aujourd8.net/burkina-faso-levees-du-couvre-feu-et-de-la-fermeture-des-frontieres-terrestres/","Aujourd’hui au Faso"),"Aujourd’hui au Faso")</x:f>
        <x:v>Aujourd’hui au Faso</x:v>
      </x:c>
      <x:c r="N336" s="4" t="str">
        <x:v>https://www.sidwaya.info/burkina-les-frontieres-aeriennes-sont-rouvertes-communique/
https://www.auswaertiges-amt.de/en/newsroom/news/burkina-faso-2508234
https://www.aujourd8.net/burkina-faso-levees-du-couvre-feu-et-de-la-fermeture-des-frontieres-terrestres/
https://www.wakatsera.com/burkina-nominations-dans-larmee-et-reouverture-des-frontieres-terrestres/
https://standardmedia.co.ke/amp/article/2001435460/burkina-faso-army-deposes-president-in-west-africas-latest-coup
https://www.sidwaya.info/2022/01/25/burkina-les-frontieres-aeriennes-sont-rouvertes-communique/</x:v>
      </x:c>
      <x:c r="O336" s="4" t="str">
        <x:v>Source 1: search extract
Source 2: full page
Source 3: full page</x:v>
      </x:c>
      <x:c r="P336" s="20" t="n">
        <x:v>1</x:v>
      </x:c>
      <x:c r="Q336" s="4" t="str">
        <x:v>West Africa and Sahel</x:v>
      </x:c>
      <x:c r="R336" s="4" t="str">
        <x:v>Included</x:v>
      </x:c>
    </x:row>
    <x:row r="337" ht="210" hidden="0" customHeight="1">
      <x:c r="A337" s="16" t="str">
        <x:v>W-013</x:v>
      </x:c>
      <x:c r="B337" s="4" t="str">
        <x:v>Burkina Faso September coup border closure</x:v>
      </x:c>
      <x:c r="C337" s="4" t="str">
        <x:v>Burkina Faso; Mali; Niger; Benin; Togo; Ghana; Côte d’Ivoire</x:v>
      </x:c>
      <x:c r="D337" s="4" t="str">
        <x:v>Not individually established
National border order</x:v>
      </x:c>
      <x:c r="E337" s="4" t="str">
        <x:v>Not separately established
Direction: Not separately established
Exceptions: Night October 1–2 communiqué exempted humanitarian vehicles, freight, and vehicles carrying defence/security products and equipment.</x:v>
      </x:c>
      <x:c r="F337" s="4" t="str">
        <x:v>W-013-D1 — Formal policy
Burkina Faso national border-closure order following the September coup
Start: 2022-09-30 to 2022-10-01.
Policy endpoint: 2022-10-04.
Formal policy: 3–4 calendar-day difference; operational continuity not established</x:v>
      </x:c>
      <x:c r="G337" s="4" t="str">
        <x:v>Power and regime politics / Coups and succession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Unspecified security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37" s="4" t="str">
        <x:v>September 30 announcement; effective midnight wording conflicts between September 30 and October 1. Contemporary October 4 report explicitly lifts land closure. October 1–2 goods exceptions and air easing do not establish final land reopening.
W-013-D1: October 1–2 freight, humanitarian and defence exceptions; no observed all-post reopening. Start bound preserves contradictory date wording.</x:v>
      </x:c>
      <x:c r="I337" s="4" t="str">
        <x:v>Retained baseline assessment. Amended after source reconciliation</x:v>
      </x:c>
      <x:c r="J337" s="18" t="d">
        <x:v>2026-10-23T00:00:00.000Z</x:v>
      </x:c>
      <x:c r="K337" s="21" t="str">
        <x:f>IFERROR(HYPERLINK("https://www.africanews.com/2023/01/24/timeline-from-a-year-of-political-turmoil-in-burkina-faso-in-2022/","Africanews"),"Africanews")</x:f>
        <x:v>Africanews</x:v>
      </x:c>
      <x:c r="L337" s="21" t="str">
        <x:f>IFERROR(HYPERLINK("https://www.latribune.fr/depeches/reuters/KBN2QV23C/burkina-faso-des-militaires-annoncent-le-limogeage-du-chef-de-la-junte.html","La Tribune"),"La Tribune")</x:f>
        <x:v>La Tribune</x:v>
      </x:c>
      <x:c r="M337" s="21" t="str">
        <x:f>IFERROR(HYPERLINK("https://burkina24.com/2022/10/02/burkina-le-capitaine-traore-convoque-les-sg-des-ministeres-et-donne-des-precisions-sur-la-fermeture-des-frontieres-terrestres/","Burkina24"),"Burkina24")</x:f>
        <x:v>Burkina24</x:v>
      </x:c>
      <x:c r="N337" s="4" t="str">
        <x:v>https://www.africanews.com/2023/01/24/timeline-from-a-year-of-political-turmoil-in-burkina-faso-in-2022/
https://www.latribune.fr/depeches/reuters/KBN2QV23C/burkina-faso-des-militaires-annoncent-le-limogeage-du-chef-de-la-junte.html
https://burkina24.com/2022/10/02/burkina-le-capitaine-traore-convoque-les-sg-des-ministeres-et-donne-des-precisions-sur-la-fermeture-des-frontieres-terrestres/
https://www.koaci.com/article/2022/10/04/burkina-faso/politique/burkina-faso-le-capitaine-traore-assure-aux-manifestants-que-leurs-messages-ont-ete-entendus-et-guideront-nos-actions_163686.html
https://www.sidwaya.info/burkina-faso-changement-de-tete-au-sommet-de-letat/
https://information.tv5monde.com/international/direct-burkina-faso-le-chef-de-la-junte-paul-henri-sandaogo-damiba-demis-de-ses
https://www.leparisien.fr/international/burkina-deuxieme-coup-detat-en-huit-mois-les-putschistes-annoncent-la-fermeture-des-frontieres-30-09-2022-QGIIK3Z76VF3PLMAF2CEJ66YTI.php?ts=1664702430068
https://burkina24.com/2022/10/05/burkina-la-fermeture-des-frontieres-terrestres-a-ete-levee-pour-compter-de-ce-4-octobre-2022/</x:v>
      </x:c>
      <x:c r="O337" s="4" t="str">
        <x:v>Source 1: full page
Source 2: full page
Source 3: full page</x:v>
      </x:c>
      <x:c r="P337" s="20" t="n">
        <x:v>1</x:v>
      </x:c>
      <x:c r="Q337" s="4" t="str">
        <x:v>West Africa and Sahel</x:v>
      </x:c>
      <x:c r="R337" s="4" t="str">
        <x:v>Included</x:v>
      </x:c>
    </x:row>
    <x:row r="338" ht="162" hidden="0" customHeight="1">
      <x:c r="A338" s="16" t="str">
        <x:v>W-019</x:v>
      </x:c>
      <x:c r="B338" s="4" t="str">
        <x:v>Nigeria 2023 presidential election closure</x:v>
      </x:c>
      <x:c r="C338" s="4" t="str">
        <x:v>Nigeria; Benin; Niger; Cameroon; Chad</x:v>
      </x:c>
      <x:c r="D338" s="4" t="str">
        <x:v>Not individually established
All land borders</x:v>
      </x:c>
      <x:c r="E338" s="4" t="str">
        <x:v>Not separately established
Direction: Not separately established
Exceptions: Not established</x:v>
      </x:c>
      <x:c r="F338" s="4" t="str">
        <x:v>W-019-R1 — Announced window
Nigeria external land borders covered by election order
Start: 2023-02-25.
Scheduled endpoint: 2023-02-26.
Ordered window: 1 calendar-day difference; actual end not established</x:v>
      </x:c>
      <x:c r="G338" s="4" t="str">
        <x:v>Electoral politics / Election administration and security
Attributed official justification
Applies to: February 25–26 ordered election window
Interior Minister’s February 24 explanation links the closure to preventing external electoral disruption and protecting lives and property at the borders; electoral and public-safety purposes coexist.
Security / Public order and immediate safety
Attributed official justification
Applies to: February 25–26 ordered election window
Interior Minister’s February 24 explanation links the closure to preventing external electoral disruption and protecting lives and property at the borders; electoral and public-safety purposes coexist.</x:v>
      </x:c>
      <x:c r="H338" s="4" t="str">
        <x:v>W-019-R1: Reported circular provides a scheduled 24-hour window only.</x:v>
      </x:c>
      <x:c r="I338" s="4" t="str">
        <x:v>Full-record source audit (REC50-R40); retained with recorded qualifications; evidence limits retained.</x:v>
      </x:c>
      <x:c r="J338" s="18" t="d">
        <x:v>2026-10-25T00:00:00.000Z</x:v>
      </x:c>
      <x:c r="K338" s="21" t="str">
        <x:f>IFERROR(HYPERLINK("https://www.channelstv.com/2023/02/23/2023-elections-immigration-boss-idris-orders-24-hour-border-closure/","Channels Television"),"Channels Television")</x:f>
        <x:v>Channels Television</x:v>
      </x:c>
      <x:c r="L338" s="21" t="str">
        <x:f>IFERROR(HYPERLINK("https://www.bamf.de/SharedDocs/Anlagen/EN/Behoerde/Informationszentrum/BriefingNotes/2023/Zusammenfassungen/briefingnotes-zf-hj-1-2023-nigeria.pdf?__blob=publicationFile&amp;v=4","bamf.de"),"bamf.de")</x:f>
        <x:v>bamf.de</x:v>
      </x:c>
      <x:c r="M338" s="21" t="str">
        <x:f>IFERROR(HYPERLINK("https://africacheck.org/fact-checks/meta-programme-fact-checks/nigerias-vital-seme-land-border-benin-reopened-2020-not-2023","africacheck.org"),"africacheck.org")</x:f>
        <x:v>africacheck.org</x:v>
      </x:c>
      <x:c r="N338" s="4" t="str">
        <x:v>https://www.channelstv.com/2023/02/23/2023-elections-immigration-boss-idris-orders-24-hour-border-closure/
https://www.bamf.de/SharedDocs/Anlagen/EN/Behoerde/Informationszentrum/BriefingNotes/2023/Zusammenfassungen/briefingnotes-zf-hj-1-2023-nigeria.pdf?__blob=publicationFile&amp;v=4
https://africacheck.org/fact-checks/meta-programme-fact-checks/nigerias-vital-seme-land-border-benin-reopened-2020-not-2023
https://punchng.com/elections-fg-orders-closure-of-national-borders/</x:v>
      </x:c>
      <x:c r="O338" s="4" t="str">
        <x:v>Source 1: full; full text
Source 2: indexed excerpt
Source 3: indexed excerpt</x:v>
      </x:c>
      <x:c r="P338" s="20" t="n">
        <x:v>1</x:v>
      </x:c>
      <x:c r="Q338" s="4" t="str">
        <x:v>West Africa and Sahel</x:v>
      </x:c>
      <x:c r="R338" s="4" t="str">
        <x:v>Included</x:v>
      </x:c>
    </x:row>
    <x:row r="339" ht="78" hidden="0" customHeight="1">
      <x:c r="A339" s="16" t="str">
        <x:v>W-028</x:v>
      </x:c>
      <x:c r="B339" s="4" t="str">
        <x:v>Nigeria 2023 state election closure</x:v>
      </x:c>
      <x:c r="C339" s="4" t="str">
        <x:v>Nigeria; Benin; Niger; Cameroon; Chad</x:v>
      </x:c>
      <x:c r="D339" s="4" t="str">
        <x:v>Not individually established
All land borders</x:v>
      </x:c>
      <x:c r="E339" s="4" t="str">
        <x:v>Not separately established
Direction: Not separately established
Exceptions: Not established</x:v>
      </x:c>
      <x:c r="F339" s="4" t="str">
        <x:v>W-028-R1 — Announced window
Nigeria external land borders covered by election order
Start: 2023-03-18.
Scheduled endpoint: 2023-03-19.
Ordered window: 1 calendar-day difference; actual end not established</x:v>
      </x:c>
      <x:c r="G339"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x:v>
      </x:c>
      <x:c r="H339" s="4" t="str">
        <x:v>W-028-R1: Ordered 18 March 00:00 to 19 March 00:00 local time; endpoint date exclusive. National external land borders are separate from domestic state movement restrictions. Actual enforcement/reopening unverified.</x:v>
      </x:c>
      <x:c r="I339" s="4" t="str">
        <x:v>Retained baseline assessment. Retained with recorded qualifications</x:v>
      </x:c>
      <x:c r="J339" s="18" t="d">
        <x:v>2026-10-23T00:00:00.000Z</x:v>
      </x:c>
      <x:c r="K339" s="21" t="str">
        <x:f>IFERROR(HYPERLINK("https://punchng.com/election-immigration-chief-orders-24-hour-border-closure/","Punch"),"Punch")</x:f>
        <x:v>Punch</x:v>
      </x:c>
      <x:c r="L339" s="21"/>
      <x:c r="M339" s="21"/>
      <x:c r="N339" s="4" t="str">
        <x:v>https://punchng.com/election-immigration-chief-orders-24-hour-border-closure/</x:v>
      </x:c>
      <x:c r="O339" s="4" t="str">
        <x:v>Source 1: full</x:v>
      </x:c>
      <x:c r="P339" s="20" t="n">
        <x:v>1</x:v>
      </x:c>
      <x:c r="Q339" s="4" t="str">
        <x:v>West Africa and Sahel</x:v>
      </x:c>
      <x:c r="R339" s="4" t="str">
        <x:v>Included</x:v>
      </x:c>
    </x:row>
    <x:row r="340" ht="162" hidden="0" customHeight="1">
      <x:c r="A340" s="16" t="str">
        <x:v>W-014</x:v>
      </x:c>
      <x:c r="B340" s="4" t="str">
        <x:v>Niger coup authorities national closure</x:v>
      </x:c>
      <x:c r="C340" s="4" t="str">
        <x:v>Niger; Algeria; Libya; Chad; Nigeria; Benin; Burkina Faso; Mali</x:v>
      </x:c>
      <x:c r="D340" s="4" t="str">
        <x:v>Not individually established
Niger-side national border order</x:v>
      </x:c>
      <x:c r="E340" s="4" t="str">
        <x:v>Not separately established
Direction: Not separately established
Exceptions: Not established</x:v>
      </x:c>
      <x:c r="F340" s="4" t="str">
        <x:v>W-014-D1 — Formal policy
Niger-side closure order as applied to Algeria, Burkina Faso, Libya, Mali and Chad
Start: 2023-07-26.
Policy endpoint: 2023-08-01.
Formal policy: 6 calendar-day difference; operational continuity not established</x:v>
      </x:c>
      <x:c r="G340" s="4" t="str">
        <x:v>Power and regime politics / Coups and succession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Unspecified security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40" s="4" t="str">
        <x:v>W-014-D1: Partial policy reversal only. Excludes Nigeria and Benin; no observed traffic or claim about all Niger borders.</x:v>
      </x:c>
      <x:c r="I340" s="4" t="str">
        <x:v>Retained baseline assessment. Retained with recorded qualifications</x:v>
      </x:c>
      <x:c r="J340" s="18" t="d">
        <x:v>2026-10-23T00:00:00.000Z</x:v>
      </x:c>
      <x:c r="K340" s="21" t="str">
        <x:f>IFERROR(HYPERLINK("https://www.africanews.com/2023/08/02/coup-niger-reopens-borders-with-five-neighbouring-countries/","Africanews"),"Africanews")</x:f>
        <x:v>Africanews</x:v>
      </x:c>
      <x:c r="L340" s="21" t="str">
        <x:f>IFERROR(HYPERLINK("https://www.arnnewscentre.ae/en/news/international/niger-reopens-borders-with-several-neighbours-a-week-after-coup/","ARN News Centre"),"ARN News Centre")</x:f>
        <x:v>ARN News Centre</x:v>
      </x:c>
      <x:c r="M340" s="21" t="str">
        <x:f>IFERROR(HYPERLINK("https://anp.ne/niger-les-frontieres-terrestres-et-aeriennes-avec-algerie-burkina-faso-libye-mali-et-le-tchad-reouvertes/","anp.ne"),"anp.ne")</x:f>
        <x:v>anp.ne</x:v>
      </x:c>
      <x:c r="N340" s="4" t="str">
        <x:v>https://www.africanews.com/2023/08/02/coup-niger-reopens-borders-with-five-neighbouring-countries/
https://www.arnnewscentre.ae/en/news/international/niger-reopens-borders-with-several-neighbours-a-week-after-coup/
https://anp.ne/niger-les-frontieres-terrestres-et-aeriennes-avec-algerie-burkina-faso-libye-mali-et-le-tchad-reouvertes/</x:v>
      </x:c>
      <x:c r="O340" s="4" t="str">
        <x:v>Source 1: search extract
Source 2: full page
Source 3: access detail is retained in the source catalogue.</x:v>
      </x:c>
      <x:c r="P340" s="20" t="n">
        <x:v>1</x:v>
      </x:c>
      <x:c r="Q340" s="4" t="str">
        <x:v>West Africa and Sahel</x:v>
      </x:c>
      <x:c r="R340" s="4" t="str">
        <x:v>Included</x:v>
      </x:c>
    </x:row>
    <x:row r="341" ht="222" hidden="0" customHeight="1">
      <x:c r="A341" s="16" t="str">
        <x:v>W-017</x:v>
      </x:c>
      <x:c r="B341" s="4" t="str">
        <x:v>Niger Benin continued closure after regional sanctions lifted</x:v>
      </x:c>
      <x:c r="C341" s="4" t="str">
        <x:v>Niger; Benin</x:v>
      </x:c>
      <x:c r="D341" s="4" t="str">
        <x:v>Not individually established
Niger-side bilateral land frontier</x:v>
      </x:c>
      <x:c r="E341" s="4" t="str">
        <x:v>Not separately established
Direction: Not separately established
Exceptions: Not established</x:v>
      </x:c>
      <x:c r="F341" s="4" t="str">
        <x:v>W-017-R1 — Formal policy
Niger-side continued official restriction at Gaya–Malanville road bridge after ECOWAS lifting
Start: 2024-02-24.
Last confirmed: 2026-08-05. Reopening is not established.
Formal policy: confirmed through 2026-08-05; at least 893 calendar-day difference; reopening unknown</x:v>
      </x:c>
      <x:c r="G341" s="4" t="str">
        <x:v>Interstate disputes and pressure / Diplomatic disputes and retaliation
Reported reason
Applies to: Recorded episode; exact overlap not separately established
The recorded rationale and claim assessment support the selected subcategories. All applicable broad categories are retained together; no primary rationale is imposed.
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x:v>
      </x:c>
      <x:c r="H341" s="4" t="str">
        <x:v>W-017-R1: Informal river traffic continued; this is not all routes or all persons physically barred. Last confirmation is August 5, not publication August 7 or research cutoff. Initial sanctions phase overlaps W-015 and is excluded here.</x:v>
      </x:c>
      <x:c r="I341" s="4" t="str">
        <x:v>Retained baseline assessment. Retained with recorded qualifications</x:v>
      </x:c>
      <x:c r="J341" s="18" t="d">
        <x:v>2026-10-23T00:00:00.000Z</x:v>
      </x:c>
      <x:c r="K341" s="21" t="str">
        <x:f>IFERROR(HYPERLINK("https://www.channelstv.com/2024/02/26/niger-border-closed-despite-ecowas-sanctions-being-lifted/","Channels TV"),"Channels TV")</x:f>
        <x:v>Channels TV</x:v>
      </x:c>
      <x:c r="L341" s="21" t="str">
        <x:f>IFERROR(HYPERLINK("https://riskbulletins.globalinitiative.net/wea-obs-011/04-benin-niger-border-closure-drives-surge-migrant-smuggling-profits.html","GI-TOC"),"GI-TOC")</x:f>
        <x:v>GI-TOC</x:v>
      </x:c>
      <x:c r="M341" s="21" t="str">
        <x:f>IFERROR(HYPERLINK("https://www.africanews.com/2026/06/18/benin-and-niger-formalise-commitment-to-reopening-shared-border/","Africanews"),"Africanews")</x:f>
        <x:v>Africanews</x:v>
      </x:c>
      <x:c r="N341" s="4" t="str">
        <x:v>https://www.channelstv.com/2024/02/26/niger-border-closed-despite-ecowas-sanctions-being-lifted/
https://riskbulletins.globalinitiative.net/wea-obs-011/04-benin-niger-border-closure-drives-surge-migrant-smuggling-profits.html
https://www.africanews.com/2026/06/18/benin-and-niger-formalise-commitment-to-reopening-shared-border/
https://banouto.bj/index.php/politique/article/20260807-frontiere-benin-niger-ce-qui-retarde-encore-la-reouverture-selon-wilfried-houngbedji
https://leconomisteniger.com/2024/03/11/le-niger-leve-les-barrieres-de-sa-frontiere-avec-le-benin/
https://www.les4verites.bj/la-frontiere-reste-toujours-fermee-cote-niger/
https://www.lanation.bj/actualites/reouverture-de-la-frontiere-avec-le-niger-le-gouvernement-reste-optimiste
https://guardian.ng/news/niger-reopens-border-with-nigeria/
https://www.gouv.ne/index.php/90-autres-actualites/1198-reouverture-de-la-frontiere-benin-niger-les-deux-comites-d-experts-charges-d-examiner-la-question-remettent-leurs-rapports-a-leurs-chefs-d-etat-respectifs
https://issafrica.org/iss-today/niger-benin-a-narrow-window-for-diplomatic-reset
https://sorvatrade.com/actualites/2026-09-benin-niger-corridor-kamba</x:v>
      </x:c>
      <x:c r="O341" s="4" t="str">
        <x:v>Source 1: full
Source 2: full
Source 3: full</x:v>
      </x:c>
      <x:c r="P341" s="20" t="n">
        <x:v>1</x:v>
      </x:c>
      <x:c r="Q341" s="4" t="str">
        <x:v>West Africa and Sahel</x:v>
      </x:c>
      <x:c r="R341" s="4" t="str">
        <x:v>Included</x:v>
      </x:c>
    </x:row>
    <x:row r="342" ht="138" hidden="0" customHeight="1">
      <x:c r="A342" s="16" t="str">
        <x:v>W-015</x:v>
      </x:c>
      <x:c r="B342" s="4" t="str">
        <x:v>ECOWAS sanctions closure against Niger</x:v>
      </x:c>
      <x:c r="C342" s="4" t="str">
        <x:v>Niger; Nigeria; Benin; Burkina Faso; Mali</x:v>
      </x:c>
      <x:c r="D342" s="4" t="str">
        <x:v>Not individually established
Regional order; Burkina Faso/Mali implementation must not be assumed</x:v>
      </x:c>
      <x:c r="E342" s="4" t="str">
        <x:v>Not separately established
Direction: Not separately established
Exceptions: Not established</x:v>
      </x:c>
      <x:c r="F342" s="4" t="str">
        <x:v>W-015-D1 — Formal policy
ECOWAS formal border-sanctions order against Niger
Start: 2023-07-30.
Policy endpoint: 2024-02-24.
Formal policy: 209 calendar-day difference; operational continuity not established</x:v>
      </x:c>
      <x:c r="G342" s="4" t="str">
        <x:v>Interstate disputes and pressure / Sanctions and coercive pressure
Attributed official justification
Applies to: Recorded episode; exact overlap not separately established
The recorded rationale and claim assessment support the selected subcategories. All applicable broad categories are retained together; no primary rationale is imposed.</x:v>
      </x:c>
      <x:c r="H342" s="4" t="str">
        <x:v>W-015-D1: Legal period, not uniform implementation. Burkina Faso/Mali compliance is not assumed; Nigeria and Benin operational restrictions and Niger's own side had different endpoints. Nested implementation records are not independent regional policy events.</x:v>
      </x:c>
      <x:c r="I342" s="4" t="str">
        <x:v>Retained baseline assessment. Retained with recorded qualifications</x:v>
      </x:c>
      <x:c r="J342" s="18" t="d">
        <x:v>2026-10-23T00:00:00.000Z</x:v>
      </x:c>
      <x:c r="K342" s="21" t="str">
        <x:f>IFERROR(HYPERLINK("https://statehouse.gov.ng/first-extraordinary-summit-of-the-ecowas-authority-heads-of-state-and-government-on-the-political-situation-in-niger/","State House Nigeria"),"State House Nigeria")</x:f>
        <x:v>State House Nigeria</x:v>
      </x:c>
      <x:c r="L342" s="21" t="str">
        <x:f>IFERROR(HYPERLINK("https://ecowas.int/wp-content/uploads/2024/02/EXT-ORD-SUMMIT-FINAL-COMMUNIQUE-ENGLISH-_240225_160529.pdf","ECOWAS"),"ECOWAS")</x:f>
        <x:v>ECOWAS</x:v>
      </x:c>
      <x:c r="M342" s="21" t="str">
        <x:f>IFERROR(HYPERLINK("https://guardian.ng/news/niger-reopens-border-with-nigeria/","Guardian Nigeria"),"Guardian Nigeria")</x:f>
        <x:v>Guardian Nigeria</x:v>
      </x:c>
      <x:c r="N342" s="4" t="str">
        <x:v>https://statehouse.gov.ng/first-extraordinary-summit-of-the-ecowas-authority-heads-of-state-and-government-on-the-political-situation-in-niger/
https://ecowas.int/wp-content/uploads/2024/02/EXT-ORD-SUMMIT-FINAL-COMMUNIQUE-ENGLISH-_240225_160529.pdf
https://guardian.ng/news/niger-reopens-border-with-nigeria/
https://punchng.com/customs-reopen-niger-republic-land-border/
https://demo2.acresal.gov.ng/news/first-extraordinary-summit-of-the-ecowas-authority-heads-of-state-and-government-on-the-political-situation-in-niger/
https://www.ecowas.int/wp-content/uploads/2024/02/EXT-ORD-SUMMIT-FINAL-COMMUNIQUE-ENGLISH-_240225_160529.pdf
https://ecowas.int/wp-content/uploads/2023/07/Final-Communique_ENG-2_230730_161029.pdf</x:v>
      </x:c>
      <x:c r="O342" s="4" t="str">
        <x:v>Source 1: full page
Source 2: full page
Source 3: full page</x:v>
      </x:c>
      <x:c r="P342" s="20" t="n">
        <x:v>1</x:v>
      </x:c>
      <x:c r="Q342" s="4" t="str">
        <x:v>West Africa and Sahel</x:v>
      </x:c>
      <x:c r="R342" s="4" t="str">
        <x:v>Included</x:v>
      </x:c>
    </x:row>
    <x:row r="343" ht="138" hidden="0" customHeight="1">
      <x:c r="A343" s="16" t="str">
        <x:v>W-016</x:v>
      </x:c>
      <x:c r="B343" s="4" t="str">
        <x:v>Nigeria Niger implementation and staggered reopening of sanctions closure</x:v>
      </x:c>
      <x:c r="C343" s="4" t="str">
        <x:v>Nigeria; Niger</x:v>
      </x:c>
      <x:c r="D343" s="4" t="str">
        <x:v>Illela/Birni N’Konni; Dan Issa reported
Bilateral land frontier</x:v>
      </x:c>
      <x:c r="E343" s="4" t="str">
        <x:v>People and commercial road traffic; detailed exemptions not established
Direction: Initially constrained on both sides; resumed traffic in both directions reported 22 March.
Exceptions: Customs chief at Illela on 4 August 2023 said returning Nigerians were allowed to enter; duration and application at other posts not established.</x:v>
      </x:c>
      <x:c r="F343" s="4" t="str">
        <x:v>W-016-R1 — Formal policy
Nigeria-side Illela regular crossing sanctions restriction
Start: 2023-07-30 to 2023-08-04.
Policy endpoint: 2024-03-14.
Formal policy: 223–228 calendar-day difference; operational continuity not established
W-016-R2 — Observed operation
Niger-side continued denial at regular Illela–Birni N'Konni road route after Nigerian-side reopening
Start: 2024-03-14.
Observed scoped reopening: 2024-03-22.
8 calendar-day difference; scoped endpoint only</x:v>
      </x:c>
      <x:c r="G343" s="4" t="str">
        <x:v>Interstate disputes and pressure / Sanctions and coercive pressure
Reported reason
Applies to: Recorded episode; exact overlap not separately established
The recorded rationale and claim assessment support the selected subcategories. All applicable broad categories are retained together; no primary rationale is imposed.</x:v>
      </x:c>
      <x:c r="H343" s="4" t="str">
        <x:v>W-016-R1: Customs chief on 4 August said returning Nigerians could enter. Application over the full phase is unquantified. Not a back-calculated seven-month onset; informal routes remained permeable. W-015 overlaps and is not additive.
W-016-R2: This begins the continuation phase, not original Niger closure. Does not represent every Nigeria–Niger gate or informal routes.</x:v>
      </x:c>
      <x:c r="I343" s="4" t="str">
        <x:v>Retained baseline assessment. Amended after source reconciliation</x:v>
      </x:c>
      <x:c r="J343" s="18" t="d">
        <x:v>2026-10-23T00:00:00.000Z</x:v>
      </x:c>
      <x:c r="K343" s="21" t="str">
        <x:f>IFERROR(HYPERLINK("https://statehouse.gov.ng/first-extraordinary-summit-of-the-ecowas-authority-heads-of-state-and-government-on-the-political-situation-in-niger/","Nigeria State House"),"Nigeria State House")</x:f>
        <x:v>Nigeria State House</x:v>
      </x:c>
      <x:c r="L343" s="21" t="str">
        <x:f>IFERROR(HYPERLINK("https://tribuneonlineng.com/illela-border-closed-on-presidents-order-acting-cg-custom/","Nigerian Tribune"),"Nigerian Tribune")</x:f>
        <x:v>Nigerian Tribune</x:v>
      </x:c>
      <x:c r="M343" s="21" t="str">
        <x:f>IFERROR(HYPERLINK("https://punchng.com/customs-reopen-niger-republic-land-border/","Punch"),"Punch")</x:f>
        <x:v>Punch</x:v>
      </x:c>
      <x:c r="N343" s="4" t="str">
        <x:v>https://statehouse.gov.ng/first-extraordinary-summit-of-the-ecowas-authority-heads-of-state-and-government-on-the-political-situation-in-niger/
https://tribuneonlineng.com/illela-border-closed-on-presidents-order-acting-cg-custom/
https://punchng.com/customs-reopen-niger-republic-land-border/
https://www.icirnigeria.org/niger-coup-with-n3000-smugglers-in-nigerias-illela-border-enjoy-free-pass-despite-closure/?tztc=1
https://www.thisdaylive.com/2023/08/04/coup-nigeria-closes-border-with-niger-republic/
https://guardian.ng/news/niger-reopens-border-with-nigeria/
https://www.channelstv.com/2023/08/04/fg-closes-borders-with-niger-republic-says-decision-in-countries-interest/
https://punchng.com/just-in-niger-republic-opens-land-border-with-nigeria/</x:v>
      </x:c>
      <x:c r="O343" s="4" t="str">
        <x:v>Source 1: indexed excerpt
Source 2: full; indexed excerpt
Source 3: full</x:v>
      </x:c>
      <x:c r="P343" s="20" t="n">
        <x:v>2</x:v>
      </x:c>
      <x:c r="Q343" s="4" t="str">
        <x:v>West Africa and Sahel</x:v>
      </x:c>
      <x:c r="R343" s="4" t="str">
        <x:v>Included</x:v>
      </x:c>
    </x:row>
    <x:row r="344" ht="90" hidden="0" customHeight="1">
      <x:c r="A344" s="16" t="str">
        <x:v>W-020</x:v>
      </x:c>
      <x:c r="B344" s="4" t="str">
        <x:v>Ghana 2024 election closure</x:v>
      </x:c>
      <x:c r="C344" s="4" t="str">
        <x:v>Ghana; Togo; Burkina Faso; Côte d’Ivoire</x:v>
      </x:c>
      <x:c r="D344" s="4" t="str">
        <x:v>Not individually established
All land borders</x:v>
      </x:c>
      <x:c r="E344" s="4" t="str">
        <x:v>Not separately established
Direction: Not separately established
Exceptions: Not established</x:v>
      </x:c>
      <x:c r="F344" s="4" t="str">
        <x:v>W-020-R1 — Announced window
Ghana land borders under election directive
Start: 2024-12-06.
Scheduled endpoint: 2024-12-08.
Ordered window: 2 calendar-day difference; actual end not established</x:v>
      </x:c>
      <x:c r="G344"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x:v>
      </x:c>
      <x:c r="H344" s="4" t="str">
        <x:v>W-020-R1: No exact 48-hour assertion; unspecified start hour and no observed reopening.</x:v>
      </x:c>
      <x:c r="I344" s="4" t="str">
        <x:v>Retained baseline assessment. Retained with recorded qualifications</x:v>
      </x:c>
      <x:c r="J344" s="18" t="d">
        <x:v>2026-10-23T00:00:00.000Z</x:v>
      </x:c>
      <x:c r="K344" s="21" t="str">
        <x:f>IFERROR(HYPERLINK("https://gna.org.gh/2024/12/ghana-closes-land-borders-ahead-of-december-7-elections/","Ghana News Agency"),"Ghana News Agency")</x:f>
        <x:v>Ghana News Agency</x:v>
      </x:c>
      <x:c r="L344" s="21" t="str">
        <x:f>IFERROR(HYPERLINK("https://wanep.org/wanep/wp-content/uploads/2024/12/B_Media-Final-Opening-of-Polls-Statement-7-12-2024-.pdf","WANEP"),"WANEP")</x:f>
        <x:v>WANEP</x:v>
      </x:c>
      <x:c r="M344" s="21" t="str">
        <x:f>IFERROR(HYPERLINK("https://yen.com.gh/ghana/272861-ghana-election-interior-ministry-closes-land-borders-december-7-polls/","yen.com.gh"),"yen.com.gh")</x:f>
        <x:v>yen.com.gh</x:v>
      </x:c>
      <x:c r="N344" s="4" t="str">
        <x:v>https://gna.org.gh/2024/12/ghana-closes-land-borders-ahead-of-december-7-elections/
https://wanep.org/wanep/wp-content/uploads/2024/12/B_Media-Final-Opening-of-Polls-Statement-7-12-2024-.pdf
https://yen.com.gh/ghana/272861-ghana-election-interior-ministry-closes-land-borders-december-7-polls/
https://www.graphic.com.gh/news/general-news/ghana-shuts-land-borders-for-24-hours-for-election-2024.html</x:v>
      </x:c>
      <x:c r="O344" s="4" t="str">
        <x:v>Source 1: full
Source 2: indexed excerpt; failed
Source 3: indexed excerpt</x:v>
      </x:c>
      <x:c r="P344" s="20" t="n">
        <x:v>1</x:v>
      </x:c>
      <x:c r="Q344" s="4" t="str">
        <x:v>West Africa and Sahel</x:v>
      </x:c>
      <x:c r="R344" s="4" t="str">
        <x:v>Included</x:v>
      </x:c>
    </x:row>
    <x:row r="345" ht="138" hidden="0" customHeight="1">
      <x:c r="A345" s="16" t="str">
        <x:v>W-025</x:v>
      </x:c>
      <x:c r="B345" s="4" t="str">
        <x:v>Yenga Koindu Nongoa crossing closure</x:v>
      </x:c>
      <x:c r="C345" s="4" t="str">
        <x:v>Guinea; Sierra Leone</x:v>
      </x:c>
      <x:c r="D345" s="4" t="str">
        <x:v>Yenga–Koindu–Nongoa, Kissi Teng Chiefdom
Local Makona River crossing</x:v>
      </x:c>
      <x:c r="E345" s="4" t="str">
        <x:v>Cross-border residents and traders; agricultural goods.
Direction: Not separately established
Exceptions: Not established</x:v>
      </x:c>
      <x:c r="F345" s="4" t="str">
        <x:v>W-025-R1 — Formal policy
Official Koindu–Nongoa crossing restriction at Yenga along Makona River
Start: 2025-04-27 to 2025-04-28.
Policy endpoint: 2026-06-24.
Formal policy: 422–423 calendar-day difference; operational continuity not established</x:v>
      </x:c>
      <x:c r="G345" s="4" t="str">
        <x:v>Security / Armed conflict and military confrontation
Analytical interpretation of reported context
Applies to: Recorded episode; exact overlap not separately established
The territorial dispute is an attributed contextual classification. The original closure order remains unavailable.
Interstate disputes and pressure / Territorial and frontier disputes
Analytical interpretation of reported context
Applies to: Recorded episode; exact overlap not separately established
The territorial dispute is an attributed contextual classification. The original closure order remains unavailable.</x:v>
      </x:c>
      <x:c r="H345" s="4" t="str">
        <x:v>Contemporary Africa Guinee May 2 report dates Nongoa landing/civilian closure April 27, whereas later official-notice chronology uses April 28. Formal June 24 reopening remains notice-attributed; independent field movement observed August 28. No exact operational interval certified.
W-025-R1: Onset conflict retained; initial order unavailable. Exact endpoint follows one notice lineage. Clandestine passage occurred; no zero-passage interval asserted.</x:v>
      </x:c>
      <x:c r="I345" s="4" t="str">
        <x:v>Retained baseline assessment. Amended after source reconciliation</x:v>
      </x:c>
      <x:c r="J345" s="18" t="d">
        <x:v>2026-10-23T00:00:00.000Z</x:v>
      </x:c>
      <x:c r="K345" s="21" t="str">
        <x:f>IFERROR(HYPERLINK("https://sierraloaded.sl/news/sierra-leone-guinea-reopen-yenga-border/","Sierraloaded"),"Sierraloaded")</x:f>
        <x:v>Sierraloaded</x:v>
      </x:c>
      <x:c r="L345" s="21" t="str">
        <x:f>IFERROR(HYPERLINK("https://www.africaguinee.com/guinee-sierra-leone-a-nongoa-la-reouverture-de-la-frontiere-fait-revivre-les-echanges-et-les-liens-familiaux-immersion/","Africa Guinee"),"Africa Guinee")</x:f>
        <x:v>Africa Guinee</x:v>
      </x:c>
      <x:c r="M345" s="21" t="str">
        <x:f>IFERROR(HYPERLINK("https://www.africaguinee.com/litige-autour-de-yenga-la-frontiere-guinee-sierra-leone-aurait-ete-fermee-a-nongoa/","africaguinee.com"),"africaguinee.com")</x:f>
        <x:v>africaguinee.com</x:v>
      </x:c>
      <x:c r="N345" s="4" t="str">
        <x:v>https://sierraloaded.sl/news/sierra-leone-guinea-reopen-yenga-border/
https://www.africaguinee.com/guinee-sierra-leone-a-nongoa-la-reouverture-de-la-frontiere-fait-revivre-les-echanges-et-les-liens-familiaux-immersion/
https://www.africaguinee.com/litige-autour-de-yenga-la-frontiere-guinee-sierra-leone-aurait-ete-fermee-a-nongoa/
https://ons.gov.sl/news/ons-hosts-ecowas-fact-finding-delegation-on-the-yenga-border-dispute
https://www.guinee360.com/06/07/2026/differends-frontaliers-la-sierra-leone-et-la-guinee-rouvrent-le-poste-frontalier-de-yenga/
https://apanews.net/sierra-leone-and-guinea-reopen-yenga-borde/</x:v>
      </x:c>
      <x:c r="O345" s="4" t="str">
        <x:v>Source 1: full
Source 2: full
Source 3: access detail is retained in the source catalogue.</x:v>
      </x:c>
      <x:c r="P345" s="20" t="n">
        <x:v>1</x:v>
      </x:c>
      <x:c r="Q345" s="4" t="str">
        <x:v>West Africa and Sahel</x:v>
      </x:c>
      <x:c r="R345" s="4" t="str">
        <x:v>Included</x:v>
      </x:c>
    </x:row>
    <x:row r="346" ht="162" hidden="0" customHeight="1">
      <x:c r="A346" s="16" t="str">
        <x:v>W-027</x:v>
      </x:c>
      <x:c r="B346" s="4" t="str">
        <x:v>Guinea 2025 presidential election closure</x:v>
      </x:c>
      <x:c r="C346" s="4" t="str">
        <x:v>Guinea; Senegal; Guinea-Bissau; Mali; Côte d’Ivoire; Liberia; Sierra Leone</x:v>
      </x:c>
      <x:c r="D346" s="4" t="str">
        <x:v>Not individually established
All land borders</x:v>
      </x:c>
      <x:c r="E346" s="4" t="str">
        <x:v>Not separately established
Direction: Not separately established
Exceptions: Not established</x:v>
      </x:c>
      <x:c r="F346" s="4" t="str">
        <x:v>W-027-R1 — Announced window
Guinea land and maritime borders under presidential-election decree
Start: 2025-12-28.
Scheduled endpoint: 2025-12-29.
Ordered window: 1 calendar-day difference; actual end not established</x:v>
      </x:c>
      <x:c r="G346"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46" s="4" t="str">
        <x:v>W-027-R1: Scheduled 24-hour polling-day closure interpreted as 28 December 00:00 to 29 December 00:00, following Anadolu. Original signed decree not inspected; embassy wording is ambiguous. Domestic vehicle exceptions and shorter air closure excluded; actual reopening unobserved.</x:v>
      </x:c>
      <x:c r="I346" s="4" t="str">
        <x:v>Retained baseline assessment. Retained with recorded qualifications</x:v>
      </x:c>
      <x:c r="J346" s="18" t="d">
        <x:v>2026-10-23T00:00:00.000Z</x:v>
      </x:c>
      <x:c r="K346" s="21" t="str">
        <x:f>IFERROR(HYPERLINK("https://de.ambaguinee.org/?p=106309","Guinea Embassy in Germany"),"Guinea Embassy in Germany")</x:f>
        <x:v>Guinea Embassy in Germany</x:v>
      </x:c>
      <x:c r="L346" s="21" t="str">
        <x:f>IFERROR(HYPERLINK("https://www.aa.com.tr/en/africa/guinea-shuts-borders-restricts-vehicles-ahead-of-1st-post-coup-presidential-election/3782873","Anadolu"),"Anadolu")</x:f>
        <x:v>Anadolu</x:v>
      </x:c>
      <x:c r="M346" s="21" t="str">
        <x:f>IFERROR(HYPERLINK("https://guineevote.ablogui.org/actualites/le-ministere-de-ladministration-du-territoire-fixe-les-mesures-de-securite-pour-le-scrutin-presidentiel","guineevote.ablogui.org"),"guineevote.ablogui.org")</x:f>
        <x:v>guineevote.ablogui.org</x:v>
      </x:c>
      <x:c r="N346" s="4" t="str">
        <x:v>https://de.ambaguinee.org/?p=106309
https://www.aa.com.tr/en/africa/guinea-shuts-borders-restricts-vehicles-ahead-of-1st-post-coup-presidential-election/3782873
https://guineevote.ablogui.org/actualites/le-ministere-de-ladministration-du-territoire-fixe-les-mesures-de-securite-pour-le-scrutin-presidentiel</x:v>
      </x:c>
      <x:c r="O346" s="4" t="str">
        <x:v>Source 1: full
Source 2: full
Source 3: access detail is retained in the source catalogue.</x:v>
      </x:c>
      <x:c r="P346" s="20" t="n">
        <x:v>1</x:v>
      </x:c>
      <x:c r="Q346" s="4" t="str">
        <x:v>West Africa and Sahel</x:v>
      </x:c>
      <x:c r="R346" s="4" t="str">
        <x:v>Included</x:v>
      </x:c>
    </x:row>
    <x:row r="347" ht="210" hidden="0" customHeight="1">
      <x:c r="A347" s="16" t="str">
        <x:v>W-007</x:v>
      </x:c>
      <x:c r="B347" s="4" t="str">
        <x:v>Guinea Sierra Leone security closure preceding February 2021 agreement</x:v>
      </x:c>
      <x:c r="C347" s="4" t="str">
        <x:v>Guinea; Sierra Leone</x:v>
      </x:c>
      <x:c r="D347" s="4" t="str">
        <x:v>Pamelap operational reopening observed; broader bilateral frontier covered by agreement
Guinean side of bilateral frontier</x:v>
      </x:c>
      <x:c r="E347" s="4" t="str">
        <x:v>Not separately established
Direction: Not separately established
Exceptions: Not established</x:v>
      </x:c>
      <x:c r="F347" s="4" t="str">
        <x:v>W-007-REV1 — Formal policy
Guinea-side national security restriction facing Sierra Leone; formal policy phase
Start: 2020-09-01 to 2020-09-30.
Policy endpoint: 2021-02-18.
Formal policy: 141–170 calendar-day difference; operational continuity not established</x:v>
      </x:c>
      <x:c r="G347" s="4" t="str">
        <x:v>Security / Unspecified security
Reported reason
Applies to: Recorded episode; exact overlap not separately established
The recorded rationale and claim assessment support the selected subcategories. All applicable broad categories are retained together; no primary rationale is imposed.</x:v>
      </x:c>
      <x:c r="H347" s="4" t="str">
        <x:v>W-007-REV1: Formal Guinea-side policy only. September onset bounded, not September 1 asserted. October Pamelap retrospective remains unresolved, so no matched gate-level operational spell is inferred. Earlier COVID and contemporaneous Ebola controls are not assumed lifted on both sides. Local February 18 observation corroborates implementation at Pamelap only; later September coup is separate.</x:v>
      </x:c>
      <x:c r="I347" s="4" t="str">
        <x:v>Retained baseline assessment. Retained with recorded qualifications</x:v>
      </x:c>
      <x:c r="J347" s="18" t="d">
        <x:v>2026-10-23T00:00:00.000Z</x:v>
      </x:c>
      <x:c r="K347" s="21" t="str">
        <x:f>IFERROR(HYPERLINK("https://guineenews.org/2021/02/10/guinee-sierra-leone-voici-les-prealables-a-la-reouverture-des-frontieres/","Guinéenews"),"Guinéenews")</x:f>
        <x:v>Guinéenews</x:v>
      </x:c>
      <x:c r="L347" s="21" t="str">
        <x:f>IFERROR(HYPERLINK("https://www.securitycouncilreport.org/atf/cf/%7B65BFCF9B-6D27-4E9C-8CD3-CF6E4FF96FF9%7D/S_2021_612.pdf","United Nations"),"United Nations")</x:f>
        <x:v>United Nations</x:v>
      </x:c>
      <x:c r="M347" s="21" t="str">
        <x:f>IFERROR(HYPERLINK("https://www.thesierraleonetelegraph.com/presidents-of-sierra-leone-and-guinea-sign-communique-after-meeting-in-conakry/","Sierra Leone Telegraph"),"Sierra Leone Telegraph")</x:f>
        <x:v>Sierra Leone Telegraph</x:v>
      </x:c>
      <x:c r="N347" s="4" t="str">
        <x:v>https://guineenews.org/2021/02/10/guinee-sierra-leone-voici-les-prealables-a-la-reouverture-des-frontieres/
https://www.securitycouncilreport.org/atf/cf/%7B65BFCF9B-6D27-4E9C-8CD3-CF6E4FF96FF9%7D/S_2021_612.pdf
https://www.thesierraleonetelegraph.com/presidents-of-sierra-leone-and-guinea-sign-communique-after-meeting-in-conakry/
https://conakrynews.org/index.php/cooperation-la-reouverture-de-la-frontiere-guineo-sierra-leonaise-est-maintenant-effective/
https://digitallibrary.un.org/record/3930688/files/S_2021_612-FR.pdf
https://www.ecdc.europa.eu/sites/default/files/documents/Ebola-virus-disease-outbreak-in-Guinea-2021.pdf
https://guineenews.org/2021/09/16/la-frontiere-guineo-sierra-leonaise-reouverte-a-compter-de-ce-jeudi-cnrd/
https://www.exteriores.gob.es/es/Comunicacion/Comunicados/Paginas/2021_COMUNICADOS/20210216_COMU013.aspx
https://exteriores.gob.es/es/Comunicacion/Comunicados/Paginas/2021_COMUNICADOS/20210216_COMU013.aspx</x:v>
      </x:c>
      <x:c r="O347" s="4" t="str">
        <x:v>Source 1: full
Source 2: indexed excerpt
Source 3: full</x:v>
      </x:c>
      <x:c r="P347" s="20" t="n">
        <x:v>1</x:v>
      </x:c>
      <x:c r="Q347" s="4" t="str">
        <x:v>West Africa and Sahel</x:v>
      </x:c>
      <x:c r="R347" s="4" t="str">
        <x:v>Included</x:v>
      </x:c>
    </x:row>
    <x:row r="348" ht="102" hidden="0" customHeight="1">
      <x:c r="A348" s="16" t="str">
        <x:v>W-021</x:v>
      </x:c>
      <x:c r="B348" s="4" t="str">
        <x:v>Guinea-Bissau partial Senegal frontier closure after communal clashes</x:v>
      </x:c>
      <x:c r="C348" s="4" t="str">
        <x:v>Guinea-Bissau; Senegal</x:v>
      </x:c>
      <x:c r="D348" s="4" t="str">
        <x:v>Not individually established
Part of frontier near Medina Gounass</x:v>
      </x:c>
      <x:c r="E348" s="4" t="str">
        <x:v>Not separately established
Direction: Not separately established
Exceptions: Not established</x:v>
      </x:c>
      <x:c r="F348" s="4" t="str">
        <x:v>W-021-FU1 — Formal policy
Unspecified part of Guinea-Bissau–Senegal border near Medina Gounass; exact posts unknown
Start: 2024-06-17 to 2024-06-19.
Last confirmed: 2024-06-19. Reopening is not established.
Formal policy: dated evidence; numeric duration withheld; see qualification</x:v>
      </x:c>
      <x:c r="G348"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48" s="4" t="str">
        <x:v>W-021-FU1: Order followed June17 clashes and was reported as enforced by June19, giving onset bounds only. Exact posts, day and reopening remain unknown; do not generalize this partial frontier restriction.
end: No reopening or gate-level evidence recovered. A June 19 official-confirmation observation is supportable, but not an exact original onset or complete duration.
duration: No reopening or gate-level evidence recovered. A June 19 official-confirmation observation is supportable, but not an exact original onset or complete duration.</x:v>
      </x:c>
      <x:c r="I348" s="4" t="str">
        <x:v>Retained baseline assessment. Correction pass: amended with stated qualifications</x:v>
      </x:c>
      <x:c r="J348" s="18" t="d">
        <x:v>2026-10-23T00:00:00.000Z</x:v>
      </x:c>
      <x:c r="K348" s="21" t="str">
        <x:f>IFERROR(HYPERLINK("https://www.channelstv.com/2024/06/19/guinea-bissau-part-closes-senegal-border-over-clashes/","Channels Television"),"Channels Television")</x:f>
        <x:v>Channels Television</x:v>
      </x:c>
      <x:c r="L348" s="21" t="str">
        <x:f>IFERROR(HYPERLINK("https://africacenter.org/spotlight/senegal-building-trust-violent-extremism/","Africa Center"),"Africa Center")</x:f>
        <x:v>Africa Center</x:v>
      </x:c>
      <x:c r="M348" s="21" t="str">
        <x:f>IFERROR(HYPERLINK("https://french.xinhuanet.com/20240620/b17c0fa749e941de9986cbc64bd9b887/c.html","french.xinhuanet.com"),"french.xinhuanet.com")</x:f>
        <x:v>french.xinhuanet.com</x:v>
      </x:c>
      <x:c r="N348" s="4" t="str">
        <x:v>https://www.channelstv.com/2024/06/19/guinea-bissau-part-closes-senegal-border-over-clashes/
https://africacenter.org/spotlight/senegal-building-trust-violent-extremism/
https://french.xinhuanet.com/20240620/b17c0fa749e941de9986cbc64bd9b887/c.html
https://www.igfm.sn/ui/covid-19-la-guinee-bissau-et-le-senegal-ont-finalement-ferme-leurs-frontieres</x:v>
      </x:c>
      <x:c r="O348" s="4" t="str">
        <x:v>Source 1: full
Source 2: indexed excerpt; full
Source 3: indexed excerpt</x:v>
      </x:c>
      <x:c r="P348" s="20" t="n">
        <x:v>1</x:v>
      </x:c>
      <x:c r="Q348" s="4" t="str">
        <x:v>West Africa and Sahel</x:v>
      </x:c>
      <x:c r="R348" s="4" t="str">
        <x:v>Included</x:v>
      </x:c>
    </x:row>
    <x:row r="349" ht="126" hidden="0" customHeight="1">
      <x:c r="A349" s="16" t="str">
        <x:v>W-031</x:v>
      </x:c>
      <x:c r="B349" s="4" t="str">
        <x:v>Gambia December 2016 presidential election closure</x:v>
      </x:c>
      <x:c r="C349" s="4" t="str">
        <x:v>Gambia; Senegal</x:v>
      </x:c>
      <x:c r="D349" s="4" t="str">
        <x:v>Not individually established
Land frontier with Senegal</x:v>
      </x:c>
      <x:c r="E349" s="4" t="str">
        <x:v>Not separately established
Direction: Not separately established
Exceptions: Not established</x:v>
      </x:c>
      <x:c r="F349" s="4" t="str">
        <x:v>W-031-FU1 — Observed operation
Reported Gambia–Senegal election-period land-border closure; individual posts unknown
Start: 2016-12-01.
Last confirmed: 2016-12-01. Reopening is not established.
dated evidence; numeric duration withheld; see qualification</x:v>
      </x:c>
      <x:c r="G349" s="4" t="str">
        <x:v>Electoral politics / Election administration and security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49" s="4" t="str">
        <x:v>W-031-FU1: Reported dated closure snapshot, not independently observed at each gate. Exact hour, exceptions and reopening remain unknown; no inference from telecommunications restoration.
end and continuity: Fresh targeted reopening searches yielded no same-episode endpoint. Add only the AFP-supported December 1 reported closure observation; named-post implementation and full duration remain unresolved.
duration: Fresh targeted reopening searches yielded no same-episode endpoint. Add only the AFP-supported December 1 reported closure observation; named-post implementation and full duration remain unresolved.</x:v>
      </x:c>
      <x:c r="I349" s="4" t="str">
        <x:v>Retained baseline assessment. Follow-up adjudicated; amend</x:v>
      </x:c>
      <x:c r="J349" s="18" t="d">
        <x:v>2026-10-23T00:00:00.000Z</x:v>
      </x:c>
      <x:c r="K349" s="21" t="str">
        <x:f>IFERROR(HYPERLINK("https://www.modernghana.com/news/740508/shock-defeat-for-gambias-jammeh-in-historic-presidential-po.html","ModernGhana / AFP"),"ModernGhana / AFP")</x:f>
        <x:v>ModernGhana / AFP</x:v>
      </x:c>
      <x:c r="L349" s="21" t="str">
        <x:f>IFERROR(HYPERLINK("https://jollofnews.gm/gambia-2016-internet-shut-down-as-voting-begins/","JollofNews"),"JollofNews")</x:f>
        <x:v>JollofNews</x:v>
      </x:c>
      <x:c r="M349" s="21" t="str">
        <x:f>IFERROR(HYPERLINK("https://www.voaafrique.com/a/la-gambie-et-le-senegal-rouvrent-leur-frontiere/3345531.html","voaafrique.com"),"voaafrique.com")</x:f>
        <x:v>voaafrique.com</x:v>
      </x:c>
      <x:c r="N349" s="4" t="str">
        <x:v>https://www.modernghana.com/news/740508/shock-defeat-for-gambias-jammeh-in-historic-presidential-po.html
https://jollofnews.gm/gambia-2016-internet-shut-down-as-voting-begins/
https://www.voaafrique.com/a/la-gambie-et-le-senegal-rouvrent-leur-frontiere/3345531.html
https://ufdcimages.uflib.ufl.edu/UF/00/09/89/64/04224/12-02-2016.pdf
https://www.modernghana.com/news/740508/shock-defeat-for-gambias-jammeh-in-historic-presi.html
https://www.digitaljournal.com/world/heavy-security-as-opposition-takes-banjul-in-gambia-vote/article/480895</x:v>
      </x:c>
      <x:c r="O349" s="4" t="str">
        <x:v>Source 1: full page
Source 2: indexed excerpt; failed
Source 3: indexed excerpt</x:v>
      </x:c>
      <x:c r="P349" s="20" t="n">
        <x:v>1</x:v>
      </x:c>
      <x:c r="Q349" s="4" t="str">
        <x:v>West Africa and Sahel</x:v>
      </x:c>
      <x:c r="R349" s="4" t="str">
        <x:v>Included</x:v>
      </x:c>
    </x:row>
    <x:row r="350" ht="78" hidden="0" customHeight="1">
      <x:c r="A350" s="16" t="str">
        <x:v>W-032</x:v>
      </x:c>
      <x:c r="B350" s="4" t="str">
        <x:v>Benin COVID restriction of nonessential land crossings</x:v>
      </x:c>
      <x:c r="C350" s="4" t="str">
        <x:v>Benin; Nigeria; Niger; Burkina Faso; Togo</x:v>
      </x:c>
      <x:c r="D350" s="4" t="str">
        <x:v>Not individually established
Land entry and exit limited to strictly indispensable crossings; goods continued under customs account</x:v>
      </x:c>
      <x:c r="E350" s="4" t="str">
        <x:v>Nonessential land travellers; goods continued
Direction: Entry and exit expressly restricted
Exceptions: Strictly indispensable crossings in liaison with neighbouring authorities; goods including relief supplies continued</x:v>
      </x:c>
      <x:c r="F350" s="4" t="str">
        <x:v>W-032-D1 — Formal policy
Benin formal restriction of nonessential land entry and exit, with indispensable crossings and goods excepted
Start: 2020-03-17.
Last confirmed: 2020-04-30. Reopening is not established.
Formal policy: confirmed through 2020-04-30; at least 44 calendar-day difference; reopening unknown</x:v>
      </x:c>
      <x:c r="G35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50" s="4" t="str">
        <x:v>W-032-D1: Formal restriction confirmed through the dated Customs status, not proof of continuous physical enforcement or a reopening date. Customs page could not be fetched in the prior check; broader passenger-closure wording does not erase the indispensable-crossing exception.
end: No dated lifting of this land passenger measure is established.</x:v>
      </x:c>
      <x:c r="I350" s="4" t="str">
        <x:v>Retained baseline assessment. Retained with recorded qualifications</x:v>
      </x:c>
      <x:c r="J350" s="18" t="d">
        <x:v>2026-10-23T00:00:00.000Z</x:v>
      </x:c>
      <x:c r="K350" s="21" t="str">
        <x:f>IFERROR(HYPERLINK("https://wiki.unece.org/pages/viewpage.action?navigatingVersions=true&amp;pageId=136446981","UNECE Observatory"),"UNECE Observatory")</x:f>
        <x:v>UNECE Observatory</x:v>
      </x:c>
      <x:c r="L350" s="21" t="str">
        <x:f>IFERROR(HYPERLINK("https://www.gouv.bj/article/556/coronavirus-les-11-mesures-prises-par-le-conseil-extraordinaire-des-ministres-au-benin/","Government of Benin"),"Government of Benin")</x:f>
        <x:v>Government of Benin</x:v>
      </x:c>
      <x:c r="M350" s="21" t="str">
        <x:f>IFERROR(HYPERLINK("https://www.gouv.bj/article/556/coronavirus-les-11/","gouv.bj"),"gouv.bj")</x:f>
        <x:v>gouv.bj</x:v>
      </x:c>
      <x:c r="N350" s="4" t="str">
        <x:v>https://wiki.unece.org/pages/viewpage.action?navigatingVersions=true&amp;pageId=136446981
https://www.gouv.bj/article/556/coronavirus-les-11-mesures-prises-par-le-conseil-extraordinaire-des-ministres-au-benin/
https://www.gouv.bj/article/556/coronavirus-les-11/
https://www.wcoomd.org/-/media/wco/public/global/pdf/topics/facilitation/activities-and-programmes/natural-disaster/covid_19/benin_en.pdf?la=en</x:v>
      </x:c>
      <x:c r="O350" s="4" t="str">
        <x:v>Source 1: search extract
Source 2: full page
Source 3: access detail is retained in the source catalogue.</x:v>
      </x:c>
      <x:c r="P350" s="20" t="n">
        <x:v>1</x:v>
      </x:c>
      <x:c r="Q350" s="4" t="str">
        <x:v>West Africa and Sahel</x:v>
      </x:c>
      <x:c r="R350" s="4" t="str">
        <x:v>Included</x:v>
      </x:c>
    </x:row>
    <x:row r="351" ht="162" hidden="0" customHeight="1">
      <x:c r="A351" s="16" t="str">
        <x:v>R2-AM-001</x:v>
      </x:c>
      <x:c r="B351" s="4" t="str">
        <x:v>Colombia congressional-election frontier closure March 2018</x:v>
      </x:c>
      <x:c r="C351" s="4" t="str">
        <x:v>Colombia; Venezuela; Ecuador; Peru; Brazil</x:v>
      </x:c>
      <x:c r="D351" s="4" t="str">
        <x:v>Authorised land and river border-control posts</x:v>
      </x:c>
      <x:c r="E351" s="4" t="str">
        <x:v>See geographic and movement scope.
Direction: Entry and exit at the authorised posts.
Exceptions: Force-majeure cases.</x:v>
      </x:c>
      <x:c r="F351" s="4" t="str">
        <x:v>R2-AM-001-R1 — Announced window
Colombia authorized land and river border posts
Start: 2018-03-08.
Scheduled endpoint: 2018-03-11.
Ordered window: 3 calendar-day difference; actual end not established
R2-AM-001-C3 — Observed operation
Ordinary authorized passage of people and vehicles at the Rumichaca bridge between Ecuador and Colombia; both directions.
Start: 2018-03-08.
Observed scoped reopening: 2018-03-11.
3 calendar-day difference; scoped endpoint only</x:v>
      </x:c>
      <x:c r="G351"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51" s="4" t="str">
        <x:v>National dates remain an ordered window; newly observed Rumichaca reopening is represented only in its separately scoped operational phase.
R2-AM-001-R1: Scheduled window only; actual continuous enforcement and reopening are not established. Force-majeure exceptions apply.
R2-AM-001-C3: Local bridge interval only. The legal force-majeure exception remains; informal routes and other national posts are outside this interval. Calendar-date arithmetic must not be presented as precise elapsed hours.
national operational endpoint: Rumichaca observation does not establish reopening of all posts covered by the national order.</x:v>
      </x:c>
      <x:c r="I351" s="4" t="str">
        <x:v>Retained baseline assessment. Amended after source reconciliation</x:v>
      </x:c>
      <x:c r="J351" s="18" t="d">
        <x:v>2026-10-23T00:00:00.000Z</x:v>
      </x:c>
      <x:c r="K351" s="21" t="str">
        <x:f>IFERROR(HYPERLINK("https://www.cancilleria.gov.co/en/sala-de-prensa/noticias/pasos-terrestres-y-fluviales-de-frontera-fueron-cerrados-partir-del-8-de-marzo-para-garantizar-el-normal-desarrollo-de-las-elecciones-de-congreso","Colombia Cancillería"),"Colombia Cancillería")</x:f>
        <x:v>Colombia Cancillería</x:v>
      </x:c>
      <x:c r="L351" s="21" t="str">
        <x:f>IFERROR(HYPERLINK("https://www.elcomercio.com/actualidad/ecuador/viajeros-apertura-frontera-colombia-rumichaca/","elcomercio.com"),"elcomercio.com")</x:f>
        <x:v>elcomercio.com</x:v>
      </x:c>
      <x:c r="M351" s="21" t="str">
        <x:f>IFERROR(HYPERLINK("https://caracol.com.co/emisora/2018/03/09/pasto/1520595908_172307.html","caracol.com.co"),"caracol.com.co")</x:f>
        <x:v>caracol.com.co</x:v>
      </x:c>
      <x:c r="N351" s="4" t="str">
        <x:v>https://www.cancilleria.gov.co/en/sala-de-prensa/noticias/pasos-terrestres-y-fluviales-de-frontera-fueron-cerrados-partir-del-8-de-marzo-para-garantizar-el-normal-desarrollo-de-las-elecciones-de-congreso
https://www.elcomercio.com/actualidad/ecuador/viajeros-apertura-frontera-colombia-rumichaca/
https://caracol.com.co/emisora/2018/03/09/pasto/1520595908_172307.html
https://www.eluniversal.com.co/colombia/2018/03/09/colombia-cierra-sus-fronteras-para-elecciones-legislativas-del-domingo/
https://cancilleria.gov.co/en/sala-de-prensa/noticias/pasos-terrestres-y-fluviales-de-frontera-fueron-cerrados-partir-del-8-de-marzo-para-garantizar-el-normal-desarrollo-de-las-elecciones-de-congreso
https://www1.funcionpublica.gov.co/eva/gestornormativo/norma.php?i=85599
https://www.elcomercio.com/actualidad/ecuador/cambistas-dinero-taxistas-tenderos-rumichaca/</x:v>
      </x:c>
      <x:c r="O351" s="4" t="str">
        <x:v>Source 1: indexed excerpt; failed
Source 2: access detail is retained in the source catalogue.
Source 3: access detail is retained in the source catalogue.</x:v>
      </x:c>
      <x:c r="P351" s="20" t="n">
        <x:v>2</x:v>
      </x:c>
      <x:c r="Q351" s="4" t="str">
        <x:v>Americas</x:v>
      </x:c>
      <x:c r="R351" s="4" t="str">
        <x:v>Included</x:v>
      </x:c>
    </x:row>
    <x:row r="352" ht="162" hidden="0" customHeight="1">
      <x:c r="A352" s="16" t="str">
        <x:v>R2-AM-002</x:v>
      </x:c>
      <x:c r="B352" s="4" t="str">
        <x:v>Colombia presidential-election frontier closure May 2018</x:v>
      </x:c>
      <x:c r="C352" s="4" t="str">
        <x:v>Colombia; Venezuela; Ecuador; Peru; Brazil</x:v>
      </x:c>
      <x:c r="D352" s="4" t="str">
        <x:v>Land and river posts; longer Venezuela phase</x:v>
      </x:c>
      <x:c r="E352" s="4" t="str">
        <x:v>See geographic and movement scope.
Direction: Not separately established.
Exceptions: Force-majeure transit.</x:v>
      </x:c>
      <x:c r="F352" s="4" t="str">
        <x:v>R2-AM-002-R1 — Announced window
Colombia–Venezuela authorized land and river posts
Start: 2018-05-24.
Scheduled endpoint: 2018-05-28.
Ordered window: 4 calendar-day difference; actual end not established
R2-AM-002-R2 — Announced window
Other Colombian authorized land and river frontiers, including Ecuador, Peru and Brazil
Start: 2018-05-26.
Scheduled endpoint: 2018-05-27.
Ordered window: 1 calendar-day difference; actual end not established</x:v>
      </x:c>
      <x:c r="G352"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52" s="4" t="str">
        <x:v>R2-AM-002-R1: Scheduled 24 May 00:00 to 28 May 00:00 Colombian time (UTC−5); endpoint date exclusive. Force-majeure exceptions retained; no actual national reopening inferred.
R2-AM-002-R2: Scheduled 26 May 00:00 to 27 May 16:00 Colombian time (UTC−5); endpoint is a partial day and cannot be counted as a full closed day. Force-majeure exceptions retained; actual enforcement/reopening unverified.
continuity: May 2018 legal schedules distinguish Venezuela from other frontiers; targeted follow-up did not supply actual all-post reopening or uninterrupted implementation.</x:v>
      </x:c>
      <x:c r="I352" s="4" t="str">
        <x:v>Retained baseline assessment. Correction pass: reviewed; see attribute findings</x:v>
      </x:c>
      <x:c r="J352" s="18" t="d">
        <x:v>2026-10-23T00:00:00.000Z</x:v>
      </x:c>
      <x:c r="K352" s="21" t="str">
        <x:f>IFERROR(HYPERLINK("https://www.cancilleria.gov.co/sites/default/files/Normograma/docs/decreto_0847_2018.htm","Colombia Ministry of Foreign Affairs"),"Colombia Ministry of Foreign Affairs")</x:f>
        <x:v>Colombia Ministry of Foreign Affairs</x:v>
      </x:c>
      <x:c r="L352" s="21" t="str">
        <x:f>IFERROR(HYPERLINK("https://www.canalinstitucional.tv/noticias/colombia-cierra-sus-fronteras-por-elecciones-presidenciales","Canal Institucional"),"Canal Institucional")</x:f>
        <x:v>Canal Institucional</x:v>
      </x:c>
      <x:c r="M352" s="21" t="str">
        <x:f>IFERROR(HYPERLINK("https://www.minrel.gob.cl/minrel/cierre-de-pasos-terrestres-y-fluviales-por-elecciones-presidenciales-en","Chile Ministry of Foreign Affairs"),"Chile Ministry of Foreign Affairs")</x:f>
        <x:v>Chile Ministry of Foreign Affairs</x:v>
      </x:c>
      <x:c r="N352" s="4" t="str">
        <x:v>https://www.cancilleria.gov.co/sites/default/files/Normograma/docs/decreto_0847_2018.htm
https://www.canalinstitucional.tv/noticias/colombia-cierra-sus-fronteras-por-elecciones-presidenciales
https://www.minrel.gob.cl/minrel/cierre-de-pasos-terrestres-y-fluviales-por-elecciones-presidenciales-en
https://www.eltiempo.com/colombia/otras-ciudades/cierre-de-frontera-por-elecciones-presidenciales-en-colombia-220628</x:v>
      </x:c>
      <x:c r="O352" s="4" t="str">
        <x:v>Source 1: full
Source 2: indexed excerpt
Source 3: indexed excerpt</x:v>
      </x:c>
      <x:c r="P352" s="20" t="n">
        <x:v>2</x:v>
      </x:c>
      <x:c r="Q352" s="4" t="str">
        <x:v>Americas</x:v>
      </x:c>
      <x:c r="R352" s="4" t="str">
        <x:v>Included</x:v>
      </x:c>
    </x:row>
    <x:row r="353" ht="162" hidden="0" customHeight="1">
      <x:c r="A353" s="16" t="str">
        <x:v>R2-AM-003</x:v>
      </x:c>
      <x:c r="B353" s="4" t="str">
        <x:v>Colombia presidential-runoff frontier closure June 2018</x:v>
      </x:c>
      <x:c r="C353" s="4" t="str">
        <x:v>Colombia; Venezuela; Ecuador; Peru; Brazil</x:v>
      </x:c>
      <x:c r="D353" s="4" t="str">
        <x:v>Land and river posts; longer Venezuela phase</x:v>
      </x:c>
      <x:c r="E353" s="4" t="str">
        <x:v>Nationals and foreigners at specified migration posts.
Direction: Not separately established.
Exceptions: Force-majeure transit.</x:v>
      </x:c>
      <x:c r="F353" s="4" t="str">
        <x:v>R2-AM-003-R1 — Announced window
Colombia–Venezuela authorized land and river posts
Start: 2018-06-14.
Scheduled endpoint: 2018-06-18.
Ordered window: 4 calendar-day difference; actual end not established
R2-AM-003-R2 — Announced window
Other Colombian authorized land and river frontiers, including Ecuador, Peru and Brazil
Start: 2018-06-16.
Scheduled endpoint: 2018-06-17.
Ordered window: 1 calendar-day difference; actual end not established</x:v>
      </x:c>
      <x:c r="G353"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53" s="4" t="str">
        <x:v>R2-AM-003-R1: Scheduled window only; actual continuous enforcement and reopening are not established. Force-majeure exceptions apply.
R2-AM-003-R2: Scheduled window only; actual continuous enforcement and reopening are not established. Force-majeure exceptions apply.
continuity: June 2018 legal schedules and the migration announcement describe planned two-stage implementation; completed all-post resumption remains unverified.</x:v>
      </x:c>
      <x:c r="I353" s="4" t="str">
        <x:v>Retained baseline assessment. Correction pass: reviewed; see attribute findings</x:v>
      </x:c>
      <x:c r="J353" s="18" t="d">
        <x:v>2026-10-23T00:00:00.000Z</x:v>
      </x:c>
      <x:c r="K353" s="21" t="str">
        <x:f>IFERROR(HYPERLINK("https://www.cancilleria.gov.co/sites/default/files/Normograma/docs/decreto_0847_2018.htm","Colombia Foreign Ministry"),"Colombia Foreign Ministry")</x:f>
        <x:v>Colombia Foreign Ministry</x:v>
      </x:c>
      <x:c r="L353" s="21" t="str">
        <x:f>IFERROR(HYPERLINK("https://www.bancaynegocios.com/frontera-colombo-venezolana-cerrara-por-elecciones-presidenciales/","Banca y Negocios"),"Banca y Negocios")</x:f>
        <x:v>Banca y Negocios</x:v>
      </x:c>
      <x:c r="M353" s="21" t="str">
        <x:f>IFERROR(HYPERLINK("https://caracol.com.co/noticias/actualidad/desde-el-jueves-habra-cierre-de-fronteras-con-venezuela/20180612/nota/3761048.aspx","Caracol Radio"),"Caracol Radio")</x:f>
        <x:v>Caracol Radio</x:v>
      </x:c>
      <x:c r="N353" s="4" t="str">
        <x:v>https://www.cancilleria.gov.co/sites/default/files/Normograma/docs/decreto_0847_2018.htm
https://www.bancaynegocios.com/frontera-colombo-venezolana-cerrara-por-elecciones-presidenciales/
https://caracol.com.co/noticias/actualidad/desde-el-jueves-habra-cierre-de-fronteras-con-venezuela/20180612/nota/3761048.aspx
https://www.elcomercio.com/actualidad/mundo/colombia-cerrara-fronteras-venezuela-elecciones/
https://www.elcomercio.com/actualidad/ecuador/frontera-ecuador-colombia-eleccionespresidenciales-cierre/</x:v>
      </x:c>
      <x:c r="O353" s="4" t="str">
        <x:v>Source 1: full
Source 2: full
Source 3: indexed excerpt</x:v>
      </x:c>
      <x:c r="P353" s="20" t="n">
        <x:v>2</x:v>
      </x:c>
      <x:c r="Q353" s="4" t="str">
        <x:v>Americas</x:v>
      </x:c>
      <x:c r="R353" s="4" t="str">
        <x:v>Included</x:v>
      </x:c>
    </x:row>
    <x:row r="354" ht="162" hidden="0" customHeight="1">
      <x:c r="A354" s="16" t="str">
        <x:v>R2-AM-006</x:v>
      </x:c>
      <x:c r="B354" s="4" t="str">
        <x:v>Brazil Pacaraima judicial suspension of Venezuelan migrant entry August 2018</x:v>
      </x:c>
      <x:c r="C354" s="4" t="str">
        <x:v>Brazil; Venezuela</x:v>
      </x:c>
      <x:c r="D354" s="4" t="str">
        <x:v>Pacaraima–Santa Elena de Uairén
Pacaraima crossing on Brazilian side</x:v>
      </x:c>
      <x:c r="E354" s="4" t="str">
        <x:v>Venezuelan migrants seeking formal admission to Brazil; no demonstrated general goods prohibition.
Direction: Venezuelan migrants entering Brazil.
Exceptions: AFP explicitly reports Brazilians and other nationalities continued normally; Venezuelan departures permitted. Goods treatment not established.</x:v>
      </x:c>
      <x:c r="F354" s="4" t="str">
        <x:v>R2-AM-006-D1 — Observed operation
Pacaraima crossing on Brazilian side; Venezuelan migrants seeking formal admission to Brazil; no demonstrated general goods prohibition.; Venezuelan migrants entering Brazil.
Start: 2018-08-06.
Observed scoped reopening: 2018-08-07.
1 calendar-day difference; scoped endpoint only</x:v>
      </x:c>
      <x:c r="G354" s="4" t="str">
        <x:v>Migration / Entry and asylum control
Reported reason
Applies to: Recorded episode; exact overlap not separately established
The recorded rationale and claim assessment support the selected subcategories. All applicable broad categories are retained together; no primary rationale is imposed.</x:v>
      </x:c>
      <x:c r="H354" s="4" t="str">
        <x:v>R2-AM-006-D1: Appellate reversal of a lower-court injunction; do not confuse this with a separate Supreme Court denial of the state government’s closure request. Informal paths remained permeable. PF denial concerns whole-border closure, not its admitted Venezuelan-entry prohibition. Press-note reprint is the PF lineage, not independent observation. Round14: UNHCR field observations qualify implementation, while its legal-summary attribution to a Supreme Court reversal conflicts with primary TRF1 chronology. UNHCR direct retrieval failed; substantial indexed text only. AFP onset headline date and dateline differ, but event explicitly Monday August6. AFP explicitly reports Brazilians and other nationalities continued normally; Venezuelan departures permitted. Goods treatment not established.</x:v>
      </x:c>
      <x:c r="I354" s="4" t="str">
        <x:v>Retained baseline assessment. Retained with recorded qualifications</x:v>
      </x:c>
      <x:c r="J354" s="18" t="d">
        <x:v>2026-10-23T00:00:00.000Z</x:v>
      </x:c>
      <x:c r="K354" s="21" t="str">
        <x:f>IFERROR(HYPERLINK("https://noticias.uol.com.br/ultimas-noticias/agencia-brasil/2018/08/07/fronteira-com-a-venezuela-e-reaberta.htm","UOL"),"UOL")</x:f>
        <x:v>UOL</x:v>
      </x:c>
      <x:c r="L354" s="21" t="str">
        <x:f>IFERROR(HYPERLINK("https://www1.folha.uol.com.br/mundo/2018/08/apos-15-horas-fechada-fronteira-com-a-venezuela-e-reaberta-em-roraima.shtml","Folha de S.Paulo"),"Folha de S.Paulo")</x:f>
        <x:v>Folha de S.Paulo</x:v>
      </x:c>
      <x:c r="M354" s="21" t="str">
        <x:f>IFERROR(HYPERLINK("https://www.cliquef5.com.br/geral/policia-federal/nota-a-imprensa-acesso-de-venezuelanos/154846","Cliquef5"),"Cliquef5")</x:f>
        <x:v>Cliquef5</x:v>
      </x:c>
      <x:c r="N354" s="4" t="str">
        <x:v>https://noticias.uol.com.br/ultimas-noticias/agencia-brasil/2018/08/07/fronteira-com-a-venezuela-e-reaberta.htm
https://www1.folha.uol.com.br/mundo/2018/08/apos-15-horas-fechada-fronteira-com-a-venezuela-e-reaberta-em-roraima.shtml
https://www.cliquef5.com.br/geral/policia-federal/nota-a-imprensa-acesso-de-venezuelanos/154846
https://trf1.jus.br/trf1/noticias/?id=8875
https://noticias.uol.com.br/ultimas-noticias/afp/2018/08/06/entrada-por-terra-de-venezuelanos-ao-brasil-e-suspensa.htm
https://www.unhcr.org/news/briefing-notes/unhcr-welcomes-reopening-brazil-venezuela-border-after-brief-closure
https://www.unhcr.org/africa/news/briefing/2018/8/5b695a654/unhcr-welcomes-reopening-brazil-venezuela-border-brief-closure.html</x:v>
      </x:c>
      <x:c r="O354" s="4" t="str">
        <x:v>Source 1: full relevant page text
Source 2: full relevant page text
Source 3: full relevant article body opened</x:v>
      </x:c>
      <x:c r="P354" s="20" t="n">
        <x:v>1</x:v>
      </x:c>
      <x:c r="Q354" s="4" t="str">
        <x:v>Americas</x:v>
      </x:c>
      <x:c r="R354" s="4" t="str">
        <x:v>Included</x:v>
      </x:c>
    </x:row>
    <x:row r="355" ht="162" hidden="0" customHeight="1">
      <x:c r="A355" s="16" t="str">
        <x:v>R2-AM-007</x:v>
      </x:c>
      <x:c r="B355" s="4" t="str">
        <x:v>San Ysidro emergency security-hardening suspension November 19 2018</x:v>
      </x:c>
      <x:c r="C355" s="4" t="str">
        <x:v>United States; Mexico</x:v>
      </x:c>
      <x:c r="D355" s="4" t="str">
        <x:v>San Ysidro vehicle lanes; PedEast
San Ysidro northbound vehicles and PedEast northbound pedestrians</x:v>
      </x:c>
      <x:c r="E355" s="4" t="str">
        <x:v>See geographic and movement scope.
Direction: Northbound into United States.
Exceptions: PedWest and southbound vehicle lanes were unaffected.</x:v>
      </x:c>
      <x:c r="F355" s="4" t="str">
        <x:v>R2-AM-007-D1 — Observed operation
San Ysidro affected lanes on 19 November 2018, ending in partial lane restoration; not all lanes or subsequent restrictions.
Start: 2018-11-19.
Observed scoped reopening: 2018-11-19.
Same-day episode; no whole-day duration inferred</x:v>
      </x:c>
      <x:c r="G355" s="4" t="str">
        <x:v>Migration / Entry and asylum control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55" s="4" t="str">
        <x:v>R2-AM-007-D1: Shown as an episode occurring on this date, not a whole-day closure. Some vehicle lanes remained closed. Classified as emergency security interdiction, not ordinary construction.</x:v>
      </x:c>
      <x:c r="I355" s="4" t="str">
        <x:v>Full-record source audit (REC50-R45); accepted corrections; evidence limits retained.</x:v>
      </x:c>
      <x:c r="J355" s="18" t="d">
        <x:v>2026-10-25T00:00:00.000Z</x:v>
      </x:c>
      <x:c r="K355" s="21" t="str">
        <x:f>IFERROR(HYPERLINK("https://www.aila.org/aila-files/C8477BFB-EDF9-429A-BA3E-A1517DD8CF5E/18111934.pdf","US Customs and Border Protection / AILA"),"US Customs and Border Protection / AILA")</x:f>
        <x:v>US Customs and Border Protection / AILA</x:v>
      </x:c>
      <x:c r="L355" s="21" t="str">
        <x:f>IFERROR(HYPERLINK("https://timesofsandiego.com/crime/2018/11/19/cbp-officials-temporarily-close-traffic-lanes-at-san-ysidro-port-of-entry/","Times of San Diego / City News Service"),"Times of San Diego / City News Service")</x:f>
        <x:v>Times of San Diego / City News Service</x:v>
      </x:c>
      <x:c r="M355" s="21" t="str">
        <x:f>IFERROR(HYPERLINK("https://www.flickr.com/photos/cbpphotos/44140791610","flickr.com"),"flickr.com")</x:f>
        <x:v>flickr.com</x:v>
      </x:c>
      <x:c r="N355" s="4" t="str">
        <x:v>https://www.aila.org/aila-files/C8477BFB-EDF9-429A-BA3E-A1517DD8CF5E/18111934.pdf
https://timesofsandiego.com/crime/2018/11/19/cbp-officials-temporarily-close-traffic-lanes-at-san-ysidro-port-of-entry/
https://www.flickr.com/photos/cbpphotos/44140791610</x:v>
      </x:c>
      <x:c r="O355" s="4" t="str">
        <x:v>Source 1: full text
Source 2: full text
Source 3: access detail is retained in the source catalogue.</x:v>
      </x:c>
      <x:c r="P355" s="20" t="n">
        <x:v>1</x:v>
      </x:c>
      <x:c r="Q355" s="4" t="str">
        <x:v>Americas</x:v>
      </x:c>
      <x:c r="R355" s="4" t="str">
        <x:v>Included</x:v>
      </x:c>
    </x:row>
    <x:row r="356" ht="162" hidden="0" customHeight="1">
      <x:c r="A356" s="16" t="str">
        <x:v>R2-AM-008</x:v>
      </x:c>
      <x:c r="B356" s="4" t="str">
        <x:v>San Ysidro closure during migrant confrontation November 25 2018</x:v>
      </x:c>
      <x:c r="C356" s="4" t="str">
        <x:v>United States; Mexico</x:v>
      </x:c>
      <x:c r="D356" s="4" t="str">
        <x:v>San Ysidro / El Chaparral
San Ysidro pedestrian and vehicle crossing</x:v>
      </x:c>
      <x:c r="E356" s="4" t="str">
        <x:v>See geographic and movement scope.
Direction: Northbound and southbound.
Exceptions: Otay Mesa remained open.</x:v>
      </x:c>
      <x:c r="F356" s="4" t="str">
        <x:v>R2-AM-008-D1 — Observed operation
San Ysidro 25 November 2018 episode with staggered modal reopening; five previously closed lanes excluded.
Start: 2018-11-25.
Observed scoped reopening: 2018-11-25.
Same-day episode; no whole-day duration inferred</x:v>
      </x:c>
      <x:c r="G356" s="4" t="str">
        <x:v>Migration / Entry and asylum control
Attributed official justification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Attributed official justification
Applies to: Recorded episode; exact overlap not separately established
The recorded rationale and claim assessment support the selected subcategories. All applicable broad categories are retained together; no primary rationale is imposed.</x:v>
      </x:c>
      <x:c r="H356" s="4" t="str">
        <x:v>R2-AM-008-D1: Shown as an episode occurring on this date, not a whole-day closure. Reopening covers lanes stopped in this incident, not five lanes already closed for earlier hardening.</x:v>
      </x:c>
      <x:c r="I356" s="4" t="str">
        <x:v>Retained baseline assessment. Amended after source reconciliation</x:v>
      </x:c>
      <x:c r="J356" s="18" t="d">
        <x:v>2026-10-23T00:00:00.000Z</x:v>
      </x:c>
      <x:c r="K356" s="21" t="str">
        <x:f>IFERROR(HYPERLINK("https://www.kpbs.org/news/border-immigration/2018/11/25/officials-close-san-ysidro-border-crossing-amid-ca","KPBS"),"KPBS")</x:f>
        <x:v>KPBS</x:v>
      </x:c>
      <x:c r="L356" s="21" t="str">
        <x:f>IFERROR(HYPERLINK("https://laprensa.org/tijuana-border-crossers-stranded-san-ysidro","laprensa.org"),"laprensa.org")</x:f>
        <x:v>laprensa.org</x:v>
      </x:c>
      <x:c r="M356" s="21"/>
      <x:c r="N356" s="4" t="str">
        <x:v>https://www.kpbs.org/news/border-immigration/2018/11/25/officials-close-san-ysidro-border-crossing-amid-ca
https://laprensa.org/tijuana-border-crossers-stranded-san-ysidro</x:v>
      </x:c>
      <x:c r="O356" s="4" t="str">
        <x:v>Source 1: full relevant page text
Source 2: access detail is retained in the source catalogue.</x:v>
      </x:c>
      <x:c r="P356" s="20" t="n">
        <x:v>1</x:v>
      </x:c>
      <x:c r="Q356" s="4" t="str">
        <x:v>Americas</x:v>
      </x:c>
      <x:c r="R356" s="4" t="str">
        <x:v>Included</x:v>
      </x:c>
    </x:row>
    <x:row r="357" ht="162" hidden="0" customHeight="1">
      <x:c r="A357" s="16" t="str">
        <x:v>R2-AM-004</x:v>
      </x:c>
      <x:c r="B357" s="4" t="str">
        <x:v>Colombia regional-election international-river closure October 2019</x:v>
      </x:c>
      <x:c r="C357" s="4" t="str">
        <x:v>Colombia; Venezuela; Ecuador; Peru; Brazil</x:v>
      </x:c>
      <x:c r="D357" s="4" t="str">
        <x:v>International river transit controlled by Arauca, Puerto Inírida, Puerto Carreño, Puerto Leguízamo and Leticia port captaincies</x:v>
      </x:c>
      <x:c r="E357" s="4" t="str">
        <x:v>Colombian-flag and foreign-flag vessels requiring departure permits.
Direction: Boat departures requiring Colombian port authorisation; source does not establish every direction of incoming traffic.
Exceptions: Humanitarian and necessity exceptions for river departures, subject to authorisation.</x:v>
      </x:c>
      <x:c r="F357" s="4" t="str">
        <x:v>R2-AM-004-R1 — Announced window
Venezuela river frontier under Arauca, Puerto Inírida and Puerto Carreño captaincies
Start: 2019-10-24.
Scheduled endpoint: 2019-10-27.
Ordered window: 3 calendar-day difference; actual end not established
R2-AM-004-R2 — Announced window
River frontiers under Puerto Leguízamo and Leticia captaincies: Peru, Ecuador and Brazil
Start: 2019-10-26.
Scheduled endpoint: 2019-10-27.
Ordered window: 1 calendar-day difference; actual end not established</x:v>
      </x:c>
      <x:c r="G357"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57" s="4" t="str">
        <x:v>R2-AM-004-R1: Humanitarian/necessity departures require authorization; actual enforcement/end not demonstrated.
R2-AM-004-R2: Humanitarian/necessity departures require authorization; no land-crossing expansion.
continuity: DIMAR suspended river departure authorizations within ordered windows. No retrieved evidence establishes actual restart at all affected river ports.</x:v>
      </x:c>
      <x:c r="I357" s="4" t="str">
        <x:v>Full-record source audit (REC50-R40); retained with recorded qualifications; evidence limits retained.</x:v>
      </x:c>
      <x:c r="J357" s="18" t="d">
        <x:v>2026-10-25T00:00:00.000Z</x:v>
      </x:c>
      <x:c r="K357" s="21" t="str">
        <x:f>IFERROR(HYPERLINK("https://www.dimar.mil.co/restriccion-zarpes-fluvial-en-las-fronteras-colombianas-por-elecciones-regionales","Dirección General Marítima, Colombia"),"Dirección General Marítima, Colombia")</x:f>
        <x:v>Dirección General Marítima, Colombia</x:v>
      </x:c>
      <x:c r="L357" s="21" t="str">
        <x:f>IFERROR(HYPERLINK("https://www.elheraldo.co/colombia/2019/10/22/en-video-gobierno-anuncia-cierre-de-fronteras-durante-la-jornada-electoral-de-este-domingo-674540/","El Heraldo"),"El Heraldo")</x:f>
        <x:v>El Heraldo</x:v>
      </x:c>
      <x:c r="M357" s="21" t="str">
        <x:f>IFERROR(HYPERLINK("https://sidn.ramajudicial.gov.co/Legislacion/BusquedaExtendidaFuenteNormativa?NumeroResultados=100&amp;page=21","Rama Judicial, Colombia"),"Rama Judicial, Colombia")</x:f>
        <x:v>Rama Judicial, Colombia</x:v>
      </x:c>
      <x:c r="N357" s="4" t="str">
        <x:v>https://www.dimar.mil.co/restriccion-zarpes-fluvial-en-las-fronteras-colombianas-por-elecciones-regionales
https://www.elheraldo.co/colombia/2019/10/22/en-video-gobierno-anuncia-cierre-de-fronteras-durante-la-jornada-electoral-de-este-domingo-674540/
https://sidn.ramajudicial.gov.co/Legislacion/BusquedaExtendidaFuenteNormativa?NumeroResultados=100&amp;page=21</x:v>
      </x:c>
      <x:c r="O357" s="4" t="str">
        <x:v>Source 1: full; full text
Source 2: indexed excerpt
Source 3: partial metadata</x:v>
      </x:c>
      <x:c r="P357" s="20" t="n">
        <x:v>2</x:v>
      </x:c>
      <x:c r="Q357" s="4" t="str">
        <x:v>Americas</x:v>
      </x:c>
      <x:c r="R357" s="4" t="str">
        <x:v>Included</x:v>
      </x:c>
    </x:row>
    <x:row r="358" ht="102" hidden="0" customHeight="1">
      <x:c r="A358" s="16" t="str">
        <x:v>R2-AM-005</x:v>
      </x:c>
      <x:c r="B358" s="4" t="str">
        <x:v>Colombia pre-national-strike land and river closure November 2019</x:v>
      </x:c>
      <x:c r="C358" s="4" t="str">
        <x:v>Colombia; Venezuela; Ecuador; Peru; Brazil</x:v>
      </x:c>
      <x:c r="D358" s="4" t="str">
        <x:v>12 named land and river migration-control posts</x:v>
      </x:c>
      <x:c r="E358" s="4" t="str">
        <x:v>See geographic and movement scope.
Direction: Not separately established.
Exceptions: Fortuitous circumstances or force-majeure transit.</x:v>
      </x:c>
      <x:c r="F358" s="4" t="str">
        <x:v>R2-AM-005-R1 — Announced window
Twelve listed Colombian migration posts with Venezuela, Brazil, Peru and Ecuador
Start: 2019-11-20.
Scheduled endpoint: 2019-11-22.
Ordered window: 2 calendar-day difference; actual end not established</x:v>
      </x:c>
      <x:c r="G358"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58" s="4" t="str">
        <x:v>R2-AM-005-R1: Ordered 53-hour window: November 20 00:00 to November 22 05:00 local time. Actual uninterrupted enforcement and physical reopening are unverified. Fortuitous/force-majeure transit exempt; both terrestrial and fluvial posts are included.
continuity: November 2019 reporting includes a local closure observation but the national reopening remains prospective; no uninterrupted countrywide spell is verified.</x:v>
      </x:c>
      <x:c r="I358" s="4" t="str">
        <x:v>Retained baseline assessment. Correction pass: reviewed; see attribute findings</x:v>
      </x:c>
      <x:c r="J358" s="18" t="d">
        <x:v>2026-10-23T00:00:00.000Z</x:v>
      </x:c>
      <x:c r="K358" s="21" t="str">
        <x:f>IFERROR(HYPERLINK("https://www.elpais.com.co/amp/colombia/ordenan-cierre-de-fronteras-de-por-paro-nacional-del-21-de-noviembre.html","El País Cali"),"El País Cali")</x:f>
        <x:v>El País Cali</x:v>
      </x:c>
      <x:c r="L358" s="21" t="str">
        <x:f>IFERROR(HYPERLINK("https://www.elcomercio.com/actualidad/mundo/colombia-cierre-frontera-paro-protestas/","El Comercio"),"El Comercio")</x:f>
        <x:v>El Comercio</x:v>
      </x:c>
      <x:c r="M358" s="21" t="str">
        <x:f>IFERROR(HYPERLINK("https://www.aa.com.tr/es/mundo/colombia-cierra-todas-sus-fronteras-por-movilizaciones-del-21-de-noviembre/1650331","Anadolu"),"Anadolu")</x:f>
        <x:v>Anadolu</x:v>
      </x:c>
      <x:c r="N358" s="4" t="str">
        <x:v>https://www.elpais.com.co/amp/colombia/ordenan-cierre-de-fronteras-de-por-paro-nacional-del-21-de-noviembre.html
https://www.elcomercio.com/actualidad/mundo/colombia-cierre-frontera-paro-protestas/
https://www.aa.com.tr/es/mundo/colombia-cierra-todas-sus-fronteras-por-movilizaciones-del-21-de-noviembre/1650331
https://www.eluniverso.com/noticias/2019/11/19/nota/7611629/colombia-rumichaca-ecuador-protestas-marchas-21-noviembre/
https://www.radioipiales.co/2019/11/comercio-afectado-por-cierre-fronterizo/</x:v>
      </x:c>
      <x:c r="O358" s="4" t="str">
        <x:v>Source 1: full
Source 2: indexed excerpt
Source 3: full relevant page text</x:v>
      </x:c>
      <x:c r="P358" s="20" t="n">
        <x:v>1</x:v>
      </x:c>
      <x:c r="Q358" s="4" t="str">
        <x:v>Americas</x:v>
      </x:c>
      <x:c r="R358" s="4" t="str">
        <x:v>Included</x:v>
      </x:c>
    </x:row>
    <x:row r="359" ht="186" hidden="0" customHeight="1">
      <x:c r="A359" s="16" t="str">
        <x:v>R2-AM-009</x:v>
      </x:c>
      <x:c r="B359" s="4" t="str">
        <x:v>PedWest pandemic facility closure persisting beyond national entry ban</x:v>
      </x:c>
      <x:c r="C359" s="4" t="str">
        <x:v>United States; Mexico</x:v>
      </x:c>
      <x:c r="D359" s="4" t="str">
        <x:v>PedWest
PedWest local pedestrian facility within San Ysidro</x:v>
      </x:c>
      <x:c r="E359" s="4" t="str">
        <x:v>See geographic and movement scope.
Direction: Closure at facility; endpoint specifically northbound into United States.
Exceptions: PedEast remained available. PedWest briefly processed Ukrainian refugees in 2022; ordinary northbound service resumed 9 January 2023 at 06:00–14:00, without full southbound or 24-hour restoration.</x:v>
      </x:c>
      <x:c r="F359" s="4" t="str">
        <x:v>R2-AM-009-D1 — Observed operation
Ordinary northbound pedestrian service at PedWest only
Start: 2020-04-01 to 2020-04-30.
Observed scoped reopening: 2023-01-09.
984–1013 calendar-day difference; scoped endpoint only</x:v>
      </x:c>
      <x:c r="G35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59" s="4" t="str">
        <x:v>R2-AM-009-D1: April onset is month precision, not a guessed day. Brief Ukrainian-refugee processing in 2022 is excluded from the ordinary-service scope; PedEast remained available. Endpoint is limited northbound 06:00–14:00 service, not all-category or southbound restoration.</x:v>
      </x:c>
      <x:c r="I359" s="4" t="str">
        <x:v>Targeted source review (REC50-R29); accepted qualification; evidence limits retained.</x:v>
      </x:c>
      <x:c r="J359" s="18" t="d">
        <x:v>2026-10-25T00:00:00.000Z</x:v>
      </x:c>
      <x:c r="K359" s="21" t="str">
        <x:f>IFERROR(HYPERLINK("https://www.kpbs.org/news/border-immigration/2024/10/18/partial-closure-of-pedwest-crossing-still-hurting-cross-border-economy","KPBS"),"KPBS")</x:f>
        <x:v>KPBS</x:v>
      </x:c>
      <x:c r="L359" s="21" t="str">
        <x:f>IFERROR(HYPERLINK("https://www.10news.com/news/local-news/pedwest-border-crossing-in-san-ysidro-set-to-reopen-after-nearly-3-year-closure","10News KGTV"),"10News KGTV")</x:f>
        <x:v>10News KGTV</x:v>
      </x:c>
      <x:c r="M359" s="21" t="str">
        <x:f>IFERROR(HYPERLINK("https://www.kpbs.org/news/border-immigration/2023/01/09/pedwest-opens-to-the-delight-of-cross-border-commuters","KPBS"),"KPBS")</x:f>
        <x:v>KPBS</x:v>
      </x:c>
      <x:c r="N359" s="4" t="str">
        <x:v>https://www.kpbs.org/news/border-immigration/2024/10/18/partial-closure-of-pedwest-crossing-still-hurting-cross-border-economy
https://www.10news.com/news/local-news/pedwest-border-crossing-in-san-ysidro-set-to-reopen-after-nearly-3-year-closure
https://www.kpbs.org/news/border-immigration/2023/01/09/pedwest-opens-to-the-delight-of-cross-border-commuters
https://www.10news.com/news/local-news/pedwest-border-crossing-at-san-ysidro-port-of-entry-reopens
https://www.govserv.org/US/San-Diego/1800964173470951/PedWest-Border-Crossing
https://travel.stackexchange.com/questions/159536/is-the-san-ysidro-pedwest-crossing-closed/159544
https://www.cbp.gov/newsroom/local-media-release/san-diego-cbp-officials-are-announcing-changes-hours-operations-select
https://www.sandiegouniontribune.com/news/border-baja-california/story/2020-04-04/pedwest-crossing-temporarily-closed-as-part-of-changes-at-the-california-mexico-border</x:v>
      </x:c>
      <x:c r="O359" s="4" t="str">
        <x:v>Source 1: full article returned in search extraction
Source 2: full article returned in search extraction
Source 3: full text</x:v>
      </x:c>
      <x:c r="P359" s="20" t="n">
        <x:v>1</x:v>
      </x:c>
      <x:c r="Q359" s="4" t="str">
        <x:v>Americas</x:v>
      </x:c>
      <x:c r="R359" s="4" t="str">
        <x:v>Included</x:v>
      </x:c>
    </x:row>
    <x:row r="360" ht="114" hidden="0" customHeight="1">
      <x:c r="A360" s="16" t="str">
        <x:v>R2-AM-010</x:v>
      </x:c>
      <x:c r="B360" s="4" t="str">
        <x:v>PedWest migrant-processing redeployment closure September 2023</x:v>
      </x:c>
      <x:c r="C360" s="4" t="str">
        <x:v>United States; Mexico</x:v>
      </x:c>
      <x:c r="D360" s="4" t="str">
        <x:v>PedWest
PedWest northbound pedestrian service</x:v>
      </x:c>
      <x:c r="E360" s="4" t="str">
        <x:v>See geographic and movement scope.
Direction: Northbound into United States; southbound was already not operating.
Exceptions: PedEast and Otay Mesa services remained available. CBP One appointment processing at PedWest was explicitly unaffected by the suspension.</x:v>
      </x:c>
      <x:c r="F360" s="4" t="str">
        <x:v>R2-AM-010-D1 — Observed operation
Ordinary northbound pedestrian service at PedWest, excluding CBP One appointments
Start: 2023-09-14.
Observed scoped reopening: 2023-11-16.
63 calendar-day difference; scoped endpoint only</x:v>
      </x:c>
      <x:c r="G360" s="4" t="str">
        <x:v>Migration / Processing capacity
Reported reason
Applies to: Recorded episode; exact overlap not separately established
The recorded rationale and claim assessment support the selected subcategories. All applicable broad categories are retained together; no primary rationale is imposed.</x:v>
      </x:c>
      <x:c r="H360" s="4" t="str">
        <x:v>R2-AM-010-D1: CBP One appointment processing continued and PedEast/Otay Mesa were alternatives. Southbound was already closed and remained so; endpoint is limited northbound service. Reopening text/caption, not the video itself, was inspected.</x:v>
      </x:c>
      <x:c r="I360" s="4" t="str">
        <x:v>Targeted source review (REC50-R29); accepted qualification; evidence limits retained.</x:v>
      </x:c>
      <x:c r="J360" s="18" t="d">
        <x:v>2026-10-25T00:00:00.000Z</x:v>
      </x:c>
      <x:c r="K360" s="21" t="str">
        <x:f>IFERROR(HYPERLINK("https://www.kpbs.org/news/border-immigration/2023/09/14/decision-to-close-pedwest-will-do-more-damage-to-cross-border-economy-experts-say","KPBS"),"KPBS")</x:f>
        <x:v>KPBS</x:v>
      </x:c>
      <x:c r="L360" s="21" t="str">
        <x:f>IFERROR(HYPERLINK("https://www.uniradioinforma.com/gobierno/cbp-suspende-temporalmente-operaciones-cruce-peatonal-ped-west-n695259","Uniradio Informa / CBP"),"Uniradio Informa / CBP")</x:f>
        <x:v>Uniradio Informa / CBP</x:v>
      </x:c>
      <x:c r="M360" s="21" t="str">
        <x:f>IFERROR(HYPERLINK("https://www.nmas.com.mx/baja-california/sociedad/tijuana-reabren-cruce-pedwest/","N+"),"N+")</x:f>
        <x:v>N+</x:v>
      </x:c>
      <x:c r="N360" s="4" t="str">
        <x:v>https://www.kpbs.org/news/border-immigration/2023/09/14/decision-to-close-pedwest-will-do-more-damage-to-cross-border-economy-experts-say
https://www.uniradioinforma.com/gobierno/cbp-suspende-temporalmente-operaciones-cruce-peatonal-ped-west-n695259
https://www.nmas.com.mx/baja-california/sociedad/tijuana-reabren-cruce-pedwest/
https://www.shorenewsnetwork.com/cbp-to-resume-limited-operations-at-san-ysidro-port-of-entrys-pedestrian-west-facility/
https://jornadabc.com.mx/region/reabren-el-cruce-peatonal-pedwest-despues-de-dos-meses-de-cierre/</x:v>
      </x:c>
      <x:c r="O360" s="4" t="str">
        <x:v>Source 1: full text
Source 2: full text
Source 3: full page text/caption; video not inspected</x:v>
      </x:c>
      <x:c r="P360" s="20" t="n">
        <x:v>1</x:v>
      </x:c>
      <x:c r="Q360" s="4" t="str">
        <x:v>Americas</x:v>
      </x:c>
      <x:c r="R360" s="4" t="str">
        <x:v>Included</x:v>
      </x:c>
    </x:row>
    <x:row r="361" ht="102" hidden="0" customHeight="1">
      <x:c r="A361" s="16" t="str">
        <x:v>R2-AM-012</x:v>
      </x:c>
      <x:c r="B361" s="4" t="str">
        <x:v>Eagle Pass Bridge I vehicle suspension September 2023</x:v>
      </x:c>
      <x:c r="C361" s="4" t="str">
        <x:v>United States; Mexico</x:v>
      </x:c>
      <x:c r="D361" s="4" t="str">
        <x:v>Eagle Pass International Bridge I
Vehicle processing at Eagle Pass Bridge I</x:v>
      </x:c>
      <x:c r="E361" s="4" t="str">
        <x:v>See geographic and movement scope.
Direction: Not separately established.</x:v>
      </x:c>
      <x:c r="F361" s="4" t="str">
        <x:v>R2-AM-012-R1 — Observed operation
CBP motor-vehicle processing at Eagle Pass International Bridge I
Start: 2023-09-20.
Observed scoped reopening: 2023-10-16.
26 calendar-day difference; scoped endpoint only</x:v>
      </x:c>
      <x:c r="G361" s="4" t="str">
        <x:v>Migration / Processing capacity
Reported reason
Applies to: Recorded episode; exact overlap not separately established
The recorded rationale and claim assessment support the selected subcategories. All applicable broad categories are retained together; no primary rationale is imposed.</x:v>
      </x:c>
      <x:c r="H361" s="4" t="str">
        <x:v>R2-AM-012-R1: Suspension began September 20 afternoon; completed opening October 16 at 07:00. Pedestrians, railway and Bridge II excluded; no claim all Eagle Pass crossings closed.</x:v>
      </x:c>
      <x:c r="I361" s="4" t="str">
        <x:v>Targeted source review (REC50-R34); retained with recorded qualifications; evidence limits retained.</x:v>
      </x:c>
      <x:c r="J361" s="18" t="d">
        <x:v>2026-10-25T00:00:00.000Z</x:v>
      </x:c>
      <x:c r="K361" s="21" t="str">
        <x:f>IFERROR(HYPERLINK("https://content.govdelivery.com/accounts/USDHSCBP/bulletins/37187cd","US Customs and Border Protection"),"US Customs and Border Protection")</x:f>
        <x:v>US Customs and Border Protection</x:v>
      </x:c>
      <x:c r="L361" s="21" t="str">
        <x:f>IFERROR(HYPERLINK("https://www.eltiempomx.com/noticia/2023/jefe-del-cbp-da-la-bienvenida-a-usuarios-del-puente-internacional-i.html","El Tiempo de Piedras Negras"),"El Tiempo de Piedras Negras")</x:f>
        <x:v>El Tiempo de Piedras Negras</x:v>
      </x:c>
      <x:c r="M361" s="21" t="str">
        <x:f>IFERROR(HYPERLINK("https://mexico-now.com/eagle-pass-bridge-system-succeeds-in-collaborating-with-cbp-to-reopen-bridge-1-in-eagle-pass/","MexicoNow"),"MexicoNow")</x:f>
        <x:v>MexicoNow</x:v>
      </x:c>
      <x:c r="N361" s="4" t="str">
        <x:v>https://content.govdelivery.com/accounts/USDHSCBP/bulletins/37187cd
https://www.eltiempomx.com/noticia/2023/jefe-del-cbp-da-la-bienvenida-a-usuarios-del-puente-internacional-i.html
https://mexico-now.com/eagle-pass-bridge-system-succeeds-in-collaborating-with-cbp-to-reopen-bridge-1-in-eagle-pass/
https://www.kgns.tv/2023/10/16/cbp-resume-vehicle-processing-bridge-one-eagle-pass/
https://www.tyt.com.mx/nota/vuelve-a-la-normalidad-cruce-vehicular-en-puente-eagle-pass
https://mexico-now.com/piedras-negras-eagle-pass-crossing-reopened-after-five-weeks/</x:v>
      </x:c>
      <x:c r="O361" s="4" t="str">
        <x:v>Source 1: full; full text
Source 2: full; full text
Source 3: full; indexed excerpt</x:v>
      </x:c>
      <x:c r="P361" s="20" t="n">
        <x:v>1</x:v>
      </x:c>
      <x:c r="Q361" s="4" t="str">
        <x:v>Americas</x:v>
      </x:c>
      <x:c r="R361" s="4" t="str">
        <x:v>Included</x:v>
      </x:c>
    </x:row>
    <x:row r="362" ht="78" hidden="0" customHeight="1">
      <x:c r="A362" s="16" t="str">
        <x:v>R2-AM-013</x:v>
      </x:c>
      <x:c r="B362" s="4" t="str">
        <x:v>Eagle Pass international railway suspension September 2023</x:v>
      </x:c>
      <x:c r="C362" s="4" t="str">
        <x:v>United States; Mexico</x:v>
      </x:c>
      <x:c r="D362" s="4" t="str">
        <x:v>Eagle Pass international railway bridge
Eagle Pass international railway interchange</x:v>
      </x:c>
      <x:c r="E362" s="4" t="str">
        <x:v>International rail freight.
Direction: Direction not separately established in the suspension notice.</x:v>
      </x:c>
      <x:c r="F362" s="4" t="str">
        <x:v>R2-AM-013-D1 — Observed operation
Eagle Pass international railway interchange; International rail freight.; Direction not separately established in the suspension notice.
Start: 2023-09-20.
Observed scoped reopening: 2023-09-23.
3 calendar-day difference; scoped endpoint only</x:v>
      </x:c>
      <x:c r="G362" s="4" t="str">
        <x:v>Migration / Processing capacity
Reported reason
Applies to: Recorded episode; exact overlap not separately established
The recorded rationale and claim assessment support the selected subcategories. All applicable broad categories are retained together; no primary rationale is imposed.</x:v>
      </x:c>
      <x:c r="H362" s="4" t="str">
        <x:v>R2-AM-013-D1: Carrier network embargoes before September 20 or lifted later are not substituted for this crossing’s closure dates.</x:v>
      </x:c>
      <x:c r="I362" s="4" t="str">
        <x:v>Targeted source review (REC50-R29); accepted qualification; evidence limits retained.</x:v>
      </x:c>
      <x:c r="J362" s="18" t="d">
        <x:v>2026-10-25T00:00:00.000Z</x:v>
      </x:c>
      <x:c r="K362" s="21" t="str">
        <x:f>IFERROR(HYPERLINK("https://content.govdelivery.com/accounts/USDHSCBP/bulletins/37187cd","U.S. Customs and Border Protection"),"U.S. Customs and Border Protection")</x:f>
        <x:v>U.S. Customs and Border Protection</x:v>
      </x:c>
      <x:c r="L362" s="21" t="str">
        <x:f>IFERROR(HYPERLINK("https://www.up.com/customers/announcements/customernews/allcustomernews/CN2023-57.html","Union Pacific"),"Union Pacific")</x:f>
        <x:v>Union Pacific</x:v>
      </x:c>
      <x:c r="M362" s="21" t="str">
        <x:f>IFERROR(HYPERLINK("https://www.up.com/news/people/southern-border-humanitarian-it-230922","up.com"),"up.com")</x:f>
        <x:v>up.com</x:v>
      </x:c>
      <x:c r="N362" s="4" t="str">
        <x:v>https://content.govdelivery.com/accounts/USDHSCBP/bulletins/37187cd
https://www.up.com/customers/announcements/customernews/allcustomernews/CN2023-57.html
https://www.up.com/news/people/southern-border-humanitarian-it-230922
https://www.bnsf.com/news-media/customer-notifications/notification.page?notId=embargo-affecting-ferromex-interchanges-at-eagle-pass-and-el-paso-cancelled</x:v>
      </x:c>
      <x:c r="O362" s="4" t="str">
        <x:v>Source 1: full text
Source 2: full text
Source 3: access detail is retained in the source catalogue.</x:v>
      </x:c>
      <x:c r="P362" s="20" t="n">
        <x:v>1</x:v>
      </x:c>
      <x:c r="Q362" s="4" t="str">
        <x:v>Americas</x:v>
      </x:c>
      <x:c r="R362" s="4" t="str">
        <x:v>Included</x:v>
      </x:c>
    </x:row>
    <x:row r="363" ht="78" hidden="0" customHeight="1">
      <x:c r="A363" s="16" t="str">
        <x:v>R2-AM-014</x:v>
      </x:c>
      <x:c r="B363" s="4" t="str">
        <x:v>Eagle Pass Bridge I northbound passenger suspension November 2023</x:v>
      </x:c>
      <x:c r="C363" s="4" t="str">
        <x:v>United States; Mexico</x:v>
      </x:c>
      <x:c r="D363" s="4" t="str">
        <x:v>Eagle Pass International Bridge I
Bridge I northbound passenger vehicles</x:v>
      </x:c>
      <x:c r="E363" s="4" t="str">
        <x:v>See geographic and movement scope.
Direction: Northbound passenger vehicles into United States.
Exceptions: Bridge II cargo operations continued.</x:v>
      </x:c>
      <x:c r="F363" s="4" t="str">
        <x:v>R2-AM-014-D1 — Observed operation
Bridge I northbound passenger vehicles; See geographic and movement scope.; Northbound passenger vehicles into United States.
Start: 2023-11-27.
Observed scoped reopening: 2024-01-04.
38 calendar-day difference; scoped endpoint only</x:v>
      </x:c>
      <x:c r="G363" s="4" t="str">
        <x:v>Migration / Processing capacity
Reported reason
Applies to: Recorded episode; exact overlap not separately established
The recorded rationale and claim assessment support the selected subcategories. All applicable broad categories are retained together; no primary rationale is imposed.</x:v>
      </x:c>
      <x:c r="H363" s="4" t="str">
        <x:v>R2-AM-014-D1: Specialist operational reporting is corroborated by the official 2024 retrospective; enhanced truck inspections and queues are not classified as a cargo border closure. Bridge II cargo operations continued.</x:v>
      </x:c>
      <x:c r="I363" s="4" t="str">
        <x:v>Retained baseline assessment. Retained with recorded qualifications</x:v>
      </x:c>
      <x:c r="J363" s="18" t="d">
        <x:v>2026-10-23T00:00:00.000Z</x:v>
      </x:c>
      <x:c r="K363" s="21" t="str">
        <x:f>IFERROR(HYPERLINK("https://www.freightwaves.com/news/cbp-reopens-4-southwest-ports-of-entry-after-weekslong-closures","FreightWaves"),"FreightWaves")</x:f>
        <x:v>FreightWaves</x:v>
      </x:c>
      <x:c r="L363" s="21" t="str">
        <x:f>IFERROR(HYPERLINK("https://www.federalregister.gov/documents/2024/06/07/2024-12435/securing-the-border","FederalRegister.gov"),"FederalRegister.gov")</x:f>
        <x:v>FederalRegister.gov</x:v>
      </x:c>
      <x:c r="M363" s="21" t="str">
        <x:f>IFERROR(HYPERLINK("https://www.ksat.com/news/local/2023/11/28/eagle-pass-bridge-1-closed-to-vehicles-coming-into-the-us-until-further-notice/","ksat.com"),"ksat.com")</x:f>
        <x:v>ksat.com</x:v>
      </x:c>
      <x:c r="N363" s="4" t="str">
        <x:v>https://www.freightwaves.com/news/cbp-reopens-4-southwest-ports-of-entry-after-weekslong-closures
https://www.federalregister.gov/documents/2024/06/07/2024-12435/securing-the-border
https://www.ksat.com/news/local/2023/11/28/eagle-pass-bridge-1-closed-to-vehicles-coming-into-the-us-until-further-notice/</x:v>
      </x:c>
      <x:c r="O363" s="4" t="str">
        <x:v>Source 1: full relevant page text
Source 2: full relevant section text
Source 3: access detail is retained in the source catalogue.</x:v>
      </x:c>
      <x:c r="P363" s="20" t="n">
        <x:v>1</x:v>
      </x:c>
      <x:c r="Q363" s="4" t="str">
        <x:v>Americas</x:v>
      </x:c>
      <x:c r="R363" s="4" t="str">
        <x:v>Included</x:v>
      </x:c>
    </x:row>
    <x:row r="364" ht="126" hidden="0" customHeight="1">
      <x:c r="A364" s="16" t="str">
        <x:v>R2-AM-011</x:v>
      </x:c>
      <x:c r="B364" s="4" t="str">
        <x:v>PedWest second migrant-processing closure December 2023</x:v>
      </x:c>
      <x:c r="C364" s="4" t="str">
        <x:v>United States; Mexico</x:v>
      </x:c>
      <x:c r="D364" s="4" t="str">
        <x:v>PedWest
PedWest pedestrian service</x:v>
      </x:c>
      <x:c r="E364" s="4" t="str">
        <x:v>See geographic and movement scope.
Direction: Facility closure; reopened northbound 06:00–14:00 and southbound 15:00–23:00.</x:v>
      </x:c>
      <x:c r="F364" s="4" t="str">
        <x:v>R2-AM-011-D1 — Observed operation
PedWest ordinary pedestrian service during the December redeployment suspension
Start: 2023-12-09.
Observed scoped reopening: 2024-01-04.
26 calendar-day difference; scoped endpoint only</x:v>
      </x:c>
      <x:c r="G364" s="4" t="str">
        <x:v>Migration / Processing capacity
Reported reason
Applies to: Recorded episode; exact overlap not separately established
The recorded rationale and claim assessment support the selected subcategories. All applicable broad categories are retained together; no primary rationale is imposed.</x:v>
      </x:c>
      <x:c r="H364" s="4" t="str">
        <x:v>R2-AM-011-D1: Endpoint restores limited direction-specific hours: northbound 06:00–14:00 and southbound 15:00–23:00, not 24-hour service. Do not apply grouped reporting to Eagle Pass rail or construction-closed Morley.</x:v>
      </x:c>
      <x:c r="I364" s="4" t="str">
        <x:v>Targeted source review (REC50-R29); accepted qualification; evidence limits retained.</x:v>
      </x:c>
      <x:c r="J364" s="18" t="d">
        <x:v>2026-10-25T00:00:00.000Z</x:v>
      </x:c>
      <x:c r="K364" s="21" t="str">
        <x:f>IFERROR(HYPERLINK("https://www.kpbs.org/news/border-immigration/2023/12/08/cbp-to-close-pedwest-border-crossing-during-busy-holiday-season","KPBS"),"KPBS")</x:f>
        <x:v>KPBS</x:v>
      </x:c>
      <x:c r="L364" s="21" t="str">
        <x:f>IFERROR(HYPERLINK("https://www.kpbs.org/news/local/2024/01/03/san-ysidro-pedwest-border-crossing-to-resume-limited-operations","KPBS"),"KPBS")</x:f>
        <x:v>KPBS</x:v>
      </x:c>
      <x:c r="M364" s="21" t="str">
        <x:f>IFERROR(HYPERLINK("https://www.federalregister.gov/documents/2024/06/07/2024-12435/securing-the-border","FederalRegister.gov"),"FederalRegister.gov")</x:f>
        <x:v>FederalRegister.gov</x:v>
      </x:c>
      <x:c r="N364" s="4" t="str">
        <x:v>https://www.kpbs.org/news/border-immigration/2023/12/08/cbp-to-close-pedwest-border-crossing-during-busy-holiday-season
https://www.kpbs.org/news/local/2024/01/03/san-ysidro-pedwest-border-crossing-to-resume-limited-operations
https://www.federalregister.gov/documents/2024/06/07/2024-12435/securing-the-border
https://content.govdelivery.com/accounts/USDHSCBP/bulletins/3816791
https://ny1.com/nyc/all-boroughs/transportation/2024/01/04/vital-pedestrian-crossing-reopens-at-san-diego-border
https://www.freightwaves.com/news/cbp-reopens-4-southwest-ports-of-entry-after-weekslong-closures</x:v>
      </x:c>
      <x:c r="O364" s="4" t="str">
        <x:v>Source 1: full text
Source 2: full text
Source 3: full relevant section text</x:v>
      </x:c>
      <x:c r="P364" s="20" t="n">
        <x:v>1</x:v>
      </x:c>
      <x:c r="Q364" s="4" t="str">
        <x:v>Americas</x:v>
      </x:c>
      <x:c r="R364" s="4" t="str">
        <x:v>Included</x:v>
      </x:c>
    </x:row>
    <x:row r="365" ht="162" hidden="0" customHeight="1">
      <x:c r="A365" s="16" t="str">
        <x:v>R2-SC-006</x:v>
      </x:c>
      <x:c r="B365" s="4" t="str">
        <x:v>Kyrgyz–Tajik local routes closed after March 2019 Vorukh-area clashes</x:v>
      </x:c>
      <x:c r="C365" s="4" t="str">
        <x:v>Kyrgyzstan; Tajikistan</x:v>
      </x:c>
      <x:c r="D365" s="4" t="str">
        <x:v>Isfara–Vorukh route; Ak-Sai/Kok-Tash border area
Disputed local border section and access routes around Vorukh</x:v>
      </x:c>
      <x:c r="E365" s="4" t="str">
        <x:v>Residents and cross-border road users.
Direction: Not directionally disaggregated in retrieved evidence
Exceptions: Not established</x:v>
      </x:c>
      <x:c r="F365" s="4" t="str">
        <x:v>R2-SC-006-D1 — Observed operation
Disputed local border section and access routes around Vorukh; Residents and cross-border road users.; Not directionally disaggregated in retrieved evidence
Start: 2019-03-13.
Observed scoped reopening: 2019-03-18.
5 calendar-day difference; scoped endpoint only</x:v>
      </x:c>
      <x:c r="G365"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Territorial and frontier disputes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65" s="4" t="str">
        <x:v>R2-SC-006-D1: Detailed attribution of violence contested; no claim that every Kyrgyz–Tajik crossing shut. Exact reopening scope follows local RFE/RL report. Not established</x:v>
      </x:c>
      <x:c r="I365" s="4" t="str">
        <x:v>Retained baseline assessment. Retained with recorded qualifications</x:v>
      </x:c>
      <x:c r="J365" s="18" t="d">
        <x:v>2026-10-23T00:00:00.000Z</x:v>
      </x:c>
      <x:c r="K365" s="21" t="str">
        <x:f>IFERROR(HYPERLINK("https://www.rferl.org/a/kyrgyz-tajik-negotiators-reach-agreement-reopen-border-crossing-after-deadly-clashes/29828634.html","Radio Free Europe/Radio Liberty"),"Radio Free Europe/Radio Liberty")</x:f>
        <x:v>Radio Free Europe/Radio Liberty</x:v>
      </x:c>
      <x:c r="L365" s="21" t="str">
        <x:f>IFERROR(HYPERLINK("https://www.qubodiyon.tj/node/312","Qubodiyon district government / NIAT Khovar"),"Qubodiyon district government / NIAT Khovar")</x:f>
        <x:v>Qubodiyon district government / NIAT Khovar</x:v>
      </x:c>
      <x:c r="M365" s="21" t="str">
        <x:f>IFERROR(HYPERLINK("https://www.qubodiyon.tj/node/314","Qubodiyon district government / NIAT Khovar"),"Qubodiyon district government / NIAT Khovar")</x:f>
        <x:v>Qubodiyon district government / NIAT Khovar</x:v>
      </x:c>
      <x:c r="N365" s="4" t="str">
        <x:v>https://www.rferl.org/a/kyrgyz-tajik-negotiators-reach-agreement-reopen-border-crossing-after-deadly-clashes/29828634.html
https://www.qubodiyon.tj/node/312
https://www.qubodiyon.tj/node/314
https://shahrituz.tj/node/324
https://cabar.asia/en/the-road-of-contention-the-authorities-of-kyrgyzstan-and-tajikistan-begin-negotiations-after-a-border-conflict
https://www.azattyqasia.org/a/kyrgyzstan-tajikistan-border-open/29828220.html
https://khuroson.tj/en/2019/03/14/press-statement-of-the-main-directorate-of-the-border-troops-of-the-state-committee-for-national-security-of-tajikistan/
https://24.kg/english/112254_Road_on_Kyrgyzstan-Tajikistan_border_opened_situation_is_stable/</x:v>
      </x:c>
      <x:c r="O365" s="4" t="str">
        <x:v>Source 1: full page
Source 2: failed: timeout
Source 3: failed: timeout</x:v>
      </x:c>
      <x:c r="P365" s="20" t="n">
        <x:v>1</x:v>
      </x:c>
      <x:c r="Q365" s="4" t="str">
        <x:v>Central Asia and Caucasus</x:v>
      </x:c>
      <x:c r="R365" s="4" t="str">
        <x:v>Included</x:v>
      </x:c>
    </x:row>
    <x:row r="366" ht="162" hidden="0" customHeight="1">
      <x:c r="A366" s="16" t="str">
        <x:v>R2-SC-005</x:v>
      </x:c>
      <x:c r="B366" s="4" t="str">
        <x:v>South Ossetian de facto authorities order crossing closure for June 2019 election</x:v>
      </x:c>
      <x:c r="C366" s="4" t="str">
        <x:v>Georgia</x:v>
      </x:c>
      <x:c r="D366" s="4" t="str">
        <x:v>Simplified ABL crossings; Civil Georgia names Sinaguri, Karzmani, Zardiaantkari, Ergneti and Odzisi in contextual list
Simplified crossings with Tbilisi-administered Georgia</x:v>
      </x:c>
      <x:c r="E366" s="4" t="str">
        <x:v>People using simplified crossings.
Direction: Not directionally disaggregated in retrieved evidence
Exceptions: Not established</x:v>
      </x:c>
      <x:c r="F366" s="4" t="str">
        <x:v>R2-SC-005-R1 — Announced window
Simplified crossing points between South Ossetia and Georgian-administered territory covered by the election security order
Start: 2019-06-08.
Scheduled endpoint: 2019-06-11.
Ordered window: 3 calendar-day difference; actual end not established</x:v>
      </x:c>
      <x:c r="G366"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366" s="4" t="str">
        <x:v>R2-SC-005-R1: 06:00 to 06:00 Moscow time. Does not prove enforcement or actual reopening. Announcement enumeration of five posts may include already non-operating routes.
continuity: KGB election schedule is June 8 06:00 to June 11 06:00. Sources establish the announced citizen-crossing suspension, not observed reopening or activity at every nominal crossing.</x:v>
      </x:c>
      <x:c r="I366" s="4" t="str">
        <x:v>Full-record source audit (REC50-R35); accepted corrections; evidence limits retained.</x:v>
      </x:c>
      <x:c r="J366" s="18" t="d">
        <x:v>2026-10-25T00:00:00.000Z</x:v>
      </x:c>
      <x:c r="K366" s="21" t="str">
        <x:f>IFERROR(HYPERLINK("https://civil.ge/archives/307477","Civil Georgia"),"Civil Georgia")</x:f>
        <x:v>Civil Georgia</x:v>
      </x:c>
      <x:c r="L366" s="21" t="str">
        <x:f>IFERROR(HYPERLINK("https://www.eng.kavkaz-uzel.eu/articles/47403","Caucasian Knot"),"Caucasian Knot")</x:f>
        <x:v>Caucasian Knot</x:v>
      </x:c>
      <x:c r="M366" s="21"/>
      <x:c r="N366" s="4" t="str">
        <x:v>https://civil.ge/archives/307477
https://www.eng.kavkaz-uzel.eu/articles/47403</x:v>
      </x:c>
      <x:c r="O366" s="4" t="str">
        <x:v>Source 1: indexed excerpt; full; full text
Source 2: indexed excerpt; full; full text</x:v>
      </x:c>
      <x:c r="P366" s="20" t="n">
        <x:v>1</x:v>
      </x:c>
      <x:c r="Q366" s="4" t="str">
        <x:v>Central Asia and Caucasus</x:v>
      </x:c>
      <x:c r="R366" s="4" t="str">
        <x:v>Included</x:v>
      </x:c>
    </x:row>
    <x:row r="367" ht="78" hidden="0" customHeight="1">
      <x:c r="A367" s="16" t="str">
        <x:v>R2-SC-007</x:v>
      </x:c>
      <x:c r="B367" s="4" t="str">
        <x:v>Vorukh-access and Batken corridor traffic halted in July 2019 border clash</x:v>
      </x:c>
      <x:c r="C367" s="4" t="str">
        <x:v>Kyrgyzstan; Tajikistan</x:v>
      </x:c>
      <x:c r="D367" s="4" t="str">
        <x:v>Isfara–Vorukh; Batken–Isfana corridor (Interfax names Batken–Isfara)
Cross-border/enclave-access road traffic</x:v>
      </x:c>
      <x:c r="E367" s="4" t="str">
        <x:v>Cross-border/enclave-access road traffic
Direction: Not directionally disaggregated in retrieved evidence
Exceptions: Not established</x:v>
      </x:c>
      <x:c r="F367" s="4" t="str">
        <x:v>R2-SC-007-D1 — Observed operation
Isfara–Vorukh enclave-access road traffic only
Start: 2019-07-22.
Observed scoped reopening: 2019-07-25.
3 calendar-day difference; scoped endpoint only</x:v>
      </x:c>
      <x:c r="G367"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67" s="4" t="str">
        <x:v>R2-SC-007-D1: Official operational account, not independent daily observation. Excludes the differently named Batken/Isfana–Osh corridor reported unblocked late July 24; route-name discrepancies are retained rather than averaged.</x:v>
      </x:c>
      <x:c r="I367" s="4" t="str">
        <x:v>Retained baseline assessment. Retained with recorded qualifications</x:v>
      </x:c>
      <x:c r="J367" s="18" t="d">
        <x:v>2026-10-23T00:00:00.000Z</x:v>
      </x:c>
      <x:c r="K367" s="21" t="str">
        <x:f>IFERROR(HYPERLINK("https://interfax.com/newsroom/top-stories/19603/","Interfax"),"Interfax")</x:f>
        <x:v>Interfax</x:v>
      </x:c>
      <x:c r="L367" s="21" t="str">
        <x:f>IFERROR(HYPERLINK("https://for.kg/news-591535-en.html","24.kg via for.kg"),"24.kg via for.kg")</x:f>
        <x:v>24.kg via for.kg</x:v>
      </x:c>
      <x:c r="M367" s="21" t="str">
        <x:f>IFERROR(HYPERLINK("https://akipress.com/news%3A622557%3ABatken-Isfana_and_Isfara-Vorukh_roads_reopened/","AKIpress"),"AKIpress")</x:f>
        <x:v>AKIpress</x:v>
      </x:c>
      <x:c r="N367" s="4" t="str">
        <x:v>https://interfax.com/newsroom/top-stories/19603/
https://for.kg/news-591535-en.html
https://akipress.com/news%3A622557%3ABatken-Isfana_and_Isfara-Vorukh_roads_reopened/
https://asiaplus.news/en/2019/07/25/vorukh-isfara-road-reopens-tajik-authorities-take-seriously-wounded-persons-out-of-vorukh/</x:v>
      </x:c>
      <x:c r="O367" s="4" t="str">
        <x:v>Source 1: full page
Source 2: full page
Source 3: search-indexed text; direct page blocked</x:v>
      </x:c>
      <x:c r="P367" s="20" t="n">
        <x:v>1</x:v>
      </x:c>
      <x:c r="Q367" s="4" t="str">
        <x:v>Central Asia and Caucasus</x:v>
      </x:c>
      <x:c r="R367" s="4" t="str">
        <x:v>Included</x:v>
      </x:c>
    </x:row>
    <x:row r="368" ht="90" hidden="0" customHeight="1">
      <x:c r="A368" s="16" t="str">
        <x:v>R2-SC-011</x:v>
      </x:c>
      <x:c r="B368" s="4" t="str">
        <x:v>South Ossetian de facto authorities close Ruk crossing with Russia during COVID</x:v>
      </x:c>
      <x:c r="C368" s="4" t="str">
        <x:v>Georgia; Russia</x:v>
      </x:c>
      <x:c r="D368" s="4" t="str">
        <x:v>Ruk/Roki
Ruk/Roki checkpoint to Russia, with evolving exceptions</x:v>
      </x:c>
      <x:c r="E368" s="4" t="str">
        <x:v>Ruk/Roki checkpoint to Russia, with evolving exceptions
Direction: Not directionally disaggregated in retrieved evidence
Exceptions: April extension exempted returnees, official/diplomatic delegations, Russian servicemen, bereavement travel and authorised medical cases.</x:v>
      </x:c>
      <x:c r="F368" s="4" t="str">
        <x:v>R2-SC-011-D1 — Formal policy
Ruk/Roki crossing restriction for Russian and South Ossetian citizens, subject to evolving exceptions
Start: 2020-04-05.
Policy endpoint: 2020-09-15.
Formal policy: 163 calendar-day difference; operational continuity not established</x:v>
      </x:c>
      <x:c r="G36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68" s="4" t="str">
        <x:v>R2-SC-011-D1: Policy period, not a universal physical closure. Returnees, official/diplomatic groups, servicemen, bereavement and authorised medical cases were exempt; third-country restrictions persisted. Overlapping Russian policy is not additional closed-days.</x:v>
      </x:c>
      <x:c r="I368" s="4" t="str">
        <x:v>Retained baseline assessment. Retained with recorded qualifications</x:v>
      </x:c>
      <x:c r="J368" s="18" t="d">
        <x:v>2026-10-23T00:00:00.000Z</x:v>
      </x:c>
      <x:c r="K368" s="21" t="str">
        <x:f>IFERROR(HYPERLINK("https://cominf.org/en/archive/all/2020/4/6","RES"),"RES")</x:f>
        <x:v>RES</x:v>
      </x:c>
      <x:c r="L368" s="21" t="str">
        <x:f>IFERROR(HYPERLINK("https://www.interfax-russia.ru/military/news_eng/344769","Interfax"),"Interfax")</x:f>
        <x:v>Interfax</x:v>
      </x:c>
      <x:c r="M368" s="21" t="str">
        <x:f>IFERROR(HYPERLINK("https://cominf.org/en/node/1166532610","RES"),"RES")</x:f>
        <x:v>RES</x:v>
      </x:c>
      <x:c r="N368" s="4" t="str">
        <x:v>https://cominf.org/en/archive/all/2020/4/6
https://www.interfax-russia.ru/military/news_eng/344769
https://cominf.org/en/node/1166532610
https://www.rferl.org/a/russia-reopens-de-facto-border-with-georgia-s-breakaway-region-of-south-ossetia/30839708.html
https://cominf.org/en/node/1166529153
https://rsogov.org/news/609</x:v>
      </x:c>
      <x:c r="O368" s="4" t="str">
        <x:v>Source 1: search extract
Source 2: search extract
Source 3: search extract</x:v>
      </x:c>
      <x:c r="P368" s="20" t="n">
        <x:v>1</x:v>
      </x:c>
      <x:c r="Q368" s="4" t="str">
        <x:v>Central Asia and Caucasus</x:v>
      </x:c>
      <x:c r="R368" s="4" t="str">
        <x:v>Included</x:v>
      </x:c>
    </x:row>
    <x:row r="369" ht="258" hidden="0" customHeight="1">
      <x:c r="A369" s="16" t="str">
        <x:v>R2-SC-012</x:v>
      </x:c>
      <x:c r="B369" s="4" t="str">
        <x:v>Iran halts ordinary bilateral trade at Dogharoun and Mahiroud during July 2021 advance</x:v>
      </x:c>
      <x:c r="C369" s="4" t="str">
        <x:v>Iran; Afghanistan</x:v>
      </x:c>
      <x:c r="D369" s="4" t="str">
        <x:v>Dogharoun–Islam Qala; Mahiroud–Abu Nasr Farahi
Ordinary bilateral trade at two Afghan crossings; TIR transit treated separately</x:v>
      </x:c>
      <x:c r="E369" s="4" t="str">
        <x:v>Trade/international road-transport activity at two Afghan crossings
Direction: Not directionally disaggregated in retrieved evidence
Exceptions: Milak–Zaranj remained available for international road transport.</x:v>
      </x:c>
      <x:c r="F369" s="4" t="str">
        <x:v>R2-SC-012-D1 — Observed operation
Dogharoun–Islam Qala ordinary commercial goods from Iran to Afghanistan; mainly Afghan carriers, excluding any separately continuing formal TIR/transport permissions.
Start: 2021-07-08.
Observed scoped reopening: 2021-07-10 to 2021-07-15.
Last confirmed observation: 2021-07-10.
2–7 calendar-day difference; scoped endpoint only
R2-SC-012-C3 — Observed operation
Mahiroud–Abu Nasr Farahi ordinary Iranian commercial goods exported in Afghan trucks
Start: 2021-07-08.
Observed scoped reopening: 2021-07-10.
2 calendar-day difference; scoped endpoint only</x:v>
      </x:c>
      <x:c r="G369"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69" s="4" t="str">
        <x:v>Ordinary export restoration is split: Mahiroud on July 10, Dogharoun bounded July 10–15. The prior joint July 11 closure inference is withdrawn. Formal transport/TIR permissions and the later holiday closure are distinct.
R2-SC-012-D1: Bounded first partial cargo restoration, not normal capacity or formal repeal. July 11 generic closed-post update cannot establish joint ordinary-trade continuity after Mahiroud resumed July 10. Later holiday closure separate.
R2-SC-012-C3: First limited export restoration; normality reported July 11. Excludes other direction, TIR-specific rules and later holiday closure.</x:v>
      </x:c>
      <x:c r="I369" s="4" t="str">
        <x:v>Retained baseline assessment. Amended after source reconciliation</x:v>
      </x:c>
      <x:c r="J369" s="18" t="d">
        <x:v>2026-10-23T00:00:00.000Z</x:v>
      </x:c>
      <x:c r="K369" s="21" t="str">
        <x:f>IFERROR(HYPERLINK("https://www.tasnimnews.ir/en/news/2021/07/10/2535473/iran-s-borders-with-afghanistan-safe-spokesman","Tasnim"),"Tasnim")</x:f>
        <x:v>Tasnim</x:v>
      </x:c>
      <x:c r="L369" s="21" t="str">
        <x:f>IFERROR(HYPERLINK("https://wiki.unece.org/spaces/CTRBSBC/pages/101548399/Afghanistan","UNECE Observatory"),"UNECE Observatory")</x:f>
        <x:v>UNECE Observatory</x:v>
      </x:c>
      <x:c r="M369" s="21" t="str">
        <x:f>IFERROR(HYPERLINK("https://old.iranintl.com/en/world/iran-official-says-taliban-ready-resume-cross-border-transport","old.iranintl.com"),"old.iranintl.com")</x:f>
        <x:v>old.iranintl.com</x:v>
      </x:c>
      <x:c r="N369" s="4" t="str">
        <x:v>https://www.tasnimnews.ir/en/news/2021/07/10/2535473/iran-s-borders-with-afghanistan-safe-spokesman
https://wiki.unece.org/spaces/CTRBSBC/pages/101548399/Afghanistan
https://old.iranintl.com/en/world/iran-official-says-taliban-ready-resume-cross-border-transport
https://armaneghtesadi.com/653406/1400/04/19/آخرین-خبر-از-مرز-ایران-و-افغانستان/
https://khatebazar.ir/برقراری-تجارت-مرزی-با-افغانستان-و-لغو-م/
https://iranpress.com/content/44122/iran-afghanistan-borders-closed-for-days
https://m.aa.com.tr/en/middle-east/iran-halts-trade-through-key-afghanistan-border-posts-captured-by-taliban/2299615
https://irannewsdaily.com/wp-content/uploads/2021/07/1400-4-29.pdf
https://wiki.unece.org/pages/viewpage.action?navigatingVersions=true&amp;pageId=136446653
https://www.aa.com.tr/en/middle-east/iran-halts-trade-through-key-afghanistan-border-posts-captured-by-taliban/2299615
https://armaneghtesadi.com/653406/1400/04/19/%D8%A2%D8%AE%D8%B1%DB%8C%D9%86-%D8%AE%D8%A8%D8%B1-%D8%A7%D8%B2-%D9%85%D8%B1%D8%B2-%D8%A7%DB%8C%D8%B1%D8%A7%D9%86-%D9%88-%D8%A7%D9%81%D8%BA%D8%A7%D9%86%D8%B3%D8%AA%D8%A7%D9%86/
https://khatebazar.ir/%D8%A8%D8%B1%D9%82%D8%B1%D8%A7%D8%B1%DB%8C-%D8%AA%D8%AC%D8%A7%D8%B1%D8%AA-%D9%85%D8%B1%D8%B2%DB%8C-%D8%A8%D8%A7-%D8%A7%D9%81%D8%BA%D8%A7%D9%86%D8%B3%D8%AA%D8%A7%D9%86-%D9%88-%D9%84%D8%BA%D9%88-%D9%85/</x:v>
      </x:c>
      <x:c r="O369" s="4" t="str">
        <x:v>Source 1: search extract
Source 2: search extract
Source 3: access detail is retained in the source catalogue.</x:v>
      </x:c>
      <x:c r="P369" s="20" t="n">
        <x:v>2</x:v>
      </x:c>
      <x:c r="Q369" s="4" t="str">
        <x:v>Central Asia and Caucasus</x:v>
      </x:c>
      <x:c r="R369" s="4" t="str">
        <x:v>Included</x:v>
      </x:c>
    </x:row>
    <x:row r="370" ht="162" hidden="0" customHeight="1">
      <x:c r="A370" s="16" t="str">
        <x:v>R2-SC-010</x:v>
      </x:c>
      <x:c r="B370" s="4" t="str">
        <x:v>Kara-Suu/Karasu inherited closure partially lifted in September 2024</x:v>
      </x:c>
      <x:c r="C370" s="4" t="str">
        <x:v>Kyrgyzstan; Uzbekistan</x:v>
      </x:c>
      <x:c r="D370" s="4" t="str">
        <x:v>Kara-Suu / Karasu, Osh–Andijan frontier
Kara-Suu/Karasu checkpoint, partial bilateral citizen reopening.</x:v>
      </x:c>
      <x:c r="E370" s="4" t="str">
        <x:v>Kyrgyz/Uzbek citizens on foot at reopening; original freight scope unresolved.
Direction: Not directionally disaggregated in retrieved evidence
Exceptions: Daylight bilateral citizen passage; vehicles, animals and cargo prohibited except personal goods.</x:v>
      </x:c>
      <x:c r="F370" s="4" t="str">
        <x:v>R2-SC-010-R1 — Observed operation
Kara-Suu/Korasuv checkpoint, limited to ordinary pedestrian passage by citizens of Kyrgyzstan and Uzbekistan that was restored on 12 September 2024
Start: 2010-02-06 to 2010-03-01.
Observed scoped reopening: 2024-09-12.
5309–5332 calendar-day difference; scoped endpoint only</x:v>
      </x:c>
      <x:c r="G370" s="4" t="str">
        <x:v>Interstate disputes and pressure / Sanctions and coercive pressure
Analytical interpretation of reported context
Applies to: Original 2010 onset; persistence of motive not established
Official explanations relayed as low traffic or renovation; political motive remains interpretation, not established government admission.</x:v>
      </x:c>
      <x:c r="H370" s="4" t="str">
        <x:v>Contemporary reports narrow initial restriction transition to February 6–March 1 2010, with home-return exceptions first; motive disputed. Partial September 12 2024 pedestrian reopening only.
R2-SC-010-R1: Onset bound covers an evolving returnee exception, not one exact universal closure instant. Fourteen/fifteen-year rounded conflict retained. Endpoint only daytime bilateral-citizen pedestrians. Alleged renovation was not observed at March 4 visit; original motive remains contested.</x:v>
      </x:c>
      <x:c r="I370" s="4" t="str">
        <x:v>Targeted source review (REC50-R49); retained with recorded qualifications; evidence limits retained.</x:v>
      </x:c>
      <x:c r="J370" s="18" t="d">
        <x:v>2026-10-25T00:00:00.000Z</x:v>
      </x:c>
      <x:c r="K370" s="21" t="str">
        <x:f>IFERROR(HYPERLINK("https://www.azattyqasia.org/a/na-kyrgyzsko-uzbekskoy-granitse-otkrylsya-ne-rabotavshiy-s-2010-goda-punkt-propuska-kara-suu-/33117033.html","Azattyk / RFE/RL"),"Azattyk / RFE/RL")</x:f>
        <x:v>Azattyk / RFE/RL</x:v>
      </x:c>
      <x:c r="L370" s="21" t="str">
        <x:f>IFERROR(HYPERLINK("https://economist.kg/society/2024/09/12/obnovliennyi-punkt-propuska-kara-suu-budiet-rabotat-tolko-dniem-poghranichnaia-sluzhba/","Economist.kg"),"Economist.kg")</x:f>
        <x:v>Economist.kg</x:v>
      </x:c>
      <x:c r="M370" s="21" t="str">
        <x:f>IFERROR(HYPERLINK("https://www.rferl.org/a/Checkpoint_On_KyrgyzUzbek_Border_Closed_/1973876.html","RFE/RL"),"RFE/RL")</x:f>
        <x:v>RFE/RL</x:v>
      </x:c>
      <x:c r="N370" s="4" t="str">
        <x:v>https://www.azattyqasia.org/a/na-kyrgyzsko-uzbekskoy-granitse-otkrylsya-ne-rabotavshiy-s-2010-goda-punkt-propuska-kara-suu-/33117033.html
https://economist.kg/society/2024/09/12/obnovliennyi-punkt-propuska-kara-suu-budiet-rabotat-tolko-dniem-poghranichnaia-sluzhba/
https://www.rferl.org/a/Checkpoint_On_KyrgyzUzbek_Border_Closed_/1973876.html
https://russian.eurasianet.org/node/58083
https://www.iica.uz/en/news/2024/09/12/qorasu-chegara-posti-15-yildan-keyin-qayta-ochildi
https://kun.uz/en/news/2024/09/12/kara-suu-border-crossing-between-uzbekistan-and-kyrgyzstan-reopens-after-14-years-closure
https://24.kg/english/304865_Kara-Suu_checkpoint_opened_on_Kyrgyzstan_-_Uzbekistan_border/
https://www.gov.kg/ru/post/s/24530-kyrgyzstan-menen-ozbekstandyn-mamlekettik-cek-arasyndagy-kara-suu-unaazol-kozomoldoo-otkoruu-punktu-kairadan-iske-kirgizildi</x:v>
      </x:c>
      <x:c r="O370" s="4" t="str">
        <x:v>Source 1: full; full text
Source 2: full; full text
Source 3: full text</x:v>
      </x:c>
      <x:c r="P370" s="20" t="n">
        <x:v>1</x:v>
      </x:c>
      <x:c r="Q370" s="4" t="str">
        <x:v>Central Asia and Caucasus</x:v>
      </x:c>
      <x:c r="R370" s="4" t="str">
        <x:v>Included</x:v>
      </x:c>
    </x:row>
    <x:row r="371" ht="150" hidden="0" customHeight="1">
      <x:c r="A371" s="16" t="str">
        <x:v>R2-EA-013</x:v>
      </x:c>
      <x:c r="B371" s="4" t="str">
        <x:v>Mong Cai–Dongxing ordinary passenger pandemic suspension</x:v>
      </x:c>
      <x:c r="C371" s="4" t="str">
        <x:v>Vietnam; China</x:v>
      </x:c>
      <x:c r="D371" s="4" t="str">
        <x:v>Mong Cai–Dongxing international passenger crossing</x:v>
      </x:c>
      <x:c r="E371" s="4" t="str">
        <x:v>Ordinary cross-border passengers; not cargo.
Direction: Bilateral passenger processing.
Exceptions: Home-return access preceded February endpoint; group tours resumed later. Valid travel and health documents required.</x:v>
      </x:c>
      <x:c r="F371" s="4" t="str">
        <x:v>R2-EA-013-R1 — Formal policy
Mong Cai–Dongxing, ordinary individual visitors excluded while citizens' home returns allowed
Start: 2023-01-08.
Policy endpoint: 2023-02-21.
Formal policy: 44 calendar-day difference; operational continuity not established
R2-EA-013-R2 — Formal policy
Mong Cai–Dongxing, organised tourist groups excluded while individual entry/exit allowed
Start: 2023-02-21.
Policy endpoint: 2023-03-15.
Formal policy: 22 calendar-day difference; operational continuity not established</x:v>
      </x:c>
      <x:c r="G37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71" s="4" t="str">
        <x:v>R2-EA-013-R1: January 8 repatriation phase, not original pandemic onset. Individual permissions start February 21 at 07:00 Vietnam time; travel documents and health conditions remain. Provincial direct open timed out; official indexed text inspected.
R2-EA-013-R2: Organised Chinese outbound group tours to Vietnam start March 15, with arrivals observed that morning. Endpoint is category relaxation, not all-day closure; exact first group crossing time unavailable. Individuals already permitted.</x:v>
      </x:c>
      <x:c r="I371" s="4" t="str">
        <x:v>Retained baseline assessment. Retained with recorded qualifications</x:v>
      </x:c>
      <x:c r="J371" s="18" t="d">
        <x:v>2026-10-23T00:00:00.000Z</x:v>
      </x:c>
      <x:c r="K371" s="21" t="str">
        <x:f>IFERROR(HYPERLINK("https://www.quangninh.gov.vn/Sites/en-us/Trang/ChiTietTinTuc.aspx?nid=6251","Quang Ninh provincial government"),"Quang Ninh provincial government")</x:f>
        <x:v>Quang Ninh provincial government</x:v>
      </x:c>
      <x:c r="L371" s="21" t="str">
        <x:f>IFERROR(HYPERLINK("https://en.nhandan.vn/mong-cai-dongxing-international-border-gate-resumes-entry-exit-activities-post122731.html","Nhan Dan / VNA"),"Nhan Dan / VNA")</x:f>
        <x:v>Nhan Dan / VNA</x:v>
      </x:c>
      <x:c r="M371" s="21" t="str">
        <x:f>IFERROR(HYPERLINK("https://mongcai.gov.vn/vi-vn/tin/khoi-phuc-hoat-dong-xuat-nhap-canh-qua-cap-cua-khau-mong-caidong-hung-p24021-c58053-n702279","Mong Cai government"),"Mong Cai government")</x:f>
        <x:v>Mong Cai government</x:v>
      </x:c>
      <x:c r="N371" s="4" t="str">
        <x:v>https://www.quangninh.gov.vn/Sites/en-us/Trang/ChiTietTinTuc.aspx?nid=6251
https://en.nhandan.vn/mong-cai-dongxing-international-border-gate-resumes-entry-exit-activities-post122731.html
https://mongcai.gov.vn/vi-vn/tin/khoi-phuc-hoat-dong-xuat-nhap-canh-qua-cap-cua-khau-mong-caidong-hung-p24021-c58053-n702279
https://en.vietnamplus.vn/mong-cai-dongxing-international-border-gate-resumes-entry-exit-activities-post248687.vnp
https://vietnamnet.vn/en/vietnam-news-headlines-february-21-2023-2112638.html
https://en.vietnamplus.vn/mong-cai-intl-border-gate-welcomes-first-foreign-tourist-group-post-covid-19-post249901.vnp
https://mongcai.gov.vn/vi-vn/tin/ngay-dau-khoi-phuc-hoat-dong-co-333-nguoi-xuat-nhap-canh-qua-cua-khau-quoc-te-mong-cai-p475179-c58053-n279384</x:v>
      </x:c>
      <x:c r="O371" s="4" t="str">
        <x:v>Source 1: indexed excerpt
Source 2: indexed excerpt
Source 3: indexed excerpt</x:v>
      </x:c>
      <x:c r="P371" s="20" t="n">
        <x:v>2</x:v>
      </x:c>
      <x:c r="Q371" s="4" t="str">
        <x:v>East and Southeast Asia and Oceania</x:v>
      </x:c>
      <x:c r="R371" s="4" t="str">
        <x:v>Included</x:v>
      </x:c>
    </x:row>
    <x:row r="372" ht="330" hidden="0" customHeight="1">
      <x:c r="A372" s="16" t="str">
        <x:v>R2-EA-002</x:v>
      </x:c>
      <x:c r="B372" s="4" t="str">
        <x:v>Thai same-day Three Pagodas local crossing closure</x:v>
      </x:c>
      <x:c r="C372" s="4" t="str">
        <x:v>Thailand; Myanmar</x:v>
      </x:c>
      <x:c r="D372" s="4" t="str">
        <x:v>Three Pagodas local crossing area; exact points not itemised</x:v>
      </x:c>
      <x:c r="E372" s="4" t="str">
        <x:v>Local cross-border movement.
Direction: Unknown.
Exceptions: Other informal crossing routes remained open according to IMNA; exact route of reported same-day reopening unknown.</x:v>
      </x:c>
      <x:c r="F372" s="4" t="str">
        <x:v>No admissible dated phase. Duration and reopening remain unresolved.</x:v>
      </x:c>
      <x:c r="G372" s="4" t="str">
        <x:v>Security / Smuggling and illicit trafficking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Territorial and frontier disputes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72" s="4" t="str">
        <x:v>No single combined duration is inferred. Unknown endpoints and continuity remain unresolved. Read each phase qualification and Audit review.
crossing identity and endpoint: Fresh gate-specific retrieval preserves the identity conflict. Do not assign March 4 Nyaung Ben Dout reopening or a same-day endpoint to the BGF gate, nor silently merge potentially distinct Thai local points.
Current endpoint finding: Irrawaddy reports a Tuesday Thai closure and reopening the same day, while BNI separately describes persistent concrete blocks at the Thai BGF gate. These may refer to different routes; an undated separate local episode is safer than borrowing the Myanmar worker-gate interval.
Current scope finding: Irrawaddy reports a Tuesday Thai closure and reopening the same day, while BNI separately describes persistent concrete blocks at the Thai BGF gate. These may refer to different routes; an undated separate local episode is safer than borrowing the Myanmar worker-gate interval.
duration: Fresh gate-specific retrieval preserves the identity conflict. Do not assign March 4 Nyaung Ben Dout reopening or a same-day endpoint to the BGF gate, nor silently merge potentially distinct Thai local points.
Current endpoint finding: Irrawaddy reports a Tuesday Thai closure and reopening the same day, while BNI separately describes persistent concrete blocks at the Thai BGF gate. These may refer to different routes; an undated separate local episode is safer than borrowing the Myanmar worker-gate interval.
onset: Irrawaddy reports a Tuesday Thai closure and reopening the same day, while BNI separately describes persistent concrete blocks at the Thai BGF gate. These may refer to different routes; an undated separate local episode is safer than borrowing the Myanmar worker-gate interval.
continuity: Irrawaddy reports a Tuesday Thai closure and reopening the same day, while BNI separately describes persistent concrete blocks at the Thai BGF gate. These may refer to different routes; an undated separate local episode is safer than borrowing the Myanmar worker-gate interval.</x:v>
      </x:c>
      <x:c r="I372" s="4" t="str">
        <x:v>Retained baseline assessment. Correction pass: reviewed; see attribute findings</x:v>
      </x:c>
      <x:c r="J372" s="18" t="d">
        <x:v>2026-10-23T00:00:00.000Z</x:v>
      </x:c>
      <x:c r="K372" s="21" t="str">
        <x:f>IFERROR(HYPERLINK("https://monnews.org/2020/02/28/two-illegal-border-gates-in-three-pagodas-pass-closed/","Independent Mon News Agency"),"Independent Mon News Agency")</x:f>
        <x:v>Independent Mon News Agency</x:v>
      </x:c>
      <x:c r="L372" s="21" t="str">
        <x:f>IFERROR(HYPERLINK("https://www.bnionline.net/en/news/three-pagoda-pass-thai-myanmar-border-reopened","BNI / IMNA"),"BNI / IMNA")</x:f>
        <x:v>BNI / IMNA</x:v>
      </x:c>
      <x:c r="M372" s="21" t="str">
        <x:f>IFERROR(HYPERLINK("https://www.irrawaddy.com/news/burma/myanmar-authorities-close-thai-border-1000s-unable-work-textile-factories.html","Irrawaddy"),"Irrawaddy")</x:f>
        <x:v>Irrawaddy</x:v>
      </x:c>
      <x:c r="N372" s="4" t="str">
        <x:v>https://monnews.org/2020/02/28/two-illegal-border-gates-in-three-pagodas-pass-closed/
https://www.bnionline.net/en/news/three-pagoda-pass-thai-myanmar-border-reopened
https://www.irrawaddy.com/news/burma/myanmar-authorities-close-thai-border-1000s-unable-work-textile-factories.html
https://www.bnionline.net/en/news/two-illegal-border-gates-three-pagodas-pass-closed</x:v>
      </x:c>
      <x:c r="O372" s="4" t="str">
        <x:v>Source 1: indexed excerpt
Source 2: indexed excerpt; full
Source 3: full</x:v>
      </x:c>
      <x:c r="P372" s="20" t="n">
        <x:v>0</x:v>
      </x:c>
      <x:c r="Q372" s="4" t="str">
        <x:v>East and Southeast Asia and Oceania</x:v>
      </x:c>
      <x:c r="R372" s="4" t="str">
        <x:v>Included</x:v>
      </x:c>
    </x:row>
    <x:row r="373" ht="162" hidden="0" customHeight="1">
      <x:c r="A373" s="16" t="str">
        <x:v>R2-EA-001</x:v>
      </x:c>
      <x:c r="B373" s="4" t="str">
        <x:v>Myanmar blocks Three Pagodas local workers during border dispute</x:v>
      </x:c>
      <x:c r="C373" s="4" t="str">
        <x:v>Myanmar; Thailand</x:v>
      </x:c>
      <x:c r="D373" s="4" t="str">
        <x:v>Three Pagodas / Payathonzu local crossings; reopening evidenced specifically at Nyaung Ben Dout</x:v>
      </x:c>
      <x:c r="E373" s="4" t="str">
        <x:v>Local workers and traders.
Direction: Myanmar residents departing for Thailand.
Exceptions: Schoolchildren permitted on February 28.</x:v>
      </x:c>
      <x:c r="F373" s="4" t="str">
        <x:v>R2-EA-001-D1 — Observed operation
Myanmar adult workers departing for Thailand through Nyaung Ben Dout
Start: 2020-02-26.
Observed scoped reopening: 2020-03-03.
6 calendar-day difference; scoped endpoint only</x:v>
      </x:c>
      <x:c r="G373" s="4" t="str">
        <x:v>Interstate disputes and pressure / Territorial and frontier disputes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Unspecified security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73" s="4" t="str">
        <x:v>R2-EA-001-D1: Original publication date governs the same-origin report. Adult-worker Myanmar gate scope excludes schoolchildren, other informal routes and the still-blocked Thai BGF checkpoint.</x:v>
      </x:c>
      <x:c r="I373" s="4" t="str">
        <x:v>Retained baseline assessment. Amended after source reconciliation</x:v>
      </x:c>
      <x:c r="J373" s="18" t="d">
        <x:v>2026-10-23T00:00:00.000Z</x:v>
      </x:c>
      <x:c r="K373" s="21" t="str">
        <x:f>IFERROR(HYPERLINK("https://www.irrawaddy.com/news/burma/myanmar-authorities-close-thai-border-1000s-unable-work-textile-factories.html","The Irrawaddy"),"The Irrawaddy")</x:f>
        <x:v>The Irrawaddy</x:v>
      </x:c>
      <x:c r="L373" s="21" t="str">
        <x:f>IFERROR(HYPERLINK("https://www.bnionline.net/en/news/three-pagoda-pass-thai-myanmar-border-reopened","Burma News International"),"Burma News International")</x:f>
        <x:v>Burma News International</x:v>
      </x:c>
      <x:c r="M373" s="21" t="str">
        <x:f>IFERROR(HYPERLINK("https://www.bnionline.net/en/news/two-illegal-border-gates-three-pagodas-pass-closed","BNI / Independent Mon News Agency"),"BNI / Independent Mon News Agency")</x:f>
        <x:v>BNI / Independent Mon News Agency</x:v>
      </x:c>
      <x:c r="N373" s="4" t="str">
        <x:v>https://www.irrawaddy.com/news/burma/myanmar-authorities-close-thai-border-1000s-unable-work-textile-factories.html
https://www.bnionline.net/en/news/three-pagoda-pass-thai-myanmar-border-reopened
https://www.bnionline.net/en/news/two-illegal-border-gates-three-pagodas-pass-closed
https://monnews.org/2020/03/03/three-pagoda-pass-thai-myanmar-border-reopened/</x:v>
      </x:c>
      <x:c r="O373" s="4" t="str">
        <x:v>Source 1: full page
Source 2: full page
Source 3: full relevant article text</x:v>
      </x:c>
      <x:c r="P373" s="20" t="n">
        <x:v>1</x:v>
      </x:c>
      <x:c r="Q373" s="4" t="str">
        <x:v>East and Southeast Asia and Oceania</x:v>
      </x:c>
      <x:c r="R373" s="4" t="str">
        <x:v>Included</x:v>
      </x:c>
    </x:row>
    <x:row r="374" ht="210" hidden="0" customHeight="1">
      <x:c r="A374" s="16" t="str">
        <x:v>R2-EA-005</x:v>
      </x:c>
      <x:c r="B374" s="4" t="str">
        <x:v>Myanmar suspends foreign visitor entry at land checkpoints</x:v>
      </x:c>
      <x:c r="C374" s="4" t="str">
        <x:v>Myanmar; China; India; Bangladesh; Thailand; Laos</x:v>
      </x:c>
      <x:c r="D374" s="4" t="str">
        <x:v>All open land checkpoints with neighbouring countries</x:v>
      </x:c>
      <x:c r="E374" s="4" t="str">
        <x:v>Foreign nationals holding entry visas; not a general goods embargo.
Direction: Foreign entry prohibited; visa-holding foreigners directed to designated airports for entry/exit.
Exceptions: Local border populations retained entry and exit, subject to health screening.</x:v>
      </x:c>
      <x:c r="F374" s="4" t="str">
        <x:v>R2-EA-005-FU1 — Formal policy
Open Myanmar land checkpoints with neighbouring countries under March 19 national foreign-entry suspension
Start: unknown.
Last confirmed: 2020-03-19. Reopening is not established.
Formal policy: dated evidence; numeric duration withheld; see qualification</x:v>
      </x:c>
      <x:c r="G37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74" s="4" t="str">
        <x:v>R2-EA-005-FU1: Dated formal-policy observation only; first effective day and nationwide repeal remain unknown. No claim every gate was observed closed or remained continuously closed until a later local reopening.
end: No nationwide ordinary-foreign-visa-holder land-entry repeal established; Tachilek’s later permission has narrower scope and a subsequent scam-control regime.
duration: Formal restriction in force on March 19 can be represented as a censored policy observation, with the full ending still unknown.
onset: Myanmar Foreign Ministry explicitly suspends foreign-national border entry but preserves local populations' entry/exit subject to health screening. The March 19 policy observation is supported; no exact first implementation or nationwide repeal is established.
continuity: Myanmar Foreign Ministry explicitly suspends foreign-national border entry but preserves local populations' entry/exit subject to health screening. The March 19 policy observation is supported; no exact first implementation or nationwide repeal is established.</x:v>
      </x:c>
      <x:c r="I374" s="4" t="str">
        <x:v>Retained baseline assessment. Correction pass: reviewed; see attribute findings</x:v>
      </x:c>
      <x:c r="J374" s="18" t="d">
        <x:v>2026-10-23T00:00:00.000Z</x:v>
      </x:c>
      <x:c r="K374" s="21" t="str">
        <x:f>IFERROR(HYPERLINK("https://www.mofa.gov.mm/notification-on-temporary-suspension-of-entry-of-foreign-nationals-with-entry-visa-through-border-check-points/","Myanmar MOFA"),"Myanmar MOFA")</x:f>
        <x:v>Myanmar MOFA</x:v>
      </x:c>
      <x:c r="L374" s="21" t="str">
        <x:f>IFERROR(HYPERLINK("https://www.moi.gov.mm/moi:eng/news/952","Myanmar MOI / GNLM"),"Myanmar MOI / GNLM")</x:f>
        <x:v>Myanmar MOI / GNLM</x:v>
      </x:c>
      <x:c r="M374" s="21" t="str">
        <x:f>IFERROR(HYPERLINK("https://mdn.gov.mm/index.php/en/tachilek-opens-third-country-tourists-package-trips","Myanmar Digital News"),"Myanmar Digital News")</x:f>
        <x:v>Myanmar Digital News</x:v>
      </x:c>
      <x:c r="N374" s="4" t="str">
        <x:v>https://www.mofa.gov.mm/notification-on-temporary-suspension-of-entry-of-foreign-nationals-with-entry-visa-through-border-check-points/
https://www.moi.gov.mm/moi:eng/news/952
https://mdn.gov.mm/index.php/en/tachilek-opens-third-country-tourists-package-trips
https://www.nationthailand.com/thailand/general/40025038
https://mdn.gov.mm/index.php/my/node/212651</x:v>
      </x:c>
      <x:c r="O374" s="4" t="str">
        <x:v>Source 1: indexed excerpt
Source 2: full
Source 3: indexed excerpt; full</x:v>
      </x:c>
      <x:c r="P374" s="20" t="n">
        <x:v>1</x:v>
      </x:c>
      <x:c r="Q374" s="4" t="str">
        <x:v>East and Southeast Asia and Oceania</x:v>
      </x:c>
      <x:c r="R374" s="4" t="str">
        <x:v>Included</x:v>
      </x:c>
    </x:row>
    <x:row r="375" ht="210" hidden="0" customHeight="1">
      <x:c r="A375" s="16" t="str">
        <x:v>R2-EA-012</x:v>
      </x:c>
      <x:c r="B375" s="4" t="str">
        <x:v>Singapore COVID short-term visitor land-entry restrictions</x:v>
      </x:c>
      <x:c r="C375" s="4" t="str">
        <x:v>Singapore; Malaysia</x:v>
      </x:c>
      <x:c r="D375" s="4" t="str">
        <x:v>Singapore land frontier with Malaysia: Woodlands and Tuas</x:v>
      </x:c>
      <x:c r="E375" s="4" t="str">
        <x:v>Short-term visitors and non-essential work-pass entrants.
Direction: Entry into Singapore; not a Singapore exit prohibition.
Exceptions: Residents and approved essential workers; goods facilitated. Limited travel channels preceded broad vaccinated reopening.</x:v>
      </x:c>
      <x:c r="F375" s="4" t="str">
        <x:v>R2-EA-012-R1 — Formal policy
Designated VTL land buses into Singapore: Malaysian short-term visitors without Singapore residence/long-term-pass eligibility
Start: 2021-11-29.
Policy endpoint: 2021-12-20.
Formal policy: 21 calendar-day difference; operational continuity not established</x:v>
      </x:c>
      <x:c r="G37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75" s="4" t="str">
        <x:v>R2-EA-012-R1: Only VTL route eligibility; other approved Safe Travel Lanes may exist. December 20 is announced effective permission, not first observed traveller.</x:v>
      </x:c>
      <x:c r="I375" s="4" t="str">
        <x:v>Retained baseline assessment. Retained with recorded qualifications</x:v>
      </x:c>
      <x:c r="J375" s="18" t="d">
        <x:v>2026-10-23T00:00:00.000Z</x:v>
      </x:c>
      <x:c r="K375" s="21" t="str">
        <x:f>IFERROR(HYPERLINK("https://www.pmo.gov.sg/newsroom/singapore-and-malaysia-to-launch-vtl-land-nov-2021/","Singapore PMO"),"Singapore PMO")</x:f>
        <x:v>Singapore PMO</x:v>
      </x:c>
      <x:c r="L375" s="21" t="str">
        <x:f>IFERROR(HYPERLINK("https://amcham.com.my/wp-content/uploads/MEDIA-RELEASE_ALL-CATEGORIES-OF-TRAVELLERS-WHO-ARE-MALAYSIAN-AND-SINGAPOREAN-CITIZENS-AND-PERMANENT-RESIDENTS-WILL-BE-ELIGIBLE-UNDER-VTL-LAND-EFFECTIVE-20-DECEMBER-2021_FINAL_14-DECEMBER-2021.pdf","Malaysia MITI"),"Malaysia MITI")</x:f>
        <x:v>Malaysia MITI</x:v>
      </x:c>
      <x:c r="M375" s="21" t="str">
        <x:f>IFERROR(HYPERLINK("https://www.miti.gov.my/index.php/pages/view/8230","miti.gov.my"),"miti.gov.my")</x:f>
        <x:v>miti.gov.my</x:v>
      </x:c>
      <x:c r="N375" s="4" t="str">
        <x:v>https://www.pmo.gov.sg/newsroom/singapore-and-malaysia-to-launch-vtl-land-nov-2021/
https://amcham.com.my/wp-content/uploads/MEDIA-RELEASE_ALL-CATEGORIES-OF-TRAVELLERS-WHO-ARE-MALAYSIAN-AND-SINGAPOREAN-CITIZENS-AND-PERMANENT-RESIDENTS-WILL-BE-ELIGIBLE-UNDER-VTL-LAND-EFFECTIVE-20-DECEMBER-2021_FINAL_14-DECEMBER-2021.pdf
https://www.miti.gov.my/index.php/pages/view/8230
https://www.moh.gov.sg/newsroom/additional-border-control-measures-to-reduce-further-importation-of-covid-19-cases/
https://www.ica.gov.sg/news-and-publications/newsroom/media-release/statement-on-clearance-of-travellers-for-land-border-reopening
https://www.mti.gov.sg/newsroom/written-reply-to-pq-on-vtl-1/
https://www.meti.gov.sg/newsroom/reopening-of-land-borders-between-singapore-and-malaysia-from-1-april-2022/
https://www.mti.gov.sg/-/media/MTI/Newsroom/Press-Releases/2021/12/Media-Statement-on-Update-to-VTL-Land-Categories-of-Travellers.pdf
https://www.channelnewsasia.com/singapore/singapore-malaysia-citizens-expanded-land-vtl-december-20-2378591</x:v>
      </x:c>
      <x:c r="O375" s="4" t="str">
        <x:v>Source 1: indexed excerpt; full
Source 2: full
Source 3: indexed excerpt</x:v>
      </x:c>
      <x:c r="P375" s="20" t="n">
        <x:v>1</x:v>
      </x:c>
      <x:c r="Q375" s="4" t="str">
        <x:v>East and Southeast Asia and Oceania</x:v>
      </x:c>
      <x:c r="R375" s="4" t="str">
        <x:v>Included</x:v>
      </x:c>
    </x:row>
    <x:row r="376" ht="174" hidden="0" customHeight="1">
      <x:c r="A376" s="16" t="str">
        <x:v>R2-EA-011</x:v>
      </x:c>
      <x:c r="B376" s="4" t="str">
        <x:v>NMSP reinforces closure of informal Three Pagodas returnee routes</x:v>
      </x:c>
      <x:c r="C376" s="4" t="str">
        <x:v>Myanmar; Thailand</x:v>
      </x:c>
      <x:c r="D376" s="4" t="str">
        <x:v>NMSP-controlled Three Pagodas-area routes including Palangjapan and Guu Bar</x:v>
      </x:c>
      <x:c r="E376" s="4" t="str">
        <x:v>Myanmar migrant returnees from Thailand.
Direction: Thailand to Myanmar.
Exceptions: Return redirected to Myawaddy; occasional negotiated entries preceded reinforcement.</x:v>
      </x:c>
      <x:c r="F376" s="4" t="str">
        <x:v>R2-EA-011-FU1 — Formal policy
NMSP-controlled Three Pagodas-area routes including Palangjapan and Guu Bar
Start: unknown.
Last confirmed: 2020-04-25. Reopening is not established.
Formal policy: dated evidence; numeric duration withheld; see qualification</x:v>
      </x:c>
      <x:c r="G37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76" s="4" t="str">
        <x:v>R2-EA-011-FU1: Formal policy observation on April 25, not first onset. Earlier crossings and negotiated entry are expressly reported; unknown end and operational continuity remain.
end: No same-route reopening established by fresh searches. A medical-checkpoint withdrawal is not proof of restoring returnee entry.
duration: April 25 keep-closed policy can be represented with unknown original onset; observed leakage and negotiated passage prohibit a continuous physical-closure duration.
Current onset finding: Irrawaddy quotes the April 25 NMSP instruction to keep crossings locked and redirect returnees to Myawaddy, while describing earlier illegal and negotiated crossings. The formal observation is supported; no continuous operational seal is proven.
Current continuity finding: Irrawaddy quotes the April 25 NMSP instruction to keep crossings locked and redirect returnees to Myawaddy, while describing earlier illegal and negotiated crossings. The formal observation is supported; no continuous operational seal is proven.</x:v>
      </x:c>
      <x:c r="I376" s="4" t="str">
        <x:v>Retained baseline assessment. Correction pass: reviewed; see attribute findings</x:v>
      </x:c>
      <x:c r="J376" s="18" t="d">
        <x:v>2026-10-23T00:00:00.000Z</x:v>
      </x:c>
      <x:c r="K376" s="21" t="str">
        <x:f>IFERROR(HYPERLINK("https://www.irrawaddy.com/news/burma/new-mon-state-party-agrees-close-thai-myanmar-border-crossings-curb-covid-19.html","The Irrawaddy"),"The Irrawaddy")</x:f>
        <x:v>The Irrawaddy</x:v>
      </x:c>
      <x:c r="L376" s="21" t="str">
        <x:f>IFERROR(HYPERLINK("https://monnews.org/2020/04/27/mon-state-govt-urges-nmsp-to-cooperate-in-response-to-covid-19-returnees-face-challenges-getting-to-their-home-communities/","IMNA"),"IMNA")</x:f>
        <x:v>IMNA</x:v>
      </x:c>
      <x:c r="M376" s="21" t="str">
        <x:f>IFERROR(HYPERLINK("https://monnews.org/2020/05/01/migrant-workers-re-entry-to-myanmar-now-restricted-to-help-contain-spread-of-c-19/","IMNA"),"IMNA")</x:f>
        <x:v>IMNA</x:v>
      </x:c>
      <x:c r="N376" s="4" t="str">
        <x:v>https://www.irrawaddy.com/news/burma/new-mon-state-party-agrees-close-thai-myanmar-border-crossings-curb-covid-19.html
https://monnews.org/2020/04/27/mon-state-govt-urges-nmsp-to-cooperate-in-response-to-covid-19-returnees-face-challenges-getting-to-their-home-communities/
https://monnews.org/2020/05/01/migrant-workers-re-entry-to-myanmar-now-restricted-to-help-contain-spread-of-c-19/
https://monnews.org/2020/05/16/tatmadaw-pressures-nmsp-to-withdraw-c-19-medical-checkpoint-near-tpp-border/</x:v>
      </x:c>
      <x:c r="O376" s="4" t="str">
        <x:v>Source 1: full
Source 2: indexed excerpt; failed
Source 3: indexed excerpt</x:v>
      </x:c>
      <x:c r="P376" s="20" t="n">
        <x:v>1</x:v>
      </x:c>
      <x:c r="Q376" s="4" t="str">
        <x:v>East and Southeast Asia and Oceania</x:v>
      </x:c>
      <x:c r="R376" s="4" t="str">
        <x:v>Included</x:v>
      </x:c>
    </x:row>
    <x:row r="377" ht="246" hidden="0" customHeight="1">
      <x:c r="A377" s="16" t="str">
        <x:v>R2-EA-006</x:v>
      </x:c>
      <x:c r="B377" s="4" t="str">
        <x:v>Hekou blocks Vietnamese fresh-fruit imports in 2021</x:v>
      </x:c>
      <x:c r="C377" s="4" t="str">
        <x:v>China; Vietnam</x:v>
      </x:c>
      <x:c r="D377" s="4" t="str">
        <x:v>Hekou–Kim Thanh II road cargo crossing
Narrow calculable phase to refrigerated-container dragon fruit; preserve earlier small-truck fruit resumptions in chronology.</x:v>
      </x:c>
      <x:c r="E377" s="4" t="str">
        <x:v>Vietnamese fresh fruit; not all cargo or passenger movement.
Direction: Vietnam to China.
Exceptions: Not established.</x:v>
      </x:c>
      <x:c r="F377" s="4" t="str">
        <x:v>R2-EA-006-D1 — Observed operation
Vietnam-to-China refrigerated-container dragon-fruit imports at Hekou–Kim Thanh II; excludes small non-refrigerated fruit trucks and other cargo.
Start: 2021-07-18.
Observed scoped reopening: 2022-01-12.
178 calendar-day difference; scoped endpoint only</x:v>
      </x:c>
      <x:c r="G37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77" s="4" t="str">
        <x:v>R2-EA-006-D1: September 1 reported small non-refrigerated fruit access, including observed banana trucks August 29–31; those movements are excluded. Announced August 17 expiry was conditional, not an observed reopening. January 12 was a few trial clearances, not normal capacity.</x:v>
      </x:c>
      <x:c r="I377" s="4" t="str">
        <x:v>Retained baseline assessment. Amended after source reconciliation</x:v>
      </x:c>
      <x:c r="J377" s="18" t="d">
        <x:v>2026-10-23T00:00:00.000Z</x:v>
      </x:c>
      <x:c r="K377" s="21" t="str">
        <x:f>IFERROR(HYPERLINK("https://en.vietnamplus.vn/china-reopens-one-more-border-gate-with-vietnam-for-fresh-fruit-imports-post220595.vnp","VietnamPlus"),"VietnamPlus")</x:f>
        <x:v>VietnamPlus</x:v>
      </x:c>
      <x:c r="L377" s="21" t="str">
        <x:f>IFERROR(HYPERLINK("https://tuoitre.vn/cua-khau-mong-cai-va-kim-thanh-chinh-thuc-thong-quan-tro-lai-mat-hang-thanh-long-20220113130524569.htm","Tuoi Tre"),"Tuoi Tre")</x:f>
        <x:v>Tuoi Tre</x:v>
      </x:c>
      <x:c r="M377" s="21" t="str">
        <x:f>IFERROR(HYPERLINK("https://tuoitre.vn/trung-quoc-khoi-phuc-nhap-khau-thanh-long-qua-cua-khau-lao-cai-20220112124059565.htm","Tuoi Tre"),"Tuoi Tre")</x:f>
        <x:v>Tuoi Tre</x:v>
      </x:c>
      <x:c r="N377" s="4" t="str">
        <x:v>https://en.vietnamplus.vn/china-reopens-one-more-border-gate-with-vietnam-for-fresh-fruit-imports-post220595.vnp
https://tuoitre.vn/cua-khau-mong-cai-va-kim-thanh-chinh-thuc-thong-quan-tro-lai-mat-hang-thanh-long-20220113130524569.htm
https://tuoitre.vn/trung-quoc-khoi-phuc-nhap-khau-thanh-long-qua-cua-khau-lao-cai-20220112124059565.htm
https://www.vietnamplus.vn/xuat-khau-thanh-long-qua-cua-khau-lao-cai-van-gap-kho-khan/768003.vnp
https://baoxaydung.vn/thuc-hu-thong-tin-34nhieu-xe-thanh-long-xuat-sang-trung-quoc34-tai-lao-cai-192539058.htm
https://tienphong.vn/trung-quoc-bat-dau-mo-cua-nho-giot-cho-thanh-long-chuoi-qua-cua-khau-lao-cai-post1371978.tpo
https://thuehaiquan.tapchikinhtetaichinh.vn/hai-quan-lao-cai-thong-quan-gan-400-nghin-tan-thanh-long-xuat-khau-124027.html
https://en.nhandan.vn/china-reopens-one-border-gate-with-vietnam-for-fresh-fruit-imports-post109598.html
https://www.producereport.com/article/chinas-hekou-land-port-reopens-vietnamese-fruit?qt-produce_marketplace=1
https://baochinhphu.vn/khuyen-cao-doanh-nghiep-ve-viec-xuat-khau-nong-san-qua-cac-cua-khau-102298075.htm</x:v>
      </x:c>
      <x:c r="O377" s="4" t="str">
        <x:v>Source 1: full page
Source 2: full page
Source 3: full page</x:v>
      </x:c>
      <x:c r="P377" s="20" t="n">
        <x:v>1</x:v>
      </x:c>
      <x:c r="Q377" s="4" t="str">
        <x:v>East and Southeast Asia and Oceania</x:v>
      </x:c>
      <x:c r="R377" s="4" t="str">
        <x:v>Included</x:v>
      </x:c>
    </x:row>
    <x:row r="378" ht="78" hidden="0" customHeight="1">
      <x:c r="A378" s="16" t="str">
        <x:v>R2-EA-007</x:v>
      </x:c>
      <x:c r="B378" s="4" t="str">
        <x:v>Hekou–Kim Thanh COVID cargo suspension and differentiated reopening</x:v>
      </x:c>
      <x:c r="C378" s="4" t="str">
        <x:v>China; Vietnam</x:v>
      </x:c>
      <x:c r="D378" s="4" t="str">
        <x:v>Hekou–Kim Thanh II road crossing</x:v>
      </x:c>
      <x:c r="E378" s="4" t="str">
        <x:v>Initial Vietnamese-goods suspension; fresh agricultural produce restriction persisted after limited clearance of other cargo.
Direction: Primarily Vietnam-to-China imports; limited backlog processing had different scope.
Exceptions: Not established.</x:v>
      </x:c>
      <x:c r="F378" s="4" t="str">
        <x:v>R2-EA-007-D1 — Observed operation
New ordinary fresh-fruit/agricultural exports from Vietnam into China at Hekou–Kim Thanh II
Start: 2022-02-17 to 2022-02-18.
Observed scoped reopening: 2022-06-27.
129–130 calendar-day difference; scoped endpoint only</x:v>
      </x:c>
      <x:c r="G37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78" s="4" t="str">
        <x:v>R2-EA-007-D1: Excludes pre-cleared February 17 consignments and other cargo that resumed earlier. June 27 is limited pilot access, not normal all-goods restoration; the date range reflects documented category/day ambiguity, not blanket ±3-day precision.</x:v>
      </x:c>
      <x:c r="I378" s="4" t="str">
        <x:v>Retained baseline assessment. Retained with recorded qualifications</x:v>
      </x:c>
      <x:c r="J378" s="18" t="d">
        <x:v>2026-10-23T00:00:00.000Z</x:v>
      </x:c>
      <x:c r="K378" s="21" t="str">
        <x:f>IFERROR(HYPERLINK("https://baochinhphu.vn/trung-quoc-tam-ngung-nhap-khau-hang-hoa-qua-cua-khau-ha-khau-lao-cai-102220217170434898.htm","Vietnam Government News"),"Vietnam Government News")</x:f>
        <x:v>Vietnam Government News</x:v>
      </x:c>
      <x:c r="L378" s="21" t="str">
        <x:f>IFERROR(HYPERLINK("https://vtv.vn/kinh-te/cua-khau-kim-thanh-ii-thong-quan-tro-lai-20220410072718688.htm","VTV"),"VTV")</x:f>
        <x:v>VTV</x:v>
      </x:c>
      <x:c r="M378" s="21" t="str">
        <x:f>IFERROR(HYPERLINK("https://baochinhphu.vn/trung-quoc-thi-diem-nhap-khau-tro-lai-hoa-qua-tuoi-viet-nam-102220628081108434.htm","Vietnam Government News"),"Vietnam Government News")</x:f>
        <x:v>Vietnam Government News</x:v>
      </x:c>
      <x:c r="N378" s="4" t="str">
        <x:v>https://baochinhphu.vn/trung-quoc-tam-ngung-nhap-khau-hang-hoa-qua-cua-khau-ha-khau-lao-cai-102220217170434898.htm
https://vtv.vn/kinh-te/cua-khau-kim-thanh-ii-thong-quan-tro-lai-20220410072718688.htm
https://baochinhphu.vn/trung-quoc-thi-diem-nhap-khau-tro-lai-hoa-qua-tuoi-viet-nam-102220628081108434.htm
https://baolaocai.vn/tao-thuan-loi-trong-xuat-nhap-khau-post359659.html</x:v>
      </x:c>
      <x:c r="O378" s="4" t="str">
        <x:v>Source 1: full page
Source 2: full page
Source 3: full page</x:v>
      </x:c>
      <x:c r="P378" s="20" t="n">
        <x:v>1</x:v>
      </x:c>
      <x:c r="Q378" s="4" t="str">
        <x:v>East and Southeast Asia and Oceania</x:v>
      </x:c>
      <x:c r="R378" s="4" t="str">
        <x:v>Included</x:v>
      </x:c>
    </x:row>
    <x:row r="379" ht="162" hidden="0" customHeight="1">
      <x:c r="A379" s="16" t="str">
        <x:v>R2-EA-009</x:v>
      </x:c>
      <x:c r="B379" s="4" t="str">
        <x:v>Bac Phong Sinh–Li He customs suspension</x:v>
      </x:c>
      <x:c r="C379" s="4" t="str">
        <x:v>China; Vietnam</x:v>
      </x:c>
      <x:c r="D379" s="4" t="str">
        <x:v>Bac Phong Sinh (Vietnam)–Li He (China)</x:v>
      </x:c>
      <x:c r="E379" s="4" t="str">
        <x:v>Cargo customs clearance.
Direction: Both-way suspension reported; first observed trucks travelled China to Vietnam.
Exceptions: Not established.</x:v>
      </x:c>
      <x:c r="F379" s="4" t="str">
        <x:v>R2-EA-009-D1 — Observed operation
Bac Phong Sinh (Vietnam)–Li He (China); Cargo customs clearance.; Both-way suspension reported; first observed trucks travelled China to Vietnam.
Start: 2022-02-23 to 2022-02-24.
Observed scoped reopening: 2022-09-26.
214–215 calendar-day difference; scoped endpoint only
R2-EA-009-C3 — Announced window
Bac Phong Sinh–Li Huo cargo customs clearance scheduled suspension
Start: 2022-09-28.
Scheduled endpoint: 2022-10-08.
Last confirmed observation: 2022-09-28.
Ordered window: 10 calendar-day difference; actual end not established</x:v>
      </x:c>
      <x:c r="G37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79" s="4" t="str">
        <x:v>R2-EA-009-D1: Onset differs between February 23 retrospective and February 24 reopening report. September 26 first observed inbound trucks marks partial restoration; reopened September 26–27 before separate September 28 closure.
R2-EA-009-C3: Formal scheduled span only. Actual October reopening unverified. Separate from February–September spell because September 26–27 reopened.</x:v>
      </x:c>
      <x:c r="I379" s="4" t="str">
        <x:v>Retained baseline assessment. Amended after source reconciliation</x:v>
      </x:c>
      <x:c r="J379" s="18" t="d">
        <x:v>2026-10-23T00:00:00.000Z</x:v>
      </x:c>
      <x:c r="K379" s="21" t="str">
        <x:f>IFERROR(HYPERLINK("https://www.quangninh.gov.vn/Sites/en-us/Trang/ChiTietTinTuc.aspx?nid=5993","Quang Ninh government portal"),"Quang Ninh government portal")</x:f>
        <x:v>Quang Ninh government portal</x:v>
      </x:c>
      <x:c r="L379" s="21" t="str">
        <x:f>IFERROR(HYPERLINK("https://baoquangninh.vn/cua-khau-bac-phong-sinh-thong-quan-tro-lai-sau-hon-7-thang-tam-dung-hoat-dong-post3206014.html","baoquangninh.vn"),"baoquangninh.vn")</x:f>
        <x:v>baoquangninh.vn</x:v>
      </x:c>
      <x:c r="M379" s="21" t="str">
        <x:f>IFERROR(HYPERLINK("https://quangninh.gov.vn/chuyen-de/giamdocvoicutri/Trang/ChiTietTinTuc.aspx?nid=117378","quangninh.gov.vn"),"quangninh.gov.vn")</x:f>
        <x:v>quangninh.gov.vn</x:v>
      </x:c>
      <x:c r="N379" s="4" t="str">
        <x:v>https://www.quangninh.gov.vn/Sites/en-us/Trang/ChiTietTinTuc.aspx?nid=5993
https://baoquangninh.vn/cua-khau-bac-phong-sinh-thong-quan-tro-lai-sau-hon-7-thang-tam-dung-hoat-dong-post3206014.html
https://quangninh.gov.vn/chuyen-de/giamdocvoicutri/Trang/ChiTietTinTuc.aspx?nid=117378
https://phunumoi.net.vn/cua-khau-bac-phong-sinh-lai-tam-dung-thong-quan-de-phong-dich-covid-19-d257897.html
https://www.quangninh.gov.vn/Trang/ChiTietTinTuc.aspx?nid=113326</x:v>
      </x:c>
      <x:c r="O379" s="4" t="str">
        <x:v>Source 1: full page
Source 2: access detail is retained in the source catalogue.
Source 3: access detail is retained in the source catalogue.</x:v>
      </x:c>
      <x:c r="P379" s="20" t="n">
        <x:v>2</x:v>
      </x:c>
      <x:c r="Q379" s="4" t="str">
        <x:v>East and Southeast Asia and Oceania</x:v>
      </x:c>
      <x:c r="R379" s="4" t="str">
        <x:v>Included</x:v>
      </x:c>
    </x:row>
    <x:row r="380" ht="114" hidden="0" customHeight="1">
      <x:c r="A380" s="16" t="str">
        <x:v>R2-EA-008</x:v>
      </x:c>
      <x:c r="B380" s="4" t="str">
        <x:v>Dongxing–Mong Cai suspends Bac Luan II cargo clearance in 2022</x:v>
      </x:c>
      <x:c r="C380" s="4" t="str">
        <x:v>China; Vietnam</x:v>
      </x:c>
      <x:c r="D380" s="4" t="str">
        <x:v>Dongxing–Mong Cai, Bac Luan II bridge</x:v>
      </x:c>
      <x:c r="E380" s="4" t="str">
        <x:v>Cargo and associated vehicles; general passenger admission not established.
Direction: Bilateral cargo clearance.
Exceptions: Reopening staged: backlogs and empty vehicles first, then non-cold-chain goods; cold-chain goods still withheld.</x:v>
      </x:c>
      <x:c r="F380" s="4" t="str">
        <x:v>R2-EA-008-D1 — Observed operation
Dongxing–Mong Cai, Bac Luan II bridge; Cargo and associated vehicles; general passenger admission not established.; Bilateral cargo clearance.
Start: 2022-02-25.
Observed scoped reopening: 2022-04-26.
60 calendar-day difference; scoped endpoint only</x:v>
      </x:c>
      <x:c r="G38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80" s="4" t="str">
        <x:v>R2-EA-008-D1: Round11 full-text rereading identifies conflicting throughput claims: official report and shared press passage say hundreds of vehicles, whereas the named border-guard interview in the press article says just over20 by early afternoon and first traffic near noon. Do not harmonize these counts or treat the shared passage as independent confirmation. Both support April26 first partial cargo restoration; not all commodities or general passenger admission. Reopening staged: backlogs and empty vehicles first, then non-cold-chain goods; cold-chain goods still withheld.</x:v>
      </x:c>
      <x:c r="I380" s="4" t="str">
        <x:v>Retained baseline assessment. Retained with recorded qualifications</x:v>
      </x:c>
      <x:c r="J380" s="18" t="d">
        <x:v>2026-10-23T00:00:00.000Z</x:v>
      </x:c>
      <x:c r="K380" s="21" t="str">
        <x:f>IFERROR(HYPERLINK("https://mongcai.gov.vn/vi-vn/tin/chinh-thuc-thong-quan-tro-lai-cua-khau-cau-bac-luan-ii/402494-58053-284265","Mong Cai local government portal"),"Mong Cai local government portal")</x:f>
        <x:v>Mong Cai local government portal</x:v>
      </x:c>
      <x:c r="L380" s="21" t="str">
        <x:f>IFERROR(HYPERLINK("https://baoxaydung.vn/thua-thot-phuong-tien-ngay-dau-thong-quan-tro-lai-cua-khau-cau-bac-luan-ii-192550394.htm","Bao Giao Thong / Bao Xay Dung"),"Bao Giao Thong / Bao Xay Dung")</x:f>
        <x:v>Bao Giao Thong / Bao Xay Dung</x:v>
      </x:c>
      <x:c r="M380" s="21" t="str">
        <x:f>IFERROR(HYPERLINK("https://quangninh.gov.vn/chuyen-de/giamdocvoicutri/Trang/ChiTietTinTuc.aspx?nid=117378","quangninh.gov.vn"),"quangninh.gov.vn")</x:f>
        <x:v>quangninh.gov.vn</x:v>
      </x:c>
      <x:c r="N380" s="4" t="str">
        <x:v>https://mongcai.gov.vn/vi-vn/tin/chinh-thuc-thong-quan-tro-lai-cua-khau-cau-bac-luan-ii/402494-58053-284265
https://baoxaydung.vn/thua-thot-phuong-tien-ngay-dau-thong-quan-tro-lai-cua-khau-cau-bac-luan-ii-192550394.htm
https://quangninh.gov.vn/chuyen-de/giamdocvoicutri/Trang/ChiTietTinTuc.aspx?nid=117378
https://english.baoquangninh.vn/customs-clearance-via-bac-luan-2-bridge-border-gate-to-be-resumed-in-4-stages-from-april-26-post3184418.html
https://mongcai.gov.vn/vi-vn/tin/ngay-dau-thong-quan-tro-lai-tai-cua-khau-cau-bac-luan-ii--46-xe-duoc-thong-quan/45018-58053-851157</x:v>
      </x:c>
      <x:c r="O380" s="4" t="str">
        <x:v>Source 1: full relevant article text
Source 2: full relevant article text
Source 3: access detail is retained in the source catalogue.</x:v>
      </x:c>
      <x:c r="P380" s="20" t="n">
        <x:v>1</x:v>
      </x:c>
      <x:c r="Q380" s="4" t="str">
        <x:v>East and Southeast Asia and Oceania</x:v>
      </x:c>
      <x:c r="R380" s="4" t="str">
        <x:v>Included</x:v>
      </x:c>
    </x:row>
    <x:row r="381" ht="78" hidden="0" customHeight="1">
      <x:c r="A381" s="16" t="str">
        <x:v>R2-EA-010</x:v>
      </x:c>
      <x:c r="B381" s="4" t="str">
        <x:v>Kim Thanh–Hekou short July 2022 cargo halt</x:v>
      </x:c>
      <x:c r="C381" s="4" t="str">
        <x:v>China; Vietnam</x:v>
      </x:c>
      <x:c r="D381" s="4" t="str">
        <x:v>Kim Thanh II–Hekou road cargo crossing</x:v>
      </x:c>
      <x:c r="E381" s="4" t="str">
        <x:v>Cargo customs clearance.
Direction: Cross-border imports/exports; trigger concerned Vietnamese goods entering China.
Exceptions: Not established.</x:v>
      </x:c>
      <x:c r="F381" s="4" t="str">
        <x:v>R2-EA-010-D1 — Observed operation
Kim Thanh II–Hekou road cargo customs clearance, imports and exports; passenger access excluded.
Start: 2022-07-04.
Observed scoped reopening: 2022-07-05.
1 calendar-day difference; scoped endpoint only</x:v>
      </x:c>
      <x:c r="G38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81" s="4" t="str">
        <x:v>R2-EA-010-D1: Day-level agreement, with conflicting 16:00 caption and 19:00/19:30 reopening accounts. Reports rely on Ha Duc Thuan for key dates; treat as one official lineage. Calendar difference only.</x:v>
      </x:c>
      <x:c r="I381" s="4" t="str">
        <x:v>Retained baseline assessment. Amended after source reconciliation</x:v>
      </x:c>
      <x:c r="J381" s="18" t="d">
        <x:v>2026-10-23T00:00:00.000Z</x:v>
      </x:c>
      <x:c r="K381" s="21" t="str">
        <x:f>IFERROR(HYPERLINK("https://tuoitre.vn/cua-khau-kim-thanh-thong-quan-tro-lai-20220705170853178.htm","Tuoi Tre"),"Tuoi Tre")</x:f>
        <x:v>Tuoi Tre</x:v>
      </x:c>
      <x:c r="L381" s="21" t="str">
        <x:f>IFERROR(HYPERLINK("https://nhandan.vn/cua-khau-kim-thanh-thong-quan-tro-lai-post704081.html","Nhan Dan"),"Nhan Dan")</x:f>
        <x:v>Nhan Dan</x:v>
      </x:c>
      <x:c r="M381" s="21" t="str">
        <x:f>IFERROR(HYPERLINK("https://news.tuoitre.vn/saigontimes/customs-clearance-at-lao-cai-border-gate-resumes-105119191.htm","news.tuoitre.vn"),"news.tuoitre.vn")</x:f>
        <x:v>news.tuoitre.vn</x:v>
      </x:c>
      <x:c r="N381" s="4" t="str">
        <x:v>https://tuoitre.vn/cua-khau-kim-thanh-thong-quan-tro-lai-20220705170853178.htm
https://nhandan.vn/cua-khau-kim-thanh-thong-quan-tro-lai-post704081.html
https://news.tuoitre.vn/saigontimes/customs-clearance-at-lao-cai-border-gate-resumes-105119191.htm
https://en.baobacninhtv.vn/reopening-of-kim-thanh-border-gate-in-lao-cai-eases-lychee-consumption-postid88178.bbg</x:v>
      </x:c>
      <x:c r="O381" s="4" t="str">
        <x:v>Source 1: full page
Source 2: full page
Source 3: access detail is retained in the source catalogue.</x:v>
      </x:c>
      <x:c r="P381" s="20" t="n">
        <x:v>1</x:v>
      </x:c>
      <x:c r="Q381" s="4" t="str">
        <x:v>East and Southeast Asia and Oceania</x:v>
      </x:c>
      <x:c r="R381" s="4" t="str">
        <x:v>Included</x:v>
      </x:c>
    </x:row>
    <x:row r="382" ht="162" hidden="0" customHeight="1">
      <x:c r="A382" s="16" t="str">
        <x:v>R2-EA-004</x:v>
      </x:c>
      <x:c r="B382" s="4" t="str">
        <x:v>TNLA closes Naung Taung amid tariff dispute with SSA-North</x:v>
      </x:c>
      <x:c r="C382" s="4" t="str">
        <x:v>Myanmar; China</x:v>
      </x:c>
      <x:c r="D382" s="4" t="str">
        <x:v>Naung Taung / Nawngtawng gate, Namhkam, west of Shweli River</x:v>
      </x:c>
      <x:c r="E382" s="4" t="str">
        <x:v>Cross-border cargo, including mineral ore, charcoal and building materials.
Direction: Myanmar exports and Chinese imports.
Exceptions: Not established.</x:v>
      </x:c>
      <x:c r="F382" s="4" t="str">
        <x:v>R2-EA-004-D1 — Observed operation
Naung Taung / Nawngtawng gate, Namhkam, west of Shweli River; Cross-border cargo, including mineral ore, charcoal and building materials.; Myanmar exports and Chinese imports.
Start: 2024-03-11 to 2024-04-05.
Observed scoped reopening: 2024-04-29.
24–49 calendar-day difference; scoped endpoint only</x:v>
      </x:c>
      <x:c r="G382" s="4" t="str">
        <x:v>Security / Armed conflict and military confrontation
Analytical interpretation of reported context
Applies to: Recorded episode; exact overlap not separately established
Armed-group tension over tariffs supports conflict and trade administration. These are contextual interpretations of the report, not a recovered TNLA order; no separate regime objective is inferred.
Trade and protectionism / Customs and transport rules
Analytical interpretation of reported context
Applies to: Recorded episode; exact overlap not separately established
Armed-group tension over tariffs supports conflict and trade administration. These are contextual interpretations of the report, not a recovered TNLA order; no separate regime objective is inferred.</x:v>
      </x:c>
      <x:c r="H382" s="4" t="str">
        <x:v>R2-EA-004-D1: Sources disagree on onset/mechanism: March 11 quay closures cutting gate access versus April 5 gate restriction during tariff confrontation. April 29 cargo resumption is independently reported by trader and TNLA spokesperson accounts. Exact start/phase relation remains unresolved; passenger passage excluded.</x:v>
      </x:c>
      <x:c r="I382" s="4" t="str">
        <x:v>Retained baseline assessment. Amended after source reconciliation</x:v>
      </x:c>
      <x:c r="J382" s="18" t="d">
        <x:v>2026-10-23T00:00:00.000Z</x:v>
      </x:c>
      <x:c r="K382" s="21" t="str">
        <x:f>IFERROR(HYPERLINK("https://www.irrawaddy.com/news/burma/myanmar-china-border-gate-reopens-as-tnla-ssa-tensions-defused-in-namhkam.html","irrawaddy.com"),"irrawaddy.com")</x:f>
        <x:v>irrawaddy.com</x:v>
      </x:c>
      <x:c r="L382" s="21" t="str">
        <x:f>IFERROR(HYPERLINK("https://www.bnionline.net/en/news/china-myanmar-border-gate-namhkam-reopens-after-tnla-closure-shan-state-china-border","BNI / Shan Herald"),"BNI / Shan Herald")</x:f>
        <x:v>BNI / Shan Herald</x:v>
      </x:c>
      <x:c r="M382" s="21" t="str">
        <x:f>IFERROR(HYPERLINK("https://cnimyanmar.com/index.php/english-edition/22095-how-is-tnla-opening-namkham-border-trade","cnimyanmar.com"),"cnimyanmar.com")</x:f>
        <x:v>cnimyanmar.com</x:v>
      </x:c>
      <x:c r="N382" s="4" t="str">
        <x:v>https://www.irrawaddy.com/news/burma/myanmar-china-border-gate-reopens-as-tnla-ssa-tensions-defused-in-namhkam.html
https://www.bnionline.net/en/news/china-myanmar-border-gate-namhkam-reopens-after-tnla-closure-shan-state-china-border
https://cnimyanmar.com/index.php/english-edition/22095-how-is-tnla-opening-namkham-border-trade</x:v>
      </x:c>
      <x:c r="O382" s="4" t="str">
        <x:v>Source 1: full
Source 2: full
Source 3: indexed excerpt</x:v>
      </x:c>
      <x:c r="P382" s="20" t="n">
        <x:v>1</x:v>
      </x:c>
      <x:c r="Q382" s="4" t="str">
        <x:v>East and Southeast Asia and Oceania</x:v>
      </x:c>
      <x:c r="R382" s="4" t="str">
        <x:v>Included</x:v>
      </x:c>
    </x:row>
    <x:row r="383" ht="138" hidden="0" customHeight="1">
      <x:c r="A383" s="16" t="str">
        <x:v>R2-EA-003</x:v>
      </x:c>
      <x:c r="B383" s="4" t="str">
        <x:v>Three Pagodas closure during DKBA–Thai road-maintenance dispute</x:v>
      </x:c>
      <x:c r="C383" s="4" t="str">
        <x:v>Myanmar; Thailand</x:v>
      </x:c>
      <x:c r="D383" s="4" t="str">
        <x:v>Three Pagodas Pass at Payathonzu</x:v>
      </x:c>
      <x:c r="E383" s="4" t="str">
        <x:v>Primarily large cargo vehicles, with changing restrictions on pedestrians, workers, school buses and smaller vehicles.
Direction: Both directions reported.
Exceptions: June 20: individuals carrying small goods could cross. July 2: workers/school buses allowed at specified hours and paid small-truck passage reported. August 18: pedestrian-only easing, vehicles still excluded in KIC account.</x:v>
      </x:c>
      <x:c r="F383" s="4" t="str">
        <x:v>R2-EA-003-R1 — Observed operation
Payathonzu/Three Pagodas informal trade post, large cargo-container/12-wheel trucks
Start: 2024-06-17.
Last confirmed: 2024-07-02. Reopening is not established.
confirmed through 2024-07-02; at least 15 calendar-day difference; reopening unknown
R2-EA-003-NP1 — Observed operation
Three Pagodas vehicle restriction after pedestrian reopening
Start: unknown.
Last confirmed: 2024-08-20. Reopening is not established.
dated evidence; numeric duration withheld; see qualification</x:v>
      </x:c>
      <x:c r="G383" s="4" t="str">
        <x:v>Interstate disputes and pressure / Territorial and frontier disputes
Analytical interpretation of reported context
Applies to: Recorded episode; exact overlap not separately established
The reported dispute concerns cross-border road maintenance and authority. This classification does not make DKBA a recognised state.</x:v>
      </x:c>
      <x:c r="H383" s="4" t="str">
        <x:v>R2-EA-003-R1: IMNA origin for both accounts; state-media broad denial remains baseline contrary evidence. Small trucks/pedestrians excluded.
R2-EA-003-NP1: This later vehicle observation does not resolve gaps or conflicting earlier reports. Do not join it to July 2 into an uninterrupted truck interval.
continuity: BNI/IMNA reports large-truck blockage from June 17 through July 2 with smaller/negotiated movement; KIC describes August 18 pedestrian reopening while vehicles remained restricted. The two observations should not be joined into an unbroken all-vehicle interval, particularly given contrary state-media reporting.</x:v>
      </x:c>
      <x:c r="I383" s="4" t="str">
        <x:v>Retained baseline assessment. Correction pass: reviewed; see attribute findings</x:v>
      </x:c>
      <x:c r="J383" s="18" t="d">
        <x:v>2026-10-23T00:00:00.000Z</x:v>
      </x:c>
      <x:c r="K383" s="21" t="str">
        <x:f>IFERROR(HYPERLINK("https://www.bnionline.net/en/news/both-thai-authorities-and-armed-groups-temporarily-block-three-pagodas-pass","BNI / IMNA"),"BNI / IMNA")</x:f>
        <x:v>BNI / IMNA</x:v>
      </x:c>
      <x:c r="L383" s="21" t="str">
        <x:f>IFERROR(HYPERLINK("https://www.bnionline.net/en/news/traders-continue-operations-compromising-dkba-despite-payathonzu-border-trade-post-closure","BNI / IMNA"),"BNI / IMNA")</x:f>
        <x:v>BNI / IMNA</x:v>
      </x:c>
      <x:c r="M383" s="21" t="str">
        <x:f>IFERROR(HYPERLINK("https://karennews.org/2024/08/three-pagodas-pass-border-gate-reopened-after-two-month-closure/","karennews.org"),"karennews.org")</x:f>
        <x:v>karennews.org</x:v>
      </x:c>
      <x:c r="N383" s="4" t="str">
        <x:v>https://www.bnionline.net/en/news/both-thai-authorities-and-armed-groups-temporarily-block-three-pagodas-pass
https://www.bnionline.net/en/news/traders-continue-operations-compromising-dkba-despite-payathonzu-border-trade-post-closure
https://karennews.org/2024/08/three-pagodas-pass-border-gate-reopened-after-two-month-closure/
https://www.bnionline.net/en/news/three-pagodas-pass-border-gate-reopened-after-two-month-closure
https://www.mizzimaweekly.com/wp-content/uploads/2024/07/Mizzima-Weekly_Issue-13-Vol-1_July-4-2024.pdf</x:v>
      </x:c>
      <x:c r="O383" s="4" t="str">
        <x:v>Source 1: indexed excerpt; full
Source 2: full
Source 3: access detail is retained in the source catalogue.</x:v>
      </x:c>
      <x:c r="P383" s="20" t="n">
        <x:v>2</x:v>
      </x:c>
      <x:c r="Q383" s="4" t="str">
        <x:v>East and Southeast Asia and Oceania</x:v>
      </x:c>
      <x:c r="R383" s="4" t="str">
        <x:v>Included</x:v>
      </x:c>
    </x:row>
    <x:row r="384" ht="102" hidden="0" customHeight="1">
      <x:c r="A384" s="16" t="str">
        <x:v>R2-EU-012</x:v>
      </x:c>
      <x:c r="B384" s="4" t="str">
        <x:v>Bulgarian nationalist activists briefly obstruct three Turkish-border approaches before election</x:v>
      </x:c>
      <x:c r="C384" s="4" t="str">
        <x:v>Bulgaria; Türkiye</x:v>
      </x:c>
      <x:c r="D384" s="4" t="str">
        <x:v>Kapitan Andreevo; Malko Tarnovo; Lesovo
Inbound passenger-road access at Bulgaria–Turkey border</x:v>
      </x:c>
      <x:c r="E384" s="4" t="str">
        <x:v>Inbound cars and buses, particularly Turkey-resident Bulgarian voters
Direction: Turkey to Bulgaria; outbound and freight not generally blocked
Exceptions: Outbound buses, freight and a diplomatic vehicle continued; no complete international-border closure.</x:v>
      </x:c>
      <x:c r="F384" s="4" t="str">
        <x:v>R2-EU-012-D1 — Observed operation
Brief activist obstructions of inbound passenger-road approaches at Kapitan Andreevo, Malko Tarnovo and Lesovo
Start: 2017-03-21.
Observed scoped reopening: 2017-03-21.
Same-day episode; no whole-day duration inferred; Kapitan Andreevo about 4 hours; Malko Tarnovo about 1 hour; Lesovo two spells totalling about 20 minutes.</x:v>
      </x:c>
      <x:c r="G384" s="4" t="str">
        <x:v>Electoral politics / Voter access and participation
Reported reason
Applies to: Recorded episode; exact overlap not separately established
The recorded rationale and claim assessment support the selected subcategories. All applicable broad categories are retained together; no primary rationale is imposed.</x:v>
      </x:c>
      <x:c r="H384" s="4" t="str">
        <x:v>R2-EU-012-D1: Intermittent, route-specific sub-day episodes, not a full day or a complete border closure. Outbound traffic, freight and a diplomatic vehicle passed; March 24 recurrence is separate.</x:v>
      </x:c>
      <x:c r="I384" s="4" t="str">
        <x:v>Retained baseline assessment. Retained with recorded qualifications</x:v>
      </x:c>
      <x:c r="J384" s="18" t="d">
        <x:v>2026-10-23T00:00:00.000Z</x:v>
      </x:c>
      <x:c r="K384" s="21" t="str">
        <x:f>IFERROR(HYPERLINK("https://btvnovinite.bg/bulgaria/blokada-na-patja-za-gkpp-malko-tarnovo.html","bTV Novinite"),"bTV Novinite")</x:f>
        <x:v>bTV Novinite</x:v>
      </x:c>
      <x:c r="L384" s="21" t="str">
        <x:f>IFERROR(HYPERLINK("https://www.novinite.com/view_news.php?disable_mobile=true&amp;id=179346","Novinite / Sofia News Agency"),"Novinite / Sofia News Agency")</x:f>
        <x:v>Novinite / Sofia News Agency</x:v>
      </x:c>
      <x:c r="M384" s="21" t="str">
        <x:f>IFERROR(HYPERLINK("https://dev.balkaninsight.com/2017/03/21/nationalists-block-bulgaria-s-border-checkpoints-with-turkey-03-21-2017/bi/all-balkan-countries","dev.balkaninsight.com"),"dev.balkaninsight.com")</x:f>
        <x:v>dev.balkaninsight.com</x:v>
      </x:c>
      <x:c r="N384" s="4" t="str">
        <x:v>https://btvnovinite.bg/bulgaria/blokada-na-patja-za-gkpp-malko-tarnovo.html
https://www.novinite.com/view_news.php?disable_mobile=true&amp;id=179346
https://dev.balkaninsight.com/2017/03/21/nationalists-block-bulgaria-s-border-checkpoints-with-turkey-03-21-2017/bi/all-balkan-countries
https://rns.bg/%D0%B1%D0%BB%D0%BE%D0%BA%D0%B0%D0%B4%D0%B0%D1%82%D0%B0-%D0%BD%D0%B0-%D0%B3%D1%80%D0%B0%D0%BD%D0%B8%D1%86%D0%B0%D1%82%D0%B0-%D0%B5-%D0%B2%D0%B4%D0%B8%D0%B3%D0%BD%D0%B0%D1%82%D0%B0-%D0%BF%D0%BE-10/</x:v>
      </x:c>
      <x:c r="O384" s="4" t="str">
        <x:v>Source 1: full page
Source 2: search-returned article text
Source 3: access detail is retained in the source catalogue.</x:v>
      </x:c>
      <x:c r="P384" s="20" t="n">
        <x:v>1</x:v>
      </x:c>
      <x:c r="Q384" s="4" t="str">
        <x:v>Europe</x:v>
      </x:c>
      <x:c r="R384" s="4" t="str">
        <x:v>Included</x:v>
      </x:c>
    </x:row>
    <x:row r="385" ht="78" hidden="0" customHeight="1">
      <x:c r="A385" s="16" t="str">
        <x:v>R2-EU-013</x:v>
      </x:c>
      <x:c r="B385" s="4" t="str">
        <x:v>Bulgarian activists renew passenger-vehicle blockade at Kapitan Andreevo</x:v>
      </x:c>
      <x:c r="C385" s="4" t="str">
        <x:v>Bulgaria; Türkiye</x:v>
      </x:c>
      <x:c r="D385" s="4" t="str">
        <x:v>Kapitan Andreevo
Bulgaria–Turkey land crossing passenger approach</x:v>
      </x:c>
      <x:c r="E385" s="4" t="str">
        <x:v>Turkey-origin passenger vehicles carrying Bulgarian voters; pedestrians crossed
Direction: Turkey to Bulgaria
Exceptions: Passengers could disembark and cross on foot.</x:v>
      </x:c>
      <x:c r="F385" s="4" t="str">
        <x:v>R2-EU-013-D1 — Observed operation
Kapitan Andreevo protest episode on 24 March 2017.
Start: 2017-03-24.
Observed scoped reopening: 2017-03-24.
Same-day episode; no whole-day duration inferred</x:v>
      </x:c>
      <x:c r="G385" s="4" t="str">
        <x:v>Electoral politics / Voter access and participation
Reported reason
Applies to: Recorded episode; exact overlap not separately established
The recorded rationale and claim assessment support the selected subcategories. All applicable broad categories are retained together; no primary rationale is imposed.</x:v>
      </x:c>
      <x:c r="H385" s="4" t="str">
        <x:v>R2-EU-013-D1: Shown as an episode occurring on this date, not a whole-day closure. Same-day physical obstruction, not government entry ban; exact hours unavailable. Other crossings reportedly protested but not added to this operationally verified interval.</x:v>
      </x:c>
      <x:c r="I385" s="4" t="str">
        <x:v>Retained baseline assessment. Retained with recorded qualifications</x:v>
      </x:c>
      <x:c r="J385" s="18" t="d">
        <x:v>2026-10-23T00:00:00.000Z</x:v>
      </x:c>
      <x:c r="K385" s="21" t="str">
        <x:f>IFERROR(HYPERLINK("https://www.aa.com.tr/en/europe/border-demo-greets-expat-bulgarians-travelling-to-vote/778999","Anadolu Agency"),"Anadolu Agency")</x:f>
        <x:v>Anadolu Agency</x:v>
      </x:c>
      <x:c r="L385" s="21" t="str">
        <x:f>IFERROR(HYPERLINK("https://www.bta.bg/en/news//130034-Protestors-Block-Bus-from-Turkey-as-It-Tries-to-Enter-Bulgaria-On-Suspicions-tha","Bulgarian News Agency (BTA)"),"Bulgarian News Agency (BTA)")</x:f>
        <x:v>Bulgarian News Agency (BTA)</x:v>
      </x:c>
      <x:c r="M385" s="21" t="str">
        <x:f>IFERROR(HYPERLINK("https://amp.dw.com/en/police-remove-barricades-at-turkish-bulgarian-border/a-38112602","amp.dw.com"),"amp.dw.com")</x:f>
        <x:v>amp.dw.com</x:v>
      </x:c>
      <x:c r="N385" s="4" t="str">
        <x:v>https://www.aa.com.tr/en/europe/border-demo-greets-expat-bulgarians-travelling-to-vote/778999
https://www.bta.bg/en/news//130034-Protestors-Block-Bus-from-Turkey-as-It-Tries-to-Enter-Bulgaria-On-Suspicions-tha
https://amp.dw.com/en/police-remove-barricades-at-turkish-bulgarian-border/a-38112602</x:v>
      </x:c>
      <x:c r="O385" s="4" t="str">
        <x:v>Source 1: full page
Source 2: search extract
Source 3: access detail is retained in the source catalogue.</x:v>
      </x:c>
      <x:c r="P385" s="20" t="n">
        <x:v>1</x:v>
      </x:c>
      <x:c r="Q385" s="4" t="str">
        <x:v>Europe</x:v>
      </x:c>
      <x:c r="R385" s="4" t="str">
        <x:v>Included</x:v>
      </x:c>
    </x:row>
    <x:row r="386" ht="162" hidden="0" customHeight="1">
      <x:c r="A386" s="16" t="str">
        <x:v>R2-RT-001</x:v>
      </x:c>
      <x:c r="B386" s="4" t="str">
        <x:v>Cyprus: three RoC crossing suspensions with June 2020 reopening</x:v>
      </x:c>
      <x:c r="C386" s="4" t="str">
        <x:v>Cyprus</x:v>
      </x:c>
      <x:c r="D386" s="4" t="str">
        <x:v>Deryneia; Astromeritis-Zodhia; Lefka-Apliki
RoC side of three Green Line crossing points; de facto divide, not an internationally recognised interstate border</x:v>
      </x:c>
      <x:c r="E386" s="4" t="str">
        <x:v>Ordinary persons crossing the three specified posts
Direction: Crossing through the RoC-controlled posts in either direction
Exceptions: June reopening limited to eligible citizens/residents and special categories with health conditions.</x:v>
      </x:c>
      <x:c r="F386" s="4" t="str">
        <x:v>R2-RT-001-D1 — Observed operation
RoC-side suspension at Deryneia, Astromeritis–Zodhia and Lefka–Apliki, to conditional access for Cypriot citizens, RoC residence-permit holders and specified eligible groups on June 21 2020.
Start: 2020-02-29.
Observed scoped reopening: 2020-06-21.
113 calendar-day difference; scoped endpoint only</x:v>
      </x:c>
      <x:c r="G38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86" s="4" t="str">
        <x:v>R2-RT-001-D1: Authority-side gate suspension across a de facto divide. June 21 does not end restrictions for all foreign nationals or establish unrestricted passage across both authorities. Dates rest on indexed official retrospective; full-page access blocked.</x:v>
      </x:c>
      <x:c r="I386" s="4" t="str">
        <x:v>Full-record source audit (REC50-R15); retained with recorded qualifications; evidence limits retained.</x:v>
      </x:c>
      <x:c r="J386" s="18" t="d">
        <x:v>2026-10-25T00:00:00.000Z</x:v>
      </x:c>
      <x:c r="K386" s="21" t="str">
        <x:f>IFERROR(HYPERLINK("https://eur-lex.europa.eu/legal-content/EN/TXT/?qid=1772153451461&amp;uri=CELEX%3A52021DC0273","European Commission"),"European Commission")</x:f>
        <x:v>European Commission</x:v>
      </x:c>
      <x:c r="L386" s="21" t="str">
        <x:f>IFERROR(HYPERLINK("https://www.exteriores.gob.es/Embajadas/nicosia/es/Comunicacion/Noticias/Paginas/Articulos/20200305_NOT1.aspx","Spanish Embassy in Nicosia"),"Spanish Embassy in Nicosia")</x:f>
        <x:v>Spanish Embassy in Nicosia</x:v>
      </x:c>
      <x:c r="M386" s="21" t="str">
        <x:f>IFERROR(HYPERLINK("https://finance.yahoo.com/news/cyprus-starts-reopening-checkpoints-closed-095742780.html","Yahoo Finance / Reuters"),"Yahoo Finance / Reuters")</x:f>
        <x:v>Yahoo Finance / Reuters</x:v>
      </x:c>
      <x:c r="N386" s="4" t="str">
        <x:v>https://eur-lex.europa.eu/legal-content/EN/TXT/?qid=1772153451461&amp;uri=CELEX%3A52021DC0273
https://www.exteriores.gob.es/Embajadas/nicosia/es/Comunicacion/Noticias/Paginas/Articulos/20200305_NOT1.aspx
https://finance.yahoo.com/news/cyprus-starts-reopening-checkpoints-closed-095742780.html
https://eur-lex.europa.eu/legal-content/EN/TXT/?uri=CELEX%3A52021DC0273
https://archive.cyprus-mail.com/2020/02/29/anastasiades-no-choice-but-to-temporarily-lose-crossings-update-3/
https://commission.europa.eu/document/download/abdabdeb-9886-4766-88ed-e564510f74db_en?filename=Annual+report+2020:+Implementation+of+the+green+line+regulation
https://commission.europa.eu/document/download/abdabdeb-9886-4766-88ed-e564510f74db_en?filename=Annual+report+2020%3A+Implementation+of+the+green+line+regulation
https://eur-lex.europa.eu/legal-content/EN/TXT/?uri=celex%3A52022DC0258</x:v>
      </x:c>
      <x:c r="O386" s="4" t="str">
        <x:v>Source 1: search extract
Source 2: unavailable
Source 3: unavailable</x:v>
      </x:c>
      <x:c r="P386" s="20" t="n">
        <x:v>1</x:v>
      </x:c>
      <x:c r="Q386" s="4" t="str">
        <x:v>Europe</x:v>
      </x:c>
      <x:c r="R386" s="4" t="str">
        <x:v>Included</x:v>
      </x:c>
    </x:row>
    <x:row r="387" ht="162" hidden="0" customHeight="1">
      <x:c r="A387" s="16" t="str">
        <x:v>R2-RT-002</x:v>
      </x:c>
      <x:c r="B387" s="4" t="str">
        <x:v>Cyprus: Turkish Cypriot Limnitis crossing suspension, March–June 2020</x:v>
      </x:c>
      <x:c r="C387" s="4" t="str">
        <x:v>Cyprus</x:v>
      </x:c>
      <x:c r="D387" s="4" t="str">
        <x:v>Limnitis / Yeşilırmak – Kato Pyrgos
Limnitis–Kato Pyrgos Green Line crossing; de facto divide, not an internationally recognised interstate border</x:v>
      </x:c>
      <x:c r="E387" s="4" t="str">
        <x:v>Ordinary passenger and commuter crossing
Direction: Both directions through the specified crossing
Exceptions: Other posts remained open under separate conditions; testing requirements applied when Limnitis reopened.</x:v>
      </x:c>
      <x:c r="F387" s="4" t="str">
        <x:v>R2-RT-002-D1 — Observed operation
Limnitis–Kato Pyrgos Green Line crossing; de facto divide, not an internationally recognised interstate border; Ordinary passenger and commuter crossing; Both directions through the specified crossing
Start: 2020-03-12.
Observed scoped reopening: 2020-06-26.
106 calendar-day difference; scoped endpoint only
R2-RT-002-C7P1 — Observed operation
Return passage for affected Kato Pyrgos commuters through the Limnitis route under changed testing requirements
Start: 2020-07-06.
Last confirmed: 2020-07-06. Reopening is not established.
dated evidence; numeric duration withheld; see qualification</x:v>
      </x:c>
      <x:c r="G38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87" s="4" t="str">
        <x:v>R2-RT-002-D1: March 22 was the initial planned expiry, not an observed reopening. Scope is ordinary crossing, with no claim about every exceptional passage. Exact onset hour unestablished. Other posts remained open under separate conditions; testing requirements applied when Limnitis reopened.
R2-RT-002-C7P1: A cohort-specific observed refusal after June26 reopening, not full bilateral closure. Subsequent clearance and rule duration unknown.</x:v>
      </x:c>
      <x:c r="I387" s="4" t="str">
        <x:v>Retained baseline assessment. Retained with recorded qualifications</x:v>
      </x:c>
      <x:c r="J387" s="18" t="d">
        <x:v>2026-10-23T00:00:00.000Z</x:v>
      </x:c>
      <x:c r="K387" s="21" t="str">
        <x:f>IFERROR(HYPERLINK("https://pio.mfa.gov.ct.tr/en/decisions-taken-at-the-extraordinary-meeting-of-the-trnc-council-of-ministers-regarding-the-outbreak-of-the-coronavirus-covid-19-pandemic/","Turkish Cypriot Public Information Office"),"Turkish Cypriot Public Information Office")</x:f>
        <x:v>Turkish Cypriot Public Information Office</x:v>
      </x:c>
      <x:c r="L387" s="21" t="str">
        <x:f>IFERROR(HYPERLINK("https://archive.cyprus-mail.com/2020/06/26/coronavirus-limnitis-crossing-point-reopens/","Cyprus Mail"),"Cyprus Mail")</x:f>
        <x:v>Cyprus Mail</x:v>
      </x:c>
      <x:c r="M387" s="21" t="str">
        <x:f>IFERROR(HYPERLINK("https://en.philenews.com/local/coronavirus-turkish-cypriot-authorities-close-strovilia-limnitis-checkpoints-until-march-22/","Philenews"),"Philenews")</x:f>
        <x:v>Philenews</x:v>
      </x:c>
      <x:c r="N387" s="4" t="str">
        <x:v>https://pio.mfa.gov.ct.tr/en/decisions-taken-at-the-extraordinary-meeting-of-the-trnc-council-of-ministers-regarding-the-outbreak-of-the-coronavirus-covid-19-pandemic/
https://archive.cyprus-mail.com/2020/06/26/coronavirus-limnitis-crossing-point-reopens/
https://en.philenews.com/local/coronavirus-turkish-cypriot-authorities-close-strovilia-limnitis-checkpoints-until-march-22/
https://www.exteriores.gob.es/Embajadas/nicosia/es/Comunicacion/Noticias/Paginas/Articulos/20200305_NOT1.aspx
https://en.philenews.com/local/t-cyp-authorities-block-passage-of-kato-pyrgos-residents/
https://en.philenews.com/local/pyrgos-limnitis-checkpoint-reopens/
https://eur-lex.europa.eu/legal-content/EN/TXT/?uri=celex%3A52022DC0258</x:v>
      </x:c>
      <x:c r="O387" s="4" t="str">
        <x:v>Source 1: full page
Source 2: full page
Source 3: full page</x:v>
      </x:c>
      <x:c r="P387" s="20" t="n">
        <x:v>2</x:v>
      </x:c>
      <x:c r="Q387" s="4" t="str">
        <x:v>Europe</x:v>
      </x:c>
      <x:c r="R387" s="4" t="str">
        <x:v>Included</x:v>
      </x:c>
    </x:row>
    <x:row r="388" ht="150" hidden="0" customHeight="1">
      <x:c r="A388" s="16" t="str">
        <x:v>R2-EU-014</x:v>
      </x:c>
      <x:c r="B388" s="4" t="str">
        <x:v>Slovakia bars nonresident foreign entry at four neighbouring land frontiers</x:v>
      </x:c>
      <x:c r="C388" s="4" t="str">
        <x:v>Slovakia; Austria; Czechia; Ukraine; Hungary</x:v>
      </x:c>
      <x:c r="D388" s="4" t="str">
        <x:v>Austria; Czech Republic; Ukraine; Hungary land posts
Initial four-frontier restriction; Polish frontier initially distinct</x:v>
      </x:c>
      <x:c r="E388" s="4" t="str">
        <x:v>Foreign nationals without Slovak residence, subject to exceptions
Direction: Into Slovakia
Exceptions: Citizens/residents, qualifying commuters and goods transit; Polish frontier initially not covered in consular notice.</x:v>
      </x:c>
      <x:c r="F388" s="4" t="str">
        <x:v>R2-EU-014-FU1 — Formal policy
Slovak entry across Austrian, Czech, Ukrainian and Hungarian land frontiers
Start: 2020-03-13.
Last confirmed: 2020-03-18. Reopening is not established.
Formal policy: dated evidence; numeric duration withheld; see qualification
R2-EU-014-C7P1 — Formal policy
Slovak nonresident foreign-entry restriction at the Polish frontier
Start: 2020-03-17.
Last confirmed: 2020-03-18. Reopening is not established.
Formal policy: dated evidence; numeric duration withheld; see qualification</x:v>
      </x:c>
      <x:c r="G38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88" s="4" t="str">
        <x:v>R2-EU-014-FU1: Poland begins separately March17. Citizens, residents and freight exceptions remain; no reopening established.
R2-EU-014-C7P1: Do not backdate Poland to March13; residents and freight exceptions remain. No endpoint established.
duration: Add scoped formal onset March 13 at four frontiers. June 5 easing for four-country citizens cannot supply a single endpoint for all foreign nonresidents, including the Ukrainian frontier.</x:v>
      </x:c>
      <x:c r="I388" s="4" t="str">
        <x:v>Retained baseline assessment. Follow-up adjudicated; amend</x:v>
      </x:c>
      <x:c r="J388" s="18" t="d">
        <x:v>2026-10-23T00:00:00.000Z</x:v>
      </x:c>
      <x:c r="K388" s="21" t="str">
        <x:f>IFERROR(HYPERLINK("https://www.gov.pl/web/slowacja/obostrzenia-wprowadzone-na-terytorium-republiki-slowackiej-z-uwagi-na-zagrozenie-koronawirusem","Polish Embassy Bratislava"),"Polish Embassy Bratislava")</x:f>
        <x:v>Polish Embassy Bratislava</x:v>
      </x:c>
      <x:c r="L388" s="21" t="str">
        <x:f>IFERROR(HYPERLINK("https://www.gov.pl/web/slowacja/obostrzenia-wprowadzone-na-terytorium-republiki-slowackiej-z-uwagi-na-zagrozenie-koronawirusem2","gov.pl"),"gov.pl")</x:f>
        <x:v>gov.pl</x:v>
      </x:c>
      <x:c r="M388" s="21" t="str">
        <x:f>IFERROR(HYPERLINK("https://fra.europa.eu/sites/default/files/fra_uploads/sk_report_on_coronavirus_pandemic_june_2020.pdf","EU Fundamental Rights Agency"),"EU Fundamental Rights Agency")</x:f>
        <x:v>EU Fundamental Rights Agency</x:v>
      </x:c>
      <x:c r="N388" s="4" t="str">
        <x:v>https://www.gov.pl/web/slowacja/obostrzenia-wprowadzone-na-terytorium-republiki-slowackiej-z-uwagi-na-zagrozenie-koronawirusem
https://www.gov.pl/web/slowacja/obostrzenia-wprowadzone-na-terytorium-republiki-slowackiej-z-uwagi-na-zagrozenie-koronawirusem2
https://fra.europa.eu/sites/default/files/fra_uploads/sk_report_on_coronavirus_pandemic_june_2020.pdf
https://newsnow.tasr.sk/matovic-were-opening-borders-between-cr-hungary-austria-and-slovakia/
https://akadalymentes.2015-2019.kormany.hu/en/ministry-of-foreign-affairs-and-trade/news/slovakia-to-allow-hungarians-and-czechs-to-cross-its-territory-there-and-back
https://2015-2019.kormany.hu/en/ministry-of-foreign-affairs-and-trade/news/unrestricted-travel-to-austria-the-czech-republic-and-slovakia-from-friday
https://www.akadalymentes.police.hu/en/content/slovakia-reintroduces-border-control</x:v>
      </x:c>
      <x:c r="O388" s="4" t="str">
        <x:v>Source 1: full
Source 2: access detail is retained in the source catalogue.
Source 3: indexed excerpt</x:v>
      </x:c>
      <x:c r="P388" s="20" t="n">
        <x:v>2</x:v>
      </x:c>
      <x:c r="Q388" s="4" t="str">
        <x:v>Europe</x:v>
      </x:c>
      <x:c r="R388" s="4" t="str">
        <x:v>Included</x:v>
      </x:c>
    </x:row>
    <x:row r="389" ht="138" hidden="0" customHeight="1">
      <x:c r="A389" s="16" t="str">
        <x:v>R2-EU-010</x:v>
      </x:c>
      <x:c r="B389" s="4" t="str">
        <x:v>Moldova restricts foreign entry across Ukrainian and Romanian frontiers</x:v>
      </x:c>
      <x:c r="C389" s="4" t="str">
        <x:v>Moldova; Ukraine; Romania</x:v>
      </x:c>
      <x:c r="D389" s="4" t="str">
        <x:v>Open Moldova–Ukraine and Moldova–Romania crossings
National land-entry regime; not complete physical closure of all posts</x:v>
      </x:c>
      <x:c r="E389" s="4" t="str">
        <x:v>Non-exempt foreign nationals; later differentiated by origin-risk category
Direction: Into Moldova
Exceptions: Residents, transport crews, diplomats and authorised cases; September green-origin entry permitted.</x:v>
      </x:c>
      <x:c r="F389" s="4" t="str">
        <x:v>R2-EU-010-D1 — Formal policy
Moldova's non-exempt foreign-entry prohibition, ending here only for origins classed green on September 1
Start: 2020-03-17.
Policy endpoint: 2020-09-01.
Formal policy: 168 calendar-day difference; operational continuity not established
R2-EU-010-C7P1 — Formal policy
Moldova red-origin foreign and stateless traveller entry prohibition under Decision26
Start: 2020-09-01.
Last confirmed: 2020-09-01. Reopening is not established.
Formal policy: dated evidence; numeric duration withheld; see qualification</x:v>
      </x:c>
      <x:c r="G38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89" s="4" t="str">
        <x:v>R2-EU-010-D1: Formal partial easing only, not observed reopening. March 17 onset differs by twenty hours between frontiers, immaterial to calendar-day precision; residents, crews and diplomats were excepted and red-origin restrictions persisted.
R2-EU-010-C7P1: Origin lists and exemptions evolve. This is not closure to all nationalities, freight or every journey; no repeal date established.</x:v>
      </x:c>
      <x:c r="I389" s="4" t="str">
        <x:v>Retained baseline assessment. Retained with recorded qualifications</x:v>
      </x:c>
      <x:c r="J389" s="18" t="d">
        <x:v>2026-10-23T00:00:00.000Z</x:v>
      </x:c>
      <x:c r="K389" s="21" t="str">
        <x:f>IFERROR(HYPERLINK("https://border.gov.md/ro/masuri-noi-si-restrictii-de-circulatie-prin-punctele-de-trecere-a-frontierei-de-stat","border.gov.md"),"border.gov.md")</x:f>
        <x:v>border.gov.md</x:v>
      </x:c>
      <x:c r="L389" s="21" t="str">
        <x:f>IFERROR(HYPERLINK("https://border.gov.md/ro/art-traversare-frontiera-perioada-pandemica","border.gov.md"),"border.gov.md")</x:f>
        <x:v>border.gov.md</x:v>
      </x:c>
      <x:c r="M389" s="21" t="str">
        <x:f>IFERROR(HYPERLINK("https://www.border.gov.md/index.php/ro/art-traversare-frontiera-perioada-pandemica","border.gov.md"),"border.gov.md")</x:f>
        <x:v>border.gov.md</x:v>
      </x:c>
      <x:c r="N389" s="4" t="str">
        <x:v>https://border.gov.md/ro/masuri-noi-si-restrictii-de-circulatie-prin-punctele-de-trecere-a-frontierei-de-stat
https://border.gov.md/ro/art-traversare-frontiera-perioada-pandemica
https://www.border.gov.md/index.php/ro/art-traversare-frontiera-perioada-pandemica
https://olanda.mfa.gov.md/ro/content/noi-reguli-privind-intrarea-pe-teritoriul-republicii-moldova-%C3%AEn-perioada-16-mai-%E2%80%93-30-iunie
https://www.old.ipn.md/en/borders-closed-to-foreigners-as-of-march-17-7967_1072200.html</x:v>
      </x:c>
      <x:c r="O389" s="4" t="str">
        <x:v>Source 1: full
Source 2: full
Source 3: access detail is retained in the source catalogue.</x:v>
      </x:c>
      <x:c r="P389" s="20" t="n">
        <x:v>2</x:v>
      </x:c>
      <x:c r="Q389" s="4" t="str">
        <x:v>Europe</x:v>
      </x:c>
      <x:c r="R389" s="4" t="str">
        <x:v>Included</x:v>
      </x:c>
    </x:row>
    <x:row r="390" ht="186" hidden="0" customHeight="1">
      <x:c r="A390" s="16" t="str">
        <x:v>R2-EU-011</x:v>
      </x:c>
      <x:c r="B390" s="4" t="str">
        <x:v>France limits non-exempt entry at internal-European borders during first COVID wave</x:v>
      </x:c>
      <x:c r="C390" s="4" t="str">
        <x:v>France; Belgium; Luxembourg; Germany; Switzerland; Italy; Monaco; Andorra; Spain</x:v>
      </x:c>
      <x:c r="D390" s="4" t="str">
        <x:v>European land crossing network; not all posts physically shut
Metropolitan internal-European land frontier entry regime</x:v>
      </x:c>
      <x:c r="E390" s="4" t="str">
        <x:v>Travellers outside authorised entry categories
Direction: Into metropolitan France
Exceptions: French nationals/residents, cross-border workers, international transport and progressively widened family/work cases.</x:v>
      </x:c>
      <x:c r="F390" s="4" t="str">
        <x:v>R2-EU-011-R1 — Formal policy
French COVID movement restriction on ordinary leisure entry from European neighbouring states other than Spain, excluding French citizens/residents and enumerated essential categories
Start: 2020-03-18.
Policy endpoint: 2020-06-15.
Formal policy: 89 calendar-day difference; operational continuity not established</x:v>
      </x:c>
      <x:c r="G39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390" s="4" t="str">
        <x:v>R2-EU-011-R1: Policy ends at 00:00 June 15, 2020 for specified European neighbours excluding Spain. May category relaxations and physical checkpoint reopening are not general leisure authorization. Endpoint inspected in official indexed excerpt; direct ministry fetch returned 404 and prefecture fetch 502.</x:v>
      </x:c>
      <x:c r="I390" s="4" t="str">
        <x:v>Retained baseline assessment. Retained with recorded qualifications</x:v>
      </x:c>
      <x:c r="J390" s="18" t="d">
        <x:v>2026-10-23T00:00:00.000Z</x:v>
      </x:c>
      <x:c r="K390" s="21" t="str">
        <x:f>IFERROR(HYPERLINK("https://www.gov.uk/government/news/french-government-restriction-on-movements-and-implementation-of-sanitary-measures-at-the-borders","British Embassy translation of French government release"),"British Embassy translation of French government release")</x:f>
        <x:v>British Embassy translation of French government release</x:v>
      </x:c>
      <x:c r="L390" s="21" t="str">
        <x:f>IFERROR(HYPERLINK("https://www.val-de-marne.gouv.fr/Actualites/Espace-presse/Communiques-de-presse/Communique-de-Presse-Archives-2020/La-levee-des-restrictions-de-circulation-aux-frontieres-interieures-europeennes-de-la-France","Prefecture of Val-de-Marne"),"Prefecture of Val-de-Marne")</x:f>
        <x:v>Prefecture of Val-de-Marne</x:v>
      </x:c>
      <x:c r="M390" s="21" t="str">
        <x:f>IFERROR(HYPERLINK("https://www.interieur.gouv.fr/fr/Archives/Archives-des-communiques-de-presse/2020-communiques/La-levee-des-restrictions-de-circulation-aux-frontieres-interieures-europeennes-de-la-France","French Interior Ministry"),"French Interior Ministry")</x:f>
        <x:v>French Interior Ministry</x:v>
      </x:c>
      <x:c r="N390" s="4" t="str">
        <x:v>https://www.gov.uk/government/news/french-government-restriction-on-movements-and-implementation-of-sanitary-measures-at-the-borders
https://www.val-de-marne.gouv.fr/Actualites/Espace-presse/Communiques-de-presse/Communique-de-Presse-Archives-2020/La-levee-des-restrictions-de-circulation-aux-frontieres-interieures-europeennes-de-la-France
https://www.interieur.gouv.fr/fr/Archives/Archives-des-communiques-de-presse/2020-communiques/La-levee-des-restrictions-de-circulation-aux-frontieres-interieures-europeennes-de-la-France
https://www.interieur.gouv.fr/fr/Archives/Archives-des-actualites/2020-Actualites/Restrictions-de-circulation-et-mise-en-place-de-mesures-sanitaires-aux-frontieres
https://www.interieur.gouv.fr/Archives/Archives-des-actualites/2020-Actualites/Restrictions-de-circulation-et-mise-en-place-de-mesures-sanitaires-aux-frontieres
https://www.interieur.gouv.fr/Archives/Archives-des-communiques-de-presse/2020-communiques/La-levee-des-restrictions-de-circulation-aux-frontieres-interieures-europeennes-de-la-France
https://www.interieur.gouv.fr/archive/restrictions-de-circulation-et-mise-en-place-de-mesures-sanitaires-aux-frontieres</x:v>
      </x:c>
      <x:c r="O390" s="4" t="str">
        <x:v>Source 1: full
Source 2: indexed excerpt
Source 3: failed; indexed excerpt</x:v>
      </x:c>
      <x:c r="P390" s="20" t="n">
        <x:v>1</x:v>
      </x:c>
      <x:c r="Q390" s="4" t="str">
        <x:v>Europe</x:v>
      </x:c>
      <x:c r="R390" s="4" t="str">
        <x:v>Included</x:v>
      </x:c>
    </x:row>
    <x:row r="391" ht="174" hidden="0" customHeight="1">
      <x:c r="A391" s="16" t="str">
        <x:v>R2-EU-015</x:v>
      </x:c>
      <x:c r="B391" s="4" t="str">
        <x:v>Belarus restricts non-exempt foreign land entry under COVID regulation</x:v>
      </x:c>
      <x:c r="C391" s="4" t="str">
        <x:v>Belarus; Poland; Lithuania; Latvia; Ukraine; Russia</x:v>
      </x:c>
      <x:c r="D391" s="4" t="str">
        <x:v>Road; simplified local; rail-station; river-port posts
National surface-entry regime; Russia included in reported inward rule</x:v>
      </x:c>
      <x:c r="E391" s="4" t="str">
        <x:v>Foreign nationals and stateless people outside exceptions
Direction: Into Belarus
Exceptions: Residents, work-authorised travellers, diplomats, freight crews, specified family/humanitarian travel and Russians transiting home; Minsk airport outside ban.</x:v>
      </x:c>
      <x:c r="F391" s="4" t="str">
        <x:v>R2-EU-015-D1 — Formal policy
Belarus non-exempt foreign surface-entry restriction under Regulation 624
Start: 2020-11-01.
Policy endpoint: 2022-04-03.
Formal policy: 518 calendar-day difference; operational continuity not established</x:v>
      </x:c>
      <x:c r="G391" s="4" t="str">
        <x:v>Health and biosecurity / Human disease control
Attributed official justification
Applies to: Recorded episode; exact overlap not separately established
Political control is an allegation attributed to opposition/reporting, alongside the official COVID explanation. It is not presented as established government intent.
Power and regime politics / Opposition and political reform
Analytical interpretation of reported context
Applies to: Recorded episode; exact overlap not separately established
Political control is an allegation attributed to opposition/reporting, alongside the official COVID explanation. It is not presented as established government intent.</x:v>
      </x:c>
      <x:c r="H391" s="4" t="str">
        <x:v>R2-EU-015-D1: Formal regime with changing resident, work, freight, family and humanitarian exemptions, not a sealed frontier. October 29 abrupt restrictions are a prior phase; no exact first traffic at every post is claimed.</x:v>
      </x:c>
      <x:c r="I391" s="4" t="str">
        <x:v>Retained baseline assessment. Retained with recorded qualifications</x:v>
      </x:c>
      <x:c r="J391" s="18" t="d">
        <x:v>2026-10-23T00:00:00.000Z</x:v>
      </x:c>
      <x:c r="K391" s="21" t="str">
        <x:f>IFERROR(HYPERLINK("https://www.gov.kz/org/mfa-minsk/press/news/details/119169?lang=ru","Kazakhstan Embassy in Belarus"),"Kazakhstan Embassy in Belarus")</x:f>
        <x:v>Kazakhstan Embassy in Belarus</x:v>
      </x:c>
      <x:c r="L391" s="21" t="str">
        <x:f>IFERROR(HYPERLINK("https://www.rferl.org/a/belarus-partially-shuts-borders-over-covid-19-as-protest-crackdown-continues/30923669.html","RFE/RL Belarus Service"),"RFE/RL Belarus Service")</x:f>
        <x:v>RFE/RL Belarus Service</x:v>
      </x:c>
      <x:c r="M391" s="21" t="str">
        <x:f>IFERROR(HYPERLINK("https://t.me/s/gpkgovby/1398","Belarus State Border Committee"),"Belarus State Border Committee")</x:f>
        <x:v>Belarus State Border Committee</x:v>
      </x:c>
      <x:c r="N391" s="4" t="str">
        <x:v>https://www.gov.kz/org/mfa-minsk/press/news/details/119169?lang=ru
https://www.rferl.org/a/belarus-partially-shuts-borders-over-covid-19-as-protest-crackdown-continues/30923669.html
https://t.me/s/gpkgovby/1398
https://www.ecoi.net/en/document/2048111.html
https://www.euronews.com/2020/10/30/protest-hit-belarus-closes-all-borders-except-its-one-with-russia-as-coronavirus-surges-in
https://www.iom.int/sites/g/files/tmzbdl486/files/situation_reports/file/iom-belarus-sitrep-14-1-14-apr.pdf
https://belarusdigest.com/story/why-did-belarus-lift-the-iron-curtain-from-its-borders/
https://telegram.me/s/gpkgovby?before=1372
https://base.spinform.ru/show_doc.fwx?rgn=128410
https://eec.eaeunion.org/upload/medialibrary/a01/Mery-stran-03.06.2022.pdf
https://devby.io/ru/news/belarus-granitsa-open</x:v>
      </x:c>
      <x:c r="O391" s="4" t="str">
        <x:v>Source 1: full page
Source 2: full page
Source 3: full page</x:v>
      </x:c>
      <x:c r="P391" s="20" t="n">
        <x:v>1</x:v>
      </x:c>
      <x:c r="Q391" s="4" t="str">
        <x:v>Europe</x:v>
      </x:c>
      <x:c r="R391" s="4" t="str">
        <x:v>Included</x:v>
      </x:c>
    </x:row>
    <x:row r="392" ht="78" hidden="0" customHeight="1">
      <x:c r="A392" s="16" t="str">
        <x:v>R2-EU-001</x:v>
      </x:c>
      <x:c r="B392" s="4" t="str">
        <x:v>Kosovo–Serbia: Jarinje and Brnjak vehicle blockades during licence-plate dispute</x:v>
      </x:c>
      <x:c r="C392" s="4" t="str">
        <x:v>Kosovo (disputed status); Serbia</x:v>
      </x:c>
      <x:c r="D392" s="4" t="str">
        <x:v>Jarinje; Brnjak
Disputed Kosovo–Serbia boundary; road access to two posts</x:v>
      </x:c>
      <x:c r="E392" s="4" t="str">
        <x:v>Road vehicles; pedestrians are documented passing during blockade
Direction: Road access in both directions obstructed
Exceptions: Pedestrian passage documented; not a complete prohibition of every traveller.</x:v>
      </x:c>
      <x:c r="F392" s="4" t="str">
        <x:v>R2-EU-001-D1 — Observed operation
Disputed Kosovo–Serbia boundary; road access to two posts; Road vehicles; pedestrians are documented passing during blockade; Road access in both directions obstructed
Start: 2021-09-20.
Observed scoped reopening: 2021-10-02.
12 calendar-day difference; scoped endpoint only</x:v>
      </x:c>
      <x:c r="G392" s="4" t="str">
        <x:v>Interstate disputes and pressure / Diplomatic disputes and retaliation
Reported reason
Applies to: Recorded episode; exact overlap not separately established
The recorded rationale and claim assessment support the selected subcategories. All applicable broad categories are retained together; no primary rationale is imposed.</x:v>
      </x:c>
      <x:c r="H392" s="4" t="str">
        <x:v>R2-EU-001-D1: Roadblock rather than a national border-closure decree. Kosovo’s disputed status is explicit. Pedestrian passage documented; not a complete prohibition of every traveller.</x:v>
      </x:c>
      <x:c r="I392" s="4" t="str">
        <x:v>Full-record source audit (REC50-R20); retained with recorded qualifications; evidence limits retained.</x:v>
      </x:c>
      <x:c r="J392" s="18" t="d">
        <x:v>2026-10-25T00:00:00.000Z</x:v>
      </x:c>
      <x:c r="K392" s="21" t="str">
        <x:f>IFERROR(HYPERLINK("https://www.rferl.org/a/kosovo-serbia-border-cleared/31488983.html","RFE/RL"),"RFE/RL")</x:f>
        <x:v>RFE/RL</x:v>
      </x:c>
      <x:c r="L392" s="21" t="str">
        <x:f>IFERROR(HYPERLINK("https://www.investing.com/news/world-news/serbs-unblock-roads-in-kosovo-as-nato-moves-to-end-car-plate-row-2632921","Reuters / Investing.com"),"Reuters / Investing.com")</x:f>
        <x:v>Reuters / Investing.com</x:v>
      </x:c>
      <x:c r="M392" s="21" t="str">
        <x:f>IFERROR(HYPERLINK("https://www.gazetaexpress.com/en/policia-gjendja-ne-veri-i-eshte-kthyer-normalitetit/","gazetaexpress.com"),"gazetaexpress.com")</x:f>
        <x:v>gazetaexpress.com</x:v>
      </x:c>
      <x:c r="N392" s="4" t="str">
        <x:v>https://www.rferl.org/a/kosovo-serbia-border-cleared/31488983.html
https://www.investing.com/news/world-news/serbs-unblock-roads-in-kosovo-as-nato-moves-to-end-car-plate-row-2632921
https://www.gazetaexpress.com/en/policia-gjendja-ne-veri-i-eshte-kthyer-normalitetit/</x:v>
      </x:c>
      <x:c r="O392" s="4" t="str">
        <x:v>Source 1: full text
Source 2: full text
Source 3: access detail is retained in the source catalogue.</x:v>
      </x:c>
      <x:c r="P392" s="20" t="n">
        <x:v>1</x:v>
      </x:c>
      <x:c r="Q392" s="4" t="str">
        <x:v>Europe</x:v>
      </x:c>
      <x:c r="R392" s="4" t="str">
        <x:v>Included</x:v>
      </x:c>
    </x:row>
    <x:row r="393" ht="162" hidden="0" customHeight="1">
      <x:c r="A393" s="16" t="str">
        <x:v>R2-EU-002</x:v>
      </x:c>
      <x:c r="B393" s="4" t="str">
        <x:v>Kosovo temporarily closes Jarinje and Brnjak during July roadblocks</x:v>
      </x:c>
      <x:c r="C393" s="4" t="str">
        <x:v>Kosovo (disputed status); Serbia</x:v>
      </x:c>
      <x:c r="D393" s="4" t="str">
        <x:v>Jarinje; Brnjak
Disputed Kosovo–Serbia boundary; two posts</x:v>
      </x:c>
      <x:c r="E393" s="4" t="str">
        <x:v>Passengers, vehicles and goods
Direction: Both-direction crossing circulation closed
Exceptions: Other Kosovo–Serbia posts remained alternatives.</x:v>
      </x:c>
      <x:c r="F393" s="4" t="str">
        <x:v>R2-EU-002-D1 — Observed operation
Disputed Kosovo–Serbia boundary; two posts; Passengers, vehicles and goods; Both-direction crossing circulation closed
Start: 2022-07-31.
Observed scoped reopening: 2022-08-01.
1 calendar-day difference; scoped endpoint only</x:v>
      </x:c>
      <x:c r="G393"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Reported reason
Applies to: Recorded episode; exact overlap not separately established
The recorded rationale and claim assessment support the selected subcategories. All applicable broad categories are retained together; no primary rationale is imposed.</x:v>
      </x:c>
      <x:c r="H393" s="4" t="str">
        <x:v>R2-EU-002-D1: Police operational notice and police reopening confirmation are one official evidence chain, not two independent observations. Other Kosovo–Serbia posts remained alternatives.</x:v>
      </x:c>
      <x:c r="I393" s="4" t="str">
        <x:v>Targeted source review (REC50-R19); retained with recorded qualifications; evidence limits retained.</x:v>
      </x:c>
      <x:c r="J393" s="18" t="d">
        <x:v>2026-10-25T00:00:00.000Z</x:v>
      </x:c>
      <x:c r="K393" s="21" t="str">
        <x:f>IFERROR(HYPERLINK("https://www.kosovopolice.com/informacion-zyrtar-nr-4/","Kosovo Police"),"Kosovo Police")</x:f>
        <x:v>Kosovo Police</x:v>
      </x:c>
      <x:c r="L393" s="21" t="str">
        <x:f>IFERROR(HYPERLINK("https://www.kossev.info/en/kp-jarinje-i-brnjak-otvoreni-za-kretanje-gradjana-i-robe/","KoSSev"),"KoSSev")</x:f>
        <x:v>KoSSev</x:v>
      </x:c>
      <x:c r="M393" s="21" t="str">
        <x:f>IFERROR(HYPERLINK("https://kossev.info/kp-jarinje-i-brnjak-otvoreni-za-kretanje-gradjana-i-robe/","KoSSev"),"KoSSev")</x:f>
        <x:v>KoSSev</x:v>
      </x:c>
      <x:c r="N393" s="4" t="str">
        <x:v>https://www.kosovopolice.com/informacion-zyrtar-nr-4/
https://www.kossev.info/en/kp-jarinje-i-brnjak-otvoreni-za-kretanje-gradjana-i-robe/
https://kossev.info/kp-jarinje-i-brnjak-otvoreni-za-kretanje-gradjana-i-robe/
https://www.kosovopolice.com/sr/zvanicna-informacija-br-4-informacion-zyrtar-nr-4/
https://kossev.info/en/kp-jarinje-i-brnjak-otvoreni-za-kretanje-gradjana-i-robe/</x:v>
      </x:c>
      <x:c r="O393" s="4" t="str">
        <x:v>Source 1: full text
Source 2: unavailable
Source 3: full text</x:v>
      </x:c>
      <x:c r="P393" s="20" t="n">
        <x:v>1</x:v>
      </x:c>
      <x:c r="Q393" s="4" t="str">
        <x:v>Europe</x:v>
      </x:c>
      <x:c r="R393" s="4" t="str">
        <x:v>Included</x:v>
      </x:c>
    </x:row>
    <x:row r="394" ht="162" hidden="0" customHeight="1">
      <x:c r="A394" s="16" t="str">
        <x:v>R2-EU-003</x:v>
      </x:c>
      <x:c r="B394" s="4" t="str">
        <x:v>Kosovo closes Jarinje and Brnjak during December 2022 barricades</x:v>
      </x:c>
      <x:c r="C394" s="4" t="str">
        <x:v>Kosovo (disputed status); Serbia</x:v>
      </x:c>
      <x:c r="D394" s="4" t="str">
        <x:v>Jarinje; Brnjak
Disputed Kosovo–Serbia boundary; two northern posts</x:v>
      </x:c>
      <x:c r="E394" s="4" t="str">
        <x:v>Crossing traffic, people and goods
Direction: Both-direction circulation closed
Exceptions: Other posts initially available; separate Merdare interruption recorded separately.</x:v>
      </x:c>
      <x:c r="F394" s="4" t="str">
        <x:v>R2-EU-003-D1 — Observed operation
Disputed Kosovo–Serbia boundary; two northern posts; Crossing traffic, people and goods; Both-direction circulation closed
Start: 2022-12-10.
Observed scoped reopening: 2022-12-30.
20 calendar-day difference; scoped endpoint only</x:v>
      </x:c>
      <x:c r="G394" s="4" t="str">
        <x:v>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Power and regime politics / Contested governing authority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94" s="4" t="str">
        <x:v>R2-EU-003-D1: Reuters operational dates derive from police, so not independent verification of police’s precise reopening hour. Other posts initially available; separate Merdare interruption recorded separately.</x:v>
      </x:c>
      <x:c r="I394" s="4" t="str">
        <x:v>Retained baseline assessment. Retained with recorded qualifications</x:v>
      </x:c>
      <x:c r="J394" s="18" t="d">
        <x:v>2026-10-23T00:00:00.000Z</x:v>
      </x:c>
      <x:c r="K394" s="21" t="str">
        <x:f>IFERROR(HYPERLINK("https://www.kosovopolice.com/komunikate-per-media-saopstenje-za-medije-press-release-5/","Kosovo Police"),"Kosovo Police")</x:f>
        <x:v>Kosovo Police</x:v>
      </x:c>
      <x:c r="L394" s="21" t="str">
        <x:f>IFERROR(HYPERLINK("https://www.kosovopolice.com/sr/na-severu-zemlje-uklonjene-su-barikade-i-otvorena-su-za-saobracaj-dva-granicna-prelaza-jarinje-i-brnjak/","Kosovo Police"),"Kosovo Police")</x:f>
        <x:v>Kosovo Police</x:v>
      </x:c>
      <x:c r="M394" s="21" t="str">
        <x:f>IFERROR(HYPERLINK("https://www.investing.com/news/world-news/kosovo-reopens-border-crossings-after-serbs-remove-roadblocks-2971441","Investing.com / Reuters"),"Investing.com / Reuters")</x:f>
        <x:v>Investing.com / Reuters</x:v>
      </x:c>
      <x:c r="N394" s="4" t="str">
        <x:v>https://www.kosovopolice.com/komunikate-per-media-saopstenje-za-medije-press-release-5/
https://www.kosovopolice.com/sr/na-severu-zemlje-uklonjene-su-barikade-i-otvorena-su-za-saobracaj-dva-granicna-prelaza-jarinje-i-brnjak/
https://www.investing.com/news/world-news/kosovo-reopens-border-crossings-after-serbs-remove-roadblocks-2971441
https://www.rferl.org/amp/kosovo-serbia-vucic-remove-roadblocks/32198522.html
https://www.koha.net/en/arberi/barrikadat-u-larguan-por-pikat-kufitare-ne-veri-jane-ende-te-mbyllura
https://2021-2025.state.gov/reports/2022-country-reports-on-human-rights-practices/kosovo/</x:v>
      </x:c>
      <x:c r="O394" s="4" t="str">
        <x:v>Source 1: search extract
Source 2: search extract
Source 3: full page</x:v>
      </x:c>
      <x:c r="P394" s="20" t="n">
        <x:v>1</x:v>
      </x:c>
      <x:c r="Q394" s="4" t="str">
        <x:v>Europe</x:v>
      </x:c>
      <x:c r="R394" s="4" t="str">
        <x:v>Included</x:v>
      </x:c>
    </x:row>
    <x:row r="395" ht="162" hidden="0" customHeight="1">
      <x:c r="A395" s="16" t="str">
        <x:v>R2-EU-004</x:v>
      </x:c>
      <x:c r="B395" s="4" t="str">
        <x:v>Kosovo’s Merdare crossing closes during Serbian-side solidarity blockade</x:v>
      </x:c>
      <x:c r="C395" s="4" t="str">
        <x:v>Kosovo (disputed status); Serbia</x:v>
      </x:c>
      <x:c r="D395" s="4" t="str">
        <x:v>Merdare
Disputed Kosovo–Serbia boundary; one post</x:v>
      </x:c>
      <x:c r="E395" s="4" t="str">
        <x:v>Crossing traffic including freight
Direction: Both-direction circulation closed
Exceptions: Alternative crossings existed.</x:v>
      </x:c>
      <x:c r="F395" s="4" t="str">
        <x:v>R2-EU-004-D1 — Observed operation
Disputed Kosovo–Serbia boundary; one post; Crossing traffic including freight; Both-direction circulation closed
Start: 2022-12-27 to 2022-12-28.
Observed scoped reopening: 2022-12-29.
1–2 calendar-day difference; scoped endpoint only</x:v>
      </x:c>
      <x:c r="G395" s="4" t="str">
        <x:v>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Power and regime politics / Contested governing authority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395" s="4" t="str">
        <x:v>R2-EU-004-D1: Operational onset bounded December27–28; official closure timestamp remains December28. Separate northern-post episodes are not joined.</x:v>
      </x:c>
      <x:c r="I395" s="4" t="str">
        <x:v>Retained baseline assessment. Retained with recorded qualifications</x:v>
      </x:c>
      <x:c r="J395" s="18" t="d">
        <x:v>2026-10-23T00:00:00.000Z</x:v>
      </x:c>
      <x:c r="K395" s="21" t="str">
        <x:f>IFERROR(HYPERLINK("https://www.rferl.org/a/kosovo-serbia-vucic-remove-roadblocks/32198522.html","RFE/RL"),"RFE/RL")</x:f>
        <x:v>RFE/RL</x:v>
      </x:c>
      <x:c r="L395" s="21" t="str">
        <x:f>IFERROR(HYPERLINK("https://www.investing.com/news/world-news/kosovo-reopens-major-border-crossing-with-serbia-easing-standoff-2971011","Investing.com / Reuters"),"Investing.com / Reuters")</x:f>
        <x:v>Investing.com / Reuters</x:v>
      </x:c>
      <x:c r="M395" s="21" t="str">
        <x:f>IFERROR(HYPERLINK("https://www.rferl.org/a/kosovo-serbia-border-roadblocks/32197331.html","RFE/RL Balkan Service"),"RFE/RL Balkan Service")</x:f>
        <x:v>RFE/RL Balkan Service</x:v>
      </x:c>
      <x:c r="N395" s="4" t="str">
        <x:v>https://www.rferl.org/a/kosovo-serbia-vucic-remove-roadblocks/32198522.html
https://www.investing.com/news/world-news/kosovo-reopens-major-border-crossing-with-serbia-easing-standoff-2971011
https://www.rferl.org/a/kosovo-serbia-border-roadblocks/32197331.html
https://newsinfo.inquirer.net/1709907/kosovo-closes-main-border-crossing-after-roadblock-in-serbia
https://www.kossev.info/en/kp-potvrdila-merdare-zatvoreno-zbog-blokade-puta/
https://www.globalbankingandfinance.com/kosovo-re-opens-major-border-crossing-with-serbia-easing-standoff/
https://www.rferl.org/amp/kosovo-serbia-vucic-remove-roadblocks/32198522.html
https://www.koha.net/en/arberi/lirohet-per-qarkullim-pika-kufitare-ne-merdare</x:v>
      </x:c>
      <x:c r="O395" s="4" t="str">
        <x:v>Source 1: full page
Source 2: search extract
Source 3: full page</x:v>
      </x:c>
      <x:c r="P395" s="20" t="n">
        <x:v>1</x:v>
      </x:c>
      <x:c r="Q395" s="4" t="str">
        <x:v>Europe</x:v>
      </x:c>
      <x:c r="R395" s="4" t="str">
        <x:v>Included</x:v>
      </x:c>
    </x:row>
    <x:row r="396" ht="246" hidden="0" customHeight="1">
      <x:c r="A396" s="16" t="str">
        <x:v>R2-EU-008</x:v>
      </x:c>
      <x:c r="B396" s="4" t="str">
        <x:v>Kosovo restricts Serbian goods, later permitting them at Merdare</x:v>
      </x:c>
      <x:c r="C396" s="4" t="str">
        <x:v>Kosovo (disputed status); Serbia</x:v>
      </x:c>
      <x:c r="D396" s="4" t="str">
        <x:v>All Serbia-facing posts initially; Merdare relaxation endpoint
Serbian-origin imports at disputed Kosovo–Serbia boundary</x:v>
      </x:c>
      <x:c r="E396" s="4" t="str">
        <x:v>Serbian goods; initial measure also affected Serbian-plated trucks, later narrowed
Direction: Into Kosovo
Exceptions: Raw materials later exempted; other goods crossings not reopened by Merdare-only decision. Passenger inspection is not counted as passenger closure.</x:v>
      </x:c>
      <x:c r="F396" s="4" t="str">
        <x:v>R2-EU-008-D1 — Observed operation
Kosovo prohibition of non-exempt Serbian-origin imports, ending here only for Merdare
Start: 2023-06-14.
Observed scoped reopening: 2024-10-08.
dated evidence; numeric duration withheld; see qualification
R2-EU-008-C7P1 — Formal policy
Serbian-origin finished-goods import routing prohibition at Kosovo crossings other than Merdare
Start: 2024-10-08.
Last confirmed: 2025-09-01. Reopening is not established.
Formal policy: confirmed through 2025-09-01; at least 328 calendar-day difference; reopening unknown</x:v>
      </x:c>
      <x:c r="G396" s="4" t="str">
        <x:v>Security / Unspecified security
Reported reason
Applies to: Recorded episode; exact overlap not separately established
The inter-authority/security dispute is recorded. The goods restriction does not by itself establish an economic-protection or trade-policy motive.
Interstate disputes and pressure / Diplomatic disputes and retaliation
Reported reason
Applies to: Recorded episode; exact overlap not separately established
The inter-authority/security dispute is recorded. The goods restriction does not by itself establish an economic-protection or trade-policy motive.</x:v>
      </x:c>
      <x:c r="H396" s="4" t="str">
        <x:v>October 8 Merdare partial actual reopening now supported by onsite Euronews, beyond minister confirmation; October 7 remains announcement.
R2-EU-008-D1: October 7 was the policy decision; October 8 was implementation and observed traffic. Product exceptions changed, and no stable goods cohort or continuous operational closure across the entire span is established. Numeric duration and intervening continuity are withheld; other crossings remained restricted.
R2-EU-008-C7P1: September1 is the report-period endpoint used conservatively, not a reopening. Goods could enter through Merdare under manual checks; no complete trade shutdown implied.</x:v>
      </x:c>
      <x:c r="I396" s="4" t="str">
        <x:v>Targeted source review (REC50-R04); retained with recorded qualifications; evidence limits retained.</x:v>
      </x:c>
      <x:c r="J396" s="18" t="d">
        <x:v>2026-10-25T00:00:00.000Z</x:v>
      </x:c>
      <x:c r="K396" s="21" t="str">
        <x:f>IFERROR(HYPERLINK("https://www.kosovo-online.com/en/news/society/jarinje-implementation-decision-kosovo-government-banning-import-serbian-goods-has","Kosovo Online"),"Kosovo Online")</x:f>
        <x:v>Kosovo Online</x:v>
      </x:c>
      <x:c r="L396" s="21" t="str">
        <x:f>IFERROR(HYPERLINK("https://www.koha.net/en/arberi/kosova-ndalon-hyrjen-e-te-gjitha-mallrave-nga-serbia","KOHA"),"KOHA")</x:f>
        <x:v>KOHA</x:v>
      </x:c>
      <x:c r="M396" s="21" t="str">
        <x:f>IFERROR(HYPERLINK("https://www.aa.com.tr/en/europe/kosovo-lifts-import-ban-on-serbian-goods-serbia-welcomes-decision/3354567","Anadolu Agency"),"Anadolu Agency")</x:f>
        <x:v>Anadolu Agency</x:v>
      </x:c>
      <x:c r="N396" s="4" t="str">
        <x:v>https://www.kosovo-online.com/en/news/society/jarinje-implementation-decision-kosovo-government-banning-import-serbian-goods-has
https://www.koha.net/en/arberi/kosova-ndalon-hyrjen-e-te-gjitha-mallrave-nga-serbia
https://www.aa.com.tr/en/europe/kosovo-lifts-import-ban-on-serbian-goods-serbia-welcomes-decision/3354567
https://kossev.info/en/sveclja-merdare-otvoreno-za-srpsku-robu-uz-bezbednosne-provere-mediji-izvestavaju-da-je-prvi-kamion-vec-usao/
https://www.tanjug.rs/english/politics/116022/trucks-queued-up-for-kilometres-at-merdare-administrative-crossing/vest
https://www.euronews.rs/srbija/politika/140331/euronews-srbija-na-administrativnom-prelazu-merdare-posle-odluke-pristine-prolaze-kamioni-iz-centralne-srbije/vest
https://euronews.al/en/trucks-transporting-serbian-goods-denied-entry-to-kosovo-even-today/
https://www.koha.net/en/arberi/qeveria-ndryshon-masen-e-sigurise-ndaj-produkteve-serbe
https://www.slobodnaevropa.org/a/kosovo-srbija-promet-robe/33151208.html
https://enlargement.ec.europa.eu/document/download/127563ea-4c03-44a4-b56c-2d569afd86a5_en?filename=kosovo-report-2025.pdf
https://www.ecoi.net/en/file/local/2132160/Kosovo%20Report%202024.pdf
https://kossev.info/en/pks-zbog-zabrane-izvoza-robe-iz-srbije-na-kosovo-steta-oko-150-miliona-evra/
https://eur-lex.europa.eu/legal-content/EN/TXT/PDF/?uri=CELEX%3A52024SC0386</x:v>
      </x:c>
      <x:c r="O396" s="4" t="str">
        <x:v>Source 1: search extract
Source 2: search extract
Source 3: search extract</x:v>
      </x:c>
      <x:c r="P396" s="20" t="n">
        <x:v>2</x:v>
      </x:c>
      <x:c r="Q396" s="4" t="str">
        <x:v>Europe</x:v>
      </x:c>
      <x:c r="R396" s="4" t="str">
        <x:v>Included</x:v>
      </x:c>
    </x:row>
    <x:row r="397" ht="162" hidden="0" customHeight="1">
      <x:c r="A397" s="16" t="str">
        <x:v>R2-EU-005</x:v>
      </x:c>
      <x:c r="B397" s="4" t="str">
        <x:v>Kosovo blocks entry at Brnjak after Banjska armed attack</x:v>
      </x:c>
      <x:c r="C397" s="4" t="str">
        <x:v>Kosovo (disputed status); Serbia</x:v>
      </x:c>
      <x:c r="D397" s="4" t="str">
        <x:v>Brnjak
Disputed Kosovo–Serbia boundary; single northern post</x:v>
      </x:c>
      <x:c r="E397" s="4" t="str">
        <x:v>Inbound travellers/vehicles; initial outbound closure not fully dated
Direction: Into Kosovo; outbound restrictions eased earlier
Exceptions: Outbound movement permitted before inbound reopening; its restoration date remains unverified.</x:v>
      </x:c>
      <x:c r="F397" s="4" t="str">
        <x:v>R2-EU-005-D1 — Observed operation
Disputed Kosovo–Serbia boundary; single northern post; Inbound travellers/vehicles; initial outbound closure not fully dated; Into Kosovo; outbound restrictions eased earlier
Start: 2023-09-24.
Observed scoped reopening: 2023-10-04.
10 calendar-day difference; scoped endpoint only</x:v>
      </x:c>
      <x:c r="G397"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
Security / Crime and law enforcement
Reported reason
Applies to: Recorded episode; exact overlap not separately established
The recorded rationale and claim assessment support the selected subcategories. All applicable broad categories are retained together; no primary rationale is imposed.</x:v>
      </x:c>
      <x:c r="H397" s="4" t="str">
        <x:v>R2-EU-005-D1: This interval is specifically inward passage. Do not describe every direction closed continuously. Brnjak reopened earlier than Jarinje. Outbound movement permitted before inbound reopening; its restoration date remains unverified.</x:v>
      </x:c>
      <x:c r="I397" s="4" t="str">
        <x:v>Targeted source review (REC50-R39); accepted qualification; evidence limits retained.</x:v>
      </x:c>
      <x:c r="J397" s="18" t="d">
        <x:v>2026-10-25T00:00:00.000Z</x:v>
      </x:c>
      <x:c r="K397" s="21" t="str">
        <x:f>IFERROR(HYPERLINK("https://www.slobodnaevropa.org/a/kosovo-srbija-otvoren-granicni-prelaz-brnjak/32622397.html","RFE/RL Serbian service"),"RFE/RL Serbian service")</x:f>
        <x:v>RFE/RL Serbian service</x:v>
      </x:c>
      <x:c r="L397" s="21" t="str">
        <x:f>IFERROR(HYPERLINK("https://kossev.info/en/brnjak-otvoren-za-saobracaj-jarinje-jos-uvek-ne/","KoSSev"),"KoSSev")</x:f>
        <x:v>KoSSev</x:v>
      </x:c>
      <x:c r="M397" s="21" t="str">
        <x:f>IFERROR(HYPERLINK("https://www.evropaelire.org/a/pikekalimi-jarinje-kosove-serbi-/32642310.html","RFE/RL Albanian service"),"RFE/RL Albanian service")</x:f>
        <x:v>RFE/RL Albanian service</x:v>
      </x:c>
      <x:c r="N397" s="4" t="str">
        <x:v>https://www.slobodnaevropa.org/a/kosovo-srbija-otvoren-granicni-prelaz-brnjak/32622397.html
https://kossev.info/en/brnjak-otvoren-za-saobracaj-jarinje-jos-uvek-ne/
https://www.evropaelire.org/a/pikekalimi-jarinje-kosove-serbi-/32642310.html
https://euronews.al/en/border-crossing-at-jarinje-fully-opened-after-month-long-closure/</x:v>
      </x:c>
      <x:c r="O397" s="4" t="str">
        <x:v>Source 1: full text
Source 2: unavailable
Source 3: full text</x:v>
      </x:c>
      <x:c r="P397" s="20" t="n">
        <x:v>1</x:v>
      </x:c>
      <x:c r="Q397" s="4" t="str">
        <x:v>Europe</x:v>
      </x:c>
      <x:c r="R397" s="4" t="str">
        <x:v>Included</x:v>
      </x:c>
    </x:row>
    <x:row r="398" ht="162" hidden="0" customHeight="1">
      <x:c r="A398" s="16" t="str">
        <x:v>R2-EU-006</x:v>
      </x:c>
      <x:c r="B398" s="4" t="str">
        <x:v>Kosovo blocks entry at Jarinje after Banjska armed attack</x:v>
      </x:c>
      <x:c r="C398" s="4" t="str">
        <x:v>Kosovo (disputed status); Serbia</x:v>
      </x:c>
      <x:c r="D398" s="4" t="str">
        <x:v>Jarinje
Disputed Kosovo–Serbia boundary; single northern post</x:v>
      </x:c>
      <x:c r="E398" s="4" t="str">
        <x:v>Inbound travellers/vehicles; initial outbound closure not fully dated
Direction: Into Kosovo; outbound restrictions eased earlier
Exceptions: Outbound movement permitted before inbound reopening; its restoration date remains unverified.</x:v>
      </x:c>
      <x:c r="F398" s="4" t="str">
        <x:v>R2-EU-006-D1 — Observed operation
Disputed Kosovo–Serbia boundary; single northern post; Inbound travellers/vehicles; initial outbound closure not fully dated; Into Kosovo; outbound restrictions eased earlier
Start: 2023-09-24.
Observed scoped reopening: 2023-10-18.
24 calendar-day difference; scoped endpoint only</x:v>
      </x:c>
      <x:c r="G398"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
Security / Crime and law enforcement
Reported reason
Applies to: Recorded episode; exact overlap not separately established
The recorded rationale and claim assessment support the selected subcategories. All applicable broad categories are retained together; no primary rationale is imposed.</x:v>
      </x:c>
      <x:c r="H398" s="4" t="str">
        <x:v>R2-EU-006-D1: This interval is specifically inward passage. Do not describe every direction closed continuously. Brnjak reopened earlier than Jarinje. Outbound movement permitted before inbound reopening; its restoration date remains unverified.</x:v>
      </x:c>
      <x:c r="I398" s="4" t="str">
        <x:v>Targeted source review (REC50-R39); accepted qualification; evidence limits retained.</x:v>
      </x:c>
      <x:c r="J398" s="18" t="d">
        <x:v>2026-10-25T00:00:00.000Z</x:v>
      </x:c>
      <x:c r="K398" s="21" t="str">
        <x:f>IFERROR(HYPERLINK("https://www.slobodnaevropa.org/a/kosovo-srbija-otvoren-granicni-prelaz-brnjak/32622397.html","RFE/RL Serbian service"),"RFE/RL Serbian service")</x:f>
        <x:v>RFE/RL Serbian service</x:v>
      </x:c>
      <x:c r="L398" s="21" t="str">
        <x:f>IFERROR(HYPERLINK("https://kossev.info/en/brnjak-otvoren-za-saobracaj-jarinje-jos-uvek-ne/","KoSSev"),"KoSSev")</x:f>
        <x:v>KoSSev</x:v>
      </x:c>
      <x:c r="M398" s="21" t="str">
        <x:f>IFERROR(HYPERLINK("https://kossev.info/en/the-jarinje-crossing-is-fully-open-to-traffic/","KoSSev"),"KoSSev")</x:f>
        <x:v>KoSSev</x:v>
      </x:c>
      <x:c r="N398" s="4" t="str">
        <x:v>https://www.slobodnaevropa.org/a/kosovo-srbija-otvoren-granicni-prelaz-brnjak/32622397.html
https://kossev.info/en/brnjak-otvoren-za-saobracaj-jarinje-jos-uvek-ne/
https://kossev.info/en/the-jarinje-crossing-is-fully-open-to-traffic/
https://www.koha.net/en/arberi/sot-hapet-pikekalimi-kufitar-ne-jarinje
https://www.evropaelire.org/a/pikekalimi-jarinje-kosove-serbi-/32642310.html
https://euronews.al/en/border-crossing-at-jarinje-fully-opened-after-month-long-closure/</x:v>
      </x:c>
      <x:c r="O398" s="4" t="str">
        <x:v>Source 1: full text
Source 2: search extract
Source 3: search extract; full page blocked (403)</x:v>
      </x:c>
      <x:c r="P398" s="20" t="n">
        <x:v>1</x:v>
      </x:c>
      <x:c r="Q398" s="4" t="str">
        <x:v>Europe</x:v>
      </x:c>
      <x:c r="R398" s="4" t="str">
        <x:v>Included</x:v>
      </x:c>
    </x:row>
    <x:row r="399" ht="270" hidden="0" customHeight="1">
      <x:c r="A399" s="16" t="str">
        <x:v>R2-EU-009</x:v>
      </x:c>
      <x:c r="B399" s="4" t="str">
        <x:v>Latvia suspends Vientuļi and Pededze border crossings with Russia</x:v>
      </x:c>
      <x:c r="C399" s="4" t="str">
        <x:v>Latvia; Russia</x:v>
      </x:c>
      <x:c r="D399" s="4" t="str">
        <x:v>Vientuļi; Pededze
Two Latvia–Russia land posts</x:v>
      </x:c>
      <x:c r="E399" s="4" t="str">
        <x:v>Passage through two posts and associated customs processing
Direction: Both directions through suspended posts
Exceptions: Grebņeva and Terehova remained operating.</x:v>
      </x:c>
      <x:c r="F399" s="4" t="str">
        <x:v>R2-EU-009-R1 — Formal policy
Suspension of Vientuļi and Pededze road border crossing operations on Latvian–Russian frontier
Start: 2023-10-16.
Last confirmed: 2025-03-18. Reopening is not established.
Formal policy: confirmed through 2025-03-18; at least 519 calendar-day difference; reopening unknown</x:v>
      </x:c>
      <x:c r="G399" s="4" t="str">
        <x:v>Security / Public order and immediate safety
Attributed official justification
Applies to: Recorded episode; exact overlap not separately established
The recorded rationale and claim assessment support the selected subcategories. All applicable broad categories are retained together; no primary rationale is imposed.</x:v>
      </x:c>
      <x:c r="H399" s="4" t="str">
        <x:v>R2-EU-009-R1: Later separate restrictions at Grebņeva/Terehova do not change these posts. Confirmation is not reopening; later inaccessible source not counted.</x:v>
      </x:c>
      <x:c r="I399" s="4" t="str">
        <x:v>Targeted source review (REC50-R08); retained with recorded qualifications; evidence limits retained.</x:v>
      </x:c>
      <x:c r="J399" s="18" t="d">
        <x:v>2026-10-25T00:00:00.000Z</x:v>
      </x:c>
      <x:c r="K399" s="21" t="str">
        <x:f>IFERROR(HYPERLINK("https://likumi.lv/ta/id/346448-par-robezskersosanas-vietudarbibas-apturesanu-uz-latvijas-republikas--krievijas-federacijas-valsts-robezas","Likumi.lv"),"Likumi.lv")</x:f>
        <x:v>Likumi.lv</x:v>
      </x:c>
      <x:c r="L399" s="21" t="str">
        <x:f>IFERROR(HYPERLINK("https://www.vid.gov.lv/en/article/operations-vientuli-border-crossing-point-latvian-border-russia-suspended-16-october","Latvian State Revenue Service"),"Latvian State Revenue Service")</x:f>
        <x:v>Latvian State Revenue Service</x:v>
      </x:c>
      <x:c r="M399" s="21" t="str">
        <x:f>IFERROR(HYPERLINK("https://www.lsm.lv/raksts/zinas/latvija/18.03.2025-no-tresdienas-krievijas-un-baltkrievijas-robezu-laus-skersot-tikai-ar-automasinam.a591964/","LSM"),"LSM")</x:f>
        <x:v>LSM</x:v>
      </x:c>
      <x:c r="N399" s="4" t="str">
        <x:v>https://likumi.lv/ta/id/346448-par-robezskersosanas-vietudarbibas-apturesanu-uz-latvijas-republikas--krievijas-federacijas-valsts-robezas
https://www.vid.gov.lv/en/article/operations-vientuli-border-crossing-point-latvian-border-russia-suspended-16-october
https://www.lsm.lv/raksts/zinas/latvija/18.03.2025-no-tresdienas-krievijas-un-baltkrievijas-robezu-laus-skersot-tikai-ar-automasinam.a591964/
https://www.president.lv/en/article/president-latvia-years-priority-introduction-technological-solutions-along-entire-eastern-border-and-military-reinforcement-border
https://www.vestnesis.lv/op/2023/199B.1
https://www.mk.gov.lv/en/article/operation-vientuli-and-pededze-border-crossing-points-latvia-russia-border-be-suspended-16-october
https://www.mfa.gov.lv/en/article/vientuli-and-pededze-border-crossing-points-latvias-border-russia-be-closed-16-october-ministry-interior
https://www.sam.gov.lv/lv/jaunums/elektroniska-rindas-rezervacijas-sistema-pie-latvijas-arejas-robezas-devusi-pirmos-rezultatus-noversot-kravas-auto-rindas
https://interfax.com/newsroom/top-stories/95490/
https://aluksniesiem.lv/projekti/iedzivotaju-dzives-kvalitate-pierobeza/iedzivotaju-dzives-kvalitate-pierobeza-2/foto-valsts-prezidents-edgars-rinkevics-apmekle-latvijas-krievijas-robezu-aluksnes-novada/
https://prod2-portal.lasi.lv/par-svarigo/latvija/valdiba-atbalsta-elektroniska-robezskersosanas-risinajuma-ieviesanu-ari-slegtajas-vietas-silene-un-vientuli.46195
https://www.vestnesis.lv/op/2026/157.8</x:v>
      </x:c>
      <x:c r="O399" s="4" t="str">
        <x:v>Source 1: indexed excerpt; unavailable
Source 2: indexed excerpt; indexed extract
Source 3: full</x:v>
      </x:c>
      <x:c r="P399" s="20" t="n">
        <x:v>1</x:v>
      </x:c>
      <x:c r="Q399" s="4" t="str">
        <x:v>Europe</x:v>
      </x:c>
      <x:c r="R399" s="4" t="str">
        <x:v>Included</x:v>
      </x:c>
    </x:row>
    <x:row r="400" ht="162" hidden="0" customHeight="1">
      <x:c r="A400" s="16" t="str">
        <x:v>R2-EU-007</x:v>
      </x:c>
      <x:c r="B400" s="4" t="str">
        <x:v>Kosovo closes Merdare and Brnjak following Serbian activist obstruction</x:v>
      </x:c>
      <x:c r="C400" s="4" t="str">
        <x:v>Kosovo (disputed status); Serbia</x:v>
      </x:c>
      <x:c r="D400" s="4" t="str">
        <x:v>Merdare; Brnjak
Disputed Kosovo–Serbia boundary; two posts</x:v>
      </x:c>
      <x:c r="E400" s="4" t="str">
        <x:v>Traffic through named posts; activists targeted Kosovo-issued documents
Direction: Crossing circulation closed; prior activist obstruction selectively affected Kosovo document holders
Exceptions: Jarinje had a separate roadblock but is not included in the two-post police closure interval.</x:v>
      </x:c>
      <x:c r="F400" s="4" t="str">
        <x:v>R2-EU-007-D1 — Observed operation
Disputed Kosovo–Serbia boundary; two posts; Traffic through named posts; activists targeted Kosovo-issued documents; Crossing circulation closed; prior activist obstruction selectively affected Kosovo document holders
Start: 2024-09-06.
Observed scoped reopening: 2024-09-07.
1 calendar-day difference; scoped endpoint only</x:v>
      </x:c>
      <x:c r="G400" s="4" t="str">
        <x:v>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Power and regime politics / Contested governing authority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00" s="4" t="str">
        <x:v>R2-EU-007-D1: Late 6 September onset is distinguished from Reuters publication on 7 September; no inference of a two-day full closure. Jarinje had a separate roadblock but is not included in the two-post police closure interval.</x:v>
      </x:c>
      <x:c r="I400" s="4" t="str">
        <x:v>Retained baseline assessment. Retained with recorded qualifications</x:v>
      </x:c>
      <x:c r="J400" s="18" t="d">
        <x:v>2026-10-23T00:00:00.000Z</x:v>
      </x:c>
      <x:c r="K400" s="21" t="str">
        <x:f>IFERROR(HYPERLINK("https://www.rferl.org/amp/kosovo-serbia-border-blockade/33110717.html","RFE/RL"),"RFE/RL")</x:f>
        <x:v>RFE/RL</x:v>
      </x:c>
      <x:c r="L400" s="21" t="str">
        <x:f>IFERROR(HYPERLINK("https://www.investing.com/news/world-news/kosovo-closes-two-border-crossings-with-serbia-after-protest-3606194","Investing.com / Reuters"),"Investing.com / Reuters")</x:f>
        <x:v>Investing.com / Reuters</x:v>
      </x:c>
      <x:c r="M400" s="21" t="str">
        <x:f>IFERROR(HYPERLINK("https://kossev.info/kosovo-online-najnovije-vesti-prelazi-merdare-i-brnjak-otvoreni-za-saobracaj/","kossev.info"),"kossev.info")</x:f>
        <x:v>kossev.info</x:v>
      </x:c>
      <x:c r="N400" s="4" t="str">
        <x:v>https://www.rferl.org/amp/kosovo-serbia-border-blockade/33110717.html
https://www.investing.com/news/world-news/kosovo-closes-two-border-crossings-with-serbia-after-protest-3606194
https://kossev.info/kosovo-online-najnovije-vesti-prelazi-merdare-i-brnjak-otvoreni-za-saobracaj/
https://www.reuters.com/world/europe/kosovo-closes-two-border-crossings-with-serbia-after-protest-2024-09-07/</x:v>
      </x:c>
      <x:c r="O400" s="4" t="str">
        <x:v>Source 1: full page
Source 2: search extract
Source 3: access detail is retained in the source catalogue.</x:v>
      </x:c>
      <x:c r="P400" s="20" t="n">
        <x:v>1</x:v>
      </x:c>
      <x:c r="Q400" s="4" t="str">
        <x:v>Europe</x:v>
      </x:c>
      <x:c r="R400" s="4" t="str">
        <x:v>Included</x:v>
      </x:c>
    </x:row>
    <x:row r="401" ht="90" hidden="0" customHeight="1">
      <x:c r="A401" s="16" t="str">
        <x:v>R2-ME-007</x:v>
      </x:c>
      <x:c r="B401" s="4" t="str">
        <x:v>Gaza de facto authorities restrict Erez access after assassination, March–April 2017</x:v>
      </x:c>
      <x:c r="C401" s="4" t="str">
        <x:v>Israel; Palestine (Gaza)</x:v>
      </x:c>
      <x:c r="D401" s="4" t="str">
        <x:v>Arba-Arba (4/4) checkpoint controlling access to Erez / Beit Hanoun</x:v>
      </x:c>
      <x:c r="E401" s="4" t="str">
        <x:v>Passengers, particularly exits from Gaza
Direction: Initially both directions, then principally Gaza outward passengers
Exceptions: Entry restored 26 March for Gaza ID holders and 27 March for others; exit categories changed. Kerem goods remained open.</x:v>
      </x:c>
      <x:c r="F401" s="4" t="str">
        <x:v>R2-ME-007-D1 — Formal policy
Additional Gaza outward-passenger restrictions at Arba-Arba controlling Erez access
Start: 2017-03-26.
Policy endpoint: 2017-04-06.
Formal policy: 11 calendar-day difference; operational continuity not established</x:v>
      </x:c>
      <x:c r="G401" s="4" t="str">
        <x:v>Security / Crime and law enforcement
Attributed official justification
Applies to: Recorded episode; exact overlap not separately established
The recorded rationale and claim assessment support the selected subcategories. All applicable broad categories are retained together; no primary rationale is imposed.</x:v>
      </x:c>
      <x:c r="H401" s="4" t="str">
        <x:v>R2-ME-007-D1: Formal exit-restriction regime with changing exemptions, not a total two-way closure. Entry was restored March 26–27 and Kerem goods were unaffected. Onset was available in substantial indexed text while the direct UN mirror returned 403; removal does not prove passage by every category that day.</x:v>
      </x:c>
      <x:c r="I401" s="4" t="str">
        <x:v>Retained baseline assessment. Retained with recorded qualifications</x:v>
      </x:c>
      <x:c r="J401" s="18" t="d">
        <x:v>2026-10-23T00:00:00.000Z</x:v>
      </x:c>
      <x:c r="K401" s="21" t="str">
        <x:f>IFERROR(HYPERLINK("https://www.un.org/unispal/document/continuing-access-restrictions-by-the-de-facto-authorities-in-gaza-add-to-humanitarian-concerns-ocha-flash-update/","UNISPAL"),"UNISPAL")</x:f>
        <x:v>UNISPAL</x:v>
      </x:c>
      <x:c r="L401" s="21" t="str">
        <x:f>IFERROR(HYPERLINK("https://www.ochaopt.org/content/march-overview-march-2017","OCHA oPt"),"OCHA oPt")</x:f>
        <x:v>OCHA oPt</x:v>
      </x:c>
      <x:c r="M401" s="21" t="str">
        <x:f>IFERROR(HYPERLINK("https://www.ochaopt.org/content/continuing-access-restrictions-de-facto-authorities-gaza-add-humanitarian-concerns","ochaopt.org"),"ochaopt.org")</x:f>
        <x:v>ochaopt.org</x:v>
      </x:c>
      <x:c r="N401" s="4" t="str">
        <x:v>https://www.un.org/unispal/document/continuing-access-restrictions-by-the-de-facto-authorities-in-gaza-add-to-humanitarian-concerns-ocha-flash-update/
https://www.ochaopt.org/content/march-overview-march-2017
https://www.ochaopt.org/content/continuing-access-restrictions-de-facto-authorities-gaza-add-humanitarian-concerns
https://www.ochaopt.org/content/protection-civilians-report-21-march-3-april-2017
https://www.unrwa.org/newsroom/emergency-reports/gaza-situation-report-189</x:v>
      </x:c>
      <x:c r="O401" s="4" t="str">
        <x:v>Source 1: search extract
Source 2: full page
Source 3: access detail is retained in the source catalogue.</x:v>
      </x:c>
      <x:c r="P401" s="20" t="n">
        <x:v>1</x:v>
      </x:c>
      <x:c r="Q401" s="4" t="str">
        <x:v>Middle East</x:v>
      </x:c>
      <x:c r="R401" s="4" t="str">
        <x:v>Included</x:v>
      </x:c>
    </x:row>
    <x:row r="402" ht="162" hidden="0" customHeight="1">
      <x:c r="A402" s="16" t="str">
        <x:v>R2-ME-001</x:v>
      </x:c>
      <x:c r="B402" s="4" t="str">
        <x:v>Kerem Shalom additional import/export restrictions, July–August 2018</x:v>
      </x:c>
      <x:c r="C402" s="4" t="str">
        <x:v>Israel; Palestine (Gaza)</x:v>
      </x:c>
      <x:c r="D402" s="4" t="str">
        <x:v>Kerem Shalom / Karm Abu Salem</x:v>
      </x:c>
      <x:c r="E402" s="4" t="str">
        <x:v>Exports and most imports
Direction: Gaza inward and outward goods
Exceptions: Food, medical supplies and fodder; fuel and gas restrictions changed within the period.</x:v>
      </x:c>
      <x:c r="F402" s="4" t="str">
        <x:v>R2-ME-001-D1 — Observed operation
Additional Kerem Shalom restrictions on ordinary non-exempt goods, excluding food, medical supplies, fodder, fuel and gas
Start: 2018-07-09.
Observed scoped reopening: 2018-08-15.
37 calendar-day difference; scoped endpoint only</x:v>
      </x:c>
      <x:c r="G402" s="4" t="str">
        <x:v>Security / Armed conflict and military confrontation
Attributed official justification
Applies to: Recorded episode; exact overlap not separately established
The recorded rationale and claim assessment support the selected subcategories. All applicable broad categories are retained together; no primary rationale is imposed.
Security / Armed attacks and terrorism
Attributed official justification
Applies to: Recorded episode; exact overlap not separately established
The recorded rationale and claim assessment support the selected subcategories. All applicable broad categories are retained together; no primary rationale is imposed.</x:v>
      </x:c>
      <x:c r="H402" s="4" t="str">
        <x:v>R2-ME-001-D1: Essentials continued and fuel/gas had different phases, so they are outside this stable scope. Endpoint removes the additional restriction, not the underlying blockade or every trade control; EEAS source access was limited.</x:v>
      </x:c>
      <x:c r="I402" s="4" t="str">
        <x:v>Retained baseline assessment. Retained with recorded qualifications</x:v>
      </x:c>
      <x:c r="J402" s="18" t="d">
        <x:v>2026-10-23T00:00:00.000Z</x:v>
      </x:c>
      <x:c r="K402" s="21" t="str">
        <x:f>IFERROR(HYPERLINK("https://www.ochaopt.org/content/temporary-tightening-gaza-strip-blockade-worsens-dire-humanitarian-situation","OCHA oPt"),"OCHA oPt")</x:f>
        <x:v>OCHA oPt</x:v>
      </x:c>
      <x:c r="L402" s="21" t="str">
        <x:f>IFERROR(HYPERLINK("https://www.eeas.europa.eu/node/48347_en","EEAS"),"EEAS")</x:f>
        <x:v>EEAS</x:v>
      </x:c>
      <x:c r="M402" s="21" t="str">
        <x:f>IFERROR(HYPERLINK("https://www.ochaopt.org/content/humanitarian-coordinator-warns-worsened-crisis-gaza-following-new-import-and-export","ochaopt.org"),"ochaopt.org")</x:f>
        <x:v>ochaopt.org</x:v>
      </x:c>
      <x:c r="N402" s="4" t="str">
        <x:v>https://www.ochaopt.org/content/temporary-tightening-gaza-strip-blockade-worsens-dire-humanitarian-situation
https://www.eeas.europa.eu/node/48347_en
https://www.ochaopt.org/content/humanitarian-coordinator-warns-worsened-crisis-gaza-following-new-import-and-export
https://www.ochaopt.org/content/protection-civilians-report-31-july-13-august-2018
https://www.aa.com.tr/en/middle-east/israel-to-partially-reopen-gaza-s-commercial-crossing/1212074
https://english.wafa.ps/Pages/Details/95206</x:v>
      </x:c>
      <x:c r="O402" s="4" t="str">
        <x:v>Source 1: full page
Source 2: search extract
Source 3: access detail is retained in the source catalogue.</x:v>
      </x:c>
      <x:c r="P402" s="20" t="n">
        <x:v>1</x:v>
      </x:c>
      <x:c r="Q402" s="4" t="str">
        <x:v>Middle East</x:v>
      </x:c>
      <x:c r="R402" s="4" t="str">
        <x:v>Included</x:v>
      </x:c>
    </x:row>
    <x:row r="403" ht="162" hidden="0" customHeight="1">
      <x:c r="A403" s="16" t="str">
        <x:v>R2-ME-008</x:v>
      </x:c>
      <x:c r="B403" s="4" t="str">
        <x:v>Erez and Kerem Shalom security closure, March 2019</x:v>
      </x:c>
      <x:c r="C403" s="4" t="str">
        <x:v>Israel; Palestine (Gaza)</x:v>
      </x:c>
      <x:c r="D403" s="4" t="str">
        <x:v>Erez / Beit Hanoun and Kerem Shalom / Karm Abu Salem</x:v>
      </x:c>
      <x:c r="E403" s="4" t="str">
        <x:v>Passenger and goods traffic
Direction: Both directions within named crossing categories
Exceptions: Urgent humanitarian cases allowed.</x:v>
      </x:c>
      <x:c r="F403" s="4" t="str">
        <x:v>R2-ME-008-D1 — Observed operation
Erez / Beit Hanoun and Kerem Shalom / Karm Abu Salem; Passenger and goods traffic; Both directions within named crossing categories
Start: 2019-03-25.
Observed scoped reopening: 2019-03-31.
6 calendar-day difference; scoped endpoint only</x:v>
      </x:c>
      <x:c r="G403"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403" s="4" t="str">
        <x:v>R2-ME-008-D1: Underlying blockade and permit regime continued; end refers to additional exceptional closure only. Urgent humanitarian cases allowed.</x:v>
      </x:c>
      <x:c r="I403" s="4" t="str">
        <x:v>Retained baseline assessment. Retained with recorded qualifications</x:v>
      </x:c>
      <x:c r="J403" s="18" t="d">
        <x:v>2026-10-23T00:00:00.000Z</x:v>
      </x:c>
      <x:c r="K403" s="21" t="str">
        <x:f>IFERROR(HYPERLINK("https://www.ochaopt.org/content/overview-march-2019","OCHA oPt"),"OCHA oPt")</x:f>
        <x:v>OCHA oPt</x:v>
      </x:c>
      <x:c r="L403" s="21" t="str">
        <x:f>IFERROR(HYPERLINK("https://www.timesofisrael.com/israel-reopens-gaza-border-crossings-despite-overnight-rocket-fire/amp/","Times of Israel"),"Times of Israel")</x:f>
        <x:v>Times of Israel</x:v>
      </x:c>
      <x:c r="M403" s="21"/>
      <x:c r="N403" s="4" t="str">
        <x:v>https://www.ochaopt.org/content/overview-march-2019
https://www.timesofisrael.com/israel-reopens-gaza-border-crossings-despite-overnight-rocket-fire/amp/</x:v>
      </x:c>
      <x:c r="O403" s="4" t="str">
        <x:v>Source 1: full page
Source 2: search extract</x:v>
      </x:c>
      <x:c r="P403" s="20" t="n">
        <x:v>1</x:v>
      </x:c>
      <x:c r="Q403" s="4" t="str">
        <x:v>Middle East</x:v>
      </x:c>
      <x:c r="R403" s="4" t="str">
        <x:v>Included</x:v>
      </x:c>
    </x:row>
    <x:row r="404" ht="162" hidden="0" customHeight="1">
      <x:c r="A404" s="16" t="str">
        <x:v>R2-ME-009</x:v>
      </x:c>
      <x:c r="B404" s="4" t="str">
        <x:v>Erez and Kerem Shalom closure during May 2019 fighting</x:v>
      </x:c>
      <x:c r="C404" s="4" t="str">
        <x:v>Israel; Palestine (Gaza)</x:v>
      </x:c>
      <x:c r="D404" s="4" t="str">
        <x:v>Erez / Beit Hanoun and Kerem Shalom / Karm Abu Salem</x:v>
      </x:c>
      <x:c r="E404" s="4" t="str">
        <x:v>People at Erez and goods at Kerem Shalom
Direction: Both directions within named crossing categories
Exceptions: Not established in the cited report.</x:v>
      </x:c>
      <x:c r="F404" s="4" t="str">
        <x:v>R2-ME-009-D1 — Observed operation
Erez / Beit Hanoun and Kerem Shalom / Karm Abu Salem; People at Erez and goods at Kerem Shalom; Both directions within named crossing categories
Start: 2019-05-04.
Observed scoped reopening: 2019-05-12.
8 calendar-day difference; scoped endpoint only</x:v>
      </x:c>
      <x:c r="G404"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404" s="4" t="str">
        <x:v>Operational reopening supported by AFP COGAT account and Xinhua Palestinian coordinator reporting. Regular-traffic closure includes May 7–9 Memorial/Independence holiday overlap; humanitarian exception detail remains unquantified.
R2-ME-009-D1: Day-specific humanitarian exceptions remain unquantified. Holiday closure overlaps May 7–9; interval is not eight days of active fighting. Multiple reports share official notifications but include Palestinian coordinator and Israeli COGAT accounts; no independent traffic count claimed.</x:v>
      </x:c>
      <x:c r="I404" s="4" t="str">
        <x:v>Retained baseline assessment. Amended after source reconciliation</x:v>
      </x:c>
      <x:c r="J404" s="18" t="d">
        <x:v>2026-10-23T00:00:00.000Z</x:v>
      </x:c>
      <x:c r="K404" s="21" t="str">
        <x:f>IFERROR(HYPERLINK("https://www.arabnews.com/middle-east/israel-reopens-gaza-crossings-as-calm-restored-1495921","Arab News"),"Arab News")</x:f>
        <x:v>Arab News</x:v>
      </x:c>
      <x:c r="L404" s="21" t="str">
        <x:f>IFERROR(HYPERLINK("https://www.xinhuanet.com/english/2019-05/12/c_138052993.htm","xinhuanet.com"),"xinhuanet.com")</x:f>
        <x:v>xinhuanet.com</x:v>
      </x:c>
      <x:c r="M404" s="21" t="str">
        <x:f>IFERROR(HYPERLINK("https://www.timesofisrael.com/israel-to-reopen-gaza-crossings-after-border-clashes-fail-to-derail-ceasefire/amp/","timesofisrael.com"),"timesofisrael.com")</x:f>
        <x:v>timesofisrael.com</x:v>
      </x:c>
      <x:c r="N404" s="4" t="str">
        <x:v>https://www.arabnews.com/middle-east/israel-reopens-gaza-crossings-as-calm-restored-1495921
https://www.xinhuanet.com/english/2019-05/12/c_138052993.htm
https://www.timesofisrael.com/israel-to-reopen-gaza-crossings-after-border-clashes-fail-to-derail-ceasefire/amp/</x:v>
      </x:c>
      <x:c r="O404" s="4" t="str">
        <x:v>Source 1: full page
Source 2: access detail is retained in the source catalogue.
Source 3: access detail is retained in the source catalogue.</x:v>
      </x:c>
      <x:c r="P404" s="20" t="n">
        <x:v>1</x:v>
      </x:c>
      <x:c r="Q404" s="4" t="str">
        <x:v>Middle East</x:v>
      </x:c>
      <x:c r="R404" s="4" t="str">
        <x:v>Included</x:v>
      </x:c>
    </x:row>
    <x:row r="405" ht="90" hidden="0" customHeight="1">
      <x:c r="A405" s="16" t="str">
        <x:v>R2-ME-005</x:v>
      </x:c>
      <x:c r="B405" s="4" t="str">
        <x:v>Shalamcheh passenger closure during Iran/Iraq protests, November 2019</x:v>
      </x:c>
      <x:c r="C405" s="4" t="str">
        <x:v>Iraq; Iran</x:v>
      </x:c>
      <x:c r="D405" s="4" t="str">
        <x:v>Shalamcheh / Shalamcha</x:v>
      </x:c>
      <x:c r="E405" s="4" t="str">
        <x:v>Travellers from both countries
Direction: Confirmed interval: Iraq to Iran passenger travel; reverse-direction chronology not separately established
Exceptions: Goods and trade unaffected.</x:v>
      </x:c>
      <x:c r="F405" s="4" t="str">
        <x:v>R2-ME-005-D1 — Observed operation
Shalamcheh passenger travel from Iraq into Iran; goods and trade excluded
Start: 2019-11-16.
Observed scoped reopening: 2019-11-23.
7 calendar-day difference; scoped endpoint only</x:v>
      </x:c>
      <x:c r="G405" s="4" t="str">
        <x:v>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05" s="4" t="str">
        <x:v>Duration narrowed to the explicitly reported Iraq→Iran passenger flow. Both-country traveller nationality in Reuters is not proof of both directions. Goods/trade unaffected; reports share the Iraqi border-authority source.
R2-ME-005-D1: Seven-day interval applies to Iraq→Iran passenger movement. Reuters describes travellers from both countries but does not separately establish reverse-direction restoration; goods and trade unaffected. Shafaq and Reuters share the Iraqi authority source.</x:v>
      </x:c>
      <x:c r="I405" s="4" t="str">
        <x:v>Retained baseline assessment. Amended after source reconciliation</x:v>
      </x:c>
      <x:c r="J405" s="18" t="d">
        <x:v>2026-10-23T00:00:00.000Z</x:v>
      </x:c>
      <x:c r="K405" s="21" t="str">
        <x:f>IFERROR(HYPERLINK("https://www.euronews.com/2019/11/16/iraq-closes-southern-border-with-iran-to-travellers-security-source-diplomat","Euronews"),"Euronews")</x:f>
        <x:v>Euronews</x:v>
      </x:c>
      <x:c r="L405" s="21" t="str">
        <x:f>IFERROR(HYPERLINK("https://www.euronews.com/2019/11/23/iraq-iran-border-crossing-reopens-after-week-long-closure-statement","Euronews"),"Euronews")</x:f>
        <x:v>Euronews</x:v>
      </x:c>
      <x:c r="M405" s="21" t="str">
        <x:f>IFERROR(HYPERLINK("https://shafaq.com/en/World/iraq-reopens-border-crossing-with-iran","shafaq.com"),"shafaq.com")</x:f>
        <x:v>shafaq.com</x:v>
      </x:c>
      <x:c r="N405" s="4" t="str">
        <x:v>https://www.euronews.com/2019/11/16/iraq-closes-southern-border-with-iran-to-travellers-security-source-diplomat
https://www.euronews.com/2019/11/23/iraq-iran-border-crossing-reopens-after-week-long-closure-statement
https://shafaq.com/en/World/iraq-reopens-border-crossing-with-iran
https://www.aa.com.tr/en/middle-east/iraq-closes-border-crossings-with-protest-hit-iran/1647425</x:v>
      </x:c>
      <x:c r="O405" s="4" t="str">
        <x:v>Source 1: full page
Source 2: full page
Source 3: access detail is retained in the source catalogue.</x:v>
      </x:c>
      <x:c r="P405" s="20" t="n">
        <x:v>1</x:v>
      </x:c>
      <x:c r="Q405" s="4" t="str">
        <x:v>Middle East</x:v>
      </x:c>
      <x:c r="R405" s="4" t="str">
        <x:v>Included</x:v>
      </x:c>
    </x:row>
    <x:row r="406" ht="222" hidden="0" customHeight="1">
      <x:c r="A406" s="16" t="str">
        <x:v>R2-ME-014</x:v>
      </x:c>
      <x:c r="B406" s="4" t="str">
        <x:v>Al Wadea full COVID closure and commercial reopening, April 2020</x:v>
      </x:c>
      <x:c r="C406" s="4" t="str">
        <x:v>Yemen; Saudi Arabia</x:v>
      </x:c>
      <x:c r="D406" s="4" t="str">
        <x:v>Al Wadea / Al Wadia</x:v>
      </x:c>
      <x:c r="E406" s="4" t="str">
        <x:v>Commercial trucking during the additional complete shutdown; passenger restrictions began earlier and continued later.
Direction: Crossing traffic; precise directional order not established.
Exceptions: From 12 April commercial traffic resumed; passenger ban remained.</x:v>
      </x:c>
      <x:c r="F406" s="4" t="str">
        <x:v>R2-ME-014-D1 — Observed operation
Al Wadea / Al Wadia; Commercial trucking during the additional complete shutdown; passenger restrictions began earlier and continued later.; Crossing traffic; precise directional order not established.
Start: 2020-04-08.
Observed scoped reopening: 2020-04-12.
4 calendar-day difference; scoped endpoint only</x:v>
      </x:c>
      <x:c r="G40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06" s="4" t="str">
        <x:v>R2-ME-014-D1: The four-day interval applies to the additional commercial-trucking shutdown of 8–12 April, not the longer passenger ban. Broader March passenger policy and May returnee exceptions remain separate phases. From 12 April commercial traffic resumed; passenger ban remained.</x:v>
      </x:c>
      <x:c r="I406" s="4" t="str">
        <x:v>Retained baseline assessment. Retained with recorded qualifications</x:v>
      </x:c>
      <x:c r="J406" s="18" t="d">
        <x:v>2026-10-23T00:00:00.000Z</x:v>
      </x:c>
      <x:c r="K406" s="21" t="str">
        <x:f>IFERROR(HYPERLINK("https://aa.com.tr/en/middle-east/yemen-seals-border-with-saudi-arabia-over-virus-fears/1797604","Anadolu Agency"),"Anadolu Agency")</x:f>
        <x:v>Anadolu Agency</x:v>
      </x:c>
      <x:c r="L406" s="21" t="str">
        <x:f>IFERROR(HYPERLINK("https://yemen-media.com/news_details.php?lng=english&amp;sid=47245","yemen-media.com"),"yemen-media.com")</x:f>
        <x:v>yemen-media.com</x:v>
      </x:c>
      <x:c r="M406" s="21" t="str">
        <x:f>IFERROR(HYPERLINK("https://alsahwa-yemen.net/p-39551","alsahwa-yemen.net"),"alsahwa-yemen.net")</x:f>
        <x:v>alsahwa-yemen.net</x:v>
      </x:c>
      <x:c r="N406" s="4" t="str">
        <x:v>https://aa.com.tr/en/middle-east/yemen-seals-border-with-saudi-arabia-over-virus-fears/1797604
https://www.aa.com.tr/ar/%D8%A7%D9%84%D8%AF%D9%88%D9%84-%D8%A7%D9%84%D8%B9%D8%B1%D8%A8%D9%8A%D8%A9/%D8%A7%D9%84%D9%8A%D9%85%D9%86-%D9%81%D8%AA%D8%AD-%D8%A7%D9%84%D9%85%D9%86%D9%81%D8%B0-%D8%A7%D9%84%D8%A8%D8%B1%D9%8A-%D8%A7%D9%84%D9%88%D8%AD%D9%8A%D8%AF-%D9%85%D8%B9-%D8%A7%D9%84%D8%B3%D8%B9%D9%88%D8%AF%D9%8A%D8%A9-%D8%A3%D9%85%D8%A7%D9%85-%D8%AD%D8%B1%D9%83%D8%A9-%D8%A7%D9%84%D8%AA%D8%AC%D8%A7%D8%B1%D8%A9/1802272
https://yemen-media.com/news_details.php?lng=english&amp;sid=47245
https://alsahwa-yemen.net/p-39551
https://www.aa.com.tr/ar/الدول-العربية/اليمن-فتح-المنفذ-البري-الوحيد-مع-السعودية-أمام-حركة-التجارة/1802272
https://www.hadhramaut.info/view/96214.aspx
https://www.aajae.co/%D8%A7%D9%84%D9%8A%D9%85%D9%86-%D9%8A%D8%B9%D9%8A%D8%AF-%D9%81%D8%AA%D8%AD-%D9%85%D9%86%D9%81%D8%B0-%D8%A7%D9%84%D9%88%D8%AF%D9%8A%D8%B9%D8%A9-%D8%A3%D9%85%D8%A7%D9%85-%D8%AD%D8%B1%D9%83%D8%A9-%D8%A7%D9%84%D8%A8%D8%B6%D8%A7%D8%A6%D8%B9</x:v>
      </x:c>
      <x:c r="O406" s="4" t="str">
        <x:v>Source 1: search extract
Source 2: access detail is retained in the source catalogue.
Source 3: access detail is retained in the source catalogue.</x:v>
      </x:c>
      <x:c r="P406" s="20" t="n">
        <x:v>1</x:v>
      </x:c>
      <x:c r="Q406" s="4" t="str">
        <x:v>Middle East</x:v>
      </x:c>
      <x:c r="R406" s="4" t="str">
        <x:v>Included</x:v>
      </x:c>
    </x:row>
    <x:row r="407" ht="162" hidden="0" customHeight="1">
      <x:c r="A407" s="16" t="str">
        <x:v>R2-ME-004</x:v>
      </x:c>
      <x:c r="B407" s="4" t="str">
        <x:v>Kerem Shalom goods restrictions after incendiary balloon launches, August 2020</x:v>
      </x:c>
      <x:c r="C407" s="4" t="str">
        <x:v>Israel; Palestine (Gaza)</x:v>
      </x:c>
      <x:c r="D407" s="4" t="str">
        <x:v>Kerem Shalom / Karm Abu Salem</x:v>
      </x:c>
      <x:c r="E407" s="4" t="str">
        <x:v>Most inward commercial goods; fuel subsequently restricted
Direction: Gaza inward goods
Exceptions: Humanitarian equipment and initially fuel; categories changed during the episode.</x:v>
      </x:c>
      <x:c r="F407" s="4" t="str">
        <x:v>R2-ME-004-D1 — Observed operation
Ordinary non-humanitarian, non-fuel goods entering Gaza through Kerem Shalom
Start: 2020-08-11.
Observed scoped reopening: 2020-09-01.
21 calendar-day difference; scoped endpoint only</x:v>
      </x:c>
      <x:c r="G407"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407" s="4" t="str">
        <x:v>R2-ME-004-D1: Humanitarian equipment and initially fuel were exempt; later fuel prohibition is a different phase and excluded from this period. Erez remained separately restricted. The accessible Reuters mirror shares its original reporting lineage.</x:v>
      </x:c>
      <x:c r="I407" s="4" t="str">
        <x:v>Retained baseline assessment. Retained with recorded qualifications</x:v>
      </x:c>
      <x:c r="J407" s="18" t="d">
        <x:v>2026-10-23T00:00:00.000Z</x:v>
      </x:c>
      <x:c r="K407" s="21" t="str">
        <x:f>IFERROR(HYPERLINK("https://kfgo.com/2020/08/11/israel-closes-gaza-crossing-after-palestinians-launch-incendiary-balloons/","KFGO"),"KFGO")</x:f>
        <x:v>KFGO</x:v>
      </x:c>
      <x:c r="L407" s="21" t="str">
        <x:f>IFERROR(HYPERLINK("https://www.ochaopt.org/content/covid-19-emergency-situation-report-17","OCHA oPt"),"OCHA oPt")</x:f>
        <x:v>OCHA oPt</x:v>
      </x:c>
      <x:c r="M407" s="21" t="str">
        <x:f>IFERROR(HYPERLINK("https://www.ochaopt.org/content/israel-must-immediately-allow-entry-fuel-and-other-essential-items-gaza-hamas-must-end","OCHA oPt"),"OCHA oPt")</x:f>
        <x:v>OCHA oPt</x:v>
      </x:c>
      <x:c r="N407" s="4" t="str">
        <x:v>https://kfgo.com/2020/08/11/israel-closes-gaza-crossing-after-palestinians-launch-incendiary-balloons/
https://www.ochaopt.org/content/covid-19-emergency-situation-report-17
https://www.ochaopt.org/content/israel-must-immediately-allow-entry-fuel-and-other-essential-items-gaza-hamas-must-end
https://www.egyptindependent.com/israel-closes-gaza-crossing-after-palestinians-launch-incendiary-balloons/
https://pchrgaza.org/state-of-the-gaza-strip-border-crossings-01-31-august-2020/
https://www.timesofisrael.com/fuel-begins-entering-power-starved-gaza-after-ceasefire-declared/amp/</x:v>
      </x:c>
      <x:c r="O407" s="4" t="str">
        <x:v>Source 1: search extract
Source 2: full page
Source 3: full page</x:v>
      </x:c>
      <x:c r="P407" s="20" t="n">
        <x:v>1</x:v>
      </x:c>
      <x:c r="Q407" s="4" t="str">
        <x:v>Middle East</x:v>
      </x:c>
      <x:c r="R407" s="4" t="str">
        <x:v>Included</x:v>
      </x:c>
    </x:row>
    <x:row r="408" ht="222" hidden="0" customHeight="1">
      <x:c r="A408" s="16" t="str">
        <x:v>R2-ME-010</x:v>
      </x:c>
      <x:c r="B408" s="4" t="str">
        <x:v>Gaza Israeli crossings closure and humanitarian reopening phases, May 2021</x:v>
      </x:c>
      <x:c r="C408" s="4" t="str">
        <x:v>Israel; Palestine (Gaza)</x:v>
      </x:c>
      <x:c r="D408" s="4" t="str">
        <x:v>Erez / Beit Hanoun and Kerem Shalom / Karm Abu Salem</x:v>
      </x:c>
      <x:c r="E408" s="4" t="str">
        <x:v>Passenger and freight access through Israeli crossings
Direction: Both directions within named crossing categories
Exceptions: Limited Kerem openings 18/21 May; 60 international staff/journalists at Erez 21 May. By 25 May humanitarian imports and selected travellers admitted.</x:v>
      </x:c>
      <x:c r="F408" s="4" t="str">
        <x:v>R2-ME-010-R1 — Observed operation
Erez closure to Palestinian patients with medical referrals for treatment outside Gaza
Start: 2021-05-11.
Last confirmed: 2021-05-24. Reopening is not established.
confirmed through 2021-05-24; at least 13 calendar-day difference; reopening unknown</x:v>
      </x:c>
      <x:c r="G408"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08" s="4" t="str">
        <x:v>R2-ME-010-R1: Last-confirmed segment, not reopening. May 25 UN/PCHR timing differs; international personnel and Kerem Shalom aid openings do not end this patient-specific phase. Source legal characterisations are not adopted.</x:v>
      </x:c>
      <x:c r="I408" s="4" t="str">
        <x:v>Retained baseline assessment. Retained with recorded qualifications</x:v>
      </x:c>
      <x:c r="J408" s="18" t="d">
        <x:v>2026-10-23T00:00:00.000Z</x:v>
      </x:c>
      <x:c r="K408" s="21" t="str">
        <x:f>IFERROR(HYPERLINK("https://pchrgaza.org/israeli-authorities-maintain-beit-hanoun-crossing-closed-and-ban-entry-of-humanitarian-cases-including-patients-their-companions-and-bodies-of-patienta-who-died-in-hospitals-abroad/","PCHR"),"PCHR")</x:f>
        <x:v>PCHR</x:v>
      </x:c>
      <x:c r="L408" s="21" t="str">
        <x:f>IFERROR(HYPERLINK("https://www.un.org/unispal/document/situation-in-gaza-25-may-2021-daily-press-briefing-excerpts/","United Nations"),"United Nations")</x:f>
        <x:v>United Nations</x:v>
      </x:c>
      <x:c r="M408" s="21" t="str">
        <x:f>IFERROR(HYPERLINK("https://pchrgaza.org/weekly-report-on-israeli-human-rights-violations-in-the-occupied-palestinian-territory-20-26-may-2021/","PCHR"),"PCHR")</x:f>
        <x:v>PCHR</x:v>
      </x:c>
      <x:c r="N408" s="4" t="str">
        <x:v>https://pchrgaza.org/israeli-authorities-maintain-beit-hanoun-crossing-closed-and-ban-entry-of-humanitarian-cases-including-patients-their-companions-and-bodies-of-patienta-who-died-in-hospitals-abroad/
https://www.un.org/unispal/document/situation-in-gaza-25-may-2021-daily-press-briefing-excerpts/
https://pchrgaza.org/weekly-report-on-israeli-human-rights-violations-in-the-occupied-palestinian-territory-20-26-may-2021/
https://www.ochaopt.org/content/response-escalation-opt-situation-report-no-1-21-27-may-2021
https://www.ochaopt.org/content/escalation-gaza-strip-west-bank-and-israel-flash-update-12-covering-1200-21-may-1200-23-may
https://www.ochaopt.org/content/escalation-gaza-strip-west-bank-and-israel-flash-update-7-1200-17-may-2021
https://www.ochaopt.org/content/escalation-gaza-strip-west-bank-and-israel-flash-update-8-1200-18-may-2021
https://www.timesofisrael.com/as-ceasefire-holds-israel-reopens-gaza-crossings-for-humanitarian-aid/
https://www.ochaopt.org/content/response-escalation-opt-situation-report-no-3-4-10-june-2021
https://mezan.org/public/en/post/32290/Press-Release:-Gaza-patients-blocked-from-urgent-medical-care-in-Israel-authority%E2%80%99s-heightened-closure-measures-following-bombardment-</x:v>
      </x:c>
      <x:c r="O408" s="4" t="str">
        <x:v>Source 1: full
Source 2: indexed excerpt; failed
Source 3: indexed excerpt; full</x:v>
      </x:c>
      <x:c r="P408" s="20" t="n">
        <x:v>1</x:v>
      </x:c>
      <x:c r="Q408" s="4" t="str">
        <x:v>Middle East</x:v>
      </x:c>
      <x:c r="R408" s="4" t="str">
        <x:v>Included</x:v>
      </x:c>
    </x:row>
    <x:row r="409" ht="162" hidden="0" customHeight="1">
      <x:c r="A409" s="16" t="str">
        <x:v>R2-ME-012</x:v>
      </x:c>
      <x:c r="B409" s="4" t="str">
        <x:v>Semalka–Fishkhabour closure after border clashes, December 2021–January 2022</x:v>
      </x:c>
      <x:c r="C409" s="4" t="str">
        <x:v>Iraq; Syria</x:v>
      </x:c>
      <x:c r="D409" s="4" t="str">
        <x:v>Semalka–Fishkhabour / Faysh Khabur</x:v>
      </x:c>
      <x:c r="E409" s="4" t="str">
        <x:v>Trade and transit; many ordinary passengers remained restricted
Direction: Crossing traffic; direction not separately established.
Exceptions: January phase restored twice-weekly trade and selected passenger access; humanitarian exceptions disputed.</x:v>
      </x:c>
      <x:c r="F409" s="4" t="str">
        <x:v>R2-ME-012-D1 — Observed operation
Ordinary commercial trade at Semalka–Fishkhabour
Start: 2021-12-15 to 2021-12-16.
Observed scoped reopening: 2022-01-24 to 2022-01-25.
39–41 calendar-day difference; scoped endpoint only</x:v>
      </x:c>
      <x:c r="G409"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Power and regime politics / Contested governing authority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09" s="4" t="str">
        <x:v>R2-ME-012-D1: Commercial trade only; humanitarian and selected passenger exceptions remain separate. Fresh full North Press January 24 and Shafaq January 25 reports explicitly differ on trade resumption, preserved as January 24–25 endpoint bounds; neither later full-passenger opening nor humanitarian exceptions determine this trade endpoint.</x:v>
      </x:c>
      <x:c r="I409" s="4" t="str">
        <x:v>Retained baseline assessment. Amended after source reconciliation</x:v>
      </x:c>
      <x:c r="J409" s="18" t="d">
        <x:v>2026-10-23T00:00:00.000Z</x:v>
      </x:c>
      <x:c r="K409" s="21" t="str">
        <x:f>IFERROR(HYPERLINK("https://npasyria.com/en/71303/","North Press Agency"),"North Press Agency")</x:f>
        <x:v>North Press Agency</x:v>
      </x:c>
      <x:c r="L409" s="21" t="str">
        <x:f>IFERROR(HYPERLINK("https://www.rudaw.net/english/middleeast/syria/24012022","Rudaw"),"Rudaw")</x:f>
        <x:v>Rudaw</x:v>
      </x:c>
      <x:c r="M409" s="21" t="str">
        <x:f>IFERROR(HYPERLINK("https://www.rudaw.net/english/categories/middleeast/1066444","Rudaw"),"Rudaw")</x:f>
        <x:v>Rudaw</x:v>
      </x:c>
      <x:c r="N409" s="4" t="str">
        <x:v>https://npasyria.com/en/71303/
https://www.rudaw.net/english/middleeast/syria/24012022
https://www.rudaw.net/english/categories/middleeast/1066444
https://www.shafaq.com/en/Kurdistan/Semalka-Fishkhabour-border-crossing-reopened-after-40-days-of-closure
https://shafaq.com/en/Kurdistan/Semalka-Fishkhabour-border-crossing-reopened-after-40-days-of-closure
https://www.ecoi.net/en/document/2073007.html</x:v>
      </x:c>
      <x:c r="O409" s="4" t="str">
        <x:v>Source 1: full page
Source 2: full page
Source 3: search extract</x:v>
      </x:c>
      <x:c r="P409" s="20" t="n">
        <x:v>1</x:v>
      </x:c>
      <x:c r="Q409" s="4" t="str">
        <x:v>Middle East</x:v>
      </x:c>
      <x:c r="R409" s="4" t="str">
        <x:v>Included</x:v>
      </x:c>
    </x:row>
    <x:row r="410" ht="78" hidden="0" customHeight="1">
      <x:c r="A410" s="16" t="str">
        <x:v>R2-ME-011</x:v>
      </x:c>
      <x:c r="B410" s="4" t="str">
        <x:v>Erez workers security closure extending Passover shutdown, April 2022</x:v>
      </x:c>
      <x:c r="C410" s="4" t="str">
        <x:v>Israel; Palestine (Gaza)</x:v>
      </x:c>
      <x:c r="D410" s="4" t="str">
        <x:v>Erez / Beit Hanoun</x:v>
      </x:c>
      <x:c r="E410" s="4" t="str">
        <x:v>Ordinary permit-holding Gaza workers travelling to Israel; selected businessmen, patients and foreigners were exempt.
Direction: Gaza outward to Israel
Exceptions: Patients, foreigners and selected businessmen were excepted, according to the Gaza Interior Ministry spokesman.</x:v>
      </x:c>
      <x:c r="F410" s="4" t="str">
        <x:v>R2-ME-011-D1 — Observed operation
Erez / Beit Hanoun; Ordinary permit-holding Gaza workers travelling to Israel; selected businessmen, patients and foreigners were exempt.; Gaza outward to Israel
Start: 2022-04-24.
Observed scoped reopening: 2022-04-26.
2 calendar-day difference; scoped endpoint only</x:v>
      </x:c>
      <x:c r="G410"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410" s="4" t="str">
        <x:v>R2-ME-011-D1: The interval is limited to the additional worker restriction on 24–26 April. PCHR independently reports the reopening; its Sunday 23 April onset typo is not used. Earlier Passover closure and continuing permit restrictions remain separate. Patients, foreigners and selected businessmen were excepted, according to the Gaza Interior Ministry spokesman.</x:v>
      </x:c>
      <x:c r="I410" s="4" t="str">
        <x:v>Retained baseline assessment. Retained with recorded qualifications</x:v>
      </x:c>
      <x:c r="J410" s="18" t="d">
        <x:v>2026-10-23T00:00:00.000Z</x:v>
      </x:c>
      <x:c r="K410" s="21" t="str">
        <x:f>IFERROR(HYPERLINK("https://www.aa.com.tr/en/middle-east/israel-closes-erez-crossing-to-gaza-workers/2571076","Anadolu Agency"),"Anadolu Agency")</x:f>
        <x:v>Anadolu Agency</x:v>
      </x:c>
      <x:c r="L410" s="21" t="str">
        <x:f>IFERROR(HYPERLINK("https://www.timesofisrael.com/gaza-pedestrian-crossing-to-reopen-following-closure-over-rocket-attacks/amp/","Times of Israel"),"Times of Israel")</x:f>
        <x:v>Times of Israel</x:v>
      </x:c>
      <x:c r="M410" s="21" t="str">
        <x:f>IFERROR(HYPERLINK("https://www.aa.com.tr/en/middle-east/israel-shuts-erez-crossing-to-gaza-workers/2571702","Anadolu Agency"),"Anadolu Agency")</x:f>
        <x:v>Anadolu Agency</x:v>
      </x:c>
      <x:c r="N410" s="4" t="str">
        <x:v>https://www.aa.com.tr/en/middle-east/israel-closes-erez-crossing-to-gaza-workers/2571076
https://www.timesofisrael.com/gaza-pedestrian-crossing-to-reopen-following-closure-over-rocket-attacks/amp/
https://www.aa.com.tr/en/middle-east/israel-shuts-erez-crossing-to-gaza-workers/2571702
https://pchrgaza.org/israeli-human-rights-violations-in-the-occupied-palestinian-territory-weekly-update-21-27-april-2022/</x:v>
      </x:c>
      <x:c r="O410" s="4" t="str">
        <x:v>Source 1: full page
Source 2: full page
Source 3: substantive indexed original</x:v>
      </x:c>
      <x:c r="P410" s="20" t="n">
        <x:v>1</x:v>
      </x:c>
      <x:c r="Q410" s="4" t="str">
        <x:v>Middle East</x:v>
      </x:c>
      <x:c r="R410" s="4" t="str">
        <x:v>Included</x:v>
      </x:c>
    </x:row>
    <x:row r="411" ht="78" hidden="0" customHeight="1">
      <x:c r="A411" s="16" t="str">
        <x:v>R2-ME-013</x:v>
      </x:c>
      <x:c r="B411" s="4" t="str">
        <x:v>Erez security extension of holiday closure after Elad attack, May 2022</x:v>
      </x:c>
      <x:c r="C411" s="4" t="str">
        <x:v>Israel; Palestine (Gaza)</x:v>
      </x:c>
      <x:c r="D411" s="4" t="str">
        <x:v>Erez / Beit Hanoun</x:v>
      </x:c>
      <x:c r="E411" s="4" t="str">
        <x:v>Gaza workers/merchants and other affected exit-permit holders
Direction: Gaza outward to Israel
Exceptions: Some passenger exceptions; not all categories reconstructed.</x:v>
      </x:c>
      <x:c r="F411" s="4" t="str">
        <x:v>R2-ME-013-D1 — Observed operation
Erez / Beit Hanoun; Gaza workers/merchants and other affected exit-permit holders; Gaza outward to Israel
Start: 2022-05-06.
Observed scoped reopening: 2022-05-15.
9 calendar-day difference; scoped endpoint only</x:v>
      </x:c>
      <x:c r="G411"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411" s="4" t="str">
        <x:v>R2-ME-013-D1: Sources date preceding holiday onset 3 May evening or 4 May; record starts 6 May security extension, avoiding both discrepancy and routine holiday double counting. Some passenger exceptions; not all categories reconstructed.</x:v>
      </x:c>
      <x:c r="I411" s="4" t="str">
        <x:v>Retained baseline assessment. Retained with recorded qualifications</x:v>
      </x:c>
      <x:c r="J411" s="18" t="d">
        <x:v>2026-10-23T00:00:00.000Z</x:v>
      </x:c>
      <x:c r="K411" s="21" t="str">
        <x:f>IFERROR(HYPERLINK("https://www.timesofisrael.com/erez-crossing-reopens-after-two-weeks-allowing-12000-gazans-back-to-work/","Times of Israel"),"Times of Israel")</x:f>
        <x:v>Times of Israel</x:v>
      </x:c>
      <x:c r="L411" s="21" t="str">
        <x:f>IFERROR(HYPERLINK("https://www.ochaopt.org/content/movement-and-out-gaza-update-covering-may-2022","OCHA oPt"),"OCHA oPt")</x:f>
        <x:v>OCHA oPt</x:v>
      </x:c>
      <x:c r="M411" s="21"/>
      <x:c r="N411" s="4" t="str">
        <x:v>https://www.timesofisrael.com/erez-crossing-reopens-after-two-weeks-allowing-12000-gazans-back-to-work/
https://www.ochaopt.org/content/movement-and-out-gaza-update-covering-may-2022</x:v>
      </x:c>
      <x:c r="O411" s="4" t="str">
        <x:v>Source 1: full page
Source 2: full page</x:v>
      </x:c>
      <x:c r="P411" s="20" t="n">
        <x:v>1</x:v>
      </x:c>
      <x:c r="Q411" s="4" t="str">
        <x:v>Middle East</x:v>
      </x:c>
      <x:c r="R411" s="4" t="str">
        <x:v>Included</x:v>
      </x:c>
    </x:row>
    <x:row r="412" ht="90" hidden="0" customHeight="1">
      <x:c r="A412" s="16" t="str">
        <x:v>R2-ME-002</x:v>
      </x:c>
      <x:c r="B412" s="4" t="str">
        <x:v>Gaza Israeli crossing closure around August 2022 hostilities</x:v>
      </x:c>
      <x:c r="C412" s="4" t="str">
        <x:v>Israel; Palestine (Gaza)</x:v>
      </x:c>
      <x:c r="D412" s="4" t="str">
        <x:v>Erez / Beit Hanoun and Kerem Shalom / Karm Abu Salem</x:v>
      </x:c>
      <x:c r="E412" s="4" t="str">
        <x:v>People and goods through the two Israeli-controlled Gaza crossings
Direction: Both directions through the named crossings
Exceptions: No blanket exemption established for the defined 2–7 August closure.</x:v>
      </x:c>
      <x:c r="F412" s="4" t="str">
        <x:v>R2-ME-002-D1 — Observed operation
Complete added halt at Erez for people and Kerem Shalom for goods from August 2 until first limited authorized movement August 8
Start: 2022-08-02.
Observed scoped reopening: 2022-08-08.
6 calendar-day difference; scoped endpoint only</x:v>
      </x:c>
      <x:c r="G412"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12" s="4" t="str">
        <x:v>August 8 restored limited specified passenger and authorized-goods movement. The six-day complete-halt interval ends at first partial resumption, not full restoration for every permit category; ordinary-worker resumption requires a separate scope.
R2-ME-002-D1: August 8 is partial humanitarian/authorized-category reopening. No claim that all ordinary workers or every previously permitted category resumed that day; baseline restrictions and subsequent category-specific limits remain separate.</x:v>
      </x:c>
      <x:c r="I412" s="4" t="str">
        <x:v>Retained baseline assessment. Amended after source reconciliation</x:v>
      </x:c>
      <x:c r="J412" s="18" t="d">
        <x:v>2026-10-23T00:00:00.000Z</x:v>
      </x:c>
      <x:c r="K412" s="21" t="str">
        <x:f>IFERROR(HYPERLINK("https://www.ochaopt.org/content/movement-and-out-gaza-update-covering-august-2022","OCHA oPt"),"OCHA oPt")</x:f>
        <x:v>OCHA oPt</x:v>
      </x:c>
      <x:c r="L412" s="21" t="str">
        <x:f>IFERROR(HYPERLINK("https://www.idf.il/en/articles/2022/the-kerem-shalom-crossing-reopens-to-enable-entrance-of-humanitarian-aid/","IDF"),"IDF")</x:f>
        <x:v>IDF</x:v>
      </x:c>
      <x:c r="M412" s="21" t="str">
        <x:f>IFERROR(HYPERLINK("https://www.ochaopt.org/content/escalation-gaza-strip-and-israel-flash-update-2-august-2022","ochaopt.org"),"ochaopt.org")</x:f>
        <x:v>ochaopt.org</x:v>
      </x:c>
      <x:c r="N412" s="4" t="str">
        <x:v>https://www.ochaopt.org/content/movement-and-out-gaza-update-covering-august-2022
https://www.idf.il/en/articles/2022/the-kerem-shalom-crossing-reopens-to-enable-entrance-of-humanitarian-aid/
https://www.ochaopt.org/content/escalation-gaza-strip-and-israel-flash-update-2-august-2022
https://english.wafa.ps/Pages/Details/130352
https://www.timesofisrael.com/liveblog_entry/gaza-pedestrian-crossing-expected-to-reopen-in-coming-days-if-calm-holds/</x:v>
      </x:c>
      <x:c r="O412" s="4" t="str">
        <x:v>Source 1: full page
Source 2: full page
Source 3: access detail is retained in the source catalogue.</x:v>
      </x:c>
      <x:c r="P412" s="20" t="n">
        <x:v>1</x:v>
      </x:c>
      <x:c r="Q412" s="4" t="str">
        <x:v>Middle East</x:v>
      </x:c>
      <x:c r="R412" s="4" t="str">
        <x:v>Included</x:v>
      </x:c>
    </x:row>
    <x:row r="413" ht="78" hidden="0" customHeight="1">
      <x:c r="A413" s="16" t="str">
        <x:v>R2-ME-003</x:v>
      </x:c>
      <x:c r="B413" s="4" t="str">
        <x:v>Gaza Israeli crossings closed during May 2023 escalation</x:v>
      </x:c>
      <x:c r="C413" s="4" t="str">
        <x:v>Israel; Palestine (Gaza)</x:v>
      </x:c>
      <x:c r="D413" s="4" t="str">
        <x:v>Erez / Beit Hanoun and Kerem Shalom / Karm Abu Salem</x:v>
      </x:c>
      <x:c r="E413" s="4" t="str">
        <x:v>Passenger and goods movement through Israeli-controlled crossings
Direction: Both directions within permitted crossing traffic
Exceptions: Not established for full interval.</x:v>
      </x:c>
      <x:c r="F413" s="4" t="str">
        <x:v>R2-ME-003-D1 — Observed operation
Previously authorised goods including fuel at Kerem Shalom during the May escalation
Start: 2023-05-09.
Observed scoped reopening: 2023-05-14.
5 calendar-day difference; scoped endpoint only</x:v>
      </x:c>
      <x:c r="G413"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13" s="4" t="str">
        <x:v>R2-ME-003-D1: Endpoint is gradual goods access, not full trade restoration or simultaneous Erez passenger reopening. The two accounts share OCHA monitoring lineage and are not independent confirmations.</x:v>
      </x:c>
      <x:c r="I413" s="4" t="str">
        <x:v>Retained baseline assessment. Retained with recorded qualifications</x:v>
      </x:c>
      <x:c r="J413" s="18" t="d">
        <x:v>2026-10-23T00:00:00.000Z</x:v>
      </x:c>
      <x:c r="K413" s="21" t="str">
        <x:f>IFERROR(HYPERLINK("https://www.ochaopt.org/content/flash-update-5-15-may-2023","OCHA oPt"),"OCHA oPt")</x:f>
        <x:v>OCHA oPt</x:v>
      </x:c>
      <x:c r="L413" s="21" t="str">
        <x:f>IFERROR(HYPERLINK("https://www.ochaopt.org/content/flash-update-3-12-may-2023","OCHA oPt"),"OCHA oPt")</x:f>
        <x:v>OCHA oPt</x:v>
      </x:c>
      <x:c r="M413" s="21" t="str">
        <x:f>IFERROR(HYPERLINK("https://www.timesofisrael.com/israel-reopens-gaza-crossings-shut-since-launch-of-operation-shield-and-arrow/","timesofisrael.com"),"timesofisrael.com")</x:f>
        <x:v>timesofisrael.com</x:v>
      </x:c>
      <x:c r="N413" s="4" t="str">
        <x:v>https://www.ochaopt.org/content/flash-update-5-15-may-2023
https://www.ochaopt.org/content/flash-update-3-12-may-2023
https://www.timesofisrael.com/israel-reopens-gaza-crossings-shut-since-launch-of-operation-shield-and-arrow/</x:v>
      </x:c>
      <x:c r="O413" s="4" t="str">
        <x:v>Source 1: full page
Source 2: search extract
Source 3: access detail is retained in the source catalogue.</x:v>
      </x:c>
      <x:c r="P413" s="20" t="n">
        <x:v>1</x:v>
      </x:c>
      <x:c r="Q413" s="4" t="str">
        <x:v>Middle East</x:v>
      </x:c>
      <x:c r="R413" s="4" t="str">
        <x:v>Included</x:v>
      </x:c>
    </x:row>
    <x:row r="414" ht="210" hidden="0" customHeight="1">
      <x:c r="A414" s="16" t="str">
        <x:v>R2-ME-006</x:v>
      </x:c>
      <x:c r="B414" s="4" t="str">
        <x:v>Semalka–Fishkhabour closure and selective reopening, May–June 2023</x:v>
      </x:c>
      <x:c r="C414" s="4" t="str">
        <x:v>Iraq; Syria</x:v>
      </x:c>
      <x:c r="D414" s="4" t="str">
        <x:v>Semalka–Fishkhabour / Faysh Khabur</x:v>
      </x:c>
      <x:c r="E414" s="4" t="str">
        <x:v>Commercial traffic and passenger access
Direction: Crossing traffic; a direction-specific prohibition was not established.
Exceptions: The 3 June announcement limited planned passage to selected persons and humanitarian cases three days weekly. Later evidence reports 5 June resumption including commerce under the existing crossing procedures; unrestricted daily passage and all directions are not established.</x:v>
      </x:c>
      <x:c r="F414" s="4" t="str">
        <x:v>R2-ME-006-D1 — Observed operation
Commercial suspension at Semalka–Fishkhabour until reported June 5 commercial resumption
Start: 2023-05-11.
Observed scoped reopening: 2023-06-05.
25 calendar-day difference; scoped endpoint only</x:v>
      </x:c>
      <x:c r="G414" s="4" t="str">
        <x:v>Power and regime politics / Contested governing authority
Analytical interpretation of reported context
Applies to: May–June 2023 closure; exact daily overlap not established
Classification concerns rival border-administering authorities. Formal order text and truth of breach allegation were not independently recovered.</x:v>
      </x:c>
      <x:c r="H414" s="4" t="str">
        <x:v>R2-ME-006-D1: Scoped resumption under existing crossing procedures, not unrestricted everyday passage. Lead IG footnote 523 is a July 19 State vetting comment; OCHA is accessed through an official court quotation. Its May 20 humanitarian shutdown is a different cohort from the May 11 commercial onset. Exact hours, directions and complete gate logs remain unverified.</x:v>
      </x:c>
      <x:c r="I414" s="4" t="str">
        <x:v>Full-record source audit (REC50-R25); accepted corrections; evidence limits retained.</x:v>
      </x:c>
      <x:c r="J414" s="18" t="d">
        <x:v>2026-10-25T00:00:00.000Z</x:v>
      </x:c>
      <x:c r="K414" s="21" t="str">
        <x:f>IFERROR(HYPERLINK("https://npasyria.com/en/99073/","North Press Agency"),"North Press Agency")</x:f>
        <x:v>North Press Agency</x:v>
      </x:c>
      <x:c r="L414" s="21" t="str">
        <x:f>IFERROR(HYPERLINK("https://www.arabnews.com/middle-east/iraq-and-syria-to-reopen-semalka-border-crossing-after-3-week-closure-2315261","Arab News"),"Arab News")</x:f>
        <x:v>Arab News</x:v>
      </x:c>
      <x:c r="M414" s="21" t="str">
        <x:f>IFERROR(HYPERLINK("https://www.oversight.gov/sites/default/files/documents/reports/2025-01/OIR_Q3_JUN2023_Revise.pdf","US Lead Inspector General / Oversight.gov"),"US Lead Inspector General / Oversight.gov")</x:f>
        <x:v>US Lead Inspector General / Oversight.gov</x:v>
      </x:c>
      <x:c r="N414" s="4" t="str">
        <x:v>https://npasyria.com/en/99073/
https://www.arabnews.com/middle-east/iraq-and-syria-to-reopen-semalka-border-crossing-after-3-week-closure-2315261
https://www.oversight.gov/sites/default/files/documents/reports/2025-01/OIR_Q3_JUN2023_Revise.pdf
https://syrianobserver.com/uncategorized/semalka-border-crossing-resumes-operation-after-weeks-of-closure.html
https://ris.bka.gv.at/Dokumente/Bvwg/BVWGT_20231018_W200_2264706_1_00/BVWGT_20231018_W200_2264706_1_00.pdf
https://hawarnews.com/en/168380328036301
https://www.kurdistan24.net/en/story/391621/UK-welcomes-reopening-of-key-northeast-Syria-Kurdistan-Region-border-crossing
https://ca-syr.org/periodical/may-2023-monthly-report
https://hawarnews.com/en/168580566036558
https://ris.bka.gv.at/Dokumente/Bvwg/BVWGT_20231018_W200_2264706_1_00/BVWGT_20231018_W200_2264706_1_00.html
https://www.jusline.at/entscheidung/926150</x:v>
      </x:c>
      <x:c r="O414" s="4" t="str">
        <x:v>Source 1: full text
Source 2: full text
Source 3: full text</x:v>
      </x:c>
      <x:c r="P414" s="20" t="n">
        <x:v>1</x:v>
      </x:c>
      <x:c r="Q414" s="4" t="str">
        <x:v>Middle East</x:v>
      </x:c>
      <x:c r="R414" s="4" t="str">
        <x:v>Included</x:v>
      </x:c>
    </x:row>
    <x:row r="415" ht="150" hidden="0" customHeight="1">
      <x:c r="A415" s="16" t="str">
        <x:v>R2-SC-008</x:v>
      </x:c>
      <x:c r="B415" s="4" t="str">
        <x:v>Nepal closes Rasuwagadhi and Kimathanka for November 2017 election</x:v>
      </x:c>
      <x:c r="C415" s="4" t="str">
        <x:v>Nepal; China</x:v>
      </x:c>
      <x:c r="D415" s="4" t="str">
        <x:v>Rasuwagadhi; Kimathanka
People and vehicle passage through two China-facing crossings</x:v>
      </x:c>
      <x:c r="E415" s="4" t="str">
        <x:v>People and vehicle passage through two China-facing crossings
Direction: Cross-border people and vehicle movement; direction not further specified.
Exceptions: Not established</x:v>
      </x:c>
      <x:c r="F415" s="4" t="str">
        <x:v>R2-SC-008-R1 — Announced window
Rasuwagadhi and Kimathanka under named district election order
Start: 2017-11-24.
Scheduled endpoint: 2017-11-27.
Ordered window: 3 calendar-day difference; actual end not established
REC50-R33-R2SC008-P1 — Observed operation
Observed Rasuwa/Rasuwagadhi freight return after the November 2017 election restriction
Start: unknown.
Observed scoped reopening: 2017-11-27.
dated evidence; numeric duration withheld; see qualification</x:v>
      </x:c>
      <x:c r="G415" s="4" t="str">
        <x:v>Electoral politics / Election administration and security
Attributed official justification
Applies to: November 2017 ordered window
Mandatory election procedure stated for these crossings; district security deployment alone is not a separate closure justification.</x:v>
      </x:c>
      <x:c r="H415" s="4" t="str">
        <x:v>R2-SC-008-R1: The two-post order remains scheduled: official 72 hours versus resident four-day wording is retained. Republica HTML now dates its separate Rasuwa freight-return observation to 27 November 2017; that narrower observation is stored as a separate phase and is not transferred to Kimathanka or all passenger cohorts.
REC50-R33-R2SC008-P1: No numeric duration: operational start is not separately fixed here. The wider two-post order remains a distinct scheduled phase. No Kimathanka or all-passenger endpoint inferred.
continuity: The two-post election order remains scheduled and the 72-hour/four-day wording differs. Republica datePublished now establishes 27 November 2017 and actual Rasuwa freight return, but the same endpoint is not established for Kimathanka or all passenger cohorts; exact onset/continuity for the new return-only phase remain unquantified.</x:v>
      </x:c>
      <x:c r="I415" s="4" t="str">
        <x:v>Targeted source review (REC50-R33); accepted qualification; evidence limits retained.</x:v>
      </x:c>
      <x:c r="J415" s="18" t="d">
        <x:v>2026-10-25T00:00:00.000Z</x:v>
      </x:c>
      <x:c r="K415" s="21" t="str">
        <x:f>IFERROR(HYPERLINK("https://kathmandupost.com/national/2017/11/24/border-with-china-sealed-for-72-hrs","The Kathmandu Post"),"The Kathmandu Post")</x:f>
        <x:v>The Kathmandu Post</x:v>
      </x:c>
      <x:c r="L415" s="21" t="str">
        <x:f>IFERROR(HYPERLINK("https://www.myrepublica.nagariknetwork.com/news/rasuwa-border-reopens","MyRepublica"),"MyRepublica")</x:f>
        <x:v>MyRepublica</x:v>
      </x:c>
      <x:c r="M415" s="21" t="str">
        <x:f>IFERROR(HYPERLINK("https://timesofindia.indiatimes.com/world/nepal-closes-border-with-china-india-ahead-of-nov-26-polls/articleshow/61780606.cms","Times of India"),"Times of India")</x:f>
        <x:v>Times of India</x:v>
      </x:c>
      <x:c r="N415" s="4" t="str">
        <x:v>https://kathmandupost.com/national/2017/11/24/border-with-china-sealed-for-72-hrs
https://www.myrepublica.nagariknetwork.com/news/rasuwa-border-reopens
https://timesofindia.indiatimes.com/world/nepal-closes-border-with-china-india-ahead-of-nov-26-polls/articleshow/61780606.cms
https://myrepublica.nagariknetwork.com/news/rasuwa-border-reopens</x:v>
      </x:c>
      <x:c r="O415" s="4" t="str">
        <x:v>Source 1: indexed excerpt; full; full text
Source 2: full; full text
Source 3: search extract</x:v>
      </x:c>
      <x:c r="P415" s="20" t="n">
        <x:v>2</x:v>
      </x:c>
      <x:c r="Q415" s="4" t="str">
        <x:v>South Asia</x:v>
      </x:c>
      <x:c r="R415" s="4" t="str">
        <x:v>Included</x:v>
      </x:c>
    </x:row>
    <x:row r="416" ht="162" hidden="0" customHeight="1">
      <x:c r="A416" s="16" t="str">
        <x:v>R2-SC-009</x:v>
      </x:c>
      <x:c r="B416" s="4" t="str">
        <x:v>Nepal restricts India-facing crossings for December 2017 second-round election</x:v>
      </x:c>
      <x:c r="C416" s="4" t="str">
        <x:v>Nepal; India</x:v>
      </x:c>
      <x:c r="D416" s="4" t="str">
        <x:v>Including Kakadbhitta and Kailali district crossings
More than22 India-facing entry points, with local directional exceptions</x:v>
      </x:c>
      <x:c r="E416" s="4" t="str">
        <x:v>More than22 India-facing entry points, with local directional exceptions
Direction: Restrictions varied: Kakadbhitta allowed Nepalese entry and travel towards India; do not code universal bidirectional ban.
Exceptions: Kakadbhitta police said Nepalese citizens could enter and travellers could leave for India.</x:v>
      </x:c>
      <x:c r="F416" s="4" t="str">
        <x:v>R2-SC-009-R1 — Announced window
Kailali district India-facing entry points described in dispatch
Start: 2017-12-05.
Scheduled endpoint: 2017-12-07 to 2017-12-08.
Ordered window: 2–3 calendar-day difference; actual end not established</x:v>
      </x:c>
      <x:c r="G416"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16" s="4" t="str">
        <x:v>R2-SC-009-R1: End bound extends to December 8 to preserve 72-hour interpretation. Not actual restoration; Kakadbhitta permissions are not applied to Kailali.
continuity: PTI specifically reports Kailali entry points sealed for 72 hours, with planned Thursday-evening restoration. Its publication/update timestamps and duration conflict require bounded dates. Directional exceptions elsewhere in the same article cannot establish Kailali practice.</x:v>
      </x:c>
      <x:c r="I416" s="4" t="str">
        <x:v>Retained baseline assessment. Correction pass: reviewed; see attribute findings</x:v>
      </x:c>
      <x:c r="J416" s="18" t="d">
        <x:v>2026-10-23T00:00:00.000Z</x:v>
      </x:c>
      <x:c r="K416" s="21" t="str">
        <x:f>IFERROR(HYPERLINK("https://www.newindianexpress.com/amp/story/world/2017/Dec/05/nepal-closes-border-with-india-for-72-hours-ahead-of-december-7-polls-1719242.html","New Indian Express"),"New Indian Express")</x:f>
        <x:v>New Indian Express</x:v>
      </x:c>
      <x:c r="L416" s="21" t="str">
        <x:f>IFERROR(HYPERLINK("https://kathmandupost.com/visual-stories/2017/12/05/general-people-face-difficulties-after-border-sealed-for-elections","Kathmandu Post"),"Kathmandu Post")</x:f>
        <x:v>Kathmandu Post</x:v>
      </x:c>
      <x:c r="M416" s="21" t="str">
        <x:f>IFERROR(HYPERLINK("https://www.hindustantimes.com/dehradun/nepal-polls-border-sealed-till-thursday-evening/story-5nzBYeFkbzXAMG3PoGnLwO.html","hindustantimes.com"),"hindustantimes.com")</x:f>
        <x:v>hindustantimes.com</x:v>
      </x:c>
      <x:c r="N416" s="4" t="str">
        <x:v>https://www.newindianexpress.com/amp/story/world/2017/Dec/05/nepal-closes-border-with-india-for-72-hours-ahead-of-december-7-polls-1719242.html
https://kathmandupost.com/visual-stories/2017/12/05/general-people-face-difficulties-after-border-sealed-for-elections
https://www.hindustantimes.com/dehradun/nepal-polls-border-sealed-till-thursday-evening/story-5nzBYeFkbzXAMG3PoGnLwO.html
https://kathmandupost.com/national/2017/12/03/security-stepped-up-in-rautahat</x:v>
      </x:c>
      <x:c r="O416" s="4" t="str">
        <x:v>Source 1: indexed excerpt; full
Source 2: indexed excerpt; full
Source 3: access detail is retained in the source catalogue.</x:v>
      </x:c>
      <x:c r="P416" s="20" t="n">
        <x:v>1</x:v>
      </x:c>
      <x:c r="Q416" s="4" t="str">
        <x:v>South Asia</x:v>
      </x:c>
      <x:c r="R416" s="4" t="str">
        <x:v>Included</x:v>
      </x:c>
    </x:row>
    <x:row r="417" ht="162" hidden="0" customHeight="1">
      <x:c r="A417" s="16" t="str">
        <x:v>R2-SC-001</x:v>
      </x:c>
      <x:c r="B417" s="4" t="str">
        <x:v>Pakistan closes Chaman and Kharlachi for July 2018 general election</x:v>
      </x:c>
      <x:c r="C417" s="4" t="str">
        <x:v>Pakistan; Afghanistan</x:v>
      </x:c>
      <x:c r="D417" s="4" t="str">
        <x:v>Chaman; Kharlachi
Two named land crossings; not the whole Afghan frontier</x:v>
      </x:c>
      <x:c r="E417" s="4" t="str">
        <x:v>Two named land crossings; not the whole Afghan frontier
Direction: Not directionally disaggregated in retrieved evidence
Exceptions: Torkham remained open for normal traffic (outside the two-point closure).</x:v>
      </x:c>
      <x:c r="F417" s="4" t="str">
        <x:v>R2-SC-001-R1 — Announced window
Chaman and Kharlachi only; Torkham excluded
Start: 2018-07-24.
Scheduled endpoint: 2018-07-25.
Ordered window: 1 calendar-day difference; actual end not established</x:v>
      </x:c>
      <x:c r="G417"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17" s="4" t="str">
        <x:v>R2-SC-001-R1: Foreign Office schedule covers July 24 and July 25 inclusively; clock times unspecified. Tribune and The News separately give conflicting July 26 security-official wording. No actual reopening established; Torkham excluded.
continuity: Foreign Office order closes Chaman and Kharlachi July 24–25 inclusive while Torkham remains open. This establishes an election schedule, not observed July 26 reopening.</x:v>
      </x:c>
      <x:c r="I417" s="4" t="str">
        <x:v>Retained baseline assessment. Correction pass: reviewed; see attribute findings</x:v>
      </x:c>
      <x:c r="J417" s="18" t="d">
        <x:v>2026-10-23T00:00:00.000Z</x:v>
      </x:c>
      <x:c r="K417" s="21" t="str">
        <x:f>IFERROR(HYPERLINK("https://www.app.com.pk/national/pak-afghan-border-at-chaman-kharlachi-to-be-closed-on-july-24-25-fo/","APP"),"APP")</x:f>
        <x:v>APP</x:v>
      </x:c>
      <x:c r="L417" s="21" t="str">
        <x:f>IFERROR(HYPERLINK("https://www.radio.gov.pk/24-07-2018/pak-afghan-border-at-chaman-to-be-closed","Radio Pakistan"),"Radio Pakistan")</x:f>
        <x:v>Radio Pakistan</x:v>
      </x:c>
      <x:c r="M417" s="21" t="str">
        <x:f>IFERROR(HYPERLINK("https://tribune.com.pk/story/1765409/chaman-border-crossing-closed-two-days","Express Tribune"),"Express Tribune")</x:f>
        <x:v>Express Tribune</x:v>
      </x:c>
      <x:c r="N417" s="4" t="str">
        <x:v>https://www.app.com.pk/national/pak-afghan-border-at-chaman-kharlachi-to-be-closed-on-july-24-25-fo/
https://www.radio.gov.pk/24-07-2018/pak-afghan-border-at-chaman-to-be-closed
https://tribune.com.pk/story/1765409/chaman-border-crossing-closed-two-days
https://www.thenews.com.pk/latest/345703-elections-2018-pak-afghan-border-closed-for-3-days-over-security-reasons
https://www.xinhuanet.com/english/2018-07/24/c_137345081.htm</x:v>
      </x:c>
      <x:c r="O417" s="4" t="str">
        <x:v>Source 1: indexed excerpt; failed
Source 2: indexed excerpt; full
Source 3: indexed excerpt</x:v>
      </x:c>
      <x:c r="P417" s="20" t="n">
        <x:v>1</x:v>
      </x:c>
      <x:c r="Q417" s="4" t="str">
        <x:v>South Asia</x:v>
      </x:c>
      <x:c r="R417" s="4" t="str">
        <x:v>Included</x:v>
      </x:c>
    </x:row>
    <x:row r="418" ht="162" hidden="0" customHeight="1">
      <x:c r="A418" s="16" t="str">
        <x:v>R2-SC-002</x:v>
      </x:c>
      <x:c r="B418" s="4" t="str">
        <x:v>Chaman freight closure after October 2018 fencing clash</x:v>
      </x:c>
      <x:c r="C418" s="4" t="str">
        <x:v>Pakistan; Afghanistan</x:v>
      </x:c>
      <x:c r="D418" s="4" t="str">
        <x:v>Chaman–Spin Boldak / Friendship Gate
Freight through Chaman Friendship Gate</x:v>
      </x:c>
      <x:c r="E418" s="4" t="str">
        <x:v>Commercial trucks, Afghan transit cargo and NATO supplies.
Direction: Goods movement in both directions documented at reopening.
Exceptions: Passenger traffic resumed 15 October and is excluded from this freight-duration series.</x:v>
      </x:c>
      <x:c r="F418" s="4" t="str">
        <x:v>R2-SC-002-D1 — Observed operation
Freight through Chaman Friendship Gate; Commercial trucks, Afghan transit cargo and NATO supplies.; Goods movement in both directions documented at reopening.
Start: 2018-10-14.
Observed scoped reopening: 2018-10-16.
2 calendar-day difference; scoped endpoint only</x:v>
      </x:c>
      <x:c r="G418"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Territorial and frontier disputes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18" s="4" t="str">
        <x:v>R2-SC-002-D1: Published 'three days' is inclusive reporting; dates imply two elapsed days. Broad RFE closed wording does not distinguish pedestrian exception. Passenger traffic resumed 15 October and is excluded from this freight-duration series.</x:v>
      </x:c>
      <x:c r="I418" s="4" t="str">
        <x:v>Retained baseline assessment. Retained with recorded qualifications</x:v>
      </x:c>
      <x:c r="J418" s="18" t="d">
        <x:v>2026-10-23T00:00:00.000Z</x:v>
      </x:c>
      <x:c r="K418" s="21" t="str">
        <x:f>IFERROR(HYPERLINK("https://tribune.com.pk/story/1827531/trade-activities-resume-friendship-gate","Express Tribune"),"Express Tribune")</x:f>
        <x:v>Express Tribune</x:v>
      </x:c>
      <x:c r="L418" s="21" t="str">
        <x:f>IFERROR(HYPERLINK("https://www.rferl.org/a/afghan-pakistani-border-crossing-closed-after-clashes/29546025.html","Radio Free Europe/Radio Liberty"),"Radio Free Europe/Radio Liberty")</x:f>
        <x:v>Radio Free Europe/Radio Liberty</x:v>
      </x:c>
      <x:c r="M418" s="21" t="str">
        <x:f>IFERROR(HYPERLINK("https://www.ecoi.net/en/document/1447192.html","ecoi.net"),"ecoi.net")</x:f>
        <x:v>ecoi.net</x:v>
      </x:c>
      <x:c r="N418" s="4" t="str">
        <x:v>https://tribune.com.pk/story/1827531/trade-activities-resume-friendship-gate
https://www.rferl.org/a/afghan-pakistani-border-crossing-closed-after-clashes/29546025.html
https://www.ecoi.net/en/document/1447192.html
https://tribune.com.pk/story/1827531/trade-activities-resume-friendship-gate?amp=1
https://tribune.com.pk/story/1826255/chaman-border-crossing-reopens?amp=1</x:v>
      </x:c>
      <x:c r="O418" s="4" t="str">
        <x:v>Source 1: full page
Source 2: search extract
Source 3: access detail is retained in the source catalogue.</x:v>
      </x:c>
      <x:c r="P418" s="20" t="n">
        <x:v>1</x:v>
      </x:c>
      <x:c r="Q418" s="4" t="str">
        <x:v>South Asia</x:v>
      </x:c>
      <x:c r="R418" s="4" t="str">
        <x:v>Included</x:v>
      </x:c>
    </x:row>
    <x:row r="419" ht="162" hidden="0" customHeight="1">
      <x:c r="A419" s="16" t="str">
        <x:v>R2-SC-003</x:v>
      </x:c>
      <x:c r="B419" s="4" t="str">
        <x:v>Torkham and Chaman closed for Afghanistan's October 2018 parliamentary election</x:v>
      </x:c>
      <x:c r="C419" s="4" t="str">
        <x:v>Pakistan; Afghanistan</x:v>
      </x:c>
      <x:c r="D419" s="4" t="str">
        <x:v>Torkham; Chaman
All ordinary traffic at two named gates</x:v>
      </x:c>
      <x:c r="E419" s="4" t="str">
        <x:v>All ordinary traffic at two named gates
Direction: Entry and exit traffic at both gates; reopening report describes people and freight on both sides.
Exceptions: Emergency cases.</x:v>
      </x:c>
      <x:c r="F419" s="4" t="str">
        <x:v>R2-SC-003-D1 — Observed operation
Ordinary pedestrian and cargo traffic at Torkham and Chaman, excluding emergency cases
Start: 2018-10-19.
Observed scoped reopening: 2018-10-21.
2 calendar-day difference; scoped endpoint only</x:v>
      </x:c>
      <x:c r="G419"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19" s="4" t="str">
        <x:v>R2-SC-003-D1: Calendar-day boundaries only: exact onset hour is unknown and reported two-and-a-half days is not converted to precise hours. Emergency access was excepted; foot traffic and freight resumed at slightly different times on the same day.</x:v>
      </x:c>
      <x:c r="I419" s="4" t="str">
        <x:v>Retained baseline assessment. Retained with recorded qualifications</x:v>
      </x:c>
      <x:c r="J419" s="18" t="d">
        <x:v>2026-10-23T00:00:00.000Z</x:v>
      </x:c>
      <x:c r="K419" s="21" t="str">
        <x:f>IFERROR(HYPERLINK("https://mofa.gov.pk/afghan-request-for-closure-of-friendship-gates-at-chaman-torkham","Pakistan Ministry of Foreign Affairs"),"Pakistan Ministry of Foreign Affairs")</x:f>
        <x:v>Pakistan Ministry of Foreign Affairs</x:v>
      </x:c>
      <x:c r="L419" s="21" t="str">
        <x:f>IFERROR(HYPERLINK("https://tribune.com.pk/story/1830756/two-days-hiatus-pak-afghan-border-crossing-torkham-reopened?amp=1","Express Tribune"),"Express Tribune")</x:f>
        <x:v>Express Tribune</x:v>
      </x:c>
      <x:c r="M419" s="21" t="str">
        <x:f>IFERROR(HYPERLINK("https://www.dawn.com/news/1440546","dawn.com"),"dawn.com")</x:f>
        <x:v>dawn.com</x:v>
      </x:c>
      <x:c r="N419" s="4" t="str">
        <x:v>https://mofa.gov.pk/afghan-request-for-closure-of-friendship-gates-at-chaman-torkham
https://tribune.com.pk/story/1830756/two-days-hiatus-pak-afghan-border-crossing-torkham-reopened?amp=1
https://www.dawn.com/news/1440546
https://tribune.com.pk/story/1830756/two-days-hiatus-pak-afghan-border-crossing-torkham-reopened
https://www.radio.gov.pk/21-10-2018/pak-afghan-border-at-torkham-reopened
https://www.thenews.com.pk/amp/383229-torkham-border-closed-for-two-days-for-afghan-elections</x:v>
      </x:c>
      <x:c r="O419" s="4" t="str">
        <x:v>Source 1: search-indexed official text; direct page timed out
Source 2: full page
Source 3: access detail is retained in the source catalogue.</x:v>
      </x:c>
      <x:c r="P419" s="20" t="n">
        <x:v>1</x:v>
      </x:c>
      <x:c r="Q419" s="4" t="str">
        <x:v>South Asia</x:v>
      </x:c>
      <x:c r="R419" s="4" t="str">
        <x:v>Included</x:v>
      </x:c>
    </x:row>
    <x:row r="420" ht="126" hidden="0" customHeight="1">
      <x:c r="A420" s="16" t="str">
        <x:v>R2-SC-004</x:v>
      </x:c>
      <x:c r="B420" s="4" t="str">
        <x:v>Pakistan closes Afghan and Iranian crossings on February 2024 polling day</x:v>
      </x:c>
      <x:c r="C420" s="4" t="str">
        <x:v>Pakistan; Afghanistan; Iran</x:v>
      </x:c>
      <x:c r="D420" s="4" t="str">
        <x:v>All Afghan and Iranian land crossings under Pakistan's announced order
Border crossings with Afghanistan and Iran; pedestrians and cargo</x:v>
      </x:c>
      <x:c r="E420" s="4" t="str">
        <x:v>Border crossings with Afghanistan and Iran; pedestrians and cargo
Direction: Not directionally disaggregated in retrieved evidence
Exceptions: None specified in retrieved announcement.</x:v>
      </x:c>
      <x:c r="F420" s="4" t="str">
        <x:v>R2-SC-004-R1 — Announced window
Pakistan-controlled border crossings with Afghanistan and Iran
Start: 2024-02-08.
Scheduled endpoint: 2024-02-09.
Ordered window: 1 calendar-day difference; actual end not established</x:v>
      </x:c>
      <x:c r="G420" s="4" t="str">
        <x:v>Electoral politics / Election administration and security
Attributed official justification
Applies to: February 8 2024 order
MOFA stated purpose.
Security / Armed attacks and terrorism
Analytical interpretation of reported context
Applies to: Announcement following February 7 blasts
Reported context only; original closure statement does not expressly assign causation to a particular attack.</x:v>
      </x:c>
      <x:c r="H420" s="4" t="str">
        <x:v>R2-SC-004-R1: No actual reopening retrieved; Afghan three-post onset evidence does not establish every Iran-side point.
continuity: February 7 Foreign Office statement schedules February 8 cargo/passenger closure at Afghan and Iranian crossings and February 9 resumption. It establishes an election order; completed operational reopening was not observed.</x:v>
      </x:c>
      <x:c r="I420" s="4" t="str">
        <x:v>Full-record source audit (REC50-R25); retained with recorded qualifications; evidence limits retained.</x:v>
      </x:c>
      <x:c r="J420" s="18" t="d">
        <x:v>2026-10-25T00:00:00.000Z</x:v>
      </x:c>
      <x:c r="K420" s="21" t="str">
        <x:f>IFERROR(HYPERLINK("https://mofa.gov.pk/press-releases/statement-by-the-spokesperson-on-closure-of-border-crossings-with-afghanistan-and-iran-on-8-february-2024","Pakistan Ministry of Foreign Affairs"),"Pakistan Ministry of Foreign Affairs")</x:f>
        <x:v>Pakistan Ministry of Foreign Affairs</x:v>
      </x:c>
      <x:c r="L420" s="21" t="str">
        <x:f>IFERROR(HYPERLINK("https://swn.af/en/2024/02/afghan-pakistan-border-crossings-closed-due-to-pakistani-national-elections/","Salam Watandar"),"Salam Watandar")</x:f>
        <x:v>Salam Watandar</x:v>
      </x:c>
      <x:c r="M420" s="21" t="str">
        <x:f>IFERROR(HYPERLINK("https://amu.tv/82598/","Amu TV"),"Amu TV")</x:f>
        <x:v>Amu TV</x:v>
      </x:c>
      <x:c r="N420" s="4" t="str">
        <x:v>https://mofa.gov.pk/press-releases/statement-by-the-spokesperson-on-closure-of-border-crossings-with-afghanistan-and-iran-on-8-february-2024
https://swn.af/en/2024/02/afghan-pakistan-border-crossings-closed-due-to-pakistani-national-elections/
https://amu.tv/82598/
https://humenglish.com/latest/border-closed-afghanistan/
https://mofa.gov.pk/press-releases/statement-by-the-spokesperson-on-closure-of-border-crossings-with-afghanistan-and-iran-on-8-february-2024?mission=statements
https://www.aa.com.tr/en/asia-pacific/pakistan-to-close-borders-with-iran-afghanistan-during-thursdays-general-elections/3130559</x:v>
      </x:c>
      <x:c r="O420" s="4" t="str">
        <x:v>Source 1: indexed excerpt; failed; indexed extract
Source 2: indexed excerpt; full; full text
Source 3: indexed extract</x:v>
      </x:c>
      <x:c r="P420" s="20" t="n">
        <x:v>1</x:v>
      </x:c>
      <x:c r="Q420" s="4" t="str">
        <x:v>South Asia</x:v>
      </x:c>
      <x:c r="R420" s="4" t="str">
        <x:v>Included</x:v>
      </x:c>
    </x:row>
    <x:row r="421" ht="162" hidden="0" customHeight="1">
      <x:c r="A421" s="16" t="str">
        <x:v>R2-AF-006</x:v>
      </x:c>
      <x:c r="B421" s="4" t="str">
        <x:v>Chad renewed Libya-frontier security closure March 2019</x:v>
      </x:c>
      <x:c r="C421" s="4" t="str">
        <x:v>Chad; Libya</x:v>
      </x:c>
      <x:c r="D421" s="4" t="str">
        <x:v>Not individually established
Chadian side of Libya land frontier</x:v>
      </x:c>
      <x:c r="E421" s="4" t="str">
        <x:v>Movement categories not separately established
Direction: Not separately established
Exceptions: Not established</x:v>
      </x:c>
      <x:c r="F421" s="4" t="str">
        <x:v>R2-AF-006-FU1 — Formal policy
Chadian formal order restricting Libya land frontier
Start: 2019-03-03.
Last confirmed: 2019-03-03. Reopening is not established.
Formal policy: dated evidence; numeric duration withheld; see qualification</x:v>
      </x:c>
      <x:c r="G421" s="4" t="str">
        <x:v>Security / Armed attacks and terrorism
Attributed official justification
Applies to: Recorded episode; exact overlap not separately established
The recorded rationale and claim assessment support the selected subcategories. All applicable broad categories are retained together; no primary rationale is imposed.
Security / Armed conflict and military confrontation
Attributed official justification
Applies to: Recorded episode; exact overlap not separately established
The recorded rationale and claim assessment support the selected subcategories. All applicable broad categories are retained together; no primary rationale is imposed.</x:v>
      </x:c>
      <x:c r="H421" s="4" t="str">
        <x:v>R2-AF-006-FU1: Formal order only; porous desert routes and later corridor exceptions prevent an assertion of complete sealing or unbroken March–August implementation.
duration: Fresh pass confirms immediate March 3 order and contemporaneous March supply effects, without a reopening. Propose formal onset observation only; keep actual duration and corridor continuity unresolved.</x:v>
      </x:c>
      <x:c r="I421" s="4" t="str">
        <x:v>Retained baseline assessment. Follow-up adjudicated; amend</x:v>
      </x:c>
      <x:c r="J421" s="18" t="d">
        <x:v>2026-10-23T00:00:00.000Z</x:v>
      </x:c>
      <x:c r="K421" s="21" t="str">
        <x:f>IFERROR(HYPERLINK("https://www.voaafrique.com/a/tchad-fermeture-de-la-frontiere-avec-la-libye/4812034.html","voaafrique.com"),"voaafrique.com")</x:f>
        <x:v>voaafrique.com</x:v>
      </x:c>
      <x:c r="L421" s="21" t="str">
        <x:f>IFERROR(HYPERLINK("https://www.latribune.fr/politique/2019-03-04/tchad-la-frontiere-avec-la-libye-de-nouveau-fermee-jusqu-a-nouvel-ordre-809450.html","La Tribune Afrique"),"La Tribune Afrique")</x:f>
        <x:v>La Tribune Afrique</x:v>
      </x:c>
      <x:c r="M421" s="21" t="str">
        <x:f>IFERROR(HYPERLINK("https://www.voaafrique.com/a/le-tchad-annonce-la-fermeture-de-sa-fronti%C3%A8re-avec-la-libye-pour-la-deuxi%C3%A8me-fois-en-moins-de-trois-ans/4824100.html","VOA Afrique"),"VOA Afrique")</x:f>
        <x:v>VOA Afrique</x:v>
      </x:c>
      <x:c r="N421" s="4" t="str">
        <x:v>https://www.voaafrique.com/a/tchad-fermeture-de-la-frontiere-avec-la-libye/4812034.html
https://www.latribune.fr/politique/2019-03-04/tchad-la-frontiere-avec-la-libye-de-nouveau-fermee-jusqu-a-nouvel-ordre-809450.html
https://www.voaafrique.com/a/le-tchad-annonce-la-fermeture-de-sa-fronti%C3%A8re-avec-la-libye-pour-la-deuxi%C3%A8me-fois-en-moins-de-trois-ans/4824100.html
https://www.alwihdainfo.com/tchad-six-corridors-et-postes-d-entree-ouverts-a-trois-frontieres-a76325/
https://dtm.iom.int/sites/g/files/tmzbdl1461/files/reports/Rapport%20Q2%20FMS%20Tchad%20Avril_Juin%202024_for_publishing.pdf
https://libyaherald.com/2019/03/chad-closes-its-border-with-libya
https://french.xinhuanet.com/2019-03/04/c_137868749.htm
https://fews.net/fr/west-africa/tchad/mise-jour-du-message-cle/mars-2019</x:v>
      </x:c>
      <x:c r="O421" s="4" t="str">
        <x:v>Source 1: access detail is retained in the source catalogue.
Source 2: full
Source 3: indexed excerpt; full</x:v>
      </x:c>
      <x:c r="P421" s="20" t="n">
        <x:v>1</x:v>
      </x:c>
      <x:c r="Q421" s="4" t="str">
        <x:v>West Africa and Sahel</x:v>
      </x:c>
      <x:c r="R421" s="4" t="str">
        <x:v>Included</x:v>
      </x:c>
    </x:row>
    <x:row r="422" ht="126" hidden="0" customHeight="1">
      <x:c r="A422" s="16" t="str">
        <x:v>R2-AF-007</x:v>
      </x:c>
      <x:c r="B422" s="4" t="str">
        <x:v>Chad selective three-frontier emergency restriction August 2019</x:v>
      </x:c>
      <x:c r="C422" s="4" t="str">
        <x:v>Chad; Libya; Sudan; Central African Republic</x:v>
      </x:c>
      <x:c r="D422" s="4" t="str">
        <x:v>Not individually established
Libya, Sudan and CAR frontiers restricted to designated corridors</x:v>
      </x:c>
      <x:c r="E422" s="4" t="str">
        <x:v>Movement categories not separately established
Direction: Entry and exit explicitly covered
Exceptions: Designated corridors: Kouri 35, Ounianga and Mourdi towards Libya (APA/Europa Press gives Kuri and Mudi only); Adré, Tiné and Amdjirémé towards Sudan; Sido and Goré towards CAR. No reliable total corridor count asserted.</x:v>
      </x:c>
      <x:c r="F422" s="4" t="str">
        <x:v>R2-AF-007-FU1 — Formal policy
Chad selective routing restriction on Libya, Sudan and CAR frontiers except named corridors
Start: unknown.
Last confirmed: 2019-08-21. Reopening is not established.
Formal policy: dated evidence; numeric duration withheld; see qualification</x:v>
      </x:c>
      <x:c r="G422" s="4" t="str">
        <x:v>Security / Unspecified security
Reported reason
Applies to: Recorded episode; exact overlap not separately established
The recorded rationale and claim assessment support the selected subcategories. All applicable broad categories are retained together; no primary rationale is imposed.</x:v>
      </x:c>
      <x:c r="H422" s="4" t="str">
        <x:v>R2-AF-007-FU1: Documentary confirmation boundary, not original effective day. Sources differ August 20/21, and headline corridor count differs from listed points. Emergency expiry does not establish border reopening.
duration: Fresh decree reporting distinguishes enabling powers from the operative selective restriction. Add an August 21 documentary confirmation with named exceptions; exact original day and ending remain unresolved.
Current onset finding: The local account retains contradictory Tuesday20/21 dating and does not separately establish formal border commencement.</x:v>
      </x:c>
      <x:c r="I422" s="4" t="str">
        <x:v>Retained baseline assessment. Correction pass: amended with stated qualifications</x:v>
      </x:c>
      <x:c r="J422" s="18" t="d">
        <x:v>2026-10-23T00:00:00.000Z</x:v>
      </x:c>
      <x:c r="K422" s="21" t="str">
        <x:f>IFERROR(HYPERLINK("https://www.lepaystchad.com/risque-dasphyxie-economique-des-provinces-sous-etat-durgence/","lepaystchad.com"),"lepaystchad.com")</x:f>
        <x:v>lepaystchad.com</x:v>
      </x:c>
      <x:c r="L422" s="21" t="str">
        <x:f>IFERROR(HYPERLINK("https://www.alwihdainfo.com/tchad-six-corridors-et-postes-d-entree-ouverts-a-trois-frontieres-a76325/","Alwihda Info"),"Alwihda Info")</x:f>
        <x:v>Alwihda Info</x:v>
      </x:c>
      <x:c r="M422" s="21" t="str">
        <x:f>IFERROR(HYPERLINK("https://www.europapress.es/internacional/noticia-chad-cierra-fronteras-libia-sudan-rca-motivos-seguridad-20190822083126.html","Europa Press"),"Europa Press")</x:f>
        <x:v>Europa Press</x:v>
      </x:c>
      <x:c r="N422" s="4" t="str">
        <x:v>https://www.lepaystchad.com/risque-dasphyxie-economique-des-provinces-sous-etat-durgence/
https://www.alwihdainfo.com/tchad-six-corridors-et-postes-d-entree-ouverts-a-trois-frontieres-a76325/
https://www.europapress.es/internacional/noticia-chad-cierra-fronteras-libia-sudan-rca-motivos-seguridad-20190822083126.html
https://journaldutchad.com/tag/etat-durgence/
https://www.libyanexpress.com/chad-shuts-down-border-with-libya-citing-security-concerns/
https://libyaobserver.ly/inbrief/chad-shuts-down-borders-libya-sudan-and-central-african-republic
https://www.lepaystchad.com/les-12-mesure-de-letat-durgence-dans-le-ouaddai-le-sila-et-le-tibesti/</x:v>
      </x:c>
      <x:c r="O422" s="4" t="str">
        <x:v>Source 1: access detail is retained in the source catalogue.
Source 2: full
Source 3: full</x:v>
      </x:c>
      <x:c r="P422" s="20" t="n">
        <x:v>1</x:v>
      </x:c>
      <x:c r="Q422" s="4" t="str">
        <x:v>West Africa and Sahel</x:v>
      </x:c>
      <x:c r="R422" s="4" t="str">
        <x:v>Included</x:v>
      </x:c>
    </x:row>
    <x:row r="423" ht="126" hidden="0" customHeight="1">
      <x:c r="A423" s="16" t="str">
        <x:v>R2-AF-002</x:v>
      </x:c>
      <x:c r="B423" s="4" t="str">
        <x:v>Burkina Faso COVID land and rail border closure</x:v>
      </x:c>
      <x:c r="C423" s="4" t="str">
        <x:v>Burkina Faso; Mali; Niger; Benin; Togo; Ghana; Côte d’Ivoire</x:v>
      </x:c>
      <x:c r="D423" s="4" t="str">
        <x:v>Not individually established
National land and rail passenger crossings; freight exempt</x:v>
      </x:c>
      <x:c r="E423" s="4" t="str">
        <x:v>Land/rail passengers
Direction: Entry and exit covered by reopening decree
Exceptions: Freight under initial order</x:v>
      </x:c>
      <x:c r="F423" s="4" t="str">
        <x:v>R2-AF-002-D1 — Formal policy
Burkina Faso-side land and rail passenger restriction, with freight exempt
Start: 2020-03-21 to 2020-03-22.
Policy endpoint: 2021-12-01.
Formal policy: 619–620 calendar-day difference; operational continuity not established</x:v>
      </x:c>
      <x:c r="G42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23" s="4" t="str">
        <x:v>R2-AF-002-D1: Policy interval only; neighbouring-country restrictions and health conditions persisted. Yendere activity is local and does not prove uniform bilateral bus resumption. August 2020 air reopening is not used as a land endpoint.</x:v>
      </x:c>
      <x:c r="I423" s="4" t="str">
        <x:v>Retained baseline assessment. Retained with recorded qualifications</x:v>
      </x:c>
      <x:c r="J423" s="18" t="d">
        <x:v>2026-10-23T00:00:00.000Z</x:v>
      </x:c>
      <x:c r="K423" s="21" t="str">
        <x:f>IFERROR(HYPERLINK("https://www.iburkina.com/2020/03/lutte-contre-le-coronavirus-au-burkina-instauration-de-couvre-feu-fermeture-des-frontieres-terrestres-ferroviaires-et-aeriennes-etc/","IBurkina"),"IBurkina")</x:f>
        <x:v>IBurkina</x:v>
      </x:c>
      <x:c r="L423" s="21" t="str">
        <x:f>IFERROR(HYPERLINK("https://www.aib.media/burkina-les-frontieres-terrestres-et-ferroviaires-officiellement-rouvertes-decret-presidentiel/","Agence d’Information du Burkina"),"Agence d’Information du Burkina")</x:f>
        <x:v>Agence d’Information du Burkina</x:v>
      </x:c>
      <x:c r="M423" s="21" t="str">
        <x:f>IFERROR(HYPERLINK("https://www.sidwaya.info/2021/12/01/reouverture-des-frontieres-terrestres-du-burkina-la-delivrance-en-attendant-abidjan/","Sidwaya"),"Sidwaya")</x:f>
        <x:v>Sidwaya</x:v>
      </x:c>
      <x:c r="N423" s="4" t="str">
        <x:v>https://www.iburkina.com/2020/03/lutte-contre-le-coronavirus-au-burkina-instauration-de-couvre-feu-fermeture-des-frontieres-terrestres-ferroviaires-et-aeriennes-etc/
https://www.aib.media/burkina-les-frontieres-terrestres-et-ferroviaires-officiellement-rouvertes-decret-presidentiel/
https://www.sidwaya.info/2021/12/01/reouverture-des-frontieres-terrestres-du-burkina-la-delivrance-en-attendant-abidjan/
https://www.aa.com.tr/fr/afrique/covid-19-le-burkina-faso-rouvre-ses-fronti%C3%A8res-terrestres-et-ferroviaires-le-1er-d%C3%A9cembre/2423835
https://www.koaci.com/index.php/article/2021/12/02/burkina-faso/sante/burkina-faso-coronavirus-reouverture-effective-des-frontieres-et-renforcement-du-dispositif-sanitaire_155904.html</x:v>
      </x:c>
      <x:c r="O423" s="4" t="str">
        <x:v>Source 1: full page
Source 2: full page
Source 3: full page</x:v>
      </x:c>
      <x:c r="P423" s="20" t="n">
        <x:v>1</x:v>
      </x:c>
      <x:c r="Q423" s="4" t="str">
        <x:v>West Africa and Sahel</x:v>
      </x:c>
      <x:c r="R423" s="4" t="str">
        <x:v>Included</x:v>
      </x:c>
    </x:row>
    <x:row r="424" ht="162" hidden="0" customHeight="1">
      <x:c r="A424" s="16" t="str">
        <x:v>R2-AF-001</x:v>
      </x:c>
      <x:c r="B424" s="4" t="str">
        <x:v>Benin municipal-election land-border closure May 2020</x:v>
      </x:c>
      <x:c r="C424" s="4" t="str">
        <x:v>Benin; Nigeria; Niger; Burkina Faso; Togo</x:v>
      </x:c>
      <x:c r="D424" s="4" t="str">
        <x:v>Not individually established
All land frontiers with adjacent countries</x:v>
      </x:c>
      <x:c r="E424" s="4" t="str">
        <x:v>Movement categories not separately established
Direction: Not separately established
Exceptions: Not established</x:v>
      </x:c>
      <x:c r="F424" s="4" t="str">
        <x:v>R2-AF-001-R1 — Announced window
Benin-side land frontier election order
Start: 2020-05-17.
Scheduled endpoint: 2020-05-18.
Ordered window: 1 calendar-day difference; actual end not established</x:v>
      </x:c>
      <x:c r="G424"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24" s="4" t="str">
        <x:v>R2-AF-001-R1: Not measured enforcement; COVID restrictions overlap and these country-days must not be added independently.</x:v>
      </x:c>
      <x:c r="I424" s="4" t="str">
        <x:v>Retained baseline assessment. Retained with recorded qualifications</x:v>
      </x:c>
      <x:c r="J424" s="18" t="d">
        <x:v>2026-10-23T00:00:00.000Z</x:v>
      </x:c>
      <x:c r="K424" s="21" t="str">
        <x:f>IFERROR(HYPERLINK("https://www.gouv.bj/article/681/communique-misp-relatif-fermeture-marches-frontieres-terrestres-debits-boissons-dimanche-17-2020/","Government of Benin"),"Government of Benin")</x:f>
        <x:v>Government of Benin</x:v>
      </x:c>
      <x:c r="L424" s="21" t="str">
        <x:f>IFERROR(HYPERLINK("https://wiki.unece.org/pages/viewpage.action?navigatingVersions=true&amp;pageId=177242848","UNECE"),"UNECE")</x:f>
        <x:v>UNECE</x:v>
      </x:c>
      <x:c r="M424" s="21"/>
      <x:c r="N424" s="4" t="str">
        <x:v>https://www.gouv.bj/article/681/communique-misp-relatif-fermeture-marches-frontieres-terrestres-debits-boissons-dimanche-17-2020/
https://wiki.unece.org/pages/viewpage.action?navigatingVersions=true&amp;pageId=177242848</x:v>
      </x:c>
      <x:c r="O424" s="4" t="str">
        <x:v>Source 1: full
Source 2: indexed excerpt</x:v>
      </x:c>
      <x:c r="P424" s="20" t="n">
        <x:v>1</x:v>
      </x:c>
      <x:c r="Q424" s="4" t="str">
        <x:v>West Africa and Sahel</x:v>
      </x:c>
      <x:c r="R424" s="4" t="str">
        <x:v>Included</x:v>
      </x:c>
    </x:row>
    <x:row r="425" ht="78" hidden="0" customHeight="1">
      <x:c r="A425" s="16" t="str">
        <x:v>R2-AF-005</x:v>
      </x:c>
      <x:c r="B425" s="4" t="str">
        <x:v>Niger presidential-runoff terrestrial and river border order February 2021</x:v>
      </x:c>
      <x:c r="C425" s="4" t="str">
        <x:v>Niger; Algeria; Libya; Chad; Nigeria; Benin; Burkina Faso; Mali</x:v>
      </x:c>
      <x:c r="D425" s="4" t="str">
        <x:v>Not individually established
National terrestrial and international river frontiers (air element excluded)</x:v>
      </x:c>
      <x:c r="E425" s="4" t="str">
        <x:v>Movement categories not separately established
Direction: Not separately established
Exceptions: Land freight explicitly excepted; air-specific exemptions excluded from this land record.</x:v>
      </x:c>
      <x:c r="F425" s="4" t="str">
        <x:v>R2-AF-005-R1 — Announced window
Niger-side terrestrial and river frontier election order
Start: 2021-02-20 to 2021-02-21.
Scheduled endpoint: 2021-02-21 to 2021-02-22.
Ordered window: dated evidence; numeric duration withheld; see qualification</x:v>
      </x:c>
      <x:c r="G425"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x:v>
      </x:c>
      <x:c r="H425" s="4" t="str">
        <x:v>R2-AF-005-R1: Ordered window only; midnight convention unresolved. Start/end bounds represent correlated alternative readings, not all cross-products: a zero-day interval is unsupported. Do not infer exact elapsed hours or actual reopening. Land freight exempt; air excluded from this period.</x:v>
      </x:c>
      <x:c r="I425" s="4" t="str">
        <x:v>Retained baseline assessment. Retained with recorded qualifications</x:v>
      </x:c>
      <x:c r="J425" s="18" t="d">
        <x:v>2026-10-23T00:00:00.000Z</x:v>
      </x:c>
      <x:c r="K425" s="21" t="str">
        <x:f>IFERROR(HYPERLINK("https://www.yeclo.com/nigerpresidentielle-fermeture-des-frontieres-du-samedi-au-dimanche-prochain-en-raison-du-second-tour-actualites-19022021/","Yeclo / Xinhua"),"Yeclo / Xinhua")</x:f>
        <x:v>Yeclo / Xinhua</x:v>
      </x:c>
      <x:c r="L425" s="21" t="str">
        <x:f>IFERROR(HYPERLINK("https://radioalgerie.dz/news/fr/article/20210221/207532.html","Radio Algérienne / APS"),"Radio Algérienne / APS")</x:f>
        <x:v>Radio Algérienne / APS</x:v>
      </x:c>
      <x:c r="M425" s="21" t="str">
        <x:f>IFERROR(HYPERLINK("https://french.people.com.cn/Afrique/n3/2021/0220/c96852-9820211.html","People’s Daily French"),"People’s Daily French")</x:f>
        <x:v>People’s Daily French</x:v>
      </x:c>
      <x:c r="N425" s="4" t="str">
        <x:v>https://www.yeclo.com/nigerpresidentielle-fermeture-des-frontieres-du-samedi-au-dimanche-prochain-en-raison-du-second-tour-actualites-19022021/
https://radioalgerie.dz/news/fr/article/20210221/207532.html
https://french.people.com.cn/Afrique/n3/2021/0220/c96852-9820211.html</x:v>
      </x:c>
      <x:c r="O425" s="4" t="str">
        <x:v>Source 1: full
Source 2: full
Source 3: search extract</x:v>
      </x:c>
      <x:c r="P425" s="20" t="n">
        <x:v>1</x:v>
      </x:c>
      <x:c r="Q425" s="4" t="str">
        <x:v>West Africa and Sahel</x:v>
      </x:c>
      <x:c r="R425" s="4" t="str">
        <x:v>Included</x:v>
      </x:c>
    </x:row>
    <x:row r="426" ht="162" hidden="0" customHeight="1">
      <x:c r="A426" s="16" t="str">
        <x:v>R2-AF-003</x:v>
      </x:c>
      <x:c r="B426" s="4" t="str">
        <x:v>Benin legislative-election land-border closure January 2023</x:v>
      </x:c>
      <x:c r="C426" s="4" t="str">
        <x:v>Benin; Nigeria; Niger; Burkina Faso; Togo</x:v>
      </x:c>
      <x:c r="D426" s="4" t="str">
        <x:v>Not individually established
All land frontiers with adjacent countries</x:v>
      </x:c>
      <x:c r="E426" s="4" t="str">
        <x:v>Movement categories not separately established
Direction: Not separately established
Exceptions: Not established</x:v>
      </x:c>
      <x:c r="F426" s="4" t="str">
        <x:v>R2-AF-003-R1 — Announced window
Benin-side land frontier election order
Start: 2023-01-08.
Scheduled endpoint: 2023-01-09.
Ordered window: 1 calendar-day difference; actual end not established</x:v>
      </x:c>
      <x:c r="G426"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26" s="4" t="str">
        <x:v>R2-AF-003-R1: No start hour or observed reopening; reports share one order.</x:v>
      </x:c>
      <x:c r="I426" s="4" t="str">
        <x:v>Retained baseline assessment. Retained with recorded qualifications</x:v>
      </x:c>
      <x:c r="J426" s="18" t="d">
        <x:v>2026-10-23T00:00:00.000Z</x:v>
      </x:c>
      <x:c r="K426" s="21" t="str">
        <x:f>IFERROR(HYPERLINK("https://leleaderinfobenin.bj/elections-legislatives-le-gouvernement-prend-3-mesures-pour-garantir-la-securite-du-scrutin/","Le Leader Info Bénin"),"Le Leader Info Bénin")</x:f>
        <x:v>Le Leader Info Bénin</x:v>
      </x:c>
      <x:c r="L426" s="21" t="str">
        <x:f>IFERROR(HYPERLINK("https://beninwebtv.bj/legislatives-2023-au-benin-le-gouvernement-prend-03-mesures-pour-le-8-janvier/","Benin Web TV"),"Benin Web TV")</x:f>
        <x:v>Benin Web TV</x:v>
      </x:c>
      <x:c r="M426" s="21" t="str">
        <x:f>IFERROR(HYPERLINK("https://www.panapress.com/Fermeture-des-samedi-des-frontie-a_630737907-lang1.html","panapress.com"),"panapress.com")</x:f>
        <x:v>panapress.com</x:v>
      </x:c>
      <x:c r="N426" s="4" t="str">
        <x:v>https://leleaderinfobenin.bj/elections-legislatives-le-gouvernement-prend-3-mesures-pour-garantir-la-securite-du-scrutin/
https://beninwebtv.bj/legislatives-2023-au-benin-le-gouvernement-prend-03-mesures-pour-le-8-janvier/
https://www.panapress.com/Fermeture-des-samedi-des-frontie-a_630737907-lang1.html
https://www.banouto.bj/politique/article/20230106-legislatives-2023-au-benin-le-gouvernement-interdit-la-tenue-des-marches-et-manifestations-le-8-janvier</x:v>
      </x:c>
      <x:c r="O426" s="4" t="str">
        <x:v>Source 1: full
Source 2: indexed excerpt
Source 3: indexed excerpt</x:v>
      </x:c>
      <x:c r="P426" s="20" t="n">
        <x:v>1</x:v>
      </x:c>
      <x:c r="Q426" s="4" t="str">
        <x:v>West Africa and Sahel</x:v>
      </x:c>
      <x:c r="R426" s="4" t="str">
        <x:v>Included</x:v>
      </x:c>
    </x:row>
    <x:row r="427" ht="162" hidden="0" customHeight="1">
      <x:c r="A427" s="16" t="str">
        <x:v>R2-AF-004</x:v>
      </x:c>
      <x:c r="B427" s="4" t="str">
        <x:v>Liberia general-election land-border closure October 2023</x:v>
      </x:c>
      <x:c r="C427" s="4" t="str">
        <x:v>Liberia; Guinea; Sierra Leone; Côte d’Ivoire</x:v>
      </x:c>
      <x:c r="D427" s="4" t="str">
        <x:v>Not individually established
All authorised and unauthorised land borders</x:v>
      </x:c>
      <x:c r="E427" s="4" t="str">
        <x:v>Movement categories not separately established
Direction: Entry explicitly prohibited; blanket closure wording also used, exit not separately specified
Exceptions: Not established</x:v>
      </x:c>
      <x:c r="F427" s="4" t="str">
        <x:v>R2-AF-004-R1 — Announced window
Liberia-side authorized and unauthorized land borders with Guinea, Sierra Leone and Côte d’Ivoire
Start: 2023-10-09.
Scheduled endpoint: 2023-10-11.
Ordered window: 2 calendar-day difference; actual end not established</x:v>
      </x:c>
      <x:c r="G427"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27" s="4" t="str">
        <x:v>R2-AF-004-R1: Calendar dates supported; do not code exact hours or physical reopening. Official trade-impact assurance not measured consequence.</x:v>
      </x:c>
      <x:c r="I427" s="4" t="str">
        <x:v>Retained baseline assessment. Retained with recorded qualifications</x:v>
      </x:c>
      <x:c r="J427" s="18" t="d">
        <x:v>2026-10-23T00:00:00.000Z</x:v>
      </x:c>
      <x:c r="K427" s="21" t="str">
        <x:f>IFERROR(HYPERLINK("https://frontpageafricaonline.com/liberia-immigration-service-to-close-all-borders-beginning-monday/","FrontPageAfrica"),"FrontPageAfrica")</x:f>
        <x:v>FrontPageAfrica</x:v>
      </x:c>
      <x:c r="L427" s="21" t="str">
        <x:f>IFERROR(HYPERLINK("https://sierraloaded.sl/africa/liberia-shuts-borders-sierra-leone-guinea-ivory-coast-elections/","Sierraloaded"),"Sierraloaded")</x:f>
        <x:v>Sierraloaded</x:v>
      </x:c>
      <x:c r="M427" s="21" t="str">
        <x:f>IFERROR(HYPERLINK("https://gnnliberia.com/justice-minister-orders-closure-of-borders-ahead-of-tuesdays-elections/","gnnliberia.com"),"gnnliberia.com")</x:f>
        <x:v>gnnliberia.com</x:v>
      </x:c>
      <x:c r="N427" s="4" t="str">
        <x:v>https://frontpageafricaonline.com/liberia-immigration-service-to-close-all-borders-beginning-monday/
https://sierraloaded.sl/africa/liberia-shuts-borders-sierra-leone-guinea-ivory-coast-elections/
https://gnnliberia.com/justice-minister-orders-closure-of-borders-ahead-of-tuesdays-elections/</x:v>
      </x:c>
      <x:c r="O427" s="4" t="str">
        <x:v>Source 1: full
Source 2: indexed excerpt; full
Source 3: indexed excerpt</x:v>
      </x:c>
      <x:c r="P427" s="20" t="n">
        <x:v>1</x:v>
      </x:c>
      <x:c r="Q427" s="4" t="str">
        <x:v>West Africa and Sahel</x:v>
      </x:c>
      <x:c r="R427" s="4" t="str">
        <x:v>Included</x:v>
      </x:c>
    </x:row>
    <x:row r="428" ht="162" hidden="0" customHeight="1">
      <x:c r="A428" s="16" t="str">
        <x:v>R2-AF-008</x:v>
      </x:c>
      <x:c r="B428" s="4" t="str">
        <x:v>Liberia presidential-runoff land-border closure November 2023</x:v>
      </x:c>
      <x:c r="C428" s="4" t="str">
        <x:v>Liberia; Guinea; Sierra Leone; Côte d’Ivoire</x:v>
      </x:c>
      <x:c r="D428" s="4" t="str">
        <x:v>Not individually established
All land frontiers with the three neighbouring countries</x:v>
      </x:c>
      <x:c r="E428" s="4" t="str">
        <x:v>Movement categories not separately established
Direction: Not separately established
Exceptions: Not established</x:v>
      </x:c>
      <x:c r="F428" s="4" t="str">
        <x:v>R2-AF-008-FU1 — Formal policy
Liberian runoff-election order covering land borders with Guinea, Ivory Coast and Sierra Leone
Start: 2023-11-12.
Last confirmed: 2023-11-12. Reopening is not established.
Formal policy: dated evidence; numeric duration withheld; see qualification</x:v>
      </x:c>
      <x:c r="G428"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28" s="4" t="str">
        <x:v>R2-AF-008-FU1: Formal order onset only; until end of process is not November 14 or any dated expiry, and crossing-by-crossing enforcement was not independently observed.
duration: Fresh targeted search and OHCHR follow-up yielded no reopening date. Add formal November 12 order observation only, leaving complete duration and implementation unknown.</x:v>
      </x:c>
      <x:c r="I428" s="4" t="str">
        <x:v>Retained baseline assessment. Follow-up adjudicated; amend</x:v>
      </x:c>
      <x:c r="J428" s="18" t="d">
        <x:v>2026-10-23T00:00:00.000Z</x:v>
      </x:c>
      <x:c r="K428" s="21" t="str">
        <x:f>IFERROR(HYPERLINK("https://analystliberiaonline.com/rest-assured-of-maximum-security-joint-security-tells-liberians-ahead-of-runoff/","The Analyst"),"The Analyst")</x:f>
        <x:v>The Analyst</x:v>
      </x:c>
      <x:c r="L428" s="21" t="str">
        <x:f>IFERROR(HYPERLINK("https://liberia.un.org/en/download/167665/277577","liberia.un.org"),"liberia.un.org")</x:f>
        <x:v>liberia.un.org</x:v>
      </x:c>
      <x:c r="M428" s="21"/>
      <x:c r="N428" s="4" t="str">
        <x:v>https://analystliberiaonline.com/rest-assured-of-maximum-security-joint-security-tells-liberians-ahead-of-runoff/
https://liberia.un.org/en/download/167665/277577</x:v>
      </x:c>
      <x:c r="O428" s="4" t="str">
        <x:v>Source 1: full
Source 2: access detail is retained in the source catalogue.</x:v>
      </x:c>
      <x:c r="P428" s="20" t="n">
        <x:v>1</x:v>
      </x:c>
      <x:c r="Q428" s="4" t="str">
        <x:v>West Africa and Sahel</x:v>
      </x:c>
      <x:c r="R428" s="4" t="str">
        <x:v>Included</x:v>
      </x:c>
    </x:row>
    <x:row r="429" ht="174" hidden="0" customHeight="1">
      <x:c r="A429" s="16" t="str">
        <x:v>R2-AF-009</x:v>
      </x:c>
      <x:c r="B429" s="4" t="str">
        <x:v>Guinea-Bissau coup land-border order November 2025</x:v>
      </x:c>
      <x:c r="C429" s="4" t="str">
        <x:v>Guinea-Bissau; Guinea; Senegal</x:v>
      </x:c>
      <x:c r="D429" s="4" t="str">
        <x:v>Not individually established
National land frontiers (sea/air portions excluded)</x:v>
      </x:c>
      <x:c r="E429" s="4" t="str">
        <x:v>Movement categories not separately established
Direction: Not separately established
Exceptions: Not established</x:v>
      </x:c>
      <x:c r="F429" s="4" t="str">
        <x:v>R2-AF-009-D1 — Formal policy
Guinea-Bissau national land-border order during the coup
Start: 2025-11-26.
Policy endpoint: 2025-11-27.
Formal policy: 1 calendar-day difference; operational continuity not established</x:v>
      </x:c>
      <x:c r="G429" s="4" t="str">
        <x:v>Power and regime politics / Coups and succession
Analytical interpretation of reported context
Applies to: November 2025 coup order
Documented context, not a proven distinct closure motive.
Electoral politics / Electoral disputes and transitions
Analytical interpretation of reported context
Applies to: November 2025 coup order
Documented election-result dispute context.
Security / Unspecified security
Attributed official justification
Applies to: November 26 closure declaration
Allegation attributed to military; truth not independently established.</x:v>
      </x:c>
      <x:c r="H429" s="4" t="str">
        <x:v>R2-AF-009-D1: Formal reversal only, not crossing-level traffic verification or exact hours. Alleged destabilisation is an attributed military rationale, not an independently established plot.</x:v>
      </x:c>
      <x:c r="I429" s="4" t="str">
        <x:v>Targeted source review (REC50-R24); retained with recorded qualifications; evidence limits retained.</x:v>
      </x:c>
      <x:c r="J429" s="18" t="d">
        <x:v>2026-10-25T00:00:00.000Z</x:v>
      </x:c>
      <x:c r="K429" s="21" t="str">
        <x:f>IFERROR(HYPERLINK("https://www.aa.com.tr/en/africa/guinea-bissau-military-deposes-president-closes-borders-after-alleging-plot-to-destabilize-country/3754892","Anadolu Agency"),"Anadolu Agency")</x:f>
        <x:v>Anadolu Agency</x:v>
      </x:c>
      <x:c r="L429" s="21" t="str">
        <x:f>IFERROR(HYPERLINK("https://www.fidh.org/en/region/Africa/guinea-bissau/coup-d-etat-in-guinea-bissau-the-fidh-and-the-lgdh-call-for-a-return","FIDH"),"FIDH")</x:f>
        <x:v>FIDH</x:v>
      </x:c>
      <x:c r="M429" s="21" t="str">
        <x:f>IFERROR(HYPERLINK("https://telegraph.ng/news/2025/11/27/guinea-bissau-military-reopens-borders-after-seizing-power/","The Telegraph Nigeria"),"The Telegraph Nigeria")</x:f>
        <x:v>The Telegraph Nigeria</x:v>
      </x:c>
      <x:c r="N429" s="4" t="str">
        <x:v>https://www.aa.com.tr/en/africa/guinea-bissau-military-deposes-president-closes-borders-after-alleging-plot-to-destabilize-country/3754892
https://www.fidh.org/en/region/Africa/guinea-bissau/coup-d-etat-in-guinea-bissau-the-fidh-and-the-lgdh-call-for-a-return
https://telegraph.ng/news/2025/11/27/guinea-bissau-military-reopens-borders-after-seizing-power/
https://punchng.com/guinea-bissau-military-announces-reopening-of-borders-after-seizing-power/</x:v>
      </x:c>
      <x:c r="O429" s="4" t="str">
        <x:v>Source 1: full text
Source 2: full page
Source 3: full page</x:v>
      </x:c>
      <x:c r="P429" s="20" t="n">
        <x:v>1</x:v>
      </x:c>
      <x:c r="Q429" s="4" t="str">
        <x:v>West Africa and Sahel</x:v>
      </x:c>
      <x:c r="R429" s="4" t="str">
        <x:v>Included</x:v>
      </x:c>
    </x:row>
    <x:row r="430" ht="126" hidden="0" customHeight="1">
      <x:c r="A430" s="16" t="str">
        <x:v>R3-AM-003</x:v>
      </x:c>
      <x:c r="B430" s="4" t="str">
        <x:v>El Amatillo La Amistad bridge blockade during Honduras postelection crisis</x:v>
      </x:c>
      <x:c r="C430" s="4" t="str">
        <x:v>Honduras; El Salvador</x:v>
      </x:c>
      <x:c r="D430" s="4" t="str">
        <x:v>La Amistad bridge, El Amatillo
El Amatillo international crossing</x:v>
      </x:c>
      <x:c r="E430" s="4" t="str">
        <x:v>Cross-border road users; traveller categories not specified.
Direction: Both-direction bridge passage potentially affected; source does not disaggregate.
Exceptions: Not established.</x:v>
      </x:c>
      <x:c r="F430" s="4" t="str">
        <x:v>R3-AM-003-FU1 — Observed operation
La Amistad bridge at El Amatillo
Start: unknown.
Last confirmed: 2017-12-22. Reopening is not established.
confirmed through 2017-12-22; reopening unknown</x:v>
      </x:c>
      <x:c r="G430" s="4" t="str">
        <x:v>Electoral politics / Electoral disputes and transitions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30" s="4" t="str">
        <x:v>R3-AM-003-FU1: Obstruction evidenced on December 22, not a midnight onset or whole-day blockage; police intervention does not prove completed reopening.
duration: Add a December 22 documented-obstruction phase with unknown first onset and endpoint. Police dispersal alone is not an observed reopening.
continuity: Police dispersal at El Amatillo does not itself establish restored ordinary passage; the December 22, 2017 point observation remains the supported representation.</x:v>
      </x:c>
      <x:c r="I430" s="4" t="str">
        <x:v>Retained baseline assessment. Correction pass: amended with stated qualifications</x:v>
      </x:c>
      <x:c r="J430" s="18" t="d">
        <x:v>2026-10-23T00:00:00.000Z</x:v>
      </x:c>
      <x:c r="K430" s="21" t="str">
        <x:f>IFERROR(HYPERLINK("https://www.laprensagrafica.com/elsalvador/Cierran-paso-en-fronteras-El-Salvador-Honduras-quien-cruce-es-bajo-propio-riesgo-20171222-0047.html","laprensagrafica.com"),"laprensagrafica.com")</x:f>
        <x:v>laprensagrafica.com</x:v>
      </x:c>
      <x:c r="L430" s="21" t="str">
        <x:f>IFERROR(HYPERLINK("https://www.laprensa.hn/honduras/cierre-fronteras-honduras-el_salvador-manifestaciones-crisis-protestas-JYLP1137284","La Prensa Honduras"),"La Prensa Honduras")</x:f>
        <x:v>La Prensa Honduras</x:v>
      </x:c>
      <x:c r="M430" s="21" t="str">
        <x:f>IFERROR(HYPERLINK("https://aa.com.tr/es/titulares-de-hoy/cierran-paso-fronterizo-entre-el-salvador-y-honduras-por-crisis-poselectoral/1012905","Anadolu"),"Anadolu")</x:f>
        <x:v>Anadolu</x:v>
      </x:c>
      <x:c r="N430" s="4" t="str">
        <x:v>https://www.laprensagrafica.com/elsalvador/Cierran-paso-en-fronteras-El-Salvador-Honduras-quien-cruce-es-bajo-propio-riesgo-20171222-0047.html
https://www.laprensa.hn/honduras/cierre-fronteras-honduras-el_salvador-manifestaciones-crisis-protestas-JYLP1137284
https://aa.com.tr/es/titulares-de-hoy/cierran-paso-fronterizo-entre-el-salvador-y-honduras-por-crisis-poselectoral/1012905
https://www.elsalvadortimes.com/articulo/servicios/c/20171222073926033595.html
https://www.prensalibre.com/ahora/economia/se-confirman-bloqueos-en-frontera-hondurena/
https://www.tn8.ni/america-latina/439594-anuncian-cierre-paso-fronteras-entre-salvador-honduras-crisis-politica/</x:v>
      </x:c>
      <x:c r="O430" s="4" t="str">
        <x:v>Source 1: access detail is retained in the source catalogue.
Source 2: indexed excerpt
Source 3: indexed excerpt</x:v>
      </x:c>
      <x:c r="P430" s="20" t="n">
        <x:v>1</x:v>
      </x:c>
      <x:c r="Q430" s="4" t="str">
        <x:v>Americas</x:v>
      </x:c>
      <x:c r="R430" s="4" t="str">
        <x:v>Included</x:v>
      </x:c>
    </x:row>
    <x:row r="431" ht="114" hidden="0" customHeight="1">
      <x:c r="A431" s="16" t="str">
        <x:v>R3-AM-008</x:v>
      </x:c>
      <x:c r="B431" s="4" t="str">
        <x:v>Suchiate border-access blockade seeking reconstruction of schools</x:v>
      </x:c>
      <x:c r="C431" s="4" t="str">
        <x:v>Mexico; Guatemala</x:v>
      </x:c>
      <x:c r="D431" s="4" t="str">
        <x:v>Suchiate I / Rodolfo Robles bridge access; Suchiate II / Tecún Umán II
Mexican access junction to Suchiate I/II, subsequently Suchiate II freight crossing</x:v>
      </x:c>
      <x:c r="E431" s="4" t="str">
        <x:v>International freight and road travellers.
Direction: Road access in both directions; Guatemala-to-Mexico freight explicitly affected.
Exceptions: Some travellers diverted to El Carmen; freight alternatives reported limited.</x:v>
      </x:c>
      <x:c r="F431" s="4" t="str">
        <x:v>R3-AM-008-D1 — Observed operation
Suchiate II freight access affected by the school-reconstruction blockade
Start: 2019-03-19.
Observed scoped reopening: 2019-03-21.
2 calendar-day difference; scoped endpoint only</x:v>
      </x:c>
      <x:c r="G431" s="4" t="str">
        <x:v>Policy and socioeconomic demands / Jobs, services and livelihoods
Reported reason
Applies to: Recorded episode; exact overlap not separately established
The recorded rationale and claim assessment support the selected subcategories. All applicable broad categories are retained together; no primary rationale is imposed.</x:v>
      </x:c>
      <x:c r="H431" s="4" t="str">
        <x:v>Fresh March 22 Reforma-derived reporting establishes lifting March 21 and resumed traffic, resolving the former Prensa Libre metadata conflict for the day-level endpoint. Exact hours and equivalent continuous impact at Suchiate I remain unestablished.
R3-AM-008-D1: Suchiate II freight access only; no exact hourly duration. Earlier holiday and March 8 protest excluded; changing Suchiate I coverage not equated with this spell.</x:v>
      </x:c>
      <x:c r="I431" s="4" t="str">
        <x:v>Retained baseline assessment. Amended after source reconciliation</x:v>
      </x:c>
      <x:c r="J431" s="18" t="d">
        <x:v>2026-10-23T00:00:00.000Z</x:v>
      </x:c>
      <x:c r="K431" s="21" t="str">
        <x:f>IFERROR(HYPERLINK("https://www.prensalibre.com/ciudades/san-marcos/manifestacion-padres-familia-complica-el-paso-en-frontera-entre-guatemala-y-mexico/","Prensa Libre"),"Prensa Libre")</x:f>
        <x:v>Prensa Libre</x:v>
      </x:c>
      <x:c r="L431" s="21" t="str">
        <x:f>IFERROR(HYPERLINK("https://www.prensalibre.com/ciudades/san-marcos/culmina-protesta-en-la-frontera-entre-guatemala-y-mexico-se-reportan-perdidas-millonarias/","Prensa Libre"),"Prensa Libre")</x:f>
        <x:v>Prensa Libre</x:v>
      </x:c>
      <x:c r="M431" s="21" t="str">
        <x:f>IFERROR(HYPERLINK("https://www.cuartopoder.mx/chiapas/en-bloqueo-exigen-reconstruccion-de-escuelas-danadas/279773","Cuarto Poder"),"Cuarto Poder")</x:f>
        <x:v>Cuarto Poder</x:v>
      </x:c>
      <x:c r="N431" s="4" t="str">
        <x:v>https://www.prensalibre.com/ciudades/san-marcos/manifestacion-padres-familia-complica-el-paso-en-frontera-entre-guatemala-y-mexico/
https://www.prensalibre.com/ciudades/san-marcos/culmina-protesta-en-la-frontera-entre-guatemala-y-mexico-se-reportan-perdidas-millonarias/
https://www.cuartopoder.mx/chiapas/en-bloqueo-exigen-reconstruccion-de-escuelas-danadas/279773
https://mexiconewsdaily.com/news/lack-of-action-provokes-border-protest/
https://www.mural.com/aplicacioneslibre/articulo/default.aspx?id=1636504&amp;md5=c6327eb9aeb736363d8f351091f4ae2b&amp;ta=0dfdbac11765226904c16cb9ad1b2efe</x:v>
      </x:c>
      <x:c r="O431" s="4" t="str">
        <x:v>Source 1: full page
Source 2: full page
Source 3: full page</x:v>
      </x:c>
      <x:c r="P431" s="20" t="n">
        <x:v>1</x:v>
      </x:c>
      <x:c r="Q431" s="4" t="str">
        <x:v>Americas</x:v>
      </x:c>
      <x:c r="R431" s="4" t="str">
        <x:v>Included</x:v>
      </x:c>
    </x:row>
    <x:row r="432" ht="78" hidden="0" customHeight="1">
      <x:c r="A432" s="16" t="str">
        <x:v>R3-AM-009</x:v>
      </x:c>
      <x:c r="B432" s="4" t="str">
        <x:v>Peñas Blancas trucker blockade over Nicaragua vehicle-registration fees</x:v>
      </x:c>
      <x:c r="C432" s="4" t="str">
        <x:v>Costa Rica; Nicaragua</x:v>
      </x:c>
      <x:c r="D432" s="4" t="str">
        <x:v>Peñas Blancas
Road freight access at Peñas Blancas</x:v>
      </x:c>
      <x:c r="E432" s="4" t="str">
        <x:v>Freight vehicles, with Nicaraguan entry into Costa Rica specifically reported.
Direction: Nicaragua to Costa Rica explicitly affected; broader road obstruction reported.
Exceptions: Other traffic details not established.</x:v>
      </x:c>
      <x:c r="F432" s="4" t="str">
        <x:v>R3-AM-009-D1 — Observed operation
Peñas Blancas episode on 19 March 2019.
Start: 2019-03-19.
Observed scoped reopening: 2019-03-19.
Same-day episode; no whole-day duration inferred</x:v>
      </x:c>
      <x:c r="G432"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432" s="4" t="str">
        <x:v>R3-AM-009-D1: Shown as an episode occurring on this date, not a whole-day closure. Official source has a weekday typo; dated Tuesday reporting fixes 19 March. Do not code as a Costa Rican state closure or infer implementation of later threats.</x:v>
      </x:c>
      <x:c r="I432" s="4" t="str">
        <x:v>Full-record source audit (REC50-R40); accepted corrections; evidence limits retained.</x:v>
      </x:c>
      <x:c r="J432" s="18" t="d">
        <x:v>2026-10-25T00:00:00.000Z</x:v>
      </x:c>
      <x:c r="K432" s="21" t="str">
        <x:f>IFERROR(HYPERLINK("https://www.seguridadpublica.go.cr/sala_prensa/comunicados/2019/marzo/CP0231.aspx","Ministry of Public Security of Costa Rica"),"Ministry of Public Security of Costa Rica")</x:f>
        <x:v>Ministry of Public Security of Costa Rica</x:v>
      </x:c>
      <x:c r="L432" s="21" t="str">
        <x:f>IFERROR(HYPERLINK("https://crhoy.com/nacionales/sindicalista-da-ultimatum-a-gobierno-por-cobro-en-frontera-norte/","CRHoy"),"CRHoy")</x:f>
        <x:v>CRHoy</x:v>
      </x:c>
      <x:c r="M432" s="21" t="str">
        <x:f>IFERROR(HYPERLINK("https://www.laprensani.com/2019/03/19/nacionales/2534830-asociacion-de-transportistas-nicaraguenses-denuncia-que-camiones-no-pueden-pasar-por-penas-blancas-hacia-costa-rica","La Prensa, Nicaragua"),"La Prensa, Nicaragua")</x:f>
        <x:v>La Prensa, Nicaragua</x:v>
      </x:c>
      <x:c r="N432" s="4" t="str">
        <x:v>https://www.seguridadpublica.go.cr/sala_prensa/comunicados/2019/marzo/CP0231.aspx
https://crhoy.com/nacionales/sindicalista-da-ultimatum-a-gobierno-por-cobro-en-frontera-norte/
https://www.laprensani.com/2019/03/19/nacionales/2534830-asociacion-de-transportistas-nicaraguenses-denuncia-que-camiones-no-pueden-pasar-por-penas-blancas-hacia-costa-rica
https://www.prensalibre.com/ciudades/san-marcos/culmina-protesta-en-la-frontera-entre-guatemala-y-mexico-se-reportan-perdidas-millonarias/</x:v>
      </x:c>
      <x:c r="O432" s="4" t="str">
        <x:v>Source 1: indexed extract
Source 2: full text
Source 3: full text</x:v>
      </x:c>
      <x:c r="P432" s="20" t="n">
        <x:v>1</x:v>
      </x:c>
      <x:c r="Q432" s="4" t="str">
        <x:v>Americas</x:v>
      </x:c>
      <x:c r="R432" s="4" t="str">
        <x:v>Included</x:v>
      </x:c>
    </x:row>
    <x:row r="433" ht="162" hidden="0" customHeight="1">
      <x:c r="A433" s="16" t="str">
        <x:v>R3-AM-002</x:v>
      </x:c>
      <x:c r="B433" s="4" t="str">
        <x:v>Desaguadero/Puerto Acosta customs closure during Bolivia political unrest</x:v>
      </x:c>
      <x:c r="C433" s="4" t="str">
        <x:v>Bolivia; Peru</x:v>
      </x:c>
      <x:c r="D433" s="4" t="str">
        <x:v>Desaguadero; Puerto Acosta customs administration
Bolivian Desaguadero/Puerto Acosta customs administration and Desaguadero crossing access</x:v>
      </x:c>
      <x:c r="E433" s="4" t="str">
        <x:v>Customs processing and road traffic.
Direction: Formal cross-border traffic; direction not separately established.
Exceptions: Some travellers crossed on foot; no universal pedestrian prohibition established.</x:v>
      </x:c>
      <x:c r="F433" s="4" t="str">
        <x:v>R3-AM-002-D1 — Observed operation
Desaguadero/Puerto Acosta customs administration's documented inability to operate
Start: 2019-11-12.
Last confirmed: 2019-11-23. Reopening is not established.
confirmed through 2019-11-23; at least 11 calendar-day difference; reopening unknown</x:v>
      </x:c>
      <x:c r="G433" s="4" t="str">
        <x:v>Power and regime politics / Opposition and political reform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Electoral politics / Electoral disputes and transitions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33" s="4" t="str">
        <x:v>R3-AM-002-D1: Administrative-service interruption only, not all physical passage. Some pedestrians continued, Puerto Acosta crossing conditions are not independently described, and November 23 is not reopening or proof of November 24 resumption.
endpoint and affected service: Actual service resumption and independently described Puerto Acosta crossing conditions remain unknown. Direct official-PDF access failed.</x:v>
      </x:c>
      <x:c r="I433" s="4" t="str">
        <x:v>Targeted source review (REC50-R18); accepted qualification; evidence limits retained.</x:v>
      </x:c>
      <x:c r="J433" s="18" t="d">
        <x:v>2026-10-25T00:00:00.000Z</x:v>
      </x:c>
      <x:c r="K433" s="21" t="str">
        <x:f>IFERROR(HYPERLINK("https://www.aduana.gob.bo/sites/default/files/archivos/circular2742019.pdf","Aduana Nacional, Bolivia"),"Aduana Nacional, Bolivia")</x:f>
        <x:v>Aduana Nacional, Bolivia</x:v>
      </x:c>
      <x:c r="L433" s="21" t="str">
        <x:f>IFERROR(HYPERLINK("https://larepublica.pe/sociedad/2019/11/13/frontera-puno-bolivia-permanece-cerrada-por-conflictos-en-el-vecino-pais-lrsd","La República"),"La República")</x:f>
        <x:v>La República</x:v>
      </x:c>
      <x:c r="M433" s="21" t="str">
        <x:f>IFERROR(HYPERLINK("https://es.scribd.com/document/729945288/circular2742019","Scribd-hosted transcript of Aduana Nacional resolutions"),"Scribd-hosted transcript of Aduana Nacional resolutions")</x:f>
        <x:v>Scribd-hosted transcript of Aduana Nacional resolutions</x:v>
      </x:c>
      <x:c r="N433" s="4" t="str">
        <x:v>https://www.aduana.gob.bo/sites/default/files/archivos/circular2742019.pdf
https://larepublica.pe/sociedad/2019/11/13/frontera-puno-bolivia-permanece-cerrada-por-conflictos-en-el-vecino-pais-lrsd
https://es.scribd.com/document/729945288/circular2742019
https://www.aduana.gob.bo/NOR_circulares?field_fechacir_value%5Bmax%5D=&amp;field_fechacir_value%5Bmin%5D=&amp;field_fechacir_value%5Bvalue%5D=&amp;field_fechacir_value_op=between&amp;field_pdf_uri=&amp;field_resumen_value=&amp;field_tipocir_value=&amp;order=title&amp;page=147&amp;sort=asc&amp;title=
https://gestion.pe/economia/bolivia-cierra-frontera-con-peru-y-se-paraliza-comercio-binacional-noticia/
https://comunicacion.crdascz.com/img/documentos/b221_circular2742019.pdf</x:v>
      </x:c>
      <x:c r="O433" s="4" t="str">
        <x:v>Source 1: unavailable
Source 2: full text
Source 3: full text</x:v>
      </x:c>
      <x:c r="P433" s="20" t="n">
        <x:v>1</x:v>
      </x:c>
      <x:c r="Q433" s="4" t="str">
        <x:v>Americas</x:v>
      </x:c>
      <x:c r="R433" s="4" t="str">
        <x:v>Included</x:v>
      </x:c>
    </x:row>
    <x:row r="434" ht="162" hidden="0" customHeight="1">
      <x:c r="A434" s="16" t="str">
        <x:v>R3-AM-007</x:v>
      </x:c>
      <x:c r="B434" s="4" t="str">
        <x:v>Rodolfo Robles bridge temporary gate closure during migrant-caravan confrontation</x:v>
      </x:c>
      <x:c r="C434" s="4" t="str">
        <x:v>Mexico; Guatemala</x:v>
      </x:c>
      <x:c r="D434" s="4" t="str">
        <x:v>Rodolfo Robles bridge
Entry into Mexico at Ciudad Hidalgo–Tecún Umán bridge</x:v>
      </x:c>
      <x:c r="E434" s="4" t="str">
        <x:v>Migrant-caravan members entering Mexico; broader traffic not fully documented.
Direction: Guatemala to Mexico.
Exceptions: Small groups admitted for processing after the confrontation.</x:v>
      </x:c>
      <x:c r="F434" s="4" t="str">
        <x:v>R3-AM-007-D1 — Observed operation
Temporary Mexico-entry gate stoppage at Rodolfo Robles bridge during the January 18 confrontation
Start: 2020-01-18.
Observed scoped reopening: 2020-01-18.
Same-day episode; no whole-day duration inferred</x:v>
      </x:c>
      <x:c r="G434" s="4" t="str">
        <x:v>Migration / Entry and asylum control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34" s="4" t="str">
        <x:v>R3-AM-007-D1: Same-day episode ending in selective processing, not unrestricted reopening or a full day of closure. Exact hours are unavailable; January 20 restrictions are separate. Later host publication dates are not onset dates.</x:v>
      </x:c>
      <x:c r="I434" s="4" t="str">
        <x:v>Retained baseline assessment. Retained with recorded qualifications</x:v>
      </x:c>
      <x:c r="J434" s="18" t="d">
        <x:v>2026-10-23T00:00:00.000Z</x:v>
      </x:c>
      <x:c r="K434" s="21" t="str">
        <x:f>IFERROR(HYPERLINK("https://www.mprnews.org/story/2020/01/18/mexico-blocks-hundreds-of-migrants-from-crossing-border-span","MPR News / Associated Press"),"MPR News / Associated Press")</x:f>
        <x:v>MPR News / Associated Press</x:v>
      </x:c>
      <x:c r="L434" s="21" t="str">
        <x:f>IFERROR(HYPERLINK("https://www.fijitimes.com.fj/brief-scuffles-at-guatemala-mexico-border-as-migrants-try-to-cross/","The Fiji Times / Reuters"),"The Fiji Times / Reuters")</x:f>
        <x:v>The Fiji Times / Reuters</x:v>
      </x:c>
      <x:c r="M434" s="21" t="str">
        <x:f>IFERROR(HYPERLINK("https://animalpolitico.com/2020/01/caravana-migrante-mexico-abren-frontera","animalpolitico.com"),"animalpolitico.com")</x:f>
        <x:v>animalpolitico.com</x:v>
      </x:c>
      <x:c r="N434" s="4" t="str">
        <x:v>https://www.mprnews.org/story/2020/01/18/mexico-blocks-hundreds-of-migrants-from-crossing-border-span
https://www.fijitimes.com.fj/brief-scuffles-at-guatemala-mexico-border-as-migrants-try-to-cross/
https://animalpolitico.com/2020/01/caravana-migrante-mexico-abren-frontera
https://nau.mx/policiacas/regresa-a-la-normalidad-la-frontera-sur-tras-contener-la-primera-caravana-2020-que-inicio-en-honduras/
https://www.lajornadamaya.mx/nacional/167852/Migrantes-intentan-ingresar-a-Mexico--Guardia-Nacional-lo-impide</x:v>
      </x:c>
      <x:c r="O434" s="4" t="str">
        <x:v>Source 1: full page
Source 2: full page
Source 3: access detail is retained in the source catalogue.</x:v>
      </x:c>
      <x:c r="P434" s="20" t="n">
        <x:v>1</x:v>
      </x:c>
      <x:c r="Q434" s="4" t="str">
        <x:v>Americas</x:v>
      </x:c>
      <x:c r="R434" s="4" t="str">
        <x:v>Included</x:v>
      </x:c>
    </x:row>
    <x:row r="435" ht="102" hidden="0" customHeight="1">
      <x:c r="A435" s="16" t="str">
        <x:v>R3-AM-004</x:v>
      </x:c>
      <x:c r="B435" s="4" t="str">
        <x:v>Peñas Blancas trucker blockade over regional freight restrictions, October 2020</x:v>
      </x:c>
      <x:c r="C435" s="4" t="str">
        <x:v>Costa Rica; Nicaragua</x:v>
      </x:c>
      <x:c r="D435" s="4" t="str">
        <x:v>Peñas Blancas
Truck passage at Peñas Blancas</x:v>
      </x:c>
      <x:c r="E435" s="4" t="str">
        <x:v>International freight vehicles.
Direction: Freight crossing in both directions; report does not disaggregate.
Exceptions: Border offices remained staffed; passenger scope not established.</x:v>
      </x:c>
      <x:c r="F435" s="4" t="str">
        <x:v>R3-AM-004-D1 — Observed operation
Truck passage at Penas Blancas during the October transporter blockade
Start: 2020-10-01 to 2020-10-08.
Observed scoped reopening: 2020-10-09.
1–8 calendar-day difference; scoped endpoint only</x:v>
      </x:c>
      <x:c r="G435"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435" s="4" t="str">
        <x:v>R3-AM-004-D1: Onset is bounded within October through the first securely dated observation, not assigned to October 8. The October 7 indexed report has changed live metadata; October 9 blockage and later lifting can be sequential within the day. Offices remained staffed; passenger impact and Paso Canoas are separate.</x:v>
      </x:c>
      <x:c r="I435" s="4" t="str">
        <x:v>Retained baseline assessment. Retained with recorded qualifications</x:v>
      </x:c>
      <x:c r="J435" s="18" t="d">
        <x:v>2026-10-23T00:00:00.000Z</x:v>
      </x:c>
      <x:c r="K435" s="21" t="str">
        <x:f>IFERROR(HYPERLINK("https://www.nacion.com/economia/politica-economica/transportistas-de-la-region-cierran-pasos/YDLUNSZRUJG6RPE4AJMLTJTXKI/story/","La Nación Costa Rica"),"La Nación Costa Rica")</x:f>
        <x:v>La Nación Costa Rica</x:v>
      </x:c>
      <x:c r="L435" s="21" t="str">
        <x:f>IFERROR(HYPERLINK("https://www.nacion.com/economia/politica-economica/gobierno-elimina-control-con-gps-a-los/EUR5GRWYENBCJJ6IU52B5LLH3M/story/","La Nación Costa Rica"),"La Nación Costa Rica")</x:f>
        <x:v>La Nación Costa Rica</x:v>
      </x:c>
      <x:c r="M435" s="21" t="str">
        <x:f>IFERROR(HYPERLINK("https://www.repretel.com/noticia/penas-blancas-transportistas-se-manifiestan-por-cierre-de-frontera/","Repretel"),"Repretel")</x:f>
        <x:v>Repretel</x:v>
      </x:c>
      <x:c r="N435" s="4" t="str">
        <x:v>https://www.nacion.com/economia/politica-economica/transportistas-de-la-region-cierran-pasos/YDLUNSZRUJG6RPE4AJMLTJTXKI/story/
https://www.nacion.com/economia/politica-economica/gobierno-elimina-control-con-gps-a-los/EUR5GRWYENBCJJ6IU52B5LLH3M/story/
https://www.repretel.com/noticia/penas-blancas-transportistas-se-manifiestan-por-cierre-de-frontera/
https://www.eleconomista.net/actualidad/Peligran-insumos-contra-covid-19-para-Centroamerica-por-bloqueo-en-Costa-Rica-20201012-0038.html</x:v>
      </x:c>
      <x:c r="O435" s="4" t="str">
        <x:v>Source 1: full page
Source 2: full page
Source 3: indexed dated extract plus full short body; live metadata changed</x:v>
      </x:c>
      <x:c r="P435" s="20" t="n">
        <x:v>1</x:v>
      </x:c>
      <x:c r="Q435" s="4" t="str">
        <x:v>Americas</x:v>
      </x:c>
      <x:c r="R435" s="4" t="str">
        <x:v>Included</x:v>
      </x:c>
    </x:row>
    <x:row r="436" ht="114" hidden="0" customHeight="1">
      <x:c r="A436" s="16" t="str">
        <x:v>R3-AM-006</x:v>
      </x:c>
      <x:c r="B436" s="4" t="str">
        <x:v>Paso Canoas renewed freight blockade over Panama reciprocity rules</x:v>
      </x:c>
      <x:c r="C436" s="4" t="str">
        <x:v>Costa Rica; Panama</x:v>
      </x:c>
      <x:c r="D436" s="4" t="str">
        <x:v>Paso Canoas
International freight passage at Paso Canoas</x:v>
      </x:c>
      <x:c r="E436" s="4" t="str">
        <x:v>International freight vehicles.
Direction: International freight passage; directions of actual obstruction and return not separately measured. The triggering rule affected Costa Rican trucks entering Panama.
Exceptions: Passenger impact not established.</x:v>
      </x:c>
      <x:c r="F436" s="4" t="str">
        <x:v>R3-AM-006-D1 — Observed operation
International freight passage at Paso Canoas; direction-specific obstruction and return are not separately measured. The triggering rule affected Costa Rican trucks entering Panama; passenger impact is not established.
Start: 2020-10-21.
Observed scoped reopening: 2020-10-24.
3 calendar-day difference; scoped endpoint only</x:v>
      </x:c>
      <x:c r="G436"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436" s="4" t="str">
        <x:v>R3-AM-006-D1: Onset 17:00 on 21 October; reopening Saturday morning. Rounded descriptions of three or five days do not override explicit chronology. Passenger impact not established.</x:v>
      </x:c>
      <x:c r="I436" s="4" t="str">
        <x:v>Full-record source audit (REC50-R50); accepted corrections; evidence limits retained.</x:v>
      </x:c>
      <x:c r="J436" s="18" t="d">
        <x:v>2026-10-25T00:00:00.000Z</x:v>
      </x:c>
      <x:c r="K436" s="21" t="str">
        <x:f>IFERROR(HYPERLINK("https://www.nacion.com/economia/politica-economica/medida-de-autoridades-panamenas-permite-levantar/BNX7CX7NRNBTLAGRJ2JSFUISS4/story/","La Nación"),"La Nación")</x:f>
        <x:v>La Nación</x:v>
      </x:c>
      <x:c r="L436" s="21" t="str">
        <x:f>IFERROR(HYPERLINK("https://www.tvn-2.com/nacionales/camioneros-panama-costa-rica-transporte_1_1140718.html","TVN Panamá"),"TVN Panamá")</x:f>
        <x:v>TVN Panamá</x:v>
      </x:c>
      <x:c r="M436" s="21" t="str">
        <x:f>IFERROR(HYPERLINK("https://www.prensa.com/economia/bloquearon-la-frontera-tico-panamena-en-paso-canoas-tensa-calma-en-el-area/","prensa.com"),"prensa.com")</x:f>
        <x:v>prensa.com</x:v>
      </x:c>
      <x:c r="N436" s="4" t="str">
        <x:v>https://www.nacion.com/economia/politica-economica/medida-de-autoridades-panamenas-permite-levantar/BNX7CX7NRNBTLAGRJ2JSFUISS4/story/
https://www.tvn-2.com/nacionales/camioneros-panama-costa-rica-transporte_1_1140718.html
https://www.prensa.com/economia/bloquearon-la-frontera-tico-panamena-en-paso-canoas-tensa-calma-en-el-area/
https://presidencia.gobiernocarlosalvarado.cr/comunicados/2020/10/gracias-al-trabajo-de-dialogo-se-levantan-pacificamente-los-bloqueos-en-la-zona-sur-del-pais/
https://observador.cr/transportistas-ticos-bloquean-transito-en-paso-canoas-protestan-por-medidas-panamenas-sobre-descarga/</x:v>
      </x:c>
      <x:c r="O436" s="4" t="str">
        <x:v>Source 1: full text
Source 2: full text
Source 3: access detail is retained in the source catalogue.</x:v>
      </x:c>
      <x:c r="P436" s="20" t="n">
        <x:v>1</x:v>
      </x:c>
      <x:c r="Q436" s="4" t="str">
        <x:v>Americas</x:v>
      </x:c>
      <x:c r="R436" s="4" t="str">
        <x:v>Included</x:v>
      </x:c>
    </x:row>
    <x:row r="437" ht="222" hidden="0" customHeight="1">
      <x:c r="A437" s="16" t="str">
        <x:v>R3-AM-001</x:v>
      </x:c>
      <x:c r="B437" s="4" t="str">
        <x:v>Desaguadero bridges: protest blockade and staged restoration in 2023</x:v>
      </x:c>
      <x:c r="C437" s="4" t="str">
        <x:v>Peru; Bolivia</x:v>
      </x:c>
      <x:c r="D437" s="4" t="str">
        <x:v>Desaguadero pedestrian bridge; Carancas bridge
Desaguadero pedestrian and Carancas international bridges</x:v>
      </x:c>
      <x:c r="E437" s="4" t="str">
        <x:v>Pedestrians, passengers and freight; severity varied by phase.
Direction: Cross-border travel in both directions; February humanitarian return to Bolivia specifically documented.
Exceptions: Negotiated humanitarian movements and later truce days.</x:v>
      </x:c>
      <x:c r="F437" s="4" t="str">
        <x:v>R3-AM-001-REV1 — Intermittent regime
Desaguadero corridor negotiated weekly passenger-access restriction regime; bridge eligibility varies by traveler
Start: 2023-03-23.
Last confirmed: 2023-03-30. Reopening is not established.
Intermittent regime envelope; total closed days unknown</x:v>
      </x:c>
      <x:c r="G437" s="4" t="str">
        <x:v>Power and regime politics / Opposition and political reform
Reported reason
Applies to: 2023 Desaguadero protest episode; overlap varies by phase
Reported protest demands; not a government-imposed closure justification or independently recovered organizer order.</x:v>
      </x:c>
      <x:c r="H437" s="4" t="str">
        <x:v>R3-AM-001-REV1: This is a limited observed regime segment, not a final reopening or seven continuously closed days. Heavy-freight schedule differs; no January continuity asserted. Migraciones’ 23 June resumption concerns CEBAF immigration-control service, separately identified from the old-bridge post and Carancas; it does not establish the final end of this bridge-blockade regime.
endpoint and affected service: Final ending of recurring bridge restrictions and the intentional/operational scope of the earlier CEBAF interruption remain unresolved. The June official body was indexed-only and the March official page was unavailable.</x:v>
      </x:c>
      <x:c r="I437" s="4" t="str">
        <x:v>Targeted source review (REC50-R18); accepted qualification; evidence limits retained.</x:v>
      </x:c>
      <x:c r="J437" s="18" t="d">
        <x:v>2026-10-25T00:00:00.000Z</x:v>
      </x:c>
      <x:c r="K437" s="21" t="str">
        <x:f>IFERROR(HYPERLINK("https://diariosinfronteras.com.pe/2023/03/23/determinan-flexibilidad-en-la-zona-de-frontera/","Diario Sin Fronteras"),"Diario Sin Fronteras")</x:f>
        <x:v>Diario Sin Fronteras</x:v>
      </x:c>
      <x:c r="L437" s="21" t="str">
        <x:f>IFERROR(HYPERLINK("https://television.unitel.bo/portada/noticias/levantan-bloqueo-en-desaguadero-y-se-restablecen-los-viajes-a-peru-AH7009714","Unitel"),"Unitel")</x:f>
        <x:v>Unitel</x:v>
      </x:c>
      <x:c r="M437" s="21" t="str">
        <x:f>IFERROR(HYPERLINK("https://gestion.pe/peru/protestas-en-peru-puno-transito-libre-entre-peru-y-bolivia-tras-desbloqueo-de-la-via-desaguadero-noticia/","Gestión"),"Gestión")</x:f>
        <x:v>Gestión</x:v>
      </x:c>
      <x:c r="N437" s="4" t="str">
        <x:v>https://diariosinfronteras.com.pe/2023/03/23/determinan-flexibilidad-en-la-zona-de-frontera/
https://television.unitel.bo/portada/noticias/levantan-bloqueo-en-desaguadero-y-se-restablecen-los-viajes-a-peru-AH7009714
https://gestion.pe/peru/protestas-en-peru-puno-transito-libre-entre-peru-y-bolivia-tras-desbloqueo-de-la-via-desaguadero-noticia/
https://www.gob.pe/institucion/migraciones/noticias/787685-migraciones-reanuda-acciones-de-control-migratorio-en-el-centro-binacional-de-atencion-fronteriza-cebaf-desaguadero
https://rpp.pe/peru/puno/puno-desde-esta-medianoche-hasta-el-lunes-se-reabriran-los-puentes-internacionales-de-desaguadero-noticia-1474383
https://www.gob.pe/institucion/migraciones/noticias/733905-migraciones-reanuda-control-migratorio-en-desaguadero-puno
https://hemeroteca.larazon.bo/economia/2023/03/30/el-transporte-pesado-boliviano-circula-por-desaguadero-tres-dias-a-la-semana/
https://cancilleria.gob.bo/mre/2023/03/03/3098/
https://andina.pe/agencia/noticia-buena-noticia-puno-migraciones-reanuda-control-migratorio-desaguadero-934055.aspx
https://www.noticiasfides.com/nacional/sociedad/desaguadero-refuerza-bloqueo-con-alambre-de-puas-y-la-economia-local-agoniza-</x:v>
      </x:c>
      <x:c r="O437" s="4" t="str">
        <x:v>Source 1: indexed excerpt; full
Source 2: full; full text
Source 3: indexed excerpt; full</x:v>
      </x:c>
      <x:c r="P437" s="20" t="n">
        <x:v>1</x:v>
      </x:c>
      <x:c r="Q437" s="4" t="str">
        <x:v>Americas</x:v>
      </x:c>
      <x:c r="R437" s="4" t="str">
        <x:v>Included</x:v>
      </x:c>
    </x:row>
    <x:row r="438" ht="78" hidden="0" customHeight="1">
      <x:c r="A438" s="16" t="str">
        <x:v>R3-AM-010</x:v>
      </x:c>
      <x:c r="B438" s="4" t="str">
        <x:v>Santa Rosa–Chacalluta road blocked by stranded migrants, 25 April 2023</x:v>
      </x:c>
      <x:c r="C438" s="4" t="str">
        <x:v>Peru; Chile</x:v>
      </x:c>
      <x:c r="D438" s="4" t="str">
        <x:v>Santa Rosa–Chacalluta Panamericana connection
Road connecting Santa Rosa and Chacalluta border posts</x:v>
      </x:c>
      <x:c r="E438" s="4" t="str">
        <x:v>International vehicles and passengers.
Direction: Road passage both ways affected.
Exceptions: No blockade exceptions established.</x:v>
      </x:c>
      <x:c r="F438" s="4" t="str">
        <x:v>R3-AM-010-D1 — Observed operation
Santa Rosa episode on 25 April 2023.
Start: 2023-04-25.
Observed scoped reopening: 2023-04-25.
Same-day episode; no whole-day duration inferred</x:v>
      </x:c>
      <x:c r="G438" s="4" t="str">
        <x:v>Migration / Admission and document disputes
Reported reason
Applies to: Recorded episode; exact overlap not separately established
The recorded rationale and claim assessment support the selected subcategories. All applicable broad categories are retained together; no primary rationale is imposed.</x:v>
      </x:c>
      <x:c r="H438" s="4" t="str">
        <x:v>R3-AM-010-D1: Shown as an episode occurring on this date, not a whole-day closure. This record covers the observed morning blockade and clearance, not the duration of migrants’ inadmissibility or the entire April crisis.</x:v>
      </x:c>
      <x:c r="I438" s="4" t="str">
        <x:v>Retained baseline assessment. Retained with recorded qualifications</x:v>
      </x:c>
      <x:c r="J438" s="18" t="d">
        <x:v>2026-10-23T00:00:00.000Z</x:v>
      </x:c>
      <x:c r="K438" s="21" t="str">
        <x:f>IFERROR(HYPERLINK("https://rpp.pe/peru/tacna/tacna-policia-libero-carretera-bloqueada-por-migrantes-en-la-frontera-con-chile-noticia-1480706","RPP"),"RPP")</x:f>
        <x:v>RPP</x:v>
      </x:c>
      <x:c r="L438" s="21" t="str">
        <x:f>IFERROR(HYPERLINK("https://www.fronteranorte.cl/2023/04/25/alcalde-espindola-reitero-urgencia-de-corredor-humanitario-ante-nuevo-bloqueo-de-migrantes-en-la-frontera/","FronteraNorte.cl"),"FronteraNorte.cl")</x:f>
        <x:v>FronteraNorte.cl</x:v>
      </x:c>
      <x:c r="M438" s="21" t="str">
        <x:f>IFERROR(HYPERLINK("https://www.gob.pe/institucion/regiontacna/noticias/742832-restablecen-transito-de-turistas-y-mercancias-en-control-fronterizo-santa-rosa-tras-intento-de-bloqueo","gob.pe"),"gob.pe")</x:f>
        <x:v>gob.pe</x:v>
      </x:c>
      <x:c r="N438" s="4" t="str">
        <x:v>https://rpp.pe/peru/tacna/tacna-policia-libero-carretera-bloqueada-por-migrantes-en-la-frontera-con-chile-noticia-1480706
https://www.fronteranorte.cl/2023/04/25/alcalde-espindola-reitero-urgencia-de-corredor-humanitario-ante-nuevo-bloqueo-de-migrantes-en-la-frontera/
https://www.gob.pe/institucion/regiontacna/noticias/742832-restablecen-transito-de-turistas-y-mercancias-en-control-fronterizo-santa-rosa-tras-intento-de-bloqueo</x:v>
      </x:c>
      <x:c r="O438" s="4" t="str">
        <x:v>Source 1: full page
Source 2: full page
Source 3: access detail is retained in the source catalogue.</x:v>
      </x:c>
      <x:c r="P438" s="20" t="n">
        <x:v>1</x:v>
      </x:c>
      <x:c r="Q438" s="4" t="str">
        <x:v>Americas</x:v>
      </x:c>
      <x:c r="R438" s="4" t="str">
        <x:v>Included</x:v>
      </x:c>
    </x:row>
    <x:row r="439" ht="114" hidden="0" customHeight="1">
      <x:c r="A439" s="16" t="str">
        <x:v>R3-AM-011</x:v>
      </x:c>
      <x:c r="B439" s="4" t="str">
        <x:v>Santa Rosa–Chacalluta renewed and intermittent migrant blockade, 29 April 2023</x:v>
      </x:c>
      <x:c r="C439" s="4" t="str">
        <x:v>Peru; Chile</x:v>
      </x:c>
      <x:c r="D439" s="4" t="str">
        <x:v>Santa Rosa–Chacalluta Panamericana connection
Road connection between Santa Rosa and Chacalluta</x:v>
      </x:c>
      <x:c r="E439" s="4" t="str">
        <x:v>International vehicles and passengers.
Direction: Both directions affected; Arica-to-Tacna lane later reopened while opposite lane remained blocked.
Exceptions: Traffic reopened temporarily and later in one direction.</x:v>
      </x:c>
      <x:c r="F439" s="4" t="str">
        <x:v>R3-AM-011-D1 — Observed operation
Initial April 29 two-way road obstruction between Santa Rosa and Chacalluta, ending at the early-afternoon clearance
Start: 2023-04-29.
Observed scoped reopening: 2023-04-29.
Same-day episode; no whole-day duration inferred; Initial obstruction reported as more than six hours; not the duration of the entire intermittent episode.</x:v>
      </x:c>
      <x:c r="G439" s="4" t="str">
        <x:v>Migration / Admission and document disputes
Reported reason
Applies to: Recorded episode; exact overlap not separately established
The recorded rationale and claim assessment support the selected subcategories. All applicable broad categories are retained together; no primary rationale is imposed.</x:v>
      </x:c>
      <x:c r="H439" s="4" t="str">
        <x:v>R3-AM-011-D1: Only the initial sub-day spell is represented. Obstruction recurred by 17:58 and later only Arica-to-Tacna was cleared; this is not final resolution, all-day closure or uninterrupted subsequent openness.</x:v>
      </x:c>
      <x:c r="I439" s="4" t="str">
        <x:v>Retained baseline assessment. Retained with recorded qualifications</x:v>
      </x:c>
      <x:c r="J439" s="18" t="d">
        <x:v>2026-10-23T00:00:00.000Z</x:v>
      </x:c>
      <x:c r="K439" s="21" t="str">
        <x:f>IFERROR(HYPERLINK("https://rpp.pe/peru/tacna/tacna-migrantes-liberan-la-panamericana-sur-tras-bloquear-la-via-por-mas-de-seis-horas-noticia-1481598","RPP"),"RPP")</x:f>
        <x:v>RPP</x:v>
      </x:c>
      <x:c r="L439" s="21" t="str">
        <x:f>IFERROR(HYPERLINK("https://www.gob.pe/institucion/regiontacna/noticias/742832-restablecen-transito-de-turistas-y-mercancias-en-control-fronterizo-santa-rosa-tras-intento-de-bloqueo","gob.pe"),"gob.pe")</x:f>
        <x:v>gob.pe</x:v>
      </x:c>
      <x:c r="M439" s="21" t="str">
        <x:f>IFERROR(HYPERLINK("https://rpp.pe/peru/tacna/tacna-policia-libero-carretera-bloqueada-por-migrantes-en-la-frontera-con-chile-noticia-1480706","rpp.pe"),"rpp.pe")</x:f>
        <x:v>rpp.pe</x:v>
      </x:c>
      <x:c r="N439" s="4" t="str">
        <x:v>https://rpp.pe/peru/tacna/tacna-migrantes-liberan-la-panamericana-sur-tras-bloquear-la-via-por-mas-de-seis-horas-noticia-1481598
https://larepublica.pe/sociedad/2023/04/29/crisis-migratoria-en-frontera-peru-chile-en-vivo-situacion-de-migrantes-estado-de-emergencia-en-tacna-y-ultimas-noticias-en-directo-cancilleria-dina-boluarte-migraciones-policias-carabineros-gabriel-boric-lrnd-2229578
https://www.gob.pe/institucion/regiontacna/noticias/742832-restablecen-transito-de-turistas-y-mercancias-en-control-fronterizo-santa-rosa-tras-intento-de-bloqueo
https://rpp.pe/peru/tacna/tacna-policia-libero-carretera-bloqueada-por-migrantes-en-la-frontera-con-chile-noticia-1480706</x:v>
      </x:c>
      <x:c r="O439" s="4" t="str">
        <x:v>Source 1: full page
Source 2: access detail is retained in the source catalogue.
Source 3: access detail is retained in the source catalogue.</x:v>
      </x:c>
      <x:c r="P439" s="20" t="n">
        <x:v>1</x:v>
      </x:c>
      <x:c r="Q439" s="4" t="str">
        <x:v>Americas</x:v>
      </x:c>
      <x:c r="R439" s="4" t="str">
        <x:v>Included</x:v>
      </x:c>
    </x:row>
    <x:row r="440" ht="246" hidden="0" customHeight="1">
      <x:c r="A440" s="16" t="str">
        <x:v>R3-AM-005</x:v>
      </x:c>
      <x:c r="B440" s="4" t="str">
        <x:v>Paso Canoas fiscal-protest and trucker blockade, September–October 2020</x:v>
      </x:c>
      <x:c r="C440" s="4" t="str">
        <x:v>Costa Rica; Panama</x:v>
      </x:c>
      <x:c r="D440" s="4" t="str">
        <x:v>Paso Canoas
Paso Canoas border road and access to customs</x:v>
      </x:c>
      <x:c r="E440" s="4" t="str">
        <x:v>Vehicles and international freight.
Direction: International road passage, especially freight.
Exceptions: Variable local access; earlier agreement did not produce lasting lifting.</x:v>
      </x:c>
      <x:c r="F440" s="4" t="str">
        <x:v>R3-AM-005-FU1 — Observed operation
Paso Canoas road before Panamanian customs
Start: unknown.
Last confirmed: 2020-10-08. Reopening is not established.
dated evidence; numeric duration withheld; see qualification
R3-AM-005-C7P1 — Observed operation
Physical road barriers at Paso Canoas crossing approach
Start: unknown.
Observed scoped reopening: 2020-10-14.
dated evidence; numeric duration withheld; see qualification</x:v>
      </x:c>
      <x:c r="G440" s="4" t="str">
        <x:v>Trade and protectionism / Trade and transport protests
Reported reason
Applies to: Recorded episode; exact overlap not separately established
Both the fiscal-policy grievance and transporters' equal-treatment demand are retained.
Policy and socioeconomic demands / Jobs, services and livelihoods
Reported reason
Applies to: Recorded episode; exact overlap not separately established
Both the fiscal-policy grievance and transporters' equal-treatment demand are retained.</x:v>
      </x:c>
      <x:c r="H440" s="4" t="str">
        <x:v>R3-AM-005-FU1: Observed blocked state on October 8 only; no continuous link is asserted to lifting October 14 or freight resumption October 15.
R3-AM-005-C7P1: Only obstacle clearance is observed. Articulated-freight customs service was planned for October 15; actual first processing and precise onset are unknown. Do not join the October 8 observation into a continuous duration.
start/continuity: Add an October 8 confirmed obstruction with unknown first onset. Preserve interruptions and earlier/later separate blockades; do not calculate fifteen continuous days.
duration: Add an October 8 confirmed obstruction with unknown first onset. Preserve interruptions and earlier/later separate blockades; do not calculate fifteen continuous days.</x:v>
      </x:c>
      <x:c r="I440" s="4" t="str">
        <x:v>Targeted source review (REC50-R07); accepted qualification; evidence limits retained.</x:v>
      </x:c>
      <x:c r="J440" s="18" t="d">
        <x:v>2026-10-25T00:00:00.000Z</x:v>
      </x:c>
      <x:c r="K440" s="21" t="str">
        <x:f>IFERROR(HYPERLINK("https://semanariouniversidad.com/pais/manifestantes-mantienen-bloqueado-el-paso-en-la-frontera-costarricense-en-paso-canoas/","Semanario Universidad / Fabiola Pomareda García"),"Semanario Universidad / Fabiola Pomareda García")</x:f>
        <x:v>Semanario Universidad / Fabiola Pomareda García</x:v>
      </x:c>
      <x:c r="L440" s="21" t="str">
        <x:f>IFERROR(HYPERLINK("https://www.critica.com.pa/nacional/se-reabre-la-frontera-de-paso-canoas-llegan-acuerdo-con-el-gobierno-390262","Crítica / Mayra Madrid"),"Crítica / Mayra Madrid")</x:f>
        <x:v>Crítica / Mayra Madrid</x:v>
      </x:c>
      <x:c r="M440" s="21" t="str">
        <x:f>IFERROR(HYPERLINK("https://presidencia.gobiernocarlosalvarado.cr/comunicados/2020/10/gracias-al-trabajo-de-dialogo-se-levantan-pacificamente-los-bloqueos-en-la-zona-sur-del-pais/","Presidency of Costa Rica"),"Presidency of Costa Rica")</x:f>
        <x:v>Presidency of Costa Rica</x:v>
      </x:c>
      <x:c r="N440" s="4" t="str">
        <x:v>https://semanariouniversidad.com/pais/manifestantes-mantienen-bloqueado-el-paso-en-la-frontera-costarricense-en-paso-canoas/
https://www.critica.com.pa/nacional/se-reabre-la-frontera-de-paso-canoas-llegan-acuerdo-con-el-gobierno-390262
https://presidencia.gobiernocarlosalvarado.cr/comunicados/2020/10/gracias-al-trabajo-de-dialogo-se-levantan-pacificamente-los-bloqueos-en-la-zona-sur-del-pais/
https://www.critica.com.pa/provincias/inicia-transito-de-camiones-en-frontera-390295
https://www.nacion.com/economia/politica-economica/medida-de-autoridades-panamenas-permite-levantar/BNX7CX7NRNBTLAGRJ2JSFUISS4/story/
https://www.tvn-2.com/nacionales/continuan-manifestaciones-panama-costa-rica-video_1_1145289.html
https://delfino.cr/2020/10/se-confirma-levantamiento-de-bloqueos-en-la-zona-sur-tras-acuerdo-con-manifestantes
https://www.telemetro.com/nacionales/2020/10/16/reinicio-el-transito-del-transporte-de-carga-por-paso-canoas/3350786.html
https://www.nacion.com/economia/politica-economica/transportistas-de-la-region-cierran-pasos/YDLUNSZRUJG6RPE4AJMLTJTXKI/story/
https://siseco.seguridadpublica.go.cr/sala_prensa/comunicados/2022/octubre/CP0518.aspx
https://dtm.iom.int/reports/costa-rica-panama-monitoreo-de-flujos-de-personas-en-situacion-de-movilidad-por-las-1</x:v>
      </x:c>
      <x:c r="O440" s="4" t="str">
        <x:v>Source 1: full text
Source 2: full text
Source 3: indexed excerpt; full; full text</x:v>
      </x:c>
      <x:c r="P440" s="20" t="n">
        <x:v>2</x:v>
      </x:c>
      <x:c r="Q440" s="4" t="str">
        <x:v>Americas</x:v>
      </x:c>
      <x:c r="R440" s="4" t="str">
        <x:v>Included</x:v>
      </x:c>
    </x:row>
    <x:row r="441" ht="246" hidden="0" customHeight="1">
      <x:c r="A441" s="16" t="str">
        <x:v>R3-SC-004</x:v>
      </x:c>
      <x:c r="B441" s="4" t="str">
        <x:v>Madaniyat pedestrian post closure continuing into 2017</x:v>
      </x:c>
      <x:c r="C441" s="4" t="str">
        <x:v>Kyrgyzstan; Uzbekistan</x:v>
      </x:c>
      <x:c r="D441" s="4" t="str">
        <x:v>Madaniyat / Burgondu–Madaniyat, Jalal-Abad–Andijan
Ordinary pedestrian passage through Madaniyat</x:v>
      </x:c>
      <x:c r="E441" s="4" t="str">
        <x:v>Pedestrian passage at Madaniyat; the October 2017 restoration evidence specifies residents of Pakhtaabad district and Jalal-Abad province under simplified conditions, not unrestricted all-nationality admission.
Direction: Both directions
Exceptions: Not established</x:v>
      </x:c>
      <x:c r="F441" s="4" t="str">
        <x:v>R3-SC-004-D1 — Observed operation
Ordinary pedestrian service at Madaniyat
Start: 2016-01-01 to 2016-12-31.
Observed scoped reopening: 2017-10-01.
Contested: dated evidence; numeric duration withheld; see qualification
Held evidence: excluded from numeric duration and animation displays.</x:v>
      </x:c>
      <x:c r="G441" s="4" t="str">
        <x:v>Uncoded / Unresolved rationale
Not assigned
Applies to: Not assigned
No additional motive inferred</x:v>
      </x:c>
      <x:c r="H441" s="4" t="str">
        <x:v>Reference only: Correction pass: reviewed; see attribute findings
R3-SC-004-D1: Year-level pedestrian onset and October 1 pedestrian reopening remain the historical bounds. Interfax reports a March 18, 2016 motor-post suspension attributed to repairs; contemporary 24.kg reporting places the action in a border-security confrontation. The same-scope link and eligibility as a deliberate admission prohibition rather than an excluded construction outage remain unresolved. Parent quarantined and this duration held from operational counts; no precise March 18 pedestrian onset is inferred. The 2017 customs account describes simplified pedestrian admission for residents of Pakhtaabad district and Jalal-Abad province from 07:00 to 19:00, with ceremonial delegations crossing both directions. It does not establish unrestricted all-nationality restoration. Kabar uses the motor-post name for that reopening, so different terminology alone does not prove different facilities.
eligibility/scope: Fresh sources leave unresolved whether the repair-related motor-post closure is the same continuing pedestrian restriction. Quarantine remains appropriate.
rationale: Repair explanation is attributable but does not establish a rationale within this taxonomy for the same scoped episode. Do not infer a territorial/security purpose from troop presence alone.
Current finding: Fresh Kyrgyz and Uzbek reports support the 2016 pedestrian closure and October 1 2017 local-resident reopening. March 18 reporting concerns the motor checkpoint during a security confrontation; its linkage to pedestrian service and repair-based exclusion remains unresolved. Preserve quarantine.</x:v>
      </x:c>
      <x:c r="I441" s="4" t="str">
        <x:v>Full-record source audit (REC50-R10); accepted corrections; evidence limits retained.</x:v>
      </x:c>
      <x:c r="J441" s="18" t="d">
        <x:v>2026-10-25T00:00:00.000Z</x:v>
      </x:c>
      <x:c r="K441" s="21" t="str">
        <x:f>IFERROR(HYPERLINK("https://www.centralasian.org/a/28767487.html","RFE/RL Central Asian service"),"RFE/RL Central Asian service")</x:f>
        <x:v>RFE/RL Central Asian service</x:v>
      </x:c>
      <x:c r="L441" s="21" t="str">
        <x:f>IFERROR(HYPERLINK("https://gazeta.norma.uz/publish/doc/text136150_madaniyat_chegara_bojhona_posti_ochildi?paper=sbx","Norma / Andijan customs information service"),"Norma / Andijan customs information service")</x:f>
        <x:v>Norma / Andijan customs information service</x:v>
      </x:c>
      <x:c r="M441" s="21" t="str">
        <x:f>IFERROR(HYPERLINK("https://interfax.com/newsroom/top-stories/32925/","Interfax"),"Interfax")</x:f>
        <x:v>Interfax</x:v>
      </x:c>
      <x:c r="N441" s="4" t="str">
        <x:v>https://www.centralasian.org/a/28767487.html
https://gazeta.norma.uz/publish/doc/text136150_madaniyat_chegara_bojhona_posti_ochildi?paper=sbx
https://interfax.com/newsroom/top-stories/32925/
https://24.kg/archive/en/news-stall/179734-news24.html/
https://ru.archive.kabar.kg/news/kpp-madaniiat-avtodorozhnyi-na-kyrgyzsko-uzbekskoi-granitce-nachal-rabotat-v-uproshchennom-poriadke/
https://www.azattyqasia.org/a/28766865.html
https://24.kg/obschestvo/29379_rossiyskie_smi_kpp_madaniyat-avtodorojnyiy_v_kr_zakryit_v_svyazi_s_remontnyimi_rabotami/
https://www.azattyqasia.org/a/28767410.html</x:v>
      </x:c>
      <x:c r="O441" s="4" t="str">
        <x:v>Source 1: full text
Source 2: full text
Source 3: full text</x:v>
      </x:c>
      <x:c r="P441" s="20" t="n">
        <x:v>1</x:v>
      </x:c>
      <x:c r="Q441" s="4" t="str">
        <x:v>Central Asia and Caucasus</x:v>
      </x:c>
      <x:c r="R441" s="4" t="str">
        <x:v>Reference only (excluded)</x:v>
      </x:c>
    </x:row>
    <x:row r="442" ht="114" hidden="0" customHeight="1">
      <x:c r="A442" s="16" t="str">
        <x:v>R3-SC-005</x:v>
      </x:c>
      <x:c r="B442" s="4" t="str">
        <x:v>Baymak–Kasansay closure under Kyrgyz May 2016 decree</x:v>
      </x:c>
      <x:c r="C442" s="4" t="str">
        <x:v>Kyrgyzstan; Uzbekistan</x:v>
      </x:c>
      <x:c r="D442" s="4" t="str">
        <x:v>Baymak-Avtodorozhny / Kasansay
Persons, vehicles, goods and animals through Baymak</x:v>
      </x:c>
      <x:c r="E442" s="4" t="str">
        <x:v>Persons, vehicles, goods and animals through Baymak
Direction: Not separately established
Exceptions: At later19 September operation passenger cars and pedestrians permitted; trucks barred and hand baggage limited.</x:v>
      </x:c>
      <x:c r="F442" s="4" t="str">
        <x:v>R3-SC-005-D1 — Observed operation
Pedestrians and passenger cars at Baymak–Kasansay
Start: 2016-05-06 to 2016-05-31.
Observed scoped reopening: 2017-09-19.
476–501 calendar-day difference; scoped endpoint only</x:v>
      </x:c>
      <x:c r="G442" s="4" t="str">
        <x:v>Trade and protectionism / Customs and transport rules
Official instrument
Applies to: May 2016 decree-based Baymak suspension
EAEU-compliance border-control arrangement is the documented purpose/content; not evidence of protectionist intent.</x:v>
      </x:c>
      <x:c r="H442" s="4" t="str">
        <x:v>R3-SC-005-D1: May 6–31 remains an operational-onset uncertainty range, not a decree-day assumption. Decree No. 231 requires effectiveness fifteen days after publication; contemporary Toktom bulletin dates legal effectiveness May 25. Actual implementation day remains unknown. September 16 permission preceded September 19 limited operation; trucks stayed excluded.</x:v>
      </x:c>
      <x:c r="I442" s="4" t="str">
        <x:v>Targeted source review (REC50-R17); accepted corrections; evidence limits retained.</x:v>
      </x:c>
      <x:c r="J442" s="18" t="d">
        <x:v>2026-10-25T00:00:00.000Z</x:v>
      </x:c>
      <x:c r="K442" s="21" t="str">
        <x:f>IFERROR(HYPERLINK("https://knews.kg/2017/09/16/kpp-bajmak-avtodorozhnyj-na-kyrgyzsko-uzbekskoj-granitse-snova-rabotaet-v-uproshhennom-poryadke/","K-News"),"K-News")</x:f>
        <x:v>K-News</x:v>
      </x:c>
      <x:c r="L442" s="21" t="str">
        <x:f>IFERROR(HYPERLINK("https://www.azattyqasia.org/a/28748620.html","Azattyk / RFE-RL"),"Azattyk / RFE-RL")</x:f>
        <x:v>Azattyk / RFE-RL</x:v>
      </x:c>
      <x:c r="M442" s="21" t="str">
        <x:f>IFERROR(HYPERLINK("https://www.gov.kg/ru/npa/s/1176","gov.kg"),"gov.kg")</x:f>
        <x:v>gov.kg</x:v>
      </x:c>
      <x:c r="N442" s="4" t="str">
        <x:v>https://knews.kg/2017/09/16/kpp-bajmak-avtodorozhnyj-na-kyrgyzsko-uzbekskoj-granitse-snova-rabotaet-v-uproshhennom-poryadke/
https://www.azattyqasia.org/a/28748620.html
https://www.gov.kg/ru/npa/s/1176
https://subscribe.ru/archive/socio.state.toktom544323/201605/24130832.html/
https://www.azattyqasia.org/a/28738764.html
https://www.azattyqasia.org/a/28744061.html
https://24.kg/english/62911_sheckpoint_on_Kyrgyz-Uzbek_border_starts_working_under_simplified_procedure/</x:v>
      </x:c>
      <x:c r="O442" s="4" t="str">
        <x:v>Source 1: full page
Source 2: full text
Source 3: access detail is retained in the source catalogue.</x:v>
      </x:c>
      <x:c r="P442" s="20" t="n">
        <x:v>1</x:v>
      </x:c>
      <x:c r="Q442" s="4" t="str">
        <x:v>Central Asia and Caucasus</x:v>
      </x:c>
      <x:c r="R442" s="4" t="str">
        <x:v>Included</x:v>
      </x:c>
    </x:row>
    <x:row r="443" ht="234" hidden="0" customHeight="1">
      <x:c r="A443" s="16" t="str">
        <x:v>R3-SC-006</x:v>
      </x:c>
      <x:c r="B443" s="4" t="str">
        <x:v>Dostuk ordinary-travel restriction lifted in September 2017</x:v>
      </x:c>
      <x:c r="C443" s="4" t="str">
        <x:v>Kyrgyzstan; Uzbekistan</x:v>
      </x:c>
      <x:c r="D443" s="4" t="str">
        <x:v>Dostuk / Dustlik, Osh–Andijan
Ordinary travellers lacking documentary proof of qualifying family events</x:v>
      </x:c>
      <x:c r="E443" s="4" t="str">
        <x:v>Ordinary travellers lacking documentary proof of qualifying family events
Direction: Entry to Uzbekistan by Kyrgyz citizens/local travellers documented
Exceptions: Qualifying family-event travellers could enter before relaxation.</x:v>
      </x:c>
      <x:c r="F443" s="4" t="str">
        <x:v>R3-SC-006-FU1 — Formal policy
Dostuk admission-document condition for Kyrgyz citizens entering Uzbekistan
Start: unknown.
Policy endpoint: 2017-09-06 to 2017-09-07.
Formal policy: dated evidence; numeric duration withheld; see qualification</x:v>
      </x:c>
      <x:c r="G443" s="4" t="str">
        <x:v>Uncoded / Unresolved rationale
Not assigned
Applies to: Not assigned
No additional motive inferred</x:v>
      </x:c>
      <x:c r="H443" s="4" t="str">
        <x:v>R3-SC-006-FU1: Formal easing is bounded to September 6–7 by the two attributable accounts; exact implementation and time remain unresolved. Null onset preserves the conflicting 2000/2010 retrospective claims. This was conditional admission, not a sealed crossing.
start: The 2000/2010 retrospective conflict remains; no original admission-rule chain recovered.
Current finding: September 7 ambassador statement says document requirements lifted that day after September 6 ceremony. Earlier restriction onset is only retrospective and uncertain. This was conditional ordinary admission and limited hours, not complete frontier closure.
duration: The two attributable accounts bound the formal easing to September 6–7, 2017. Null onset and unresolved operational implementation prevent a complete duration.
rationale: Evidence describes removal of documentary restrictions but does not establish their original rationale; improved relations at reopening do not prove the earlier motive.</x:v>
      </x:c>
      <x:c r="I443" s="4" t="str">
        <x:v>Retained baseline assessment. Correction pass: reviewed; see attribute findings</x:v>
      </x:c>
      <x:c r="J443" s="18" t="d">
        <x:v>2026-10-23T00:00:00.000Z</x:v>
      </x:c>
      <x:c r="K443" s="21" t="str">
        <x:f>IFERROR(HYPERLINK("https://www.gov.kg/ru/post/s/russkiy-vitse-premer-ministr-duyshenbek-zilaliev-s-segodnyashnego-dnya-kpp-dostuk-avtodorozhnyiy-vozobnovlyaet-rabotu-v-kruglosutochnom-rezhime-i-v-uproshhennom-poryadke","gov.kg"),"gov.kg")</x:f>
        <x:v>gov.kg</x:v>
      </x:c>
      <x:c r="L443" s="21" t="str">
        <x:f>IFERROR(HYPERLINK("https://en.archive.kabar.kg/news/ambassador-kyrgyz-citizens-are-able-to-enter-uzbekistan-without-restrictions-through-dostuk-checkpoint/","Kabar"),"Kabar")</x:f>
        <x:v>Kabar</x:v>
      </x:c>
      <x:c r="M443" s="21" t="str">
        <x:f>IFERROR(HYPERLINK("https://uztag.info/ru/news/kpp-dostuk-avtodorozhnyy-na-kyrgyzsko-uzbekskoy-granitse-vozobnovlyaet-rabotu-v-kruglosutochnom-rezhime","UzTAG"),"UzTAG")</x:f>
        <x:v>UzTAG</x:v>
      </x:c>
      <x:c r="N443" s="4" t="str">
        <x:v>https://www.gov.kg/ru/post/s/russkiy-vitse-premer-ministr-duyshenbek-zilaliev-s-segodnyashnego-dnya-kpp-dostuk-avtodorozhnyiy-vozobnovlyaet-rabotu-v-kruglosutochnom-rezhime-i-v-uproshhennom-poryadke
https://en.archive.kabar.kg/news/ambassador-kyrgyz-citizens-are-able-to-enter-uzbekistan-without-restrictions-through-dostuk-checkpoint/
https://uztag.info/ru/news/kpp-dostuk-avtodorozhnyy-na-kyrgyzsko-uzbekskoy-granitse-vozobnovlyaet-rabotu-v-kruglosutochnom-rezhime
https://24.kg/obschestvo/66866_kpp_dostuk_ivslujbu_ivdrujbu/amp/
https://cabar.asia/en/commodity-turnover-at-dostuk-checkpoint-silence-boom-decline
https://kloop.kg/blog/2017/09/06/otkrytie-kpp-dostuk-kyrgyzstan-i-uzbekistan-oslabili-kontrol-na-granitse/
https://subscribe.ru/archive/news.world.turkestan/201709/08090202.html/
https://www.rferl.org/a/kyrgyzstan-uzbekistan-major-border-checkpoint-reopened/28720427.html
https://ru.archive.kabar.kg/news/v-oshe-na-kyrgyzsko-uzbekskoi-granitce-ofitcial-no-otkrylsia-kpp-dostuk/
https://vesti.kg/obshchestvo/item/47636-propusknoy-punkt-dostuk-rabotaet-v-obyichnom-rezhime.html
https://24.kg/obschestvo/66866_kpp_dostuk_ivslujbu_ivdrujbu/
https://www.azattyqasia.org/a/28721899.html</x:v>
      </x:c>
      <x:c r="O443" s="4" t="str">
        <x:v>Source 1: indexed excerpt
Source 2: full
Source 3: full</x:v>
      </x:c>
      <x:c r="P443" s="20" t="n">
        <x:v>1</x:v>
      </x:c>
      <x:c r="Q443" s="4" t="str">
        <x:v>Central Asia and Caucasus</x:v>
      </x:c>
      <x:c r="R443" s="4" t="str">
        <x:v>Included</x:v>
      </x:c>
    </x:row>
    <x:row r="444" ht="198" hidden="0" customHeight="1">
      <x:c r="A444" s="16" t="str">
        <x:v>R3-SC-009</x:v>
      </x:c>
      <x:c r="B444" s="4" t="str">
        <x:v>Afghan–Iran TIR transit restrictions during July 2021 conflict</x:v>
      </x:c>
      <x:c r="C444" s="4" t="str">
        <x:v>Afghanistan; Iran</x:v>
      </x:c>
      <x:c r="D444" s="4" t="str">
        <x:v>Islam Qala / Dogharoun; Abu Nasr Farahi / Mahiroud; Milak / Zaranj
International transit under TIR; T2 additionally documented at Islam Qala</x:v>
      </x:c>
      <x:c r="E444" s="4" t="str">
        <x:v>International transit under TIR; T2 additionally documented at Islam Qala
Direction: Not separately established
Exceptions: July 27 bulletin describes Milak as open except international transit to Tajikistan under TIR; broader July 28 wording leaves the category transition unresolved.</x:v>
      </x:c>
      <x:c r="F444" s="4" t="str">
        <x:v>R3-SC-009-FU1 — Formal policy
Milak border transit bound for Tajikistan under TIR
Start: unknown.
Last confirmed: 2021-07-27. Reopening is not established.
Formal policy: dated evidence; numeric duration withheld; see qualification</x:v>
      </x:c>
      <x:c r="G444"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44" s="4" t="str">
        <x:v>R3-SC-009-FU1: Dated policy status only; unknown start/end. General freight and other TIR destinations are not declared closed. July 28 wording remains unreconciled.
scope/continuity: Distinct bulletin wording remains unresolved; no original ACCI clarification or operator log found.
Current continuity finding: No evidence establishes uninterrupted enforcement between the dated observations or actual lifting of an announced order.
duration: The narrower July 27 Tajikistan-bound restriction can be represented at that date without extending it across the broader July 28 list.
Current continuity finding: No evidence establishes uninterrupted enforcement between the dated observations or actual lifting of an announced order.
onset: July 27 IRU/ACCI entry expressly says Milak remained open except international transit destined for Tajikistan. July 28 generic closed-office list differs. Preserve a dated policy observation with unknown start/end and destination-specific scope.</x:v>
      </x:c>
      <x:c r="I444" s="4" t="str">
        <x:v>Retained baseline assessment. Correction pass: reviewed; see attribute findings</x:v>
      </x:c>
      <x:c r="J444" s="18" t="d">
        <x:v>2026-10-23T00:00:00.000Z</x:v>
      </x:c>
      <x:c r="K444" s="21" t="str">
        <x:f>IFERROR(HYPERLINK("https://wiki.unece.org/pages/viewpage.action?navigatingVersions=true&amp;pageId=166723685","UNECE"),"UNECE")</x:f>
        <x:v>UNECE</x:v>
      </x:c>
      <x:c r="L444" s="21" t="str">
        <x:f>IFERROR(HYPERLINK("https://wiki.unece.org/pages/viewpage.action?navigatingVersions=true&amp;pageId=172852545","UNECE/IRU"),"UNECE/IRU")</x:f>
        <x:v>UNECE/IRU</x:v>
      </x:c>
      <x:c r="M444" s="21" t="str">
        <x:f>IFERROR(HYPERLINK("https://iranpress.com/content/45124/milak-border-crossing-between-iran-afghanistan-reopens","Iran Press"),"Iran Press")</x:f>
        <x:v>Iran Press</x:v>
      </x:c>
      <x:c r="N444" s="4" t="str">
        <x:v>https://wiki.unece.org/pages/viewpage.action?navigatingVersions=true&amp;pageId=166723685
https://wiki.unece.org/pages/viewpage.action?navigatingVersions=true&amp;pageId=172852545
https://iranpress.com/content/45124/milak-border-crossing-between-iran-afghanistan-reopens
https://wiki.unece.org/pages/viewpage.action?navigatingVersions=true&amp;pageId=136446653
https://www.government.nl/site/binaries/site-content/collections/documents/2022/03/28/country-of-origin-information-report-afghanistan-march-2022/afghanistan-aab-2022-en.pdf
https://wiki.unece.org/spaces/CTRBSBC/pages/101548399/Afghanistan
https://wiki.unece.org/pages/viewpage.action?navigatingVersions=true&amp;pageId=136446306
https://wiki.unece.org/plugins/viewsource/viewpagesrc.action?pageId=166723685</x:v>
      </x:c>
      <x:c r="O444" s="4" t="str">
        <x:v>Source 1: failed
Source 2: indexed excerpt
Source 3: indexed excerpt; failed</x:v>
      </x:c>
      <x:c r="P444" s="20" t="n">
        <x:v>1</x:v>
      </x:c>
      <x:c r="Q444" s="4" t="str">
        <x:v>Central Asia and Caucasus</x:v>
      </x:c>
      <x:c r="R444" s="4" t="str">
        <x:v>Included</x:v>
      </x:c>
    </x:row>
    <x:row r="445" ht="162" hidden="0" customHeight="1">
      <x:c r="A445" s="16" t="str">
        <x:v>R3-EA-001</x:v>
      </x:c>
      <x:c r="B445" s="4" t="str">
        <x:v>Intermittent Laos–Cambodia crossing closure during outpost dispute</x:v>
      </x:c>
      <x:c r="C445" s="4" t="str">
        <x:v>Laos; Cambodia</x:v>
      </x:c>
      <x:c r="D445" s="4" t="str">
        <x:v>Voen Kham / Stung Treng border area; second report names Trapaing Kriel</x:v>
      </x:c>
      <x:c r="E445" s="4" t="str">
        <x:v>Crossing users; finer categories unreported
Direction: Crossing closure; direction unreported
Exceptions: Not established</x:v>
      </x:c>
      <x:c r="F445" s="4" t="str">
        <x:v>R3-EA-001-R1 — Intermittent regime
Crossing called Voen Kham by Phnom Penh Post local officials; Trapaing Kriel naming in other report unresolved
Start: 2017-04-02.
Scoped endpoint: 2017-04-03.
Intermittent regime envelope; total closed days unknown</x:v>
      </x:c>
      <x:c r="G445"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Interstate disputes and pressure / Territorial and frontier disputes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45" s="4" t="str">
        <x:v>R3-EA-001-R1: Attributed local-official intermittent regime April 2–3; open by April 3 interview, exact closure lengths and first/last times unknown. Commander denies closure and Voen Kham/Trapaing Kriel naming unresolved. Not two complete closed days. Post inspected through index after direct 403; Cambodia Daily read fully.
scope: Crossing naming differs.
continuity: The freshly indexed Phnom Penh Post account says closure on April 2 and intermittently April 3, while Cambodia Daily records a commander denying closure and a provincial spokesman confirming Trapaing Kriel. The timing is recoverable but the source disagreement and crossing-name attribution remain material; this is a contested intermittent episode.</x:v>
      </x:c>
      <x:c r="I445" s="4" t="str">
        <x:v>Retained baseline assessment. Correction pass: reviewed; see attribute findings</x:v>
      </x:c>
      <x:c r="J445" s="18" t="d">
        <x:v>2026-10-23T00:00:00.000Z</x:v>
      </x:c>
      <x:c r="K445" s="21" t="str">
        <x:f>IFERROR(HYPERLINK("https://www.phnompenhpost.com/national/laos-cambodia-border-closed-over-tensions","Phnom Penh Post"),"Phnom Penh Post")</x:f>
        <x:v>Phnom Penh Post</x:v>
      </x:c>
      <x:c r="L445" s="21" t="str">
        <x:f>IFERROR(HYPERLINK("https://english.cambodiadaily.com/2017/04/06/military-tension-on-laos-border-de-escalated-for-khmer-new-year/","Cambodia Daily"),"Cambodia Daily")</x:f>
        <x:v>Cambodia Daily</x:v>
      </x:c>
      <x:c r="M445" s="21" t="str">
        <x:f>IFERROR(HYPERLINK("https://opendevelopmentmekong.net/news/laos-cambodia-border-closed-over-tensions/","opendevelopmentmekong.net"),"opendevelopmentmekong.net")</x:f>
        <x:v>opendevelopmentmekong.net</x:v>
      </x:c>
      <x:c r="N445" s="4" t="str">
        <x:v>https://www.phnompenhpost.com/national/laos-cambodia-border-closed-over-tensions
https://english.cambodiadaily.com/2017/04/06/military-tension-on-laos-border-de-escalated-for-khmer-new-year/
https://opendevelopmentmekong.net/news/laos-cambodia-border-closed-over-tensions/
https://m.phnompenhpost.com/national/laos-cambodia-border-closed-over-tensions</x:v>
      </x:c>
      <x:c r="O445" s="4" t="str">
        <x:v>Source 1: indexed excerpt; failed
Source 2: indexed excerpt; full
Source 3: access detail is retained in the source catalogue.</x:v>
      </x:c>
      <x:c r="P445" s="20" t="n">
        <x:v>1</x:v>
      </x:c>
      <x:c r="Q445" s="4" t="str">
        <x:v>East and Southeast Asia and Oceania</x:v>
      </x:c>
      <x:c r="R445" s="4" t="str">
        <x:v>Included</x:v>
      </x:c>
    </x:row>
    <x:row r="446" ht="162" hidden="0" customHeight="1">
      <x:c r="A446" s="16" t="str">
        <x:v>R3-EA-002</x:v>
      </x:c>
      <x:c r="B446" s="4" t="str">
        <x:v>Skouw–Wutung security closures amid Papua unrest and border gunfire</x:v>
      </x:c>
      <x:c r="C446" s="4" t="str">
        <x:v>Indonesia; Papua New Guinea</x:v>
      </x:c>
      <x:c r="D446" s="4" t="str">
        <x:v>Skouw–Wutung</x:v>
      </x:c>
      <x:c r="E446" s="4" t="str">
        <x:v>Public crossing and border-market access
Direction: Both-way public crossing restriction
Exceptions: Not established</x:v>
      </x:c>
      <x:c r="F446" s="4" t="str">
        <x:v>R3-EA-002-D1 — Observed operation
Skouw–Wutung public passage in the October gunfire-related closure segment
Start: 2019-10-01.
Last confirmed: 2019-10-06. Reopening is not established.
confirmed through 2019-10-06; at least 5 calendar-day difference; reopening unknown</x:v>
      </x:c>
      <x:c r="G446"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46" s="4" t="str">
        <x:v>R3-EA-002-D1: Conservative October segment only, not a claim of continuous closure from September 24. The relationship to the September spell remains unresolved; staffed immigration offices do not imply public passage. October 6 is last confirmation, not reopening.
end: Actual reopening unknown.
continuity: Antara supports October 1 gunfire-related closure and October 6 continued public exclusion; it also mentions September 24. SindoNews announced October 3 reopening but provides no observed traffic and contains a September/October typo. Retain this contrary announcement and avoid assuming continuous September closure.</x:v>
      </x:c>
      <x:c r="I446" s="4" t="str">
        <x:v>Full-record source audit (REC50-R20); retained with recorded qualifications; evidence limits retained.</x:v>
      </x:c>
      <x:c r="J446" s="18" t="d">
        <x:v>2026-10-25T00:00:00.000Z</x:v>
      </x:c>
      <x:c r="K446" s="21" t="str">
        <x:f>IFERROR(HYPERLINK("https://en.antaranews.com/news/134212/ri-png-border-remains-closed-for-security-reason","Antara"),"Antara")</x:f>
        <x:v>Antara</x:v>
      </x:c>
      <x:c r="L446" s="21" t="str">
        <x:f>IFERROR(HYPERLINK("https://en.antaranews.com/news/133912/indonesias-skouw-wutung-border-post-temporarily-closed-mily","Antara"),"Antara")</x:f>
        <x:v>Antara</x:v>
      </x:c>
      <x:c r="M446" s="21" t="str">
        <x:f>IFERROR(HYPERLINK("https://daerah.sindonews.com/berita/1445055/174/pascapenembakan-opm-perbatasan-ri-png-di-skouw-dibuka-besok","SINDOnews"),"SINDOnews")</x:f>
        <x:v>SINDOnews</x:v>
      </x:c>
      <x:c r="N446" s="4" t="str">
        <x:v>https://en.antaranews.com/news/134212/ri-png-border-remains-closed-for-security-reason
https://en.antaranews.com/news/133912/indonesias-skouw-wutung-border-post-temporarily-closed-mily
https://daerah.sindonews.com/berita/1445055/174/pascapenembakan-opm-perbatasan-ri-png-di-skouw-dibuka-besok</x:v>
      </x:c>
      <x:c r="O446" s="4" t="str">
        <x:v>Source 1: full text
Source 2: full text
Source 3: indexed extract</x:v>
      </x:c>
      <x:c r="P446" s="20" t="n">
        <x:v>1</x:v>
      </x:c>
      <x:c r="Q446" s="4" t="str">
        <x:v>East and Southeast Asia and Oceania</x:v>
      </x:c>
      <x:c r="R446" s="4" t="str">
        <x:v>Included</x:v>
      </x:c>
    </x:row>
    <x:row r="447" ht="90" hidden="0" customHeight="1">
      <x:c r="A447" s="16" t="str">
        <x:v>R3-EA-005</x:v>
      </x:c>
      <x:c r="B447" s="4" t="str">
        <x:v>Gashuunsukhait–Ganqimaodu coal-export closure in first COVID wave</x:v>
      </x:c>
      <x:c r="C447" s="4" t="str">
        <x:v>Mongolia; China</x:v>
      </x:c>
      <x:c r="D447" s="4" t="str">
        <x:v>Gashuunsukhait–Ganqimaodu</x:v>
      </x:c>
      <x:c r="E447" s="4" t="str">
        <x:v>Mongolian coal-export trucks
Direction: Mongolia to China
Exceptions: Other transport categories not determined.</x:v>
      </x:c>
      <x:c r="F447" s="4" t="str">
        <x:v>R3-EA-005-D1 — Observed operation
Gashuunsukhait–Ganqimaodu; Mongolian coal-export trucks; Mongolia to China
Start: 2020-02-11.
Observed scoped reopening: 2020-03-23.
41 calendar-day difference; scoped endpoint only</x:v>
      </x:c>
      <x:c r="G44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47" s="4" t="str">
        <x:v>R3-EA-005-D1: Expected March 2 restart did not establish an endpoint; post-restart health controls persisted. Other transport categories not determined.</x:v>
      </x:c>
      <x:c r="I447" s="4" t="str">
        <x:v>Retained baseline assessment. Retained with recorded qualifications</x:v>
      </x:c>
      <x:c r="J447" s="18" t="d">
        <x:v>2026-10-23T00:00:00.000Z</x:v>
      </x:c>
      <x:c r="K447" s="21" t="str">
        <x:f>IFERROR(HYPERLINK("https://www.spglobal.com/energy/en/news-research/latest-news/coal/022020-mongolia-china-borders-for-coking-coal-exports-to-reopen-march-2-sources","S&amp;P Global Platts"),"S&amp;P Global Platts")</x:f>
        <x:v>S&amp;P Global Platts</x:v>
      </x:c>
      <x:c r="L447" s="21" t="str">
        <x:f>IFERROR(HYPERLINK("https://en.imsilkroad.com/p/312393.html","Xinhua Silk Road"),"Xinhua Silk Road")</x:f>
        <x:v>Xinhua Silk Road</x:v>
      </x:c>
      <x:c r="M447" s="21" t="str">
        <x:f>IFERROR(HYPERLINK("https://www.ubpost.mn/a/11839","The UB Post"),"The UB Post")</x:f>
        <x:v>The UB Post</x:v>
      </x:c>
      <x:c r="N447" s="4" t="str">
        <x:v>https://www.spglobal.com/energy/en/news-research/latest-news/coal/022020-mongolia-china-borders-for-coking-coal-exports-to-reopen-march-2-sources
https://en.imsilkroad.com/p/312393.html
https://www.ubpost.mn/a/11839
https://www.spglobal.com/commodity-insights/en/news-research/latest-news/coal/022720-mongolia-china-borders-opening-delayed-for-coking-coal-exports-till-mar-15-sources
https://www.xinhuanet.com/english/2020-03/23/c_138909024.htm</x:v>
      </x:c>
      <x:c r="O447" s="4" t="str">
        <x:v>Source 1: full page
Source 2: full page
Source 3: full page</x:v>
      </x:c>
      <x:c r="P447" s="20" t="n">
        <x:v>1</x:v>
      </x:c>
      <x:c r="Q447" s="4" t="str">
        <x:v>East and Southeast Asia and Oceania</x:v>
      </x:c>
      <x:c r="R447" s="4" t="str">
        <x:v>Included</x:v>
      </x:c>
    </x:row>
    <x:row r="448" ht="114" hidden="0" customHeight="1">
      <x:c r="A448" s="16" t="str">
        <x:v>R3-EA-006</x:v>
      </x:c>
      <x:c r="B448" s="4" t="str">
        <x:v>Shiveekhuren–Ceke coal-export closure and trial reopening</x:v>
      </x:c>
      <x:c r="C448" s="4" t="str">
        <x:v>Mongolia; China</x:v>
      </x:c>
      <x:c r="D448" s="4" t="str">
        <x:v>Shiveekhuren–Ceke</x:v>
      </x:c>
      <x:c r="E448" s="4" t="str">
        <x:v>Coal-export trucks
Direction: Mongolia to China
Exceptions: Partial trial access from March 28.</x:v>
      </x:c>
      <x:c r="F448" s="4" t="str">
        <x:v>R3-EA-006-D1 — Observed operation
Shiveekhuren–Ceke; Coal-export trucks; Mongolia to China
Start: 2020-02-11.
Observed scoped reopening: 2020-03-28.
46 calendar-day difference; scoped endpoint only</x:v>
      </x:c>
      <x:c r="G44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48" s="4" t="str">
        <x:v>R3-EA-006-D1: March 28 is demonstrated trial access; March 30 ministerial account does not quantify a wider restart. Market-source overlap with exporters is unknown. Partial trial access from March 28.</x:v>
      </x:c>
      <x:c r="I448" s="4" t="str">
        <x:v>Full-record source audit (REC50-R50); accepted corrections; evidence limits retained.</x:v>
      </x:c>
      <x:c r="J448" s="18" t="d">
        <x:v>2026-10-25T00:00:00.000Z</x:v>
      </x:c>
      <x:c r="K448" s="21" t="str">
        <x:f>IFERROR(HYPERLINK("https://www.spglobal.com/energy/en/news-research/latest-news/coal/022020-mongolia-china-borders-for-coking-coal-exports-to-reopen-march-2-sources","S&amp;P Global Platts"),"S&amp;P Global Platts")</x:f>
        <x:v>S&amp;P Global Platts</x:v>
      </x:c>
      <x:c r="L448" s="21" t="str">
        <x:f>IFERROR(HYPERLINK("https://en.imsilkroad.com/p/312393.html","Xinhua Silk Road"),"Xinhua Silk Road")</x:f>
        <x:v>Xinhua Silk Road</x:v>
      </x:c>
      <x:c r="M448" s="21" t="str">
        <x:f>IFERROR(HYPERLINK("https://www.ubpost.mn/a/11839","The UB Post"),"The UB Post")</x:f>
        <x:v>The UB Post</x:v>
      </x:c>
      <x:c r="N448" s="4" t="str">
        <x:v>https://www.spglobal.com/energy/en/news-research/latest-news/coal/022020-mongolia-china-borders-for-coking-coal-exports-to-reopen-march-2-sources
https://en.imsilkroad.com/p/312393.html
https://www.ubpost.mn/a/11839
https://www.globenewswire.com/news-release/2021/01/05/2153127/0/en/southgobi-resources-announces-third-quarter-2020-financial-and-operating-results.html
https://www.spglobal.com/commodity-insights/en/news-research/latest-news/coal/022720-mongolia-china-borders-opening-delayed-for-coking-coal-exports-till-mar-15-sources
https://www.xinhuanet.com/english/2020-03/31/c_138935151.htm</x:v>
      </x:c>
      <x:c r="O448" s="4" t="str">
        <x:v>Source 1: full text
Source 2: full text
Source 3: full text</x:v>
      </x:c>
      <x:c r="P448" s="20" t="n">
        <x:v>1</x:v>
      </x:c>
      <x:c r="Q448" s="4" t="str">
        <x:v>East and Southeast Asia and Oceania</x:v>
      </x:c>
      <x:c r="R448" s="4" t="str">
        <x:v>Included</x:v>
      </x:c>
    </x:row>
    <x:row r="449" ht="126" hidden="0" customHeight="1">
      <x:c r="A449" s="16" t="str">
        <x:v>R3-EA-008</x:v>
      </x:c>
      <x:c r="B449" s="4" t="str">
        <x:v>Houaphanh closes ten local border posts with Vietnam</x:v>
      </x:c>
      <x:c r="C449" s="4" t="str">
        <x:v>Laos; Vietnam</x:v>
      </x:c>
      <x:c r="D449" s="4" t="str">
        <x:v>Ten unnamed traditional/local posts in Houaphanh</x:v>
      </x:c>
      <x:c r="E449" s="4" t="str">
        <x:v>Local crossing users
Direction: Crossing access
Exceptions: Four international posts remained open.</x:v>
      </x:c>
      <x:c r="F449" s="4" t="str">
        <x:v>R3-EA-008-FU1 — Observed operation
Ten unnamed Houaphanh local/traditional Vietnam-frontier posts
Start: 2020-03-13.
Last confirmed: 2020-03-13. Reopening is not established.
dated evidence; numeric duration withheld; see qualification</x:v>
      </x:c>
      <x:c r="G44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49" s="4" t="str">
        <x:v>R3-EA-008-FU1: Province-level reference only; exact gates and reopening unknown. Excludes separate national named-gate measures.
end/scope: No matching ten-post roster or reopening found.
duration: March 13 closure confirmation permits an onset observation only.
continuity: RFA's March 16 report quotes a March 13 Houaphanh notice and official confirmation that ten traditional/local posts closed while four international posts stayed open. Exact gate identities and later reopening remain unestablished.</x:v>
      </x:c>
      <x:c r="I449" s="4" t="str">
        <x:v>Retained baseline assessment. Correction pass: reviewed; see attribute findings</x:v>
      </x:c>
      <x:c r="J449" s="18" t="d">
        <x:v>2026-10-23T00:00:00.000Z</x:v>
      </x:c>
      <x:c r="K449" s="21" t="str">
        <x:f>IFERROR(HYPERLINK("https://www.rfa.org/english/news/laos/checkpoints-03162020164126.html","RFA"),"RFA")</x:f>
        <x:v>RFA</x:v>
      </x:c>
      <x:c r="L449" s="21" t="str">
        <x:f>IFERROR(HYPERLINK("https://dansinh.dantri.com.vn/dien-dan-dan-sinh/lao-tam-thoi-dong-cua-10-diem-qua-bien-gioi-voi-viet-nam-tranh-dich-covid-19-20200316213206279.htm/","Dan Sinh / Dan Tri"),"Dan Sinh / Dan Tri")</x:f>
        <x:v>Dan Sinh / Dan Tri</x:v>
      </x:c>
      <x:c r="M449" s="21" t="str">
        <x:f>IFERROR(HYPERLINK("https://laotradeportal.gov.la/en-gb/site/display/2152","Lao Trade Portal"),"Lao Trade Portal")</x:f>
        <x:v>Lao Trade Portal</x:v>
      </x:c>
      <x:c r="N449" s="4" t="str">
        <x:v>https://www.rfa.org/english/news/laos/checkpoints-03162020164126.html
https://dansinh.dantri.com.vn/dien-dan-dan-sinh/lao-tam-thoi-dong-cua-10-diem-qua-bien-gioi-voi-viet-nam-tranh-dich-covid-19-20200316213206279.htm/
https://laotradeportal.gov.la/en-gb/site/display/2152
https://en.vietnamplus.vn/covid-19-laos-closes-border-gates-post170160.vnp
https://vietnamnet.vn/en/vietnam-news-headlines-march-25-825557.html</x:v>
      </x:c>
      <x:c r="O449" s="4" t="str">
        <x:v>Source 1: full
Source 2: indexed excerpt
Source 3: indexed excerpt; full</x:v>
      </x:c>
      <x:c r="P449" s="20" t="n">
        <x:v>1</x:v>
      </x:c>
      <x:c r="Q449" s="4" t="str">
        <x:v>East and Southeast Asia and Oceania</x:v>
      </x:c>
      <x:c r="R449" s="4" t="str">
        <x:v>Included</x:v>
      </x:c>
    </x:row>
    <x:row r="450" ht="78" hidden="0" customHeight="1">
      <x:c r="A450" s="16" t="str">
        <x:v>R3-EA-007</x:v>
      </x:c>
      <x:c r="B450" s="4" t="str">
        <x:v>Laos and Thailand close four Nakhon Phanom local crossing points</x:v>
      </x:c>
      <x:c r="C450" s="4" t="str">
        <x:v>Laos; Thailand</x:v>
      </x:c>
      <x:c r="D450" s="4" t="str">
        <x:v>Thakhek port; Pak Nam Xe Bang Fai; Pak Nam Hinboun; Pak Beng (opposite Ban Nat Tha).
Thakhek–Nakhon Phanom municipal ferry; Pak Nam Xe Bang Fai (Nong Bok)–That Phanom; Pak Nam (Hinboun)–Tha Uthen; Pak Beng–Ban Nat Tha local crossing.</x:v>
      </x:c>
      <x:c r="E450" s="4" t="str">
        <x:v>Local cross-border travellers
Direction: Local crossing access; travellers redirected to bridge
Exceptions: Third Thai–Lao Friendship Bridge remained an alternative.</x:v>
      </x:c>
      <x:c r="F450" s="4" t="str">
        <x:v>R3-EA-007-D1 — Observed operation
Ordinary Thakhek–Nakhon Phanom municipal passenger-ferry service; excluding exceptional return of stranded Thai/Lao nationals
Start: 2020-03-17.
Observed scoped reopening: 2022-10-03.
930 calendar-day difference; scoped endpoint only</x:v>
      </x:c>
      <x:c r="G45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50" s="4" t="str">
        <x:v>R3-EA-007-D1: October 3 2022 is observed ordinary-service restoration at this ferry only. March 18 2020 immigration clarification allowed stranded Thai/Lao nationals to return through Thakhek despite closure; exception duration and volume unknown. Third Friendship Bridge remained alternative. No total cessation of all passenger crossings asserted.</x:v>
      </x:c>
      <x:c r="I450" s="4" t="str">
        <x:v>Retained baseline assessment. Amended after source reconciliation</x:v>
      </x:c>
      <x:c r="J450" s="18" t="d">
        <x:v>2026-10-23T00:00:00.000Z</x:v>
      </x:c>
      <x:c r="K450" s="21" t="str">
        <x:f>IFERROR(HYPERLINK("https://www.nationthailand.com/in-focus/30384315","The Nation Thailand"),"The Nation Thailand")</x:f>
        <x:v>The Nation Thailand</x:v>
      </x:c>
      <x:c r="L450" s="21" t="str">
        <x:f>IFERROR(HYPERLINK("https://www.thaipost.net/main/detail/60131","Thai Post"),"Thai Post")</x:f>
        <x:v>Thai Post</x:v>
      </x:c>
      <x:c r="M450" s="21" t="str">
        <x:f>IFERROR(HYPERLINK("https://nbtworld.prd.go.th/th/news/detail/tcatg221003151413484","Thai Public Relations Department / NBT"),"Thai Public Relations Department / NBT")</x:f>
        <x:v>Thai Public Relations Department / NBT</x:v>
      </x:c>
      <x:c r="N450" s="4" t="str">
        <x:v>https://www.nationthailand.com/in-focus/30384315
https://www.thaipost.net/main/detail/60131
https://nbtworld.prd.go.th/th/news/detail/tcatg221003151413484
https://www.banmuang.co.th/news/region/298912
https://www.posttoday.com/politics/618001
https://thethaiger.com/news/world/laos-closes-checkpoint-at-thai-border</x:v>
      </x:c>
      <x:c r="O450" s="4" t="str">
        <x:v>Source 1: full page
Source 2: full relevant article text
Source 3: full relevant indexed official report; direct timeout</x:v>
      </x:c>
      <x:c r="P450" s="20" t="n">
        <x:v>1</x:v>
      </x:c>
      <x:c r="Q450" s="4" t="str">
        <x:v>East and Southeast Asia and Oceania</x:v>
      </x:c>
      <x:c r="R450" s="4" t="str">
        <x:v>Included</x:v>
      </x:c>
    </x:row>
    <x:row r="451" ht="126" hidden="0" customHeight="1">
      <x:c r="A451" s="16" t="str">
        <x:v>R3-EA-010</x:v>
      </x:c>
      <x:c r="B451" s="4" t="str">
        <x:v>Vietnam suspends ordinary foreign entry, including land frontiers</x:v>
      </x:c>
      <x:c r="C451" s="4" t="str">
        <x:v>Vietnam; China; Laos; Cambodia</x:v>
      </x:c>
      <x:c r="D451" s="4" t="str">
        <x:v>Land component of national foreign-entry suspension</x:v>
      </x:c>
      <x:c r="E451" s="4" t="str">
        <x:v>Ordinary foreign entrants and relevant overseas-origin visa-exemption holders
Direction: Into Vietnam
Exceptions: Diplomats, official travel and authorized special cases including experts, business managers and skilled workers.</x:v>
      </x:c>
      <x:c r="F451" s="4" t="str">
        <x:v>R3-EA-010-D1 — Formal policy
Vietnam ordinary foreign-entry suspension, land component
Start: 2020-03-22.
Policy endpoint: 2022-03-15.
Formal policy: 723 calendar-day difference; operational continuity not established</x:v>
      </x:c>
      <x:c r="G45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51" s="4" t="str">
        <x:v>R3-EA-010-D1: Formal entry-policy period only, with diplomatic, official, expert, business and other authorised exceptions. Counterpart restrictions and gate operations varied; translation is the same policy origin, not independent verification.</x:v>
      </x:c>
      <x:c r="I451" s="4" t="str">
        <x:v>Retained baseline assessment. Retained with recorded qualifications</x:v>
      </x:c>
      <x:c r="J451" s="18" t="d">
        <x:v>2026-10-23T00:00:00.000Z</x:v>
      </x:c>
      <x:c r="K451" s="21" t="str">
        <x:f>IFERROR(HYPERLINK("https://datafiles.chinhphu.vn/cpp/files/vbpq/2020/03/118.signed.pdf","Government of Vietnam"),"Government of Vietnam")</x:f>
        <x:v>Government of Vietnam</x:v>
      </x:c>
      <x:c r="L451" s="21" t="str">
        <x:f>IFERROR(HYPERLINK("https://english.luatvietnam.vn/notice-no-118-tb-vpcp-dated-march-21-2020-of-the-government-office-on-the-conclusion-of-the-prime-minister-nguyen-xuan-phuc-at-the-governments-meet-181761-doc6.html","LuatVietnam"),"LuatVietnam")</x:f>
        <x:v>LuatVietnam</x:v>
      </x:c>
      <x:c r="M451" s="21" t="str">
        <x:f>IFERROR(HYPERLINK("https://baochinhphu.vn/khoi-phuc-chinh-sach-xuat-nhap-canh-tu-ngay-15-3-102220315170507391.htm","Vietnam Government News"),"Vietnam Government News")</x:f>
        <x:v>Vietnam Government News</x:v>
      </x:c>
      <x:c r="N451" s="4" t="str">
        <x:v>https://datafiles.chinhphu.vn/cpp/files/vbpq/2020/03/118.signed.pdf
https://english.luatvietnam.vn/notice-no-118-tb-vpcp-dated-march-21-2020-of-the-government-office-on-the-conclusion-of-the-prime-minister-nguyen-xuan-phuc-at-the-governments-meet-181761-doc6.html
https://baochinhphu.vn/khoi-phuc-chinh-sach-xuat-nhap-canh-tu-ngay-15-3-102220315170507391.htm
https://www.mfa.gr/missionsabroad/en/vietnam-en/news/verbal-note-of-the-ministry-of-foreign-affairs-of-vietnam-about-corona-virus.html
https://en.baochinhphu.vn/govt-decides-to-reopen-tourism-from-mid-may-111220216120243292.htm</x:v>
      </x:c>
      <x:c r="O451" s="4" t="str">
        <x:v>Source 1: PDF page image reviewed
Source 2: full page
Source 3: full page</x:v>
      </x:c>
      <x:c r="P451" s="20" t="n">
        <x:v>1</x:v>
      </x:c>
      <x:c r="Q451" s="4" t="str">
        <x:v>East and Southeast Asia and Oceania</x:v>
      </x:c>
      <x:c r="R451" s="4" t="str">
        <x:v>Included</x:v>
      </x:c>
    </x:row>
    <x:row r="452" ht="90" hidden="0" customHeight="1">
      <x:c r="A452" s="16" t="str">
        <x:v>R3-EA-003</x:v>
      </x:c>
      <x:c r="B452" s="4" t="str">
        <x:v>Timor-Leste redirects inbound land travellers during papal-visit security operation</x:v>
      </x:c>
      <x:c r="C452" s="4" t="str">
        <x:v>Timor-Leste; Indonesia</x:v>
      </x:c>
      <x:c r="D452" s="4" t="str">
        <x:v>Salele–Motamasin; Sakato–Wini; Oesilo in minister’s statement</x:v>
      </x:c>
      <x:c r="E452" s="4" t="str">
        <x:v>Inbound land travellers at specified alternative posts
Direction: Into Timor-Leste
Exceptions: Outbound travel remained permitted; inbound users could use Batugade.</x:v>
      </x:c>
      <x:c r="F452" s="4" t="str">
        <x:v>R3-EA-003-R1 — Announced window
Timorese inward service at Salele and Sakato suspended; entrants rerouted to Batugade
Start: 2024-09-01.
Scheduled endpoint: 2024-09-14.
Ordered window: 13 calendar-day difference; actual end not established</x:v>
      </x:c>
      <x:c r="G452"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52" s="4" t="str">
        <x:v>R3-EA-003-R1: Original Timorese schedule; BNPP reports shorter September 1–11 period. Outbound passage allowed; Oesilo named in statements but circular summary initially differs. No actual restoration proven.</x:v>
      </x:c>
      <x:c r="I452" s="4" t="str">
        <x:v>Retained baseline assessment. Retained with recorded qualifications</x:v>
      </x:c>
      <x:c r="J452" s="18" t="d">
        <x:v>2026-10-23T00:00:00.000Z</x:v>
      </x:c>
      <x:c r="K452" s="21" t="str">
        <x:f>IFERROR(HYPERLINK("https://id.tatoli.tl/2024/08/26/timor-leste-akan-tutup-perbatasan-darat-pada-01-14-september/","Tatoli"),"Tatoli")</x:f>
        <x:v>Tatoli</x:v>
      </x:c>
      <x:c r="L452" s="21" t="str">
        <x:f>IFERROR(HYPERLINK("https://id.tatoli.tl/2024/09/02/jelang-kunjungan-paus-sejumlah-ruas-jalan-di-dili-akan-ditutup-mulai-07-11-september/","Tatoli"),"Tatoli")</x:f>
        <x:v>Tatoli</x:v>
      </x:c>
      <x:c r="M452" s="21" t="str">
        <x:f>IFERROR(HYPERLINK("https://bnpp.go.id/berita/paus-fransiskus-kunjungi-dili-ri-timor-leste-sepakat-hanya-buka-perlintasan-plbn-motaain-batu-gede","Indonesia BNPP"),"Indonesia BNPP")</x:f>
        <x:v>Indonesia BNPP</x:v>
      </x:c>
      <x:c r="N452" s="4" t="str">
        <x:v>https://id.tatoli.tl/2024/08/26/timor-leste-akan-tutup-perbatasan-darat-pada-01-14-september/
https://id.tatoli.tl/2024/09/02/jelang-kunjungan-paus-sejumlah-ruas-jalan-di-dili-akan-ditutup-mulai-07-11-september/
https://bnpp.go.id/berita/paus-fransiskus-kunjungi-dili-ri-timor-leste-sepakat-hanya-buka-perlintasan-plbn-motaain-batu-gede
https://bnpp.go.id/berita/plbn-motaain-pastikan-siap-layani-peziarah-saat-kunjungan-paus-fransiskus-ke-timor-leste</x:v>
      </x:c>
      <x:c r="O452" s="4" t="str">
        <x:v>Source 1: indexed excerpt; full
Source 2: full; indexed excerpt
Source 3: indexed excerpt</x:v>
      </x:c>
      <x:c r="P452" s="20" t="n">
        <x:v>1</x:v>
      </x:c>
      <x:c r="Q452" s="4" t="str">
        <x:v>East and Southeast Asia and Oceania</x:v>
      </x:c>
      <x:c r="R452" s="4" t="str">
        <x:v>Included</x:v>
      </x:c>
    </x:row>
    <x:row r="453" ht="78" hidden="0" customHeight="1">
      <x:c r="A453" s="16" t="str">
        <x:v>R3-EA-004</x:v>
      </x:c>
      <x:c r="B453" s="4" t="str">
        <x:v>Motaain–Batugade goods crossing suspended for papal-visit passenger operations</x:v>
      </x:c>
      <x:c r="C453" s="4" t="str">
        <x:v>Indonesia; Timor-Leste</x:v>
      </x:c>
      <x:c r="D453" s="4" t="str">
        <x:v>Motaain–Batugade</x:v>
      </x:c>
      <x:c r="E453" s="4" t="str">
        <x:v>Cross-border goods traffic
Direction: Goods crossing; direction unspecified
Exceptions: Passenger processing continued.</x:v>
      </x:c>
      <x:c r="F453" s="4" t="str">
        <x:v>R3-EA-004-R1 — Announced window
Motaain–Batugade goods processing suspended during pilgrim operations
Start: 2024-09-08.
Scheduled endpoint: 2024-09-12.
Ordered window: 4 calendar-day difference; actual end not established</x:v>
      </x:c>
      <x:c r="G453"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53" s="4" t="str">
        <x:v>R3-EA-004-R1: September 12 is scheduled resumption only. Personal pilgrim baggage allowances differ from ordinary freight; direction not disaggregated.</x:v>
      </x:c>
      <x:c r="I453" s="4" t="str">
        <x:v>Retained baseline assessment. Retained with recorded qualifications</x:v>
      </x:c>
      <x:c r="J453" s="18" t="d">
        <x:v>2026-10-23T00:00:00.000Z</x:v>
      </x:c>
      <x:c r="K453" s="21" t="str">
        <x:f>IFERROR(HYPERLINK("https://www.askara.co/read/2024/09/05/49003/plbn-motaain-pastikan-siap-layani-peziarah-saat-kunjungan-paus-fransiskus-ke-timor-leste","Askara / BNPP official statements"),"Askara / BNPP official statements")</x:f>
        <x:v>Askara / BNPP official statements</x:v>
      </x:c>
      <x:c r="L453" s="21" t="str">
        <x:f>IFERROR(HYPERLINK("https://bnpp.go.id/berita/plbn-motaain-pastikan-siap-layani-peziarah-saat-kunjungan-paus-fransiskus-ke-timor-leste","Indonesia BNPP"),"Indonesia BNPP")</x:f>
        <x:v>Indonesia BNPP</x:v>
      </x:c>
      <x:c r="M453" s="21" t="str">
        <x:f>IFERROR(HYPERLINK("https://kupang.antaranews.com/berita/137379/plbn-mota-ain-dibuka-selama-18-jam-menjelang-kunjungan-paus","kupang.antaranews.com"),"kupang.antaranews.com")</x:f>
        <x:v>kupang.antaranews.com</x:v>
      </x:c>
      <x:c r="N453" s="4" t="str">
        <x:v>https://www.askara.co/read/2024/09/05/49003/plbn-motaain-pastikan-siap-layani-peziarah-saat-kunjungan-paus-fransiskus-ke-timor-leste
https://bnpp.go.id/berita/plbn-motaain-pastikan-siap-layani-peziarah-saat-kunjungan-paus-fransiskus-ke-timor-leste
https://kupang.antaranews.com/berita/137379/plbn-mota-ain-dibuka-selama-18-jam-menjelang-kunjungan-paus</x:v>
      </x:c>
      <x:c r="O453" s="4" t="str">
        <x:v>Source 1: indexed excerpt; full
Source 2: failed
Source 3: access detail is retained in the source catalogue.</x:v>
      </x:c>
      <x:c r="P453" s="20" t="n">
        <x:v>1</x:v>
      </x:c>
      <x:c r="Q453" s="4" t="str">
        <x:v>East and Southeast Asia and Oceania</x:v>
      </x:c>
      <x:c r="R453" s="4" t="str">
        <x:v>Included</x:v>
      </x:c>
    </x:row>
    <x:row r="454" ht="198" hidden="0" customHeight="1">
      <x:c r="A454" s="16" t="str">
        <x:v>R3-EA-009</x:v>
      </x:c>
      <x:c r="B454" s="4" t="str">
        <x:v>Attapeu and Sekong close smaller crossings with Vietnam and Cambodia</x:v>
      </x:c>
      <x:c r="C454" s="4" t="str">
        <x:v>Laos; Vietnam; Cambodia</x:v>
      </x:c>
      <x:c r="D454" s="4" t="str">
        <x:v>Eight smaller Attapeu posts and four smaller Sekong posts</x:v>
      </x:c>
      <x:c r="E454" s="4" t="str">
        <x:v>Local crossing users
Direction: Crossing access
Exceptions: RFA March 16 interview says Phoukeua international gate remained open; same-day VNA reports national closure order including Phoukeua. Exact timing/implementation conflict unresolved.</x:v>
      </x:c>
      <x:c r="F454" s="4" t="str">
        <x:v>R3-EA-009-FU1 — Observed operation
Eight smaller Attapeu Vietnam/Cambodia-frontier posts
Start: unknown.
Last confirmed: 2020-03-16. Reopening is not established.
dated evidence; numeric duration withheld; see qualification
R3-EA-009-FU2 — Observed operation
Four smaller Sekong Vietnam-frontier posts
Start: unknown.
Last confirmed: 2020-03-16. Reopening is not established.
dated evidence; numeric duration withheld; see qualification</x:v>
      </x:c>
      <x:c r="G45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54" s="4" t="str">
        <x:v>R3-EA-009-FU1: Unknown onset/end and unnamed gates; excludes Phoukeua.
R3-EA-009-FU2: Separate provincial observation; no shared onset inferred.
scope: Phoukeua order versus operational-status conflict remains.
duration: Separate provincial dated observations are available; shared onset, gate roster and reopening are not.
onset: RFA's March 16 provincial accounts support eight smaller Attapeu posts and four Sekong posts closed, with Phoukeua open. Two distinct provincial observations are appropriate; exact onset, gate identities and repeal are unknown.
continuity: RFA's March 16 provincial accounts support eight smaller Attapeu posts and four Sekong posts closed, with Phoukeua open. Two distinct provincial observations are appropriate; exact onset, gate identities and repeal are unknown.</x:v>
      </x:c>
      <x:c r="I454" s="4" t="str">
        <x:v>Retained baseline assessment. Correction pass: reviewed; see attribute findings</x:v>
      </x:c>
      <x:c r="J454" s="18" t="d">
        <x:v>2026-10-23T00:00:00.000Z</x:v>
      </x:c>
      <x:c r="K454" s="21" t="str">
        <x:f>IFERROR(HYPERLINK("https://www.rfa.org/english/news/laos/checkpoints-03162020164126.html","RFA"),"RFA")</x:f>
        <x:v>RFA</x:v>
      </x:c>
      <x:c r="L454" s="21" t="str">
        <x:f>IFERROR(HYPERLINK("https://vov.vn/kinh-te/lao-tam-dung-thong-quan-mot-so-cua-khau-phu-voi-viet-nam-va-campuchia-1022589.vov","Voice of Vietnam"),"Voice of Vietnam")</x:f>
        <x:v>Voice of Vietnam</x:v>
      </x:c>
      <x:c r="M454" s="21" t="str">
        <x:f>IFERROR(HYPERLINK("https://en.vietnamplus.vn/covid-19-laos-closes-border-gates-post170160.vnp","VNA"),"VNA")</x:f>
        <x:v>VNA</x:v>
      </x:c>
      <x:c r="N454" s="4" t="str">
        <x:v>https://www.rfa.org/english/news/laos/checkpoints-03162020164126.html
https://vov.vn/kinh-te/lao-tam-dung-thong-quan-mot-so-cua-khau-phu-voi-viet-nam-va-campuchia-1022589.vov
https://en.vietnamplus.vn/covid-19-laos-closes-border-gates-post170160.vnp
https://vov.gov.vn/lao-tam-dung-thong-quan-mot-so-cua-khau-phu-voi-viet-nam-va-campuchia-dtnew-154609
https://www.vientianetimes.org.la/freeContent/FreeConten_Laos_orders_53.php</x:v>
      </x:c>
      <x:c r="O454" s="4" t="str">
        <x:v>Source 1: full
Source 2: indexed excerpt
Source 3: indexed excerpt; full</x:v>
      </x:c>
      <x:c r="P454" s="20" t="n">
        <x:v>2</x:v>
      </x:c>
      <x:c r="Q454" s="4" t="str">
        <x:v>East and Southeast Asia and Oceania</x:v>
      </x:c>
      <x:c r="R454" s="4" t="str">
        <x:v>Included</x:v>
      </x:c>
    </x:row>
    <x:row r="455" ht="186" hidden="0" customHeight="1">
      <x:c r="A455" s="16" t="str">
        <x:v>R3-EU-012</x:v>
      </x:c>
      <x:c r="B455" s="4" t="str">
        <x:v>Austria suspends traffic on numerous designated minor frontier routes in March2020</x:v>
      </x:c>
      <x:c r="C455" s="4" t="str">
        <x:v>Austria; Italy; Switzerland; Slovenia; Hungary; Germany</x:v>
      </x:c>
      <x:c r="D455" s="4" t="str">
        <x:v>Orders cover47 Italian,30 Swiss,51 Slovenian,43 Hungarian and58 German routes; individual roster not yet transcribed
Staged route closures, distinct from health checks at retained posts</x:v>
      </x:c>
      <x:c r="E455" s="4" t="str">
        <x:v>Traffic at designated suspended routes
Direction: Both directions at suspended routes
Exceptions: Retained major crossings; reduced-hour routes not counted as full closures</x:v>
      </x:c>
      <x:c r="F455" s="4" t="str">
        <x:v>R3-EU-012-FU1 — Formal policy
Designated fully suspended routes on Austria’s Italian, Swiss, German, Slovenian and Hungarian frontiers; Liechtenstein routes separately recorded
Start: unknown.
Last confirmed: 2020-03-20. Reopening is not established.
Formal policy: dated evidence; numeric duration withheld; see qualification</x:v>
      </x:c>
      <x:c r="G45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55" s="4" t="str">
        <x:v>R3-EU-012-FU1: March 20 is parliamentary confirmation of the closure regime after earlier publication, not assumed operational onset. Excludes Liechtenstein routes already separately recorded, retained crossings and routes with reduced hours. Individual route rosters and effective dates remain required.
duration: Add a formal-regime confirmation dated March 20 with unknown start/end; no country-wide travel prohibition or approval-as-onset assumption.
Current onset finding: Parliament's March 20 account confirms extensive designated-route suspensions and distinguishes complete suspensions from reduced hours. It says the orders were published earlier that week, so March 20 cannot supply a common onset. Route-level schedules and endpoints remain unresolved; the existing unknown onset appropriately avoids a guessed duration.
continuity: Parliament's March 20 account confirms extensive designated-route suspensions and distinguishes complete suspensions from reduced hours. It says the orders were published earlier that week, so March 20 cannot supply a common onset. Route-level schedules and endpoints remain unresolved; the existing unknown onset appropriately avoids a guessed duration.</x:v>
      </x:c>
      <x:c r="I455" s="4" t="str">
        <x:v>Full-record source audit (REC50-R25); accepted corrections; evidence limits retained.</x:v>
      </x:c>
      <x:c r="J455" s="18" t="d">
        <x:v>2026-10-25T00:00:00.000Z</x:v>
      </x:c>
      <x:c r="K455" s="21" t="str">
        <x:f>IFERROR(HYPERLINK("https://www.parlament.gv.at/aktuelles/pk/jahr_2020/pk0280","Austrian Parliament"),"Austrian Parliament")</x:f>
        <x:v>Austrian Parliament</x:v>
      </x:c>
      <x:c r="L455" s="21" t="str">
        <x:f>IFERROR(HYPERLINK("https://www.parlament.gv.at/dokument/XXVII/AB/1397/imfname_801282.pdf","Austrian Parliament"),"Austrian Parliament")</x:f>
        <x:v>Austrian Parliament</x:v>
      </x:c>
      <x:c r="M455" s="21" t="str">
        <x:f>IFERROR(HYPERLINK("https://www.parlament.gv.at/aktuelles/pk/jahr_2020/pk0460","Austrian Parliament"),"Austrian Parliament")</x:f>
        <x:v>Austrian Parliament</x:v>
      </x:c>
      <x:c r="N455" s="4" t="str">
        <x:v>https://www.parlament.gv.at/aktuelles/pk/jahr_2020/pk0280
https://www.parlament.gv.at/dokument/XXVII/AB/1397/imfname_801282.pdf
https://www.parlament.gv.at/aktuelles/pk/jahr_2020/pk0460
https://www.sn.at/panorama/oesterreich/oesterreich-schliesst-47-grenzuebergaenge-zu-italien-84794494
https://wiki.unece.org/pages/viewpage.action?navigatingVersions=true&amp;pageId=117510575
https://www.parlament.gv.at/PAKT/VHG/XXVII/AB/AB_01397/imfname_801282.pdf
https://www.parlament.gv.at/aktuelles/pk/jahr_2020/pk0595</x:v>
      </x:c>
      <x:c r="O455" s="4" t="str">
        <x:v>Source 1: full text
Source 2: indexed excerpt
Source 3: full</x:v>
      </x:c>
      <x:c r="P455" s="20" t="n">
        <x:v>1</x:v>
      </x:c>
      <x:c r="Q455" s="4" t="str">
        <x:v>Europe</x:v>
      </x:c>
      <x:c r="R455" s="4" t="str">
        <x:v>Included</x:v>
      </x:c>
    </x:row>
    <x:row r="456" ht="234" hidden="0" customHeight="1">
      <x:c r="A456" s="16" t="str">
        <x:v>R3-EU-005</x:v>
      </x:c>
      <x:c r="B456" s="4" t="str">
        <x:v>Slovenia blocks minor road links and suspends passenger rail at the Italian frontier</x:v>
      </x:c>
      <x:c r="C456" s="4" t="str">
        <x:v>Slovenia; Italy</x:v>
      </x:c>
      <x:c r="D456" s="4" t="str">
        <x:v>All road links except Rateče, Robič, Vrtojba, Fernetiči, Škofije and Krvavi Potok; passenger rail
Route closure regime rather than closure of entire frontier</x:v>
      </x:c>
      <x:c r="E456" s="4" t="str">
        <x:v>Travellers using non-designated road links and passenger trains
Direction: Into Slovenia; road-link blocking physically affects crossing
Exceptions: Six designated road checkpoints retained; entry-health conditions separate</x:v>
      </x:c>
      <x:c r="F456" s="4" t="str">
        <x:v>R3-EU-005-R1 — Formal policy
Formal exclusion of Nova Gorica–Erjavčeva/Gorizia–Via San Gabriele and Neblo/Valico di Venco from Slovenian permitted road-crossing network, ending with limited category authorization
Start: 2020-03-11.
Policy endpoint: 2020-05-09.
Formal policy: 59 calendar-day difference; operational continuity not established
R3-EU-005-C7P1 — Formal policy
Slovenia–Italy passenger railway suspension
Start: 2020-03-11.
Last confirmed: 2020-04-14. Reopening is not established.
Formal policy: confirmed through 2020-04-14; at least 34 calendar-day difference; reopening unknown
R3-EU-005-C7P2 — Formal policy
Minor Slovenia–Italy road links outside the changing authorized checkpoint roster, excluding the separately phased Erjavčeva/Neblo pair
Start: 2020-03-11.
Last confirmed: 2020-04-14. Reopening is not established.
Formal policy: dated evidence; numeric duration withheld; see qualification</x:v>
      </x:c>
      <x:c r="G45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56" s="4" t="str">
        <x:v>R3-EU-005-R1: Route exclusion begins March 11 at 18:00. May 8 amendment authorizes limited operation from May 9: Erjavceva 06:00 and Neblo 07:00. Endpoint is restored authorized route availability, not unrestricted passenger reopening; only specified workers/certified local categories and hours. Neblo operation retrospectively confirmed May 11. Police duplicate fetch timed out; government originals inspected.
R3-EU-005-C7P1: Rail is separate from the May9 authorization of two road routes. No rail reopening date established.
R3-EU-005-C7P2: Roster changed; this is a policy evidence envelope, not proof each minor road stayed closed throughout. Individual road endpoints and uniform continuity remain unknown.</x:v>
      </x:c>
      <x:c r="I456" s="4" t="str">
        <x:v>Targeted source review (REC50-R29); retained with recorded qualifications; evidence limits retained.</x:v>
      </x:c>
      <x:c r="J456" s="18" t="d">
        <x:v>2026-10-25T00:00:00.000Z</x:v>
      </x:c>
      <x:c r="K456" s="21" t="str">
        <x:f>IFERROR(HYPERLINK("https://www.gov.si/en/news/2020-03-11-government-order-in-force-on-the-conditions-of-entry-into-slovenia-from-italy-aimed-at-stemming-the-spread-of-infection/","Government of Slovenia"),"Government of Slovenia")</x:f>
        <x:v>Government of Slovenia</x:v>
      </x:c>
      <x:c r="L456" s="21" t="str">
        <x:f>IFERROR(HYPERLINK("https://www.gov.si/en/news/2020-04-14-crossing-the-state-border-during-the-coronavirus-epidemic-40860/","Slovenian Interior Ministry"),"Slovenian Interior Ministry")</x:f>
        <x:v>Slovenian Interior Ministry</x:v>
      </x:c>
      <x:c r="M456" s="21" t="str">
        <x:f>IFERROR(HYPERLINK("https://www.gov.si/en/news/2020-05-08-amended-ordinance-sets-up-two-more-checkpoints-on-the-border-with-italy-nova-gorica-erjavceva-neblo-a-check-point-for-railway-traffic-with-austria-also-begins-operation","Government of Slovenia"),"Government of Slovenia")</x:f>
        <x:v>Government of Slovenia</x:v>
      </x:c>
      <x:c r="N456" s="4" t="str">
        <x:v>https://www.gov.si/en/news/2020-03-11-government-order-in-force-on-the-conditions-of-entry-into-slovenia-from-italy-aimed-at-stemming-the-spread-of-infection/
https://www.gov.si/en/news/2020-04-14-crossing-the-state-border-during-the-coronavirus-epidemic-40860/
https://www.gov.si/en/news/2020-05-08-amended-ordinance-sets-up-two-more-checkpoints-on-the-border-with-italy-nova-gorica-erjavceva-neblo-a-check-point-for-railway-traffic-with-austria-also-begins-operation
https://www.gov.si/en/news?date=&amp;nrOfItems=100&amp;org%5B0%5D=29&amp;start=200
https://www.gov.si/en/news/2020-05-08-amended-ordinance-sets-up-two-more-checkpoints-on-the-border-with-italy-nova-gorica-erjavceva-neblo-a-check-point-for-railway-traffic-with-austria-also-begins-operation/
https://www.gov.si/en/news/2020-05-11-changed-operating-hours-at-the-checkpoint-neblo-on-the-border-with-italy/
https://www.policija.si/eng/newsroom/news-archive/news-archive/104538-new-border-rules-apply-as-of-15-june
https://www.policija.si/medijsko-sredisce/sporocila-za-javnost/sporocila-za-javnost-gpue/103287-vzpostavljene-stiri-kontrolne-tocke-na-cestnih-povezavah-z-italijo</x:v>
      </x:c>
      <x:c r="O456" s="4" t="str">
        <x:v>Source 1: full; full text
Source 2: indexed excerpt; full
Source 3: full; full text</x:v>
      </x:c>
      <x:c r="P456" s="20" t="n">
        <x:v>3</x:v>
      </x:c>
      <x:c r="Q456" s="4" t="str">
        <x:v>Europe</x:v>
      </x:c>
      <x:c r="R456" s="4" t="str">
        <x:v>Included</x:v>
      </x:c>
    </x:row>
    <x:row r="457" ht="150" hidden="0" customHeight="1">
      <x:c r="A457" s="16" t="str">
        <x:v>R3-EU-006</x:v>
      </x:c>
      <x:c r="B457" s="4" t="str">
        <x:v>Romania–Moldova: Cahul–Oancea and Lipcani–Rădăuți-Prut suspend operation</x:v>
      </x:c>
      <x:c r="C457" s="4" t="str">
        <x:v>Romania; Moldova</x:v>
      </x:c>
      <x:c r="D457" s="4" t="str">
        <x:v>Cahul–Oancea; Lipcani–Rădăuți-Prut
Two road posts; other frontier crossings remain available</x:v>
      </x:c>
      <x:c r="E457" s="4" t="str">
        <x:v>Passenger and freight traffic at these posts
Direction: Both directions
Exceptions: Alternative posts remained open, subject to separate admission rules</x:v>
      </x:c>
      <x:c r="F457" s="4" t="str">
        <x:v>R3-EU-006-R1 — Announced window
Initial Romanian-directed suspension of Cahul–Oancea and Lipcani–Rădăuți-Prut road crossing operations
Start: 2020-03-14.
Scheduled endpoint: 2020-04-13.
Ordered window: 30 calendar-day difference; actual end not established</x:v>
      </x:c>
      <x:c r="G45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57" s="4" t="str">
        <x:v>R3-EU-006-R1: Initial ordered 30-day term from March 14 16:00 to calculated April 13 16:00, subject to extension; no actual reopening on April 13 established. Later Cahul restoration does not cover Lipcani.</x:v>
      </x:c>
      <x:c r="I457" s="4" t="str">
        <x:v>Retained baseline assessment. Retained with recorded qualifications</x:v>
      </x:c>
      <x:c r="J457" s="18" t="d">
        <x:v>2026-10-23T00:00:00.000Z</x:v>
      </x:c>
      <x:c r="K457" s="21" t="str">
        <x:f>IFERROR(HYPERLINK("https://www.border.gov.md/ro/punctele-de-trecere-a-frontierei-cahul-oancea-si-lipcani-radauti-prut-si-au-sistat-temporar-activitatea","Moldovan Border Police"),"Moldovan Border Police")</x:f>
        <x:v>Moldovan Border Police</x:v>
      </x:c>
      <x:c r="L457" s="21" t="str">
        <x:f>IFERROR(HYPERLINK("https://www.anta.gov.md/content/transportul-interna%C8%9Bional-de-persoane-restric%C8%9Biile-statelor-str%C4%83ine-%C3%AEn-contextul-pandemiei","Moldovan ANTA"),"Moldovan ANTA")</x:f>
        <x:v>Moldovan ANTA</x:v>
      </x:c>
      <x:c r="M457" s="21" t="str">
        <x:f>IFERROR(HYPERLINK("https://www.border.gov.md/veste-buna-la-nceput-de-saptamana-punctul-de-trecere-frontierei-cahul-oancea-isi-reia-activitatea","Moldova Border Police"),"Moldova Border Police")</x:f>
        <x:v>Moldova Border Police</x:v>
      </x:c>
      <x:c r="N457" s="4" t="str">
        <x:v>https://www.border.gov.md/ro/punctele-de-trecere-a-frontierei-cahul-oancea-si-lipcani-radauti-prut-si-au-sistat-temporar-activitatea
https://www.anta.gov.md/content/transportul-interna%C8%9Bional-de-persoane-restric%C8%9Biile-statelor-str%C4%83ine-%C3%AEn-contextul-pandemiei
https://www.border.gov.md/veste-buna-la-nceput-de-saptamana-punctul-de-trecere-frontierei-cahul-oancea-isi-reia-activitatea
https://www.border.gov.md/informare-se-reia-traficul-prin-toate-punctele-de-trecere-frontierei
https://border.gov.md/ro/punctele-de-trecere-a-frontierei-cahul-oancea-si-lipcani-radauti-prut-si-au-sistat-temporar-activitatea
https://anta.gov.md/content/transportul-interna%C8%9Bional-de-m%C4%83rfuri-restric%C8%9Biile-statelor-str%C4%83ine-%C3%AEn-contextul-pandemiei
https://border.gov.md/informare-punctul-de-trecere-frontierei-lipcani-radauti-prut-isi-reia-activitatea</x:v>
      </x:c>
      <x:c r="O457" s="4" t="str">
        <x:v>Source 1: full
Source 2: indexed excerpt
Source 3: full page</x:v>
      </x:c>
      <x:c r="P457" s="20" t="n">
        <x:v>1</x:v>
      </x:c>
      <x:c r="Q457" s="4" t="str">
        <x:v>Europe</x:v>
      </x:c>
      <x:c r="R457" s="4" t="str">
        <x:v>Included</x:v>
      </x:c>
    </x:row>
    <x:row r="458" ht="174" hidden="0" customHeight="1">
      <x:c r="A458" s="16" t="str">
        <x:v>R3-EU-007</x:v>
      </x:c>
      <x:c r="B458" s="4" t="str">
        <x:v>Moldova–Ukraine suspends a subset of road, rail and river crossing posts</x:v>
      </x:c>
      <x:c r="C458" s="4" t="str">
        <x:v>Moldova; Ukraine</x:v>
      </x:c>
      <x:c r="D458" s="4" t="str">
        <x:v>Ocnița–Sokireanî road; Larga–Kelmenți rail/road; Criva–Mamalîga rail; Vulcănești–Vinogradovka; Basarabeasca–Serpniovo-1 road; Cosăuți–Iampol river; Unguri–Bronnița; Ceadîr-Lunga–Novîe Troianî; Pervomaisc–Kuciurgan; Goianul Nou–Platonovo; Hristovaia–Bolgan; local/interstate posts
Local/interstate posts plus12 specified international posts</x:v>
      </x:c>
      <x:c r="E458" s="4" t="str">
        <x:v>All traffic using listed posts
Direction: Both directions
Exceptions: Other designated international posts remained open</x:v>
      </x:c>
      <x:c r="F458" s="4" t="str">
        <x:v>R3-EU-007-FU1 — Formal policy
Moldova–Ukraine local/interstate posts and named international road, rail and river posts in March 15 notice
Start: 2020-03-17.
Last confirmed: 2020-03-17. Reopening is not established.
Formal policy: dated evidence; numeric duration withheld; see qualification</x:v>
      </x:c>
      <x:c r="G45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58" s="4" t="str">
        <x:v>R3-EU-007-FU1: Legal effective onset 00:00 March 17. Ocniţa road versus rail and Criva rail versus road must remain distinct. No common later endpoint asserted.
duration: Add formal initial route-suspension phase March 17. Do not apply the May 2021 remaining-post announcement as a shared endpoint for the full original roster.</x:v>
      </x:c>
      <x:c r="I458" s="4" t="str">
        <x:v>Full-record source audit (REC50-R35); retained with recorded qualifications; evidence limits retained.</x:v>
      </x:c>
      <x:c r="J458" s="18" t="d">
        <x:v>2026-10-25T00:00:00.000Z</x:v>
      </x:c>
      <x:c r="K458" s="21" t="str">
        <x:f>IFERROR(HYPERLINK("https://border.gov.md/ro/masuri-noi-si-restrictii-de-circulatie-prin-punctele-de-trecere-a-frontierei-de-stat","Moldova Border Police"),"Moldova Border Police")</x:f>
        <x:v>Moldova Border Police</x:v>
      </x:c>
      <x:c r="L458" s="21" t="str">
        <x:f>IFERROR(HYPERLINK("https://customs.gov.md/ro/articles/anunt-doua-puncte-de-trecere-a-frontierei-moldo-ucrainene-isi-reiau-activitatea","Moldovan Customs"),"Moldovan Customs")</x:f>
        <x:v>Moldovan Customs</x:v>
      </x:c>
      <x:c r="M458" s="21" t="str">
        <x:f>IFERROR(HYPERLINK("https://anta.gov.md/content/transportul-interna%C8%9Bional-de-persoane-restric%C8%9Biile-statelor-str%C4%83ine-%C3%AEn-contextul-pandemiei","anta.gov.md"),"anta.gov.md")</x:f>
        <x:v>anta.gov.md</x:v>
      </x:c>
      <x:c r="N458" s="4" t="str">
        <x:v>https://border.gov.md/ro/masuri-noi-si-restrictii-de-circulatie-prin-punctele-de-trecere-a-frontierei-de-stat
https://customs.gov.md/ro/articles/anunt-doua-puncte-de-trecere-a-frontierei-moldo-ucrainene-isi-reiau-activitatea
https://anta.gov.md/content/transportul-interna%C8%9Bional-de-persoane-restric%C8%9Biile-statelor-str%C4%83ine-%C3%AEn-contextul-pandemiei
https://border.gov.md/files/images/newsphotos/2020/martie/15/ordin%20comun0001.pdf
https://www.border.gov.md/informare-doua-puncte-de-trecere-frontierei-moldo-ucrainene-isi-reiau-activitatea
https://www.border.gov.md/informare-se-reia-traficul-prin-toate-punctele-de-trecere-frontierei
https://anta.gov.md/content/transportul-interna%C8%9Bional-de-m%C4%83rfuri-restric%C8%9Biile-statelor-str%C4%83ine-%C3%AEn-contextul-pandemiei
https://customs.gov.md/ro/articles/ucraina-sisteaza-traficul-prin-punctele-de-trecere-a-frontierei-kelmenti-si-sokireani</x:v>
      </x:c>
      <x:c r="O458" s="4" t="str">
        <x:v>Source 1: full; full text
Source 2: indexed excerpt; full
Source 3: full</x:v>
      </x:c>
      <x:c r="P458" s="20" t="n">
        <x:v>1</x:v>
      </x:c>
      <x:c r="Q458" s="4" t="str">
        <x:v>Europe</x:v>
      </x:c>
      <x:c r="R458" s="4" t="str">
        <x:v>Included</x:v>
      </x:c>
    </x:row>
    <x:row r="459" ht="114" hidden="0" customHeight="1">
      <x:c r="A459" s="16" t="str">
        <x:v>R3-EU-008</x:v>
      </x:c>
      <x:c r="B459" s="4" t="str">
        <x:v>Transnistrian de facto authorities restrict crossing of the Nistru security zone</x:v>
      </x:c>
      <x:c r="C459" s="4" t="str">
        <x:v>Moldova</x:v>
      </x:c>
      <x:c r="D459" s="4" t="str">
        <x:v>Checkpoints between right-bank Moldova and left-bank localities/Bender
Disputed/de facto internal boundary; not internationally recognised state frontier</x:v>
      </x:c>
      <x:c r="E459" s="4" t="str">
        <x:v>Residents and visitors without required advance clearance
Direction: Both directions
Exceptions: Some authorised crossing persisted; exception roster not reconstructed</x:v>
      </x:c>
      <x:c r="F459" s="4" t="str">
        <x:v>R3-EU-008-D1 — Formal policy
Advance-clearance regime for crossing the Nistru security zone
Start: 2020-03-17.
Policy endpoint: 2021-04-30.
Formal policy: 409 calendar-day difference; operational continuity not established</x:v>
      </x:c>
      <x:c r="G45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59" s="4" t="str">
        <x:v>R3-EU-008-D1: Disputed/de facto internal boundary, not an internationally recognised state frontier. Moldovan government is a conflict party; UK statement does not independently confirm the exact day. Authorised exceptions and checkpoint changes mean no claim of physical impermeability.</x:v>
      </x:c>
      <x:c r="I459" s="4" t="str">
        <x:v>Retained baseline assessment. Retained with recorded qualifications</x:v>
      </x:c>
      <x:c r="J459" s="18" t="d">
        <x:v>2026-10-23T00:00:00.000Z</x:v>
      </x:c>
      <x:c r="K459" s="21" t="str">
        <x:f>IFERROR(HYPERLINK("https://gov.md/en/comunicate-de-presa-bpr/bureau-reintegration-disapproves-extension-quarantine-localities","Moldovan Bureau for Reintegration"),"Moldovan Bureau for Reintegration")</x:f>
        <x:v>Moldovan Bureau for Reintegration</x:v>
      </x:c>
      <x:c r="L459" s="21" t="str">
        <x:f>IFERROR(HYPERLINK("https://gov.md/en/comunicate-de-presa-bpr/free-movement-transnistrian-region-has-been-extended-until-1-july","Moldovan Bureau for Reintegration"),"Moldovan Bureau for Reintegration")</x:f>
        <x:v>Moldovan Bureau for Reintegration</x:v>
      </x:c>
      <x:c r="M459" s="21" t="str">
        <x:f>IFERROR(HYPERLINK("https://www.gov.uk/government/speeches/head-of-the-osce-mission-to-moldova-uk-response","UK Foreign, Commonwealth and Development Office"),"UK Foreign, Commonwealth and Development Office")</x:f>
        <x:v>UK Foreign, Commonwealth and Development Office</x:v>
      </x:c>
      <x:c r="N459" s="4" t="str">
        <x:v>https://gov.md/en/comunicate-de-presa-bpr/bureau-reintegration-disapproves-extension-quarantine-localities
https://gov.md/en/comunicate-de-presa-bpr/free-movement-transnistrian-region-has-been-extended-until-1-july
https://www.gov.uk/government/speeches/head-of-the-osce-mission-to-moldova-uk-response
https://gov.md/en/comunicate-de-presa-bpr/failure-unblock-work-joint-control-commission-meeting-bender
https://www.eeas.europa.eu/sites/default/files/swd_2021_295_f1_joint_staff_working_paper_en_v2_p1_1535649.pdf</x:v>
      </x:c>
      <x:c r="O459" s="4" t="str">
        <x:v>Source 1: indexed extract; full-page timeout
Source 2: full page
Source 3: full page</x:v>
      </x:c>
      <x:c r="P459" s="20" t="n">
        <x:v>1</x:v>
      </x:c>
      <x:c r="Q459" s="4" t="str">
        <x:v>Europe</x:v>
      </x:c>
      <x:c r="R459" s="4" t="str">
        <x:v>Included</x:v>
      </x:c>
    </x:row>
    <x:row r="460" ht="102" hidden="0" customHeight="1">
      <x:c r="A460" s="16" t="str">
        <x:v>R3-RT-001</x:v>
      </x:c>
      <x:c r="B460" s="4" t="str">
        <x:v>Austria–Liechtenstein: Mauren and Schellenberg pandemic gate closures</x:v>
      </x:c>
      <x:c r="C460" s="4" t="str">
        <x:v>Austria; Liechtenstein</x:v>
      </x:c>
      <x:c r="D460" s="4" t="str">
        <x:v>Mauren; Schellenberg
Two local land crossings; not the entire bilateral frontier</x:v>
      </x:c>
      <x:c r="E460" s="4" t="str">
        <x:v>Traffic through the two named posts
Direction: Closure of specified crossing routes
Exceptions: Exempt commuters, goods, emergency traffic and transit used Ruggell or Schaanwald.</x:v>
      </x:c>
      <x:c r="F460" s="4" t="str">
        <x:v>R3-RT-001-D1 — Observed operation
Mauren and Schellenberg local crossing closures
Start: 2020-03-17 to 2020-03-18.
Last confirmed: 2020-05-06. Reopening is not established.
confirmed through 2020-05-06; at least 49 calendar-day difference; reopening unknown</x:v>
      </x:c>
      <x:c r="G46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60" s="4" t="str">
        <x:v>R3-RT-001-D1: Attributed continuity account, not independent daily field observation. June 4 removal of general checks is not used as a physical reopening. Exempt traffic could use Ruggell/Schaanwald; no extension beyond May 6.</x:v>
      </x:c>
      <x:c r="I460" s="4" t="str">
        <x:v>Retained baseline assessment. Retained with recorded qualifications</x:v>
      </x:c>
      <x:c r="J460" s="18" t="d">
        <x:v>2026-10-23T00:00:00.000Z</x:v>
      </x:c>
      <x:c r="K460" s="21" t="str">
        <x:f>IFERROR(HYPERLINK("https://regierung.li/medienportal-medium/16182/223302/1/medienmitteilung%20","Government of Liechtenstein"),"Government of Liechtenstein")</x:f>
        <x:v>Government of Liechtenstein</x:v>
      </x:c>
      <x:c r="L460" s="21" t="str">
        <x:f>IFERROR(HYPERLINK("https://www.meinbezirk.at/c-politik/oesterreich-verlaengert-grenzkontrollen-bis-31-mai_a4058439","RegionalMedien Austria"),"RegionalMedien Austria")</x:f>
        <x:v>RegionalMedien Austria</x:v>
      </x:c>
      <x:c r="M460" s="21" t="str">
        <x:f>IFERROR(HYPERLINK("https://www.assolombarda.it/servizi/internazionalizzazione/documenti/svizzera-elenco-valichi-chiusi-17-marzo","Assolombarda"),"Assolombarda")</x:f>
        <x:v>Assolombarda</x:v>
      </x:c>
      <x:c r="N460" s="4" t="str">
        <x:v>https://regierung.li/medienportal-medium/16182/223302/1/medienmitteilung%20
https://www.meinbezirk.at/c-politik/oesterreich-verlaengert-grenzkontrollen-bis-31-mai_a4058439
https://www.assolombarda.it/servizi/internazionalizzazione/documenti/svizzera-elenco-valichi-chiusi-17-marzo
https://www.bmeia.gv.at/en/the-ministry/press/news/2020/06/foreign-minister-schallenberg-common-sense-is-the-best-travel-protection
https://www.liechtenstein.li/liechtenstein_news/coronavirus-massnahmen-werden-morgen-montag-16-maerz-2020-verschaerft</x:v>
      </x:c>
      <x:c r="O460" s="4" t="str">
        <x:v>Source 1: full page
Source 2: search-returned article text
Source 3: full PDF text</x:v>
      </x:c>
      <x:c r="P460" s="20" t="n">
        <x:v>1</x:v>
      </x:c>
      <x:c r="Q460" s="4" t="str">
        <x:v>Europe</x:v>
      </x:c>
      <x:c r="R460" s="4" t="str">
        <x:v>Included</x:v>
      </x:c>
    </x:row>
    <x:row r="461" ht="150" hidden="0" customHeight="1">
      <x:c r="A461" s="16" t="str">
        <x:v>R3-EU-003</x:v>
      </x:c>
      <x:c r="B461" s="4" t="str">
        <x:v>Italy: documented May 2020 phase of nonessential international travel prohibition</x:v>
      </x:c>
      <x:c r="C461" s="4" t="str">
        <x:v>Italy; France; Switzerland; Austria; Slovenia</x:v>
      </x:c>
      <x:c r="D461" s="4" t="str">
        <x:v>Italian borders with France, Switzerland, Austria and Slovenia
Legal nonessential travel prohibition; relevant mainland frontiers</x:v>
      </x:c>
      <x:c r="E461" s="4" t="str">
        <x:v>Nonessential international travellers
Direction: Both directions
Exceptions: Work, urgency, health, return home and additional authorised categories; Vatican/San Marino local movements exempt</x:v>
      </x:c>
      <x:c r="F461" s="4" t="str">
        <x:v>R3-EU-003-D1 — Formal policy
Selected Italian legal phase restricting ordinary international travel, to the EU/Schengen permitted-travel transition.
Start: 2020-05-18.
Policy endpoint: 2020-06-03.
Formal policy: 16 calendar-day difference; operational continuity not established</x:v>
      </x:c>
      <x:c r="G46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61" s="4" t="str">
        <x:v>R3-EU-003-D1: Formal policy dates only. This is not Italy’s original pandemic onset. Non-EU restrictions and authorised-travel exceptions persisted; Vatican/San Marino local movements were exempt. No first operational crossing is claimed.</x:v>
      </x:c>
      <x:c r="I461" s="4" t="str">
        <x:v>Retained baseline assessment. Retained with recorded qualifications</x:v>
      </x:c>
      <x:c r="J461" s="18" t="d">
        <x:v>2026-10-23T00:00:00.000Z</x:v>
      </x:c>
      <x:c r="K461" s="21" t="str">
        <x:f>IFERROR(HYPERLINK("https://amblondra.esteri.it/en/news/dall_ambasciata/2020/06/regole-in-vigore-dal-3-giugno-per-2/","Italian Embassy London"),"Italian Embassy London")</x:f>
        <x:v>Italian Embassy London</x:v>
      </x:c>
      <x:c r="L461" s="21" t="str">
        <x:f>IFERROR(HYPERLINK("https://www.normattiva.it/uri-res/N2Ls?urn%3Anir%3Astato%3Adecreto.legge%3A2020-05-16%3B33%21vig=","normattiva.it"),"normattiva.it")</x:f>
        <x:v>normattiva.it</x:v>
      </x:c>
      <x:c r="M461" s="21" t="str">
        <x:f>IFERROR(HYPERLINK("https://www.protezionecivile.gov.it/it/normativa/decreto-legge-16-maggio-2020--n--33--ulteriori-misure-urgenti-per-fronteggiare-l-emergenza-epidemiologica-da-covid-19/","protezionecivile.gov.it"),"protezionecivile.gov.it")</x:f>
        <x:v>protezionecivile.gov.it</x:v>
      </x:c>
      <x:c r="N461" s="4" t="str">
        <x:v>https://www.gazzettaufficiale.it/atto/serie_generale/caricaArticolo?art.codiceRedazionale=20G00051&amp;art.dataPubblicazioneGazzetta=2020-05-16&amp;art.flagTipoArticolo=0&amp;art.idArticolo=1&amp;art.idGruppo=0&amp;art.idSottoArticolo=1&amp;art.idSottoArticolo1=10&amp;art.progressivo=0&amp;art.versione=1
https://www.gazzettaufficiale.it/atto/serie_generale/caricaArticolo?art.codiceRedazionale=20G00051&amp;art.dataPubblicazioneGazzetta=2020-05-16&amp;art.flagTipoArticolo=0&amp;art.idArticolo=3&amp;art.idGruppo=0&amp;art.idSottoArticolo=1&amp;art.idSottoArticolo1=10&amp;art.progressivo=0&amp;art.versione=1
https://amblondra.esteri.it/en/news/dall_ambasciata/2020/06/regole-in-vigore-dal-3-giugno-per-2/
https://www.normattiva.it/uri-res/N2Ls?urn%3Anir%3Astato%3Adecreto.legge%3A2020-05-16%3B33%21vig=
https://www.protezionecivile.gov.it/it/normativa/decreto-legge-16-maggio-2020--n--33--ulteriori-misure-urgenti-per-fronteggiare-l-emergenza-epidemiologica-da-covid-19/
https://amblondra.esteri.it/it/news/dall_ambasciata/2020/05/informazioni-utili-per-il-rientro/</x:v>
      </x:c>
      <x:c r="O461" s="4" t="str">
        <x:v>Source 1: full page
Source 2: access detail is retained in the source catalogue.
Source 3: access detail is retained in the source catalogue.</x:v>
      </x:c>
      <x:c r="P461" s="20" t="n">
        <x:v>1</x:v>
      </x:c>
      <x:c r="Q461" s="4" t="str">
        <x:v>Europe</x:v>
      </x:c>
      <x:c r="R461" s="4" t="str">
        <x:v>Included</x:v>
      </x:c>
    </x:row>
    <x:row r="462" ht="222" hidden="0" customHeight="1">
      <x:c r="A462" s="16" t="str">
        <x:v>R3-EU-009</x:v>
      </x:c>
      <x:c r="B462" s="4" t="str">
        <x:v>Norway prohibits ordinary entry through minor Innlandet–Sweden crossings</x:v>
      </x:c>
      <x:c r="C462" s="4" t="str">
        <x:v>Norway; Sweden</x:v>
      </x:c>
      <x:c r="D462" s="4" t="str">
        <x:v>Selected minor Innlandet–Sweden crossings, including Mitandersfors; permitted-route roster changed and January reporting includes Linna as well as Støa, Riksåsen and Magnormoen.
Route-use prohibition; initially legal rather than physical barricade</x:v>
      </x:c>
      <x:c r="E462" s="4" t="str">
        <x:v>Non-exempt inbound road travellers
Direction: Into Norway
Exceptions: Outbound movement; goods transport, commuters and critical functions</x:v>
      </x:c>
      <x:c r="F462" s="4" t="str">
        <x:v>R3-EU-009-FU1 — Formal policy
Innlandet–Sweden crossings other than Støa, Riksåsen and Magnormoen under initial roster
Start: 2021-01-02.
Last confirmed: 2021-01-02. Reopening is not established.
Formal policy: dated evidence; numeric duration withheld; see qualification</x:v>
      </x:c>
      <x:c r="G46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62" s="4" t="str">
        <x:v>R3-EU-009-FU1: January 2 legal restriction was initially reported without physical barriers. The initial police-derived report broadly lists commuters as exempt, but a later municipality-derived notice says ordinary commuters must use approved posts and that there is no commuter change; do not assume an exemption for all commuters. No whole-frontier physical closure asserted.
duration: Add January 2 legal-entry restriction phase, expressly excluding outgoing travel and exempt traffic. October national opening does not establish continuous closure of every initial minor route.
scope / commuter exception: Initial January 2 local police-derived notice broadly exempts commuters; later municipal notice describing January 18 rules says ordinary commuters must use approved crossings and there is no change for commuters. Exact original legal commuter category is unverified.</x:v>
      </x:c>
      <x:c r="I462" s="4" t="str">
        <x:v>Retained baseline assessment. Follow-up adjudicated; amend</x:v>
      </x:c>
      <x:c r="J462" s="18" t="d">
        <x:v>2026-10-23T00:00:00.000Z</x:v>
      </x:c>
      <x:c r="K462" s="21" t="str">
        <x:f>IFERROR(HYPERLINK("https://mittkongsvinger.no/2021/nyheter/en-rekke-grenseoverganger-er-na-stengt-inn-til-norge/","Mitt Kongsvinger"),"Mitt Kongsvinger")</x:f>
        <x:v>Mitt Kongsvinger</x:v>
      </x:c>
      <x:c r="L462" s="21" t="str">
        <x:f>IFERROR(HYPERLINK("https://www.hadeland.no/politiet-i-innlandet-setter-opp-sperrer-pa-grenseovergangene/s/5-21-844872","Hadeland"),"Hadeland")</x:f>
        <x:v>Hadeland</x:v>
      </x:c>
      <x:c r="M462" s="21" t="str">
        <x:f>IFERROR(HYPERLINK("https://www.svt.se/nyheter/lokalt/jamtland/gransovergangar-till-norge-stangs?lokalmeny=1","SVT"),"SVT")</x:f>
        <x:v>SVT</x:v>
      </x:c>
      <x:c r="N462" s="4" t="str">
        <x:v>https://mittkongsvinger.no/2021/nyheter/en-rekke-grenseoverganger-er-na-stengt-inn-til-norge/
https://www.hadeland.no/politiet-i-innlandet-setter-opp-sperrer-pa-grenseovergangene/s/5-21-844872
https://www.svt.se/nyheter/lokalt/jamtland/gransovergangar-till-norge-stangs?lokalmeny=1
https://www.transport.no/siteassets/dokumenter/informasjonsskriv-til-nettside/201231_aapne_grenseovergangssteder_210102.pdf
https://utdatert.statsforvalteren.no/nb/innlandet/helse-omsorg-og-sosialtjenester/smittevern/coronavirus/alle-grenseovergangene-apnes-6.-oktober
https://www.regjeringen.no/en/historical-archive/solbergs-government/Ministries/hod/News/2020ny/mandatory-testing-for-travellers-to-norway/id2826415/
https://www.regjeringen.no/no/dokumentarkiv/regjeringen-solberg/aktuelt-regjeringen-solberg/hod/nyheter/2021ny/alle-grenseovergangene-apnes/id2873331/
https://www.vg.no/nyheter/i/oAkznm/innreisereglene-er-skjerpet-men-grensene-er-ikke-fysisk-stengt
https://inte.statsforvalteren.no/nb/innlandet/helse-omsorg-og-sosialtjenester/smittevern/coronavirus/regjeringen-innforer-obligatorisk-testing-pa-grensen/
https://mittkongsvinger.no/2021/nyheter/dette-er-de-gjeldende-reglene-for-grensekryssing/
https://mittkongsvinger.no/2021/nyheter/skilting-om-stengte-grenseoverganger-pa-plass/</x:v>
      </x:c>
      <x:c r="O462" s="4" t="str">
        <x:v>Source 1: failed
Source 2: indexed excerpt
Source 3: indexed excerpt</x:v>
      </x:c>
      <x:c r="P462" s="20" t="n">
        <x:v>1</x:v>
      </x:c>
      <x:c r="Q462" s="4" t="str">
        <x:v>Europe</x:v>
      </x:c>
      <x:c r="R462" s="4" t="str">
        <x:v>Included</x:v>
      </x:c>
    </x:row>
    <x:row r="463" ht="186" hidden="0" customHeight="1">
      <x:c r="A463" s="16" t="str">
        <x:v>R3-EU-002</x:v>
      </x:c>
      <x:c r="B463" s="4" t="str">
        <x:v>Belgium renews prohibition of nonessential cross-border journeys in 2021</x:v>
      </x:c>
      <x:c r="C463" s="4" t="str">
        <x:v>Belgium; France; Luxembourg; Germany; Netherlands</x:v>
      </x:c>
      <x:c r="D463" s="4" t="str">
        <x:v>Belgian land frontiers
National bidirectional nonessential travel ban; land subset</x:v>
      </x:c>
      <x:c r="E463" s="4" t="str">
        <x:v>Tourist and recreational travellers
Direction: Both directions
Exceptions: Essential family, humanitarian, study, professional and eligible border-resident travel</x:v>
      </x:c>
      <x:c r="F463" s="4" t="str">
        <x:v>R3-EU-002-R1 — Formal policy
Belgian prohibition of recreational/tourist journeys to and from other EU/Schengen countries, subject to listed essential categories
Start: 2021-01-27.
Policy endpoint: 2021-04-19.
Formal policy: 82 calendar-day difference; operational continuity not established</x:v>
      </x:c>
      <x:c r="G46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63" s="4" t="str">
        <x:v>R3-EU-002-R1: Legal prohibition, not every-day border enforcement. Does not include continuing third-country restrictions or health measures. Legal study and final government announcement indexed-only.</x:v>
      </x:c>
      <x:c r="I463" s="4" t="str">
        <x:v>Retained baseline assessment. Retained with recorded qualifications</x:v>
      </x:c>
      <x:c r="J463" s="18" t="d">
        <x:v>2026-10-23T00:00:00.000Z</x:v>
      </x:c>
      <x:c r="K463" s="21" t="str">
        <x:f>IFERROR(HYPERLINK("https://news.belgium.be/fr/le-comite-de-concertation-se-prononce-pour-une-interdiction-temporaire-des-voyages-et-un-isolement","Belgium government"),"Belgium government")</x:f>
        <x:v>Belgium government</x:v>
      </x:c>
      <x:c r="L463" s="21" t="str">
        <x:f>IFERROR(HYPERLINK("https://www.europarl.europa.eu/RegData/etudes/STUD/2021/690581/EPRS_STU%282021%29690581_FR.pdf","European Parliament"),"European Parliament")</x:f>
        <x:v>European Parliament</x:v>
      </x:c>
      <x:c r="M463" s="21" t="str">
        <x:f>IFERROR(HYPERLINK("https://etaamb.openjustice.be/fr/arrete-ministeriel-du-20-mars-2021_n2021030774","OpenJustice mirror of Belgian Official Journal"),"OpenJustice mirror of Belgian Official Journal")</x:f>
        <x:v>OpenJustice mirror of Belgian Official Journal</x:v>
      </x:c>
      <x:c r="N463" s="4" t="str">
        <x:v>https://news.belgium.be/fr/le-comite-de-concertation-se-prononce-pour-une-interdiction-temporaire-des-voyages-et-un-isolement
https://www.europarl.europa.eu/RegData/etudes/STUD/2021/690581/EPRS_STU%282021%29690581_FR.pdf
https://etaamb.openjustice.be/fr/arrete-ministeriel-du-20-mars-2021_n2021030774
https://news.belgium.be/fr/le-comite-de-concertation-se-prononce-sur-la-fin-de-la-pause-pascale
https://etaamb.openjustice.be/fr/arrete-ministeriel-du-06-fevrier-2021_n2021030266.html
https://wallex.wallonie.be/de/contents/acts/46/46612/1.html
https://crisiscenter.be/en/newsroom/consultative-committee-bans-non-essential-travel-and-extends-isolation-period
https://www.brusselstimes.com/news/belgium-all-news/165031/what-will-travelling-look-like-after-the-lifting-of-the-non-essential-travel-ban-consultative-committee-alexander-de-croo-european-union-commission-vaccination-passport-ecdc
https://www.brusselstimes.com/news/belgium-all-news/154259/belgiums-ban-on-non-essential-travel-extended-until-1-april-consultative-committee-essential-reasons-de-croo-ministerial-decree/</x:v>
      </x:c>
      <x:c r="O463" s="4" t="str">
        <x:v>Source 1: full; indexed excerpt
Source 2: indexed excerpt; failed
Source 3: full</x:v>
      </x:c>
      <x:c r="P463" s="20" t="n">
        <x:v>1</x:v>
      </x:c>
      <x:c r="Q463" s="4" t="str">
        <x:v>Europe</x:v>
      </x:c>
      <x:c r="R463" s="4" t="str">
        <x:v>Included</x:v>
      </x:c>
    </x:row>
    <x:row r="464" ht="126" hidden="0" customHeight="1">
      <x:c r="A464" s="16" t="str">
        <x:v>R3-EU-001</x:v>
      </x:c>
      <x:c r="B464" s="4" t="str">
        <x:v>Norway renews and widens foreigner entry prohibition in January 2021</x:v>
      </x:c>
      <x:c r="C464" s="4" t="str">
        <x:v>Norway; Sweden; Finland; Russia</x:v>
      </x:c>
      <x:c r="D464" s="4" t="str">
        <x:v>Norwegian land frontiers
National admission rule; land component</x:v>
      </x:c>
      <x:c r="E464" s="4" t="str">
        <x:v>Nonresident foreign nationals, including previously eligible EEA workers and extended family
Direction: Into Norway
Exceptions: Residents; essential work, transport and defined family/welfare categories</x:v>
      </x:c>
      <x:c r="F464" s="4" t="str">
        <x:v>R3-EU-001-D1 — Formal policy
Norway's widened foreign-entry restriction regime, ending here at its September phase-one relaxation
Start: 2021-01-29.
Policy endpoint: 2021-09-25.
Formal policy: 239 calendar-day difference; operational continuity not established</x:v>
      </x:c>
      <x:c r="G46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64" s="4" t="str">
        <x:v>R3-EU-001-D1: Regime-level policy period, not invariant restriction on every foreigner. Residents and essential/family categories had evolving exceptions; third-country and physical crossing-point restrictions persisted after this partial easing.</x:v>
      </x:c>
      <x:c r="I464" s="4" t="str">
        <x:v>Retained baseline assessment. Retained with recorded qualifications</x:v>
      </x:c>
      <x:c r="J464" s="18" t="d">
        <x:v>2026-10-23T00:00:00.000Z</x:v>
      </x:c>
      <x:c r="K464" s="21" t="str">
        <x:f>IFERROR(HYPERLINK("https://www.regjeringen.no/en/historical-archive/solbergs-government/Ministries/smk/Press-releases/2021/norway-introduces-its-strictest-entry-rules-since-march-2020/id2830390/","Government of Norway"),"Government of Norway")</x:f>
        <x:v>Government of Norway</x:v>
      </x:c>
      <x:c r="L464" s="21" t="str">
        <x:f>IFERROR(HYPERLINK("https://www.regjeringen.no/en/historical-archive/solbergs-government/Ministries/jd/pressemeldinger/2021/entry-restrictions-will-be-gradually-lifted/id2872535/","Government of Norway"),"Government of Norway")</x:f>
        <x:v>Government of Norway</x:v>
      </x:c>
      <x:c r="M464" s="21" t="str">
        <x:f>IFERROR(HYPERLINK("https://www.regjeringen.no/no/dokumenter/nou-2022-5/id2910055/?ch=5","Government of Norway"),"Government of Norway")</x:f>
        <x:v>Government of Norway</x:v>
      </x:c>
      <x:c r="N464" s="4" t="str">
        <x:v>https://www.regjeringen.no/en/historical-archive/solbergs-government/Ministries/smk/Press-releases/2021/norway-introduces-its-strictest-entry-rules-since-march-2020/id2830390/
https://www.regjeringen.no/en/historical-archive/solbergs-government/Ministries/jd/pressemeldinger/2021/entry-restrictions-will-be-gradually-lifted/id2872535/
https://www.regjeringen.no/no/dokumenter/nou-2022-5/id2910055/?ch=5
https://www.mfa.gr/norway/en/covid-19-closure-of-the-borders-of-norway-for-foreign-nationals/
https://www.norway.no/en/iceland/norge-island/nyheter-arr/restriksjoner-pa-innreise-til-norge-fjernes-gradvis/
https://www.regjeringen.no/en/topics/health-and-care/public-health/timeline-for-news-from-norwegian-ministries-about-the-coronavirus-disease-covid-19/id2692402/?cbid=25084&amp;cbtid=58257</x:v>
      </x:c>
      <x:c r="O464" s="4" t="str">
        <x:v>Source 1: full page
Source 2: full page
Source 3: substantial indexed text</x:v>
      </x:c>
      <x:c r="P464" s="20" t="n">
        <x:v>1</x:v>
      </x:c>
      <x:c r="Q464" s="4" t="str">
        <x:v>Europe</x:v>
      </x:c>
      <x:c r="R464" s="4" t="str">
        <x:v>Included</x:v>
      </x:c>
    </x:row>
    <x:row r="465" ht="162" hidden="0" customHeight="1">
      <x:c r="A465" s="16" t="str">
        <x:v>R3-EU-010</x:v>
      </x:c>
      <x:c r="B465" s="4" t="str">
        <x:v>France renews nonessential UK travel prohibition during Omicron wave</x:v>
      </x:c>
      <x:c r="C465" s="4" t="str">
        <x:v>France; United Kingdom</x:v>
      </x:c>
      <x:c r="D465" s="4" t="str">
        <x:v>Channel Tunnel passenger crossings
National bilateral restriction including Channel Tunnel; air/sea components not separately inventoried</x:v>
      </x:c>
      <x:c r="E465" s="4" t="str">
        <x:v>Non-exempt tourist and business travellers, including vaccinated people
Direction: Both directions under French rules
Exceptions: Compelling reasons and French nationals/immediate-family return; freight details not reconstructed</x:v>
      </x:c>
      <x:c r="F465" s="4" t="str">
        <x:v>R3-EU-010-D1 — Formal policy
French compelling-reason requirement for vaccinated arrivals from the UK, including the Channel Tunnel land component
Start: 2021-12-18.
Policy endpoint: 2022-01-14.
Formal policy: 27 calendar-day difference; operational continuity not established</x:v>
      </x:c>
      <x:c r="G46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65" s="4" t="str">
        <x:v>R3-EU-010-D1: Selected policy category only, not a two-way total closure. French-national/family and compelling-reason exceptions applied; unvaccinated restrictions and testing persisted. Mode-specific traffic implementation was not independently observed.</x:v>
      </x:c>
      <x:c r="I465" s="4" t="str">
        <x:v>Retained baseline assessment. Retained with recorded qualifications</x:v>
      </x:c>
      <x:c r="J465" s="18" t="d">
        <x:v>2026-10-23T00:00:00.000Z</x:v>
      </x:c>
      <x:c r="K465" s="21" t="str">
        <x:f>IFERROR(HYPERLINK("https://www.info.gouv.fr/communique/12604-le-gouvernement-renforce-les-mesures-de-controle-sanitaire-aux-frontieres-avec-le-royaume-uni","French Prime Minister / government"),"French Prime Minister / government")</x:f>
        <x:v>French Prime Minister / government</x:v>
      </x:c>
      <x:c r="L465" s="21" t="str">
        <x:f>IFERROR(HYPERLINK("https://www.info.gouv.fr/communique/12631-assouplissement-des-mesures-sanitaires-aux-frontieres-avec-le-royaume-uni-pour-les-personnes","French Prime Minister / government"),"French Prime Minister / government")</x:f>
        <x:v>French Prime Minister / government</x:v>
      </x:c>
      <x:c r="M465" s="21" t="str">
        <x:f>IFERROR(HYPERLINK("https://www.info.gouv.fr/actualite/les-nouvelles-regles-pour-les-deplacements-entre-le-royaume-uni-et-la-france","info.gouv.fr"),"info.gouv.fr")</x:f>
        <x:v>info.gouv.fr</x:v>
      </x:c>
      <x:c r="N465" s="4" t="str">
        <x:v>https://www.info.gouv.fr/communique/12604-le-gouvernement-renforce-les-mesures-de-controle-sanitaire-aux-frontieres-avec-le-royaume-uni
https://www.info.gouv.fr/communique/12631-assouplissement-des-mesures-sanitaires-aux-frontieres-avec-le-royaume-uni-pour-les-personnes
https://www.info.gouv.fr/actualite/les-nouvelles-regles-pour-les-deplacements-entre-le-royaume-uni-et-la-france
https://www.interieur.gouv.fr/archive/attestation-de-deplacement-et-de-voyage
https://www.euronews.com/2021/12/16/france-to-tighten-entry-requirements-for-uk-arrivals-over-omicron-covid-variant
https://www.euronews.com/2022/01/13/france-to-lift-ban-on-uk-tourists-from-friday-minister-confirms
https://www.info.gouv.fr/upload/media/default/0001/01/2021_12_liste_des_motifs_imperieux_-_royaume-uni_-_16.12.2021.pdf</x:v>
      </x:c>
      <x:c r="O465" s="4" t="str">
        <x:v>Source 1: full page
Source 2: full page
Source 3: access detail is retained in the source catalogue.</x:v>
      </x:c>
      <x:c r="P465" s="20" t="n">
        <x:v>1</x:v>
      </x:c>
      <x:c r="Q465" s="4" t="str">
        <x:v>Europe</x:v>
      </x:c>
      <x:c r="R465" s="4" t="str">
        <x:v>Included</x:v>
      </x:c>
    </x:row>
    <x:row r="466" ht="114" hidden="0" customHeight="1">
      <x:c r="A466" s="16" t="str">
        <x:v>R3-EU-004</x:v>
      </x:c>
      <x:c r="B466" s="4" t="str">
        <x:v>Polish truckers obstruct commercial freight at three Ukrainian frontier approaches</x:v>
      </x:c>
      <x:c r="C466" s="4" t="str">
        <x:v>Poland; Ukraine</x:v>
      </x:c>
      <x:c r="D466" s="4" t="str">
        <x:v>Dorohusk–Yahodyn; Hrebenne–Rava-Ruska; Korczowa–Krakovets
Selective blockade of frontier access roads, not sovereign border closure</x:v>
      </x:c>
      <x:c r="E466" s="4" t="str">
        <x:v>Commercial road freight; limited vehicles passed
Direction: Freight approach access; direction-specific limits not fully reconstructed
Exceptions: Humanitarian and military freight continued; not a passenger closure</x:v>
      </x:c>
      <x:c r="F466" s="4" t="str">
        <x:v>R3-EU-004-D1 — Observed operation
Selective commercial-freight approach blockade at Korczowa only
Start: 2023-11-06.
Observed scoped reopening: 2024-01-16.
71 calendar-day difference; scoped endpoint only</x:v>
      </x:c>
      <x:c r="G466"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466" s="4" t="str">
        <x:v>R3-EU-004-D1: Selective obstruction, not all freight denied: humanitarian/military consignments continued and queues remained after clearance. Excludes Dorohusk, whose hiatus breaks a common three-post interval, and the separate Medyka farmers' protest.</x:v>
      </x:c>
      <x:c r="I466" s="4" t="str">
        <x:v>Retained baseline assessment. Retained with recorded qualifications</x:v>
      </x:c>
      <x:c r="J466" s="18" t="d">
        <x:v>2026-10-23T00:00:00.000Z</x:v>
      </x:c>
      <x:c r="K466" s="21" t="str">
        <x:f>IFERROR(HYPERLINK("https://www.gov.pl/web/infrastruktura/polscy-przewoznicy-zawieszaja-protesty-przed-drogowymi--przejsciami-granicznymi-z-ukraina","Polish Ministry of Infrastructure"),"Polish Ministry of Infrastructure")</x:f>
        <x:v>Polish Ministry of Infrastructure</x:v>
      </x:c>
      <x:c r="L466" s="21" t="str">
        <x:f>IFERROR(HYPERLINK("https://www.gov.pl/web/uw-podkarpacki/protest-przewoznikow-na-granicy-polsko-ukrainskiej-zawieszony","Podkarpacki regional governor"),"Podkarpacki regional governor")</x:f>
        <x:v>Podkarpacki regional governor</x:v>
      </x:c>
      <x:c r="M466" s="21" t="str">
        <x:f>IFERROR(HYPERLINK("https://www.voanews.com/amp/polish-farmers-to-suspend-protest-at-ukraine-border-/7410523.html","Reuters via VOA"),"Reuters via VOA")</x:f>
        <x:v>Reuters via VOA</x:v>
      </x:c>
      <x:c r="N466" s="4" t="str">
        <x:v>https://www.gov.pl/web/infrastruktura/polscy-przewoznicy-zawieszaja-protesty-przed-drogowymi--przejsciami-granicznymi-z-ukraina
https://www.gov.pl/web/uw-podkarpacki/protest-przewoznikow-na-granicy-polsko-ukrainskiej-zawieszony
https://www.voanews.com/amp/polish-farmers-to-suspend-protest-at-ukraine-border-/7410523.html
https://www.gov.pl/web/gitd/polscy-przewoznicy-zawieszaja-protesty-przed-drogowymi-przejsciami-granicznymi-z-ukraina2
https://en.interfax.com.ua/news/general/955191-amp.html</x:v>
      </x:c>
      <x:c r="O466" s="4" t="str">
        <x:v>Source 1: full page
Source 2: full page
Source 3: full page</x:v>
      </x:c>
      <x:c r="P466" s="20" t="n">
        <x:v>1</x:v>
      </x:c>
      <x:c r="Q466" s="4" t="str">
        <x:v>Europe</x:v>
      </x:c>
      <x:c r="R466" s="4" t="str">
        <x:v>Included</x:v>
      </x:c>
    </x:row>
    <x:row r="467" ht="270" hidden="0" customHeight="1">
      <x:c r="A467" s="16" t="str">
        <x:v>R3-EU-011</x:v>
      </x:c>
      <x:c r="B467" s="4" t="str">
        <x:v>Polish farmers obstruct Ukrainian frontier approaches in Lubelskie in spring2024</x:v>
      </x:c>
      <x:c r="C467" s="4" t="str">
        <x:v>Poland; Ukraine</x:v>
      </x:c>
      <x:c r="D467" s="4" t="str">
        <x:v>Dorohusk–Yahodyn; Hrebenne–Rava-Ruska; later Zosin–Ustyluh and Dołhobyczów–Uhryniv
Intermittent/selective road blockades in Lubelskie; not all Poland–Ukraine frontier</x:v>
      </x:c>
      <x:c r="E467" s="4" t="str">
        <x:v>Road freight; selective/hourly passage at some phases
Direction: Freight movement through affected posts; direction-specific phases not fully reconstructed
Exceptions: Humanitarian and military consignments excepted in initial Dorohusk report</x:v>
      </x:c>
      <x:c r="F467" s="4" t="str">
        <x:v>R3-EU-011-R1 — Intermittent regime
Farmers' selective truck-throughput restriction regime at Hrebenne–Rava-Ruska approach only
Start: 2024-02-09.
Scoped endpoint: 2024-04-28 to 2024-04-29.
Intermittent regime envelope; total closed days unknown</x:v>
      </x:c>
      <x:c r="G467"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467" s="4" t="str">
        <x:v>R3-EU-011-R1: Selective regime with changing exemptions/quotas, including April 5 reported relaxation still limited to 15 empty trucks per day. Cars/buses passed at initial stage. April 28 evening versus April 29 morning accounts bound clearance; no complete-day inclusion or total closed-day claim. Earlier hauliers and June renewed action excluded.</x:v>
      </x:c>
      <x:c r="I467" s="4" t="str">
        <x:v>Retained baseline assessment. Retained with recorded qualifications</x:v>
      </x:c>
      <x:c r="J467" s="18" t="d">
        <x:v>2026-10-23T00:00:00.000Z</x:v>
      </x:c>
      <x:c r="K467" s="21" t="str">
        <x:f>IFERROR(HYPERLINK("https://interfax.com/newsroom/top-stories/99300/","Interfax"),"Interfax")</x:f>
        <x:v>Interfax</x:v>
      </x:c>
      <x:c r="L467" s="21" t="str">
        <x:f>IFERROR(HYPERLINK("https://www.polskieradio.pl/395/7789/Artykul/3371448%2Cend-of-farmer-protest-at-hrebenne-border-crossing","Polish Radio"),"Polish Radio")</x:f>
        <x:v>Polish Radio</x:v>
      </x:c>
      <x:c r="M467" s="21" t="str">
        <x:f>IFERROR(HYPERLINK("https://www.polskieradio.pl/395/7789/artykul/3371448,end-of-farmer-protest-at-hrebenne-border-crossing","Polskie Radio / PAP"),"Polskie Radio / PAP")</x:f>
        <x:v>Polskie Radio / PAP</x:v>
      </x:c>
      <x:c r="N467" s="4" t="str">
        <x:v>https://interfax.com/newsroom/top-stories/99300/
https://www.polskieradio.pl/395/7789/Artykul/3371448%2Cend-of-farmer-protest-at-hrebenne-border-crossing
https://www.polskieradio.pl/395/7789/artykul/3371448,end-of-farmer-protest-at-hrebenne-border-crossing
https://kyivindependent.com/border-guard-polish-protestors-temporarily-unblock-traffic-at-hrebenne-rava-ruska-checkpoints/
https://www.reuters.com/world/europe/polish-protesters-lift-months-long-blockade-ukraine-border-2024-04-29/
https://radio.lublin.pl/2024/02/protest-rolnikow-w-dorohusku/
https://www.agropolska.pl/aktualnosci/polska/zakonczyl-sie-protest-rolnikow-przed-przejsciem-w-hrebennem-burmistrz-nie-wyrazil-zgody-na-przedluzenie/
https://www.eurointegration.com.ua/eng/news/2024/04/29/7184852/index.amp
https://www.pravda.com.ua/eng/news/2024/02/12/7441450/
https://www.eurointegration.com.ua/eng/news/2024/04/29/7184852/
https://unn.ua/en/news/state-border-guard-service-polish-farmers-partially-unblocked-the-hrebenne-rava-ruska-checkpoint
https://newsukraine.rbc.ua/news/polish-farmers-partially-unblock-border-crossing-1712340976.html
https://www.polskieradio.pl/395/7789/artykul/3371448%2Cend-of-farmer-protest-at-hrebenne-border-crossing
https://www.pravda.com.ua/eng/news/2024/04/29/7453439/</x:v>
      </x:c>
      <x:c r="O467" s="4" t="str">
        <x:v>Source 1: indexed excerpt; full
Source 2: indexed excerpt
Source 3: full</x:v>
      </x:c>
      <x:c r="P467" s="20" t="n">
        <x:v>1</x:v>
      </x:c>
      <x:c r="Q467" s="4" t="str">
        <x:v>Europe</x:v>
      </x:c>
      <x:c r="R467" s="4" t="str">
        <x:v>Included</x:v>
      </x:c>
    </x:row>
    <x:row r="468" ht="138" hidden="0" customHeight="1">
      <x:c r="A468" s="16" t="str">
        <x:v>R3-EU-013</x:v>
      </x:c>
      <x:c r="B468" s="4" t="str">
        <x:v>Russia orders suspension of seven rail border posts facing Finland, Estonia and Latvia</x:v>
      </x:c>
      <x:c r="C468" s="4" t="str">
        <x:v>Russia; Finland; Estonia; Latvia</x:v>
      </x:c>
      <x:c r="D468" s="4" t="str">
        <x:v>Pechory-Pskovskiye/Koidula; Pytalovo; Vyborg; Vyartsilya; Lyuttya; St Petersburg-Finlyandsky; Svetogorsk
Named rail-post suspensions; other routes not implied closed</x:v>
      </x:c>
      <x:c r="E468" s="4" t="str">
        <x:v>People, vehicles, goods and cargo through listed rail posts
Direction: Both directions
Exceptions: Other rail routes not covered by the order; prior operating status of each Finnish route not independently reconstructed</x:v>
      </x:c>
      <x:c r="F468" s="4" t="str">
        <x:v>R3-EU-013-FU1 — Formal policy
Seven named rail border posts facing Finland, Estonia and Latvia
Start: 2026-07-01.
Last confirmed: 2026-07-01. Reopening is not established.
Formal policy: dated evidence; numeric duration withheld; see qualification</x:v>
      </x:c>
      <x:c r="G468" s="4" t="str">
        <x:v>Uncoded / Unresolved rationale
Not assigned
Applies to: Not assigned
No additional motive inferred</x:v>
      </x:c>
      <x:c r="H468" s="4" t="str">
        <x:v>R3-EU-013-FU1: Policy confirmation on July 1; no post-by-post operational start or later status extrapolated to October 21.
end/continuity: Fresh recency search recovered no matched later status; absence of a result is not ongoing closure evidence.
duration: Add July 1 formally effective rail-post suspension, confirmed by federal agency notice. Keep both rationale and later status explicitly unknown; no inference from geopolitical context or silence.
rationale: Neither full legal order nor federal agency notice states a rationale; contextual inference would be unsupported.</x:v>
      </x:c>
      <x:c r="I468" s="4" t="str">
        <x:v>Retained baseline assessment. 23 October targeted review; retained with qualifications</x:v>
      </x:c>
      <x:c r="J468" s="18" t="d">
        <x:v>2026-10-23T00:00:00.000Z</x:v>
      </x:c>
      <x:c r="K468" s="21" t="str">
        <x:f>IFERROR(HYPERLINK("https://www.garant.ru/products/ipo/prime/doc/414370465/","GARANT"),"GARANT")</x:f>
        <x:v>GARANT</x:v>
      </x:c>
      <x:c r="L468" s="21" t="str">
        <x:f>IFERROR(HYPERLINK("https://www.rosgranstroy.ru/press-center/news/priostanovleno-dvizhenie-cherez-zheleznodorozhnye-punkty-propuska-na-granice-s-finlyandiey-estoniey-i-latviey","rosgranstroy.ru"),"rosgranstroy.ru")</x:f>
        <x:v>rosgranstroy.ru</x:v>
      </x:c>
      <x:c r="M468" s="21" t="str">
        <x:f>IFERROR(HYPERLINK("https://news.err.ee/1610109211/estonia-extends-overnight-russia-border-closures-indefinitely","ERR"),"ERR")</x:f>
        <x:v>ERR</x:v>
      </x:c>
      <x:c r="N468" s="4" t="str">
        <x:v>https://www.garant.ru/products/ipo/prime/doc/414370465/
https://www.rosgranstroy.ru/press-center/news/priostanovleno-dvizhenie-cherez-zheleznodorozhnye-punkty-propuska-na-granice-s-finlyandiey-estoniey-i-latviey
https://news.err.ee/1610109211/estonia-extends-overnight-russia-border-closures-indefinitely
https://base.garant.ru/414470465/
https://news.err.ee/1610067124/russia-temporarily-closes-rail-border-crossings-with-estonia-latvia-and-finland
https://meduza.io/en/news/2026/07/01/russia-closes-seven-railway-border-crossings-with-finland-latvia-and-estonia</x:v>
      </x:c>
      <x:c r="O468" s="4" t="str">
        <x:v>Source 1: full
Source 2: access detail is retained in the source catalogue.
Source 3: indexed excerpt</x:v>
      </x:c>
      <x:c r="P468" s="20" t="n">
        <x:v>1</x:v>
      </x:c>
      <x:c r="Q468" s="4" t="str">
        <x:v>Europe</x:v>
      </x:c>
      <x:c r="R468" s="4" t="str">
        <x:v>Included</x:v>
      </x:c>
    </x:row>
    <x:row r="469" ht="162" hidden="0" customHeight="1">
      <x:c r="A469" s="16" t="str">
        <x:v>R3-AF-006</x:v>
      </x:c>
      <x:c r="B469" s="4" t="str">
        <x:v>Nimule–Elegu closes after killings of police officers</x:v>
      </x:c>
      <x:c r="C469" s="4" t="str">
        <x:v>South Sudan; Uganda</x:v>
      </x:c>
      <x:c r="D469" s="4" t="str">
        <x:v>Nimule / Elegu
Nimule–Elegu international land crossing</x:v>
      </x:c>
      <x:c r="E469" s="4" t="str">
        <x:v>Cross-border travellers and trade
Direction: Both directions; South Sudan officer expressly cites preventing outward movement
Exceptions: Not established</x:v>
      </x:c>
      <x:c r="F469" s="4" t="str">
        <x:v>R3-AF-006-D1 — Observed operation
Nimule–Elegu international land crossing; Cross-border travellers and trade; Both directions; South Sudan officer expressly cites preventing outward movement
Start: 2022-05-12.
Observed scoped reopening: 2022-05-13.
1 calendar-day difference; scoped endpoint only</x:v>
      </x:c>
      <x:c r="G469" s="4" t="str">
        <x:v>Security / Armed attacks and terrorism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69" s="4" t="str">
        <x:v>R3-AF-006-D1: Both outlets interview the same officer; two articles are one principal operational origin. Exact hours and exemptions unreported. Not established</x:v>
      </x:c>
      <x:c r="I469" s="4" t="str">
        <x:v>Targeted source review (REC50-R19); retained with recorded qualifications; evidence limits retained.</x:v>
      </x:c>
      <x:c r="J469" s="18" t="d">
        <x:v>2026-10-25T00:00:00.000Z</x:v>
      </x:c>
      <x:c r="K469" s="21" t="str">
        <x:f>IFERROR(HYPERLINK("https://www.eyeradio.org/nimule-border-closes-temporarily-as-gunmen-kill-2-police-officers-police/","Eye Radio"),"Eye Radio")</x:f>
        <x:v>Eye Radio</x:v>
      </x:c>
      <x:c r="L469" s="21" t="str">
        <x:f>IFERROR(HYPERLINK("https://www.radiotamazuj.org/en/news/article/nimule-border-reopened-after-brief-closure","Radio Tamazuj"),"Radio Tamazuj")</x:f>
        <x:v>Radio Tamazuj</x:v>
      </x:c>
      <x:c r="M469" s="21" t="str">
        <x:f>IFERROR(HYPERLINK("https://eyeradio.org/south-sudan-uganda-border-at-elegu-reopens/","Eye Radio"),"Eye Radio")</x:f>
        <x:v>Eye Radio</x:v>
      </x:c>
      <x:c r="N469" s="4" t="str">
        <x:v>https://www.eyeradio.org/nimule-border-closes-temporarily-as-gunmen-kill-2-police-officers-police/
https://www.radiotamazuj.org/en/news/article/nimule-border-reopened-after-brief-closure
https://eyeradio.org/south-sudan-uganda-border-at-elegu-reopens/
https://eyeradio.org/nimule-border-closes-temporarily-as-gunmen-kill-2-police-officers-police/</x:v>
      </x:c>
      <x:c r="O469" s="4" t="str">
        <x:v>Source 1: full page
Source 2: full; full text
Source 3: full text</x:v>
      </x:c>
      <x:c r="P469" s="20" t="n">
        <x:v>1</x:v>
      </x:c>
      <x:c r="Q469" s="4" t="str">
        <x:v>Horn of Africa</x:v>
      </x:c>
      <x:c r="R469" s="4" t="str">
        <x:v>Included</x:v>
      </x:c>
    </x:row>
    <x:row r="470" ht="162" hidden="0" customHeight="1">
      <x:c r="A470" s="16" t="str">
        <x:v>R3-AF-007</x:v>
      </x:c>
      <x:c r="B470" s="4" t="str">
        <x:v>Nimule–Elegu temporarily closes amid protest after chief killed</x:v>
      </x:c>
      <x:c r="C470" s="4" t="str">
        <x:v>South Sudan; Uganda</x:v>
      </x:c>
      <x:c r="D470" s="4" t="str">
        <x:v>Nimule / Elegu
Nimule–Elegu land crossing and associated customs clearance</x:v>
      </x:c>
      <x:c r="E470" s="4" t="str">
        <x:v>Cross-border travellers and trade
Direction: Not established
Exceptions: Not established</x:v>
      </x:c>
      <x:c r="F470" s="4" t="str">
        <x:v>R3-AF-007-D1 — Observed operation
Nimule–Elegu interruption; endpoint is the first reported resumed Uganda-to-South Sudan bus passage, alongside reported reopening of border services.
Start: 2022-07-11.
Observed scoped reopening: 2022-07-12.
1 calendar-day difference; scoped endpoint only</x:v>
      </x:c>
      <x:c r="G470" s="4" t="str">
        <x:v>Security / Crime and law enforcement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70" s="4" t="str">
        <x:v>R3-AF-007-D1: July 11–12 dates rest on URN local interviews. Directly described returning vehicles are northbound buses; the border-service reopening is also reported, but a matched truck count is absent. Voluntary waiting and congestion are not continuing closure. Eye Radio’s July 15 report describes July 14 functionality, not a separate reopening date.</x:v>
      </x:c>
      <x:c r="I470" s="4" t="str">
        <x:v>Targeted source review (REC50-R34); accepted qualification; evidence limits retained.</x:v>
      </x:c>
      <x:c r="J470" s="18" t="d">
        <x:v>2026-10-25T00:00:00.000Z</x:v>
      </x:c>
      <x:c r="K470" s="21" t="str">
        <x:f>IFERROR(HYPERLINK("https://www.ugandaradionetwork.net/a/story/trucks-pile-at-elegu-border-following-violence-in-south-sudan","Uganda Radio Network"),"Uganda Radio Network")</x:f>
        <x:v>Uganda Radio Network</x:v>
      </x:c>
      <x:c r="L470" s="21" t="str">
        <x:f>IFERROR(HYPERLINK("https://www.eyeradio.org/lobong-back-to-torit-as-calm-returns-to-nimule/","Eye Radio"),"Eye Radio")</x:f>
        <x:v>Eye Radio</x:v>
      </x:c>
      <x:c r="M470" s="21" t="str">
        <x:f>IFERROR(HYPERLINK("https://www.independent.co.ug/trucks-pile-at-elegu-border-following-protests-in-south-sudan/","independent.co.ug"),"independent.co.ug")</x:f>
        <x:v>independent.co.ug</x:v>
      </x:c>
      <x:c r="N470" s="4" t="str">
        <x:v>https://www.ugandaradionetwork.net/a/story/trucks-pile-at-elegu-border-following-violence-in-south-sudan
https://www.eyeradio.org/lobong-back-to-torit-as-calm-returns-to-nimule/
https://www.independent.co.ug/trucks-pile-at-elegu-border-following-protests-in-south-sudan/</x:v>
      </x:c>
      <x:c r="O470" s="4" t="str">
        <x:v>Source 1: full text
Source 2: full text
Source 3: access detail is retained in the source catalogue.</x:v>
      </x:c>
      <x:c r="P470" s="20" t="n">
        <x:v>1</x:v>
      </x:c>
      <x:c r="Q470" s="4" t="str">
        <x:v>Horn of Africa</x:v>
      </x:c>
      <x:c r="R470" s="4" t="str">
        <x:v>Included</x:v>
      </x:c>
    </x:row>
    <x:row r="471" ht="78" hidden="0" customHeight="1">
      <x:c r="A471" s="16" t="str">
        <x:v>R3-ME-010</x:v>
      </x:c>
      <x:c r="B471" s="4" t="str">
        <x:v>Oncupinar prohibition on direct passage of Turkish trucks, 2011–2019</x:v>
      </x:c>
      <x:c r="C471" s="4" t="str">
        <x:v>Türkiye; Syria</x:v>
      </x:c>
      <x:c r="D471" s="4" t="str">
        <x:v>Oncupinar / Bab al-Salama</x:v>
      </x:c>
      <x:c r="E471" s="4" t="str">
        <x:v>Turkish-registered trucks directly entering Syria
Direction: Turkey into Syria.
Exceptions: Transshipment of goods to Syrian trucks continued; direct vehicle entry permission reportedly effective 4 March, observed passage documented 5 March.</x:v>
      </x:c>
      <x:c r="F471" s="4" t="str">
        <x:v>R3-ME-010-D1 — Observed operation
Direct entry of Turkish-registered trucks into Syria at Oncupinar–Bab al-Salama
Start: 2011-01-01 to 2011-12-31.
Observed scoped reopening: 2019-03-04 to 2019-03-05.
2620–2985 calendar-day difference; scoped endpoint only</x:v>
      </x:c>
      <x:c r="G471"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71" s="4" t="str">
        <x:v>R3-ME-010-D1: Full-2011 onset bounds remain. Goods continued by transshipment. March 4 is the prospectively announced permission date; the March 5 report says access applies as of Tuesday and records fifty trucks in the preceding hours. The March 4-5 endpoint bound remains a conservative permission-to-observation inference, not two observed first-passage dates. No March 4 actual passage was recovered. Customs documents and a signed voluntary-entry undertaking apply; other vehicles and passengers are excluded.</x:v>
      </x:c>
      <x:c r="I471" s="4" t="str">
        <x:v>Targeted source review (REC50-R49); accepted corrections; evidence limits retained.</x:v>
      </x:c>
      <x:c r="J471" s="18" t="d">
        <x:v>2026-10-25T00:00:00.000Z</x:v>
      </x:c>
      <x:c r="K471" s="21" t="str">
        <x:f>IFERROR(HYPERLINK("https://www.aa.com.tr/en/economy/turkey-reopens-key-border-crossing-with-syria/1409698","Anadolu Agency"),"Anadolu Agency")</x:f>
        <x:v>Anadolu Agency</x:v>
      </x:c>
      <x:c r="L471" s="21" t="str">
        <x:f>IFERROR(HYPERLINK("https://www.trthaber.com/haber/turkiye/oncupinar-gumruk-kapisi-direkt-gecislere-yeniden-aciliyor-406943.html","TRT Haber / Anadolu Agency"),"TRT Haber / Anadolu Agency")</x:f>
        <x:v>TRT Haber / Anadolu Agency</x:v>
      </x:c>
      <x:c r="M471" s="21" t="str">
        <x:f>IFERROR(HYPERLINK("https://www.hurriyetdailynews.com/amp/turkey-reopens-key-border-crossing-with-syria-141672","hurriyetdailynews.com"),"hurriyetdailynews.com")</x:f>
        <x:v>hurriyetdailynews.com</x:v>
      </x:c>
      <x:c r="N471" s="4" t="str">
        <x:v>https://www.aa.com.tr/en/economy/turkey-reopens-key-border-crossing-with-syria/1409698
https://www.trthaber.com/haber/turkiye/oncupinar-gumruk-kapisi-direkt-gecislere-yeniden-aciliyor-406943.html
https://www.hurriyetdailynews.com/amp/turkey-reopens-key-border-crossing-with-syria-141672
https://www.al-monitor.com/originals/2019/03/syria-bab-al-salama-crossing-turkey-trucks-goods.html</x:v>
      </x:c>
      <x:c r="O471" s="4" t="str">
        <x:v>Source 1: indexed excerpt; full text
Source 2: full; full text
Source 3: access detail is retained in the source catalogue.</x:v>
      </x:c>
      <x:c r="P471" s="20" t="n">
        <x:v>1</x:v>
      </x:c>
      <x:c r="Q471" s="4" t="str">
        <x:v>Middle East</x:v>
      </x:c>
      <x:c r="R471" s="4" t="str">
        <x:v>Included</x:v>
      </x:c>
    </x:row>
    <x:row r="472" ht="90" hidden="0" customHeight="1">
      <x:c r="A472" s="16" t="str">
        <x:v>R3-ME-002</x:v>
      </x:c>
      <x:c r="B472" s="4" t="str">
        <x:v>Bab al-Hawa commercial restrictions after HTS takeover, August–October 2017</x:v>
      </x:c>
      <x:c r="C472" s="4" t="str">
        <x:v>Türkiye; Syria</x:v>
      </x:c>
      <x:c r="D472" s="4" t="str">
        <x:v>Cilvegozu / Bab al-Hawa</x:v>
      </x:c>
      <x:c r="E472" s="4" t="str">
        <x:v>Commercial goods; civilian crossing restrictions continued
Direction: Turkey into Syria for the commercial flows described.
Exceptions: Humanitarian, food, medicine and hygiene truck loads permitted in the3August report; on18October commercial restrictions lifted except cement.</x:v>
      </x:c>
      <x:c r="F472" s="4" t="str">
        <x:v>R3-ME-002-D1 — Observed operation
Nonessential commercial goods other than cement at Cilvegozu–Bab al-Hawa; humanitarian, food, medicine and hygiene loads excluded
Start: 2017-08-01 to 2017-08-03.
Observed scoped reopening: 2017-10-18.
76–78 calendar-day difference; scoped endpoint only</x:v>
      </x:c>
      <x:c r="G472"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72" s="4" t="str">
        <x:v>R3-ME-002-D1: Onset bounded August 1–3; no exact start hour is inferred. Humanitarian, food, medicine and hygiene loads were permitted. Cement remained barred after October 18 and civilian passage remained restricted.</x:v>
      </x:c>
      <x:c r="I472" s="4" t="str">
        <x:v>Retained baseline assessment. Amended after source reconciliation</x:v>
      </x:c>
      <x:c r="J472" s="18" t="d">
        <x:v>2026-10-23T00:00:00.000Z</x:v>
      </x:c>
      <x:c r="K472" s="21" t="str">
        <x:f>IFERROR(HYPERLINK("https://syriadirect.org/ankara-reopens-idlib-border-crossing-as-turkish-soldiers-build-presence-in-northern-syria/","Syria Direct"),"Syria Direct")</x:f>
        <x:v>Syria Direct</x:v>
      </x:c>
      <x:c r="L472" s="21" t="str">
        <x:f>IFERROR(HYPERLINK("https://logcluster.org/en/alerts/warning-183","Logistics Cluster"),"Logistics Cluster")</x:f>
        <x:v>Logistics Cluster</x:v>
      </x:c>
      <x:c r="M472" s="21" t="str">
        <x:f>IFERROR(HYPERLINK("https://www.aa.com.tr/fr/politique/turquie-syrie-restrictions-au-niveau-du-poste-fronti%C3%A8re-turc-de-cilvegozu-/875725","aa.com.tr"),"aa.com.tr")</x:f>
        <x:v>aa.com.tr</x:v>
      </x:c>
      <x:c r="N472" s="4" t="str">
        <x:v>https://syriadirect.org/ankara-reopens-idlib-border-crossing-as-turkish-soldiers-build-presence-in-northern-syria/
https://logcluster.org/en/alerts/warning-183
https://www.aa.com.tr/fr/politique/turquie-syrie-restrictions-au-niveau-du-poste-fronti%C3%A8re-turc-de-cilvegozu-/875725
https://aa.com.tr/en/todays-headlines/turkish-troop-deployments-in-idlib-prompt-trade-revival/954872</x:v>
      </x:c>
      <x:c r="O472" s="4" t="str">
        <x:v>Source 1: full page
Source 2: full page
Source 3: access detail is retained in the source catalogue.</x:v>
      </x:c>
      <x:c r="P472" s="20" t="n">
        <x:v>1</x:v>
      </x:c>
      <x:c r="Q472" s="4" t="str">
        <x:v>Middle East</x:v>
      </x:c>
      <x:c r="R472" s="4" t="str">
        <x:v>Included</x:v>
      </x:c>
    </x:row>
    <x:row r="473" ht="90" hidden="0" customHeight="1">
      <x:c r="A473" s="16" t="str">
        <x:v>R3-ME-007</x:v>
      </x:c>
      <x:c r="B473" s="4" t="str">
        <x:v>Safwan protest blockade, July 2018</x:v>
      </x:c>
      <x:c r="C473" s="4" t="str">
        <x:v>Iraq; Kuwait</x:v>
      </x:c>
      <x:c r="D473" s="4" t="str">
        <x:v>Safwan / Abdali</x:v>
      </x:c>
      <x:c r="E473" s="4" t="str">
        <x:v>Border traffic; passenger/freight subdivision not established
Direction: Not separately specified.
Exceptions: Not established.</x:v>
      </x:c>
      <x:c r="F473" s="4" t="str">
        <x:v>R3-ME-007-R1 — Observed operation
Safwan first reported protest obstruction and commercial reopening
Start: 2018-07-14.
Observed scoped reopening: 2018-07-14.
Same-day episode; no whole-day duration inferred</x:v>
      </x:c>
      <x:c r="G473" s="4" t="str">
        <x:v>Policy and socioeconomic demands / Jobs, services and livelihoods
Reported reason
Applies to: Recorded episode; exact overlap not separately established
The recorded rationale and claim assessment support the selected subcategories. All applicable broad categories are retained together; no primary rationale is imposed.</x:v>
      </x:c>
      <x:c r="H473" s="4" t="str">
        <x:v>R3-ME-007-R1: No precise hours or full passenger restoration established. Later closed-status report remains unreconciled; this is only the first same-day spell.</x:v>
      </x:c>
      <x:c r="I473" s="4" t="str">
        <x:v>Retained baseline assessment. Retained with recorded qualifications</x:v>
      </x:c>
      <x:c r="J473" s="18" t="d">
        <x:v>2026-10-23T00:00:00.000Z</x:v>
      </x:c>
      <x:c r="K473" s="21" t="str">
        <x:f>IFERROR(HYPERLINK("https://www.aa.com.tr/en/middle-east/iraqi-protesters-close-border-crossing-with-kuwait/1203876","Anadolu"),"Anadolu")</x:f>
        <x:v>Anadolu</x:v>
      </x:c>
      <x:c r="L473" s="21" t="str">
        <x:f>IFERROR(HYPERLINK("https://www.elwatannews.com/news/details/3521996","El Watan"),"El Watan")</x:f>
        <x:v>El Watan</x:v>
      </x:c>
      <x:c r="M473" s="21" t="str">
        <x:f>IFERROR(HYPERLINK("https://www.eremnews.com/news/1415061","Erem"),"Erem")</x:f>
        <x:v>Erem</x:v>
      </x:c>
      <x:c r="N473" s="4" t="str">
        <x:v>https://www.aa.com.tr/en/middle-east/iraqi-protesters-close-border-crossing-with-kuwait/1203876
https://www.elwatannews.com/news/details/3521996
https://www.eremnews.com/news/1415061
https://www.abc.net.au/news/2018-07-16/two-killed-as-protesters-in-southern-iraq-demand-better-jobs/9996486
https://www.jamaicaobserver.com/2018/07/15/southern-iraqis-demand-better-services-jobs/
https://kuwaittimes.com/kuwait-security-situation-stable-northern-borders-under-control</x:v>
      </x:c>
      <x:c r="O473" s="4" t="str">
        <x:v>Source 1: full
Source 2: indexed excerpt; failed; full
Source 3: full</x:v>
      </x:c>
      <x:c r="P473" s="20" t="n">
        <x:v>1</x:v>
      </x:c>
      <x:c r="Q473" s="4" t="str">
        <x:v>Middle East</x:v>
      </x:c>
      <x:c r="R473" s="4" t="str">
        <x:v>Included</x:v>
      </x:c>
    </x:row>
    <x:row r="474" ht="102" hidden="0" customHeight="1">
      <x:c r="A474" s="16" t="str">
        <x:v>R3-ME-008</x:v>
      </x:c>
      <x:c r="B474" s="4" t="str">
        <x:v>Safwan overnight protest blockade, November 2019</x:v>
      </x:c>
      <x:c r="C474" s="4" t="str">
        <x:v>Iraq; Kuwait</x:v>
      </x:c>
      <x:c r="D474" s="4" t="str">
        <x:v>Safwan / Abdali</x:v>
      </x:c>
      <x:c r="E474" s="4" t="str">
        <x:v>People and commercial goods
Direction: People and goods both entry and exit in official reopening account.
Exceptions: None established during blockade.</x:v>
      </x:c>
      <x:c r="F474" s="4" t="str">
        <x:v>R3-ME-008-D1 — Observed operation
Safwan / Abdali; People and commercial goods; People and goods both entry and exit in official reopening account.
Start: 2019-11-20.
Observed scoped reopening: 2019-11-21.
1 calendar-day difference; scoped endpoint only</x:v>
      </x:c>
      <x:c r="G474" s="4" t="str">
        <x:v>Power and regime politics / Opposition and political reform
Analytical interpretation of reported context
Applies to: Safwan sit-in’s November 20–21 border obstruction
Local participants explicitly challenged political parties’ handling of Basra’s rights and rejected their reform proposal, before moving the same sit-in to the gate. The coding is an analytical interpretation of that linked stated purpose; no specific demand for jobs, resignation or constitutional change is assigned solely from national context.</x:v>
      </x:c>
      <x:c r="H474" s="4" t="str">
        <x:v>R3-ME-008-D1: Day dates derive from Wednesday night / Thursday in a report dated Saturday 23 November. Separate official interview confirms a short interruption, but lacks its own exact reopening date. None established during blockade.
rationale: Propose a qualified political-opposition coding from the linked local sit-in’s own statements, subject to independent challenge. Do not assign every demand from nationwide protest background to this gate action.</x:v>
      </x:c>
      <x:c r="I474" s="4" t="str">
        <x:v>Retained baseline assessment. Follow-up adjudicated; amend</x:v>
      </x:c>
      <x:c r="J474" s="18" t="d">
        <x:v>2026-10-23T00:00:00.000Z</x:v>
      </x:c>
      <x:c r="K474" s="21" t="str">
        <x:f>IFERROR(HYPERLINK("https://shafaq.com/en/Iraq/safwan-sit-in-continue-for-its-sixth-day","Shafaq News"),"Shafaq News")</x:f>
        <x:v>Shafaq News</x:v>
      </x:c>
      <x:c r="L474" s="21" t="str">
        <x:f>IFERROR(HYPERLINK("https://www.arabtimesonline.com/news/safwan-border-with-kuwait-is-reopened/","Arab Times"),"Arab Times")</x:f>
        <x:v>Arab Times</x:v>
      </x:c>
      <x:c r="M474" s="21" t="str">
        <x:f>IFERROR(HYPERLINK("https://baghdadtoday.news/101626-.html","baghdadtoday.news"),"baghdadtoday.news")</x:f>
        <x:v>baghdadtoday.news</x:v>
      </x:c>
      <x:c r="N474" s="4" t="str">
        <x:v>https://shafaq.com/en/Iraq/safwan-sit-in-continue-for-its-sixth-day
https://www.arabtimesonline.com/news/safwan-border-with-kuwait-is-reopened/
https://baghdadtoday.news/101626-.html
https://baghdadtoday.news/101841-.html</x:v>
      </x:c>
      <x:c r="O474" s="4" t="str">
        <x:v>Source 1: full page
Source 2: full page
Source 3: access detail is retained in the source catalogue.</x:v>
      </x:c>
      <x:c r="P474" s="20" t="n">
        <x:v>1</x:v>
      </x:c>
      <x:c r="Q474" s="4" t="str">
        <x:v>Middle East</x:v>
      </x:c>
      <x:c r="R474" s="4" t="str">
        <x:v>Included</x:v>
      </x:c>
    </x:row>
    <x:row r="475" ht="210" hidden="0" customHeight="1">
      <x:c r="A475" s="16" t="str">
        <x:v>R3-ME-011</x:v>
      </x:c>
      <x:c r="B475" s="4" t="str">
        <x:v>Lebanon–Syria COVID passenger closure regimes and phased exceptions, 2020–2021</x:v>
      </x:c>
      <x:c r="C475" s="4" t="str">
        <x:v>Lebanon; Syria</x:v>
      </x:c>
      <x:c r="D475" s="4" t="str">
        <x:v>Masnaa / Jdeidet Yabous; Abboudieh and other official Lebanon–Syria land posts</x:v>
      </x:c>
      <x:c r="E475" s="4" t="str">
        <x:v>Passengers, with nationality and direction-specific exceptions
Direction: Separate directions: Lebanese entry controls and Syrian entry controls. December endpoint principally Lebanese nationals entering Syria.
Exceptions: Freight exempt; Lebanese family return slots in June 2020, partial Masnaa/Abboudieh reopening reported March 2021, Lebanese admission into Syria eased December 2021.</x:v>
      </x:c>
      <x:c r="F475" s="4" t="str">
        <x:v>R3-ME-011-R1 — Announced window
Lebanon initial land-arrival passenger restriction
Start: 2020-03-18.
Scheduled endpoint: 2020-03-30.
Ordered window: 12 calendar-day difference; actual end not established
R3-ME-011-C7P1 — Announced window
Extension of Lebanon initial incoming land-passenger closure
Start: 2020-03-30.
Scheduled endpoint: 2020-04-12.
Ordered window: 13 calendar-day difference; actual end not established
R3-ME-011-C7P2 — Observed operation
Lebanon–Syria land passenger transport closure observed as of July 1
Start: unknown.
Last confirmed: 2020-07-01. Reopening is not established.
dated evidence; numeric duration withheld; see qualification</x:v>
      </x:c>
      <x:c r="G47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75" s="4" t="str">
        <x:v>R3-ME-011-R1: Initial ordered window only. Primary Arabic resolves UNECE English midnight notation. Lebanon incoming land passengers only; Syrian-side rules, exits, actual reopening and later extensions are separate. Permitted return clause does not override preexisting Syria-country restriction.
R3-ME-011-C7P1: Continuation of the same initial passenger-arrival order, with UNIFIL, diplomatic, international-organization and Block 4-worker exceptions retained. April 12 is a scheduled last date; exact endpoint hour is not recovered. Not observed reopening and not Syrian-side operation.
R3-ME-011-C7P2: Dated status only; no onset or continuous link to the March–April orders inferred. Announced July 7 citizen return 09:00–16:00 is an exception, not a general passenger reopening.</x:v>
      </x:c>
      <x:c r="I475" s="4" t="str">
        <x:v>Retained baseline assessment. Correction pass: amended with stated qualifications</x:v>
      </x:c>
      <x:c r="J475" s="18" t="d">
        <x:v>2026-10-23T00:00:00.000Z</x:v>
      </x:c>
      <x:c r="K475" s="21" t="str">
        <x:f>IFERROR(HYPERLINK("https://wiki.unece.org/spaces/CTRBSBC/pages/101548467/Lebanon","UNECE"),"UNECE")</x:f>
        <x:v>UNECE</x:v>
      </x:c>
      <x:c r="L475" s="21" t="str">
        <x:f>IFERROR(HYPERLINK("https://logcluster.org/sites/default/files/public/ochaimpacctlebanoncovid-19ciqpbulletin5_200807.pdf","OCHA IMPACCT / Logistics Cluster"),"OCHA IMPACCT / Logistics Cluster")</x:f>
        <x:v>OCHA IMPACCT / Logistics Cluster</x:v>
      </x:c>
      <x:c r="M475" s="21" t="str">
        <x:f>IFERROR(HYPERLINK("https://drm.pcm.gov.lb/Media/News/Daily-situation-report-27-March%2C-2021_English-Vers.pdf","Lebanon Disaster Risk Management"),"Lebanon Disaster Risk Management")</x:f>
        <x:v>Lebanon Disaster Risk Management</x:v>
      </x:c>
      <x:c r="N475" s="4" t="str">
        <x:v>https://wiki.unece.org/spaces/CTRBSBC/pages/101548467/Lebanon
https://logcluster.org/sites/default/files/public/ochaimpacctlebanoncovid-19ciqpbulletin5_200807.pdf
https://drm.pcm.gov.lb/Media/News/Daily-situation-report-27-March%2C-2021_English-Vers.pdf
https://pcm.gov.lb/arabic/subpg.aspx?pageid=17372&amp;parentid=38
https://wiki.unece.org/download/attachments/101548467/LEBANON%20-%20COVID-19%20-%20CIQP%20Bulletin%204.pdf?api=v2&amp;modificationDate=1596707867138&amp;version=1
https://www.mtv.com.lb/news/1067665
https://www.xinhuanet.com/english/2020-03/23/c_138905659.htm
https://www.lbcgroup.tv/news/news-bulletin-reports/621707/lbci-lebanon-articles/en
https://today.lorientlejour.com/article/1255804/lebanons-border-with-syria-at-the-crossings-of-abboudieh-and-masnaa-have-been-partially-reopened-allowing-a-limited-number-of-people-to-travel-between.html
https://www.hrw.org/news/2020/04/02/lebanon-refugees-risk-covid-19-response
https://stj-sy.org/en/hama-arrests-against-syrians-returning-from-lebanon-illegally/
https://eliasbejjaninews.com/eliasnews19/arabic.march16.20.htm</x:v>
      </x:c>
      <x:c r="O475" s="4" t="str">
        <x:v>Source 1: indexed excerpt; failed
Source 2: full
Source 3: indexed excerpt</x:v>
      </x:c>
      <x:c r="P475" s="20" t="n">
        <x:v>3</x:v>
      </x:c>
      <x:c r="Q475" s="4" t="str">
        <x:v>Middle East</x:v>
      </x:c>
      <x:c r="R475" s="4" t="str">
        <x:v>Included</x:v>
      </x:c>
    </x:row>
    <x:row r="476" ht="102" hidden="0" customHeight="1">
      <x:c r="A476" s="16" t="str">
        <x:v>R3-ME-003</x:v>
      </x:c>
      <x:c r="B476" s="4" t="str">
        <x:v>Yemen national land-port passenger closure order, March 2020</x:v>
      </x:c>
      <x:c r="C476" s="4" t="str">
        <x:v>Yemen; Saudi Arabia; Oman</x:v>
      </x:c>
      <x:c r="D476" s="4" t="str">
        <x:v>Government-controlled international land ports; Wadea, Shahn and Sarfait require post-level phase checks</x:v>
      </x:c>
      <x:c r="E476" s="4" t="str">
        <x:v>Land-port passenger movement under the issuing government’s authority
Direction: Land-port traffic; precise directional implementation not established.
Exceptions: Commercial, relief and humanitarian freight excepted by order.</x:v>
      </x:c>
      <x:c r="F476" s="4" t="str">
        <x:v>R3-ME-003-R1 — Observed operation
Wadea initial interruption for pilgrims/residents returning from Saudi Arabia to Yemen
Start: 2020-03-16.
Observed scoped reopening: 2020-03-17.
1 calendar-day difference; scoped endpoint only</x:v>
      </x:c>
      <x:c r="G47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76" s="4" t="str">
        <x:v>R3-ME-003-R1: Temporary returnee exception only; reopening was already reported at 15:25 on March 17, not at midnight. Closure began Monday night March 16. A later indexed direction allowed pilgrims until Wednesday, so no actual Tuesday-midnight reclosure is inferred. Calendar bounds do not imply 24 elapsed hours.</x:v>
      </x:c>
      <x:c r="I476" s="4" t="str">
        <x:v>Retained baseline assessment. Retained with recorded qualifications</x:v>
      </x:c>
      <x:c r="J476" s="18" t="d">
        <x:v>2026-10-23T00:00:00.000Z</x:v>
      </x:c>
      <x:c r="K476" s="21" t="str">
        <x:f>IFERROR(HYPERLINK("https://www.adngad.net/news/451223","Aden al-Ghad"),"Aden al-Ghad")</x:f>
        <x:v>Aden al-Ghad</x:v>
      </x:c>
      <x:c r="L476" s="21" t="str">
        <x:f>IFERROR(HYPERLINK("https://www.mofa-ye.org/Pages/9697/","Yemen Ministry of Foreign Affairs"),"Yemen Ministry of Foreign Affairs")</x:f>
        <x:v>Yemen Ministry of Foreign Affairs</x:v>
      </x:c>
      <x:c r="M476" s="21" t="str">
        <x:f>IFERROR(HYPERLINK("https://www.adngad.net/news/451240","Aden al-Ghad"),"Aden al-Ghad")</x:f>
        <x:v>Aden al-Ghad</x:v>
      </x:c>
      <x:c r="N476" s="4" t="str">
        <x:v>https://www.adngad.net/news/451223
https://www.mofa-ye.org/Pages/9697/
https://www.adngad.net/news/451240
https://www.mofa-ye.org/Pages/9710/
https://mail.sabanew.net/story/en/60716
https://www.almashhad.news/news/160408
https://www.aden-tm.net/news/120966
https://alayyam.info/news/851AUPEP-SDJEYM-A92A</x:v>
      </x:c>
      <x:c r="O476" s="4" t="str">
        <x:v>Source 1: full
Source 2: full
Source 3: indexed excerpt</x:v>
      </x:c>
      <x:c r="P476" s="20" t="n">
        <x:v>1</x:v>
      </x:c>
      <x:c r="Q476" s="4" t="str">
        <x:v>Middle East</x:v>
      </x:c>
      <x:c r="R476" s="4" t="str">
        <x:v>Included</x:v>
      </x:c>
    </x:row>
    <x:row r="477" ht="102" hidden="0" customHeight="1">
      <x:c r="A477" s="16" t="str">
        <x:v>R3-ME-001</x:v>
      </x:c>
      <x:c r="B477" s="4" t="str">
        <x:v>Jaber security closure and phased cargo/passenger reopening, 2021</x:v>
      </x:c>
      <x:c r="C477" s="4" t="str">
        <x:v>Jordan; Syria</x:v>
      </x:c>
      <x:c r="D477" s="4" t="str">
        <x:v>Jaber / Nassib</x:v>
      </x:c>
      <x:c r="E477" s="4" t="str">
        <x:v>Passengers and goods initially; later mainly passenger restrictions
Direction: Both directions as observed at reopening.
Exceptions: Cargo restored 4 August. Limited small-merchant passenger trips existed before the 29 September easing; precise dates of those exceptions are not reconstructed.</x:v>
      </x:c>
      <x:c r="F477" s="4" t="str">
        <x:v>R3-ME-001-D1 — Observed operation
Cargo processing at Jaber–Nassib in the initial security closure
Start: 2021-07-31.
Observed scoped reopening: 2021-08-04.
4 calendar-day difference; scoped endpoint only</x:v>
      </x:c>
      <x:c r="G477"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77" s="4" t="str">
        <x:v>R3-ME-001-D1: Cargo-only initial segment; August 4 restores back-to-back handling, not unrestricted freight. September passenger easing and earlier merchant trips do not extend this interval. Reopening report was available in indexed text while full access returned 403.</x:v>
      </x:c>
      <x:c r="I477" s="4" t="str">
        <x:v>Retained baseline assessment. Retained with recorded qualifications</x:v>
      </x:c>
      <x:c r="J477" s="18" t="d">
        <x:v>2026-10-23T00:00:00.000Z</x:v>
      </x:c>
      <x:c r="K477" s="21" t="str">
        <x:f>IFERROR(HYPERLINK("https://www.arabnews.com/node/1903286/amp","Arab News"),"Arab News")</x:f>
        <x:v>Arab News</x:v>
      </x:c>
      <x:c r="L477" s="21" t="str">
        <x:f>IFERROR(HYPERLINK("https://jordantimes.com/news/local/jaber-border-crossing-reopened-cargo-traffic-%E2%80%94-interior-ministry","Jordan Times"),"Jordan Times")</x:f>
        <x:v>Jordan Times</x:v>
      </x:c>
      <x:c r="M477" s="21" t="str">
        <x:f>IFERROR(HYPERLINK("https://www.thenationalnews.com/mena/jordan/2021/09/29/jordan-opens-main-crossing-with-syria-in-boost-for-economies/","The National"),"The National")</x:f>
        <x:v>The National</x:v>
      </x:c>
      <x:c r="N477" s="4" t="str">
        <x:v>https://www.arabnews.com/node/1903286/amp
https://jordantimes.com/news/local/jaber-border-crossing-reopened-cargo-traffic-%E2%80%94-interior-ministry
https://www.thenationalnews.com/mena/jordan/2021/09/29/jordan-opens-main-crossing-with-syria-in-boost-for-economies/
https://www.aa.com.tr/en/middle-east/jordan-reopens-border-crossing-with-syrian/2377749
https://npasyria.com/en/62941/
https://npasyria.com/en/63091/</x:v>
      </x:c>
      <x:c r="O477" s="4" t="str">
        <x:v>Source 1: full page
Source 2: indexed extract; full-page access denied
Source 3: full page</x:v>
      </x:c>
      <x:c r="P477" s="20" t="n">
        <x:v>1</x:v>
      </x:c>
      <x:c r="Q477" s="4" t="str">
        <x:v>Middle East</x:v>
      </x:c>
      <x:c r="R477" s="4" t="str">
        <x:v>Included</x:v>
      </x:c>
    </x:row>
    <x:row r="478" ht="114" hidden="0" customHeight="1">
      <x:c r="A478" s="16" t="str">
        <x:v>R3-ME-004</x:v>
      </x:c>
      <x:c r="B478" s="4" t="str">
        <x:v>Arida strike-related closure and restricted returnee reopening, November–December 2024</x:v>
      </x:c>
      <x:c r="C478" s="4" t="str">
        <x:v>Lebanon; Syria</x:v>
      </x:c>
      <x:c r="D478" s="4" t="str">
        <x:v>Arida / Tartous</x:v>
      </x:c>
      <x:c r="E478" s="4" t="str">
        <x:v>Passengers at Arida
Direction: Closure direction not fully reconstructed; endpoint is Syria to Lebanon only.
Exceptions: 2 December permitted Lebanese returnees travelling Syria to Lebanon; systems damage prevented general reopening.</x:v>
      </x:c>
      <x:c r="F478" s="4" t="str">
        <x:v>R3-ME-004-D1 — Observed operation
Lebanese returnees travelling Syria to Lebanon through Arida
Start: 2024-11-26 to 2024-11-27.
Observed scoped reopening: 2024-12-01 to 2024-12-02.
4–6 calendar-day difference; scoped endpoint only</x:v>
      </x:c>
      <x:c r="G478"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478" s="4" t="str">
        <x:v>First limited returnee access is bounded December 1–2; onset remains November 26–27. Later vehicle reopening is not the first access.
R3-ME-004-D1: First limited returnee access is bounded December 1–2. This covers Lebanese returnees travelling Syria to Lebanon only; no full vehicle or system restoration is inferred.</x:v>
      </x:c>
      <x:c r="I478" s="4" t="str">
        <x:v>Retained baseline assessment. Amended after source reconciliation</x:v>
      </x:c>
      <x:c r="J478" s="18" t="d">
        <x:v>2026-10-23T00:00:00.000Z</x:v>
      </x:c>
      <x:c r="K478" s="21" t="str">
        <x:f>IFERROR(HYPERLINK("https://www.unhcr.org/sy/sites/sy/files/legacy-pdf/UNHCR-Emergency-Response-Brief_5-December-2024.pdf","UNHCR"),"UNHCR")</x:f>
        <x:v>UNHCR</x:v>
      </x:c>
      <x:c r="L478" s="21" t="str">
        <x:f>IFERROR(HYPERLINK("https://today.lorientlejour.com/article/1437893/arida-border-post-in-north-lebanon-reopens.html","L’Orient Today"),"L’Orient Today")</x:f>
        <x:v>L’Orient Today</x:v>
      </x:c>
      <x:c r="M478" s="21" t="str">
        <x:f>IFERROR(HYPERLINK("https://www.reuters.com/world/middle-east/israeli-strikes-target-syria-lebanon-border-crossings-state-media-says-2024-11-26/","Reuters"),"Reuters")</x:f>
        <x:v>Reuters</x:v>
      </x:c>
      <x:c r="N478" s="4" t="str">
        <x:v>https://www.unhcr.org/sy/sites/sy/files/legacy-pdf/UNHCR-Emergency-Response-Brief_5-December-2024.pdf
https://today.lorientlejour.com/article/1437893/arida-border-post-in-north-lebanon-reopens.html
https://www.reuters.com/world/middle-east/israeli-strikes-target-syria-lebanon-border-crossings-state-media-says-2024-11-26/
https://today.lorientlejour.com/article/1437739/qaa-crossing-reopens-as-4000-expected-to-cross-sunday.html
https://english.enabbaladi.net/archives/2024/12/al-arida-crossing-between-syria-and-lebanon-resumes-operations/</x:v>
      </x:c>
      <x:c r="O478" s="4" t="str">
        <x:v>Source 1: full PDF text
Source 2: indexed extract
Source 3: indexed extract</x:v>
      </x:c>
      <x:c r="P478" s="20" t="n">
        <x:v>1</x:v>
      </x:c>
      <x:c r="Q478" s="4" t="str">
        <x:v>Middle East</x:v>
      </x:c>
      <x:c r="R478" s="4" t="str">
        <x:v>Included</x:v>
      </x:c>
    </x:row>
    <x:row r="479" ht="246" hidden="0" customHeight="1">
      <x:c r="A479" s="16" t="str">
        <x:v>R3-ME-005</x:v>
      </x:c>
      <x:c r="B479" s="4" t="str">
        <x:v>Arida renewed strike-related closure, December 2024</x:v>
      </x:c>
      <x:c r="C479" s="4" t="str">
        <x:v>Lebanon; Syria</x:v>
      </x:c>
      <x:c r="D479" s="4" t="str">
        <x:v>Arida / Tartous</x:v>
      </x:c>
      <x:c r="E479" s="4" t="str">
        <x:v>Arida passenger crossing; other posts mentioned in broader order need separate matching
Direction: Initial restriction direction not separately specified; later documented mode is Lebanon to Syria pedestrians.
Exceptions: UNFPA reports Arida reopened 13 December without category details; by 2 January one-way pedestrian crossing into Syria was documented.</x:v>
      </x:c>
      <x:c r="F479" s="4" t="str">
        <x:v>R3-ME-005-FU1 — Formal policy
Arida / Al-Arida formal land crossing and bridge
Start: 2024-12-06.
Last confirmed: 2024-12-06. Reopening is not established.
Formal policy: dated evidence; numeric duration withheld; see qualification</x:v>
      </x:c>
      <x:c r="G479" s="4" t="str">
        <x:v>Security / Armed conflict and military confrontation
Reported reason
Applies to: Recorded episode; exact overlap not separately established
The Israeli allegation concerning weapons routes and the Lebanese safety response belong to different actors. The allegation remains attributed and unverified.
Security / Smuggling and illicit trafficking
Analytical interpretation of reported context
Applies to: Recorded episode; exact overlap not separately established
The Israeli allegation concerning weapons routes and the Lebanese safety response belong to different actors. The allegation remains attributed and unverified.
Security / Public order and immediate safety
Reported reason
Applies to: Recorded episode; exact overlap not separately established
The Israeli allegation concerning weapons routes and the Lebanese safety response belong to different actors. The allegation remains attributed and unverified.</x:v>
      </x:c>
      <x:c r="H479" s="4" t="str">
        <x:v>R3-ME-005-FU1: Only the December 6 formal restriction and contemporaneous road interruption are represented. UNHCR’s December 13 opening lacks vehicle/category detail, so it is not used as an equal-scope endpoint. December 2 vehicle passage predates the new strike and cannot end this later episode.
duration: Propose a December 6 confirmed-through formal phase, preserving the unknown equal-scope reopening. The new vehicle report belongs to December 2, an earlier repaired phase.</x:v>
      </x:c>
      <x:c r="I479" s="4" t="str">
        <x:v>Retained baseline assessment. Follow-up adjudicated; amend</x:v>
      </x:c>
      <x:c r="J479" s="18" t="d">
        <x:v>2026-10-23T00:00:00.000Z</x:v>
      </x:c>
      <x:c r="K479" s="21" t="str">
        <x:f>IFERROR(HYPERLINK("https://today.lorientlejour.com/article/1438600/masnaa-only-operational-border-crossing-between-lebanon-and-syria-following-repeated-israeli-strikes.html","L’Orient Today"),"L’Orient Today")</x:f>
        <x:v>L’Orient Today</x:v>
      </x:c>
      <x:c r="L479" s="21" t="str">
        <x:f>IFERROR(HYPERLINK("https://lebanon.unfpa.org/en/publications/situation-report-5-unfpa-response-lebanon-1-15-dec-2024","UNFPA Lebanon"),"UNFPA Lebanon")</x:f>
        <x:v>UNFPA Lebanon</x:v>
      </x:c>
      <x:c r="M479" s="21" t="str">
        <x:f>IFERROR(HYPERLINK("https://apnews.com/article/59b74360c1b44c99b47e1c6d80118bd1","AP"),"AP")</x:f>
        <x:v>AP</x:v>
      </x:c>
      <x:c r="N479" s="4" t="str">
        <x:v>https://today.lorientlejour.com/article/1438600/masnaa-only-operational-border-crossing-between-lebanon-and-syria-following-repeated-israeli-strikes.html
https://lebanon.unfpa.org/en/publications/situation-report-5-unfpa-response-lebanon-1-15-dec-2024
https://apnews.com/article/59b74360c1b44c99b47e1c6d80118bd1
https://www.lorientlejour.com/article/1462964/apres-la-reouverture-mardi-matin-du-poste-frontiere-de-arida-le-trafic-sintensifie-deja-entre-le-liban-et-la-syrie.html
https://www.lorientlejour.com/article/1490215/le-poste-frontiere-de-arida-toujours-ferme-aux-vehicules.html
https://logcluster.org/en/node/47185
https://www.ecoi.net/en/file/local/2119136/241213%2BUNHCR%2BRegional%2BFlash%2BUpdate_Syria%2Bsituation%2Bcrisis%2B(Final).pdf
https://logcluster.org/en/node/47298
https://reporting.unhcr.org/sites/default/files/2024-12/241213%20UNHCR%20Regional%20Flash%20Update_Syria%20situation%20crisis%20%28Final%29.pdf
https://sana.sy/en/syria/358148/
https://www.lebanon24.com/news/lebanon/1286804/بالصورة-إعادة-فتح-معبر-العريضة-الحدودي</x:v>
      </x:c>
      <x:c r="O479" s="4" t="str">
        <x:v>Source 1: full page
Source 2: full
Source 3: indexed excerpt</x:v>
      </x:c>
      <x:c r="P479" s="20" t="n">
        <x:v>1</x:v>
      </x:c>
      <x:c r="Q479" s="4" t="str">
        <x:v>Middle East</x:v>
      </x:c>
      <x:c r="R479" s="4" t="str">
        <x:v>Included</x:v>
      </x:c>
    </x:row>
    <x:row r="480" ht="162" hidden="0" customHeight="1">
      <x:c r="A480" s="16" t="str">
        <x:v>R3-ME-013</x:v>
      </x:c>
      <x:c r="B480" s="4" t="str">
        <x:v>Syria foreign-truck direct-entry ban and Lebanese exemptions, February 2026</x:v>
      </x:c>
      <x:c r="C480" s="4" t="str">
        <x:v>Syria; Lebanon; Jordan; Türkiye; Iraq</x:v>
      </x:c>
      <x:c r="D480" s="4" t="str">
        <x:v>Syrian international land crossings; detailed Lebanon phase at Jdeidet Yabous / Masnaa</x:v>
      </x:c>
      <x:c r="E480" s="4" t="str">
        <x:v>Non-Syrian trucks entering Syria for domestic deliveries; goods themselves could transfer
Direction: Into Syria; bilateral Lebanese arrangement also regulates reciprocal truck movement.
Exceptions: Transit trucks exempt under escort; later Lebanese exemptions covered specified cargoes and one-time stranded vehicles. Jordan agreement absent as of 13 February report.</x:v>
      </x:c>
      <x:c r="F480" s="4" t="str">
        <x:v>R3-ME-013-R1 — Announced window
Masnaa/Jdeidet Yabous reciprocal transshipment requirement for ordinary non-exempt Lebanese and Syrian cargo trucks
Start: 2026-02-13.
Scheduled endpoint: 2026-02-20.
Ordered window: 7 calendar-day difference; actual end not established
R3-ME-013-REV1 — Formal policy
Reciprocal customs-yard transshipment requirement restricting direct delivery by ordinary non-exempt Lebanese and Syrian trucks at Masnaa/Jdeidet Yabous
Start: 2026-02-13.
Last confirmed: 2026-02-23. Reopening is not established.
Formal policy: confirmed through 2026-02-23; at least 10 calendar-day difference; reopening unknown</x:v>
      </x:c>
      <x:c r="G480" s="4" t="str">
        <x:v>Trade and protectionism / Customs and transport rules
Attributed official justification
Applies to: Recorded episode; exact overlap not separately established
Cargo organisation and foreign-truck/transshipment rules support trade administration. A protectionist intention is not established.</x:v>
      </x:c>
      <x:c r="H480" s="4" t="str">
        <x:v>R3-ME-013-R1: Initial seven-day scheduled February 13–20 trial; exact endpoint hour/inclusivity unstated. Reciprocal direct-delivery restriction, not complete shutdown. Tanker/hazardous cargo, cement materials, meat/pharmaceuticals and one-time stranded-truck cases exempt. February 23 reports extension, so scheduled expiry is not repeal or unrestricted reopening.
R3-ME-013-REV1: Overlaps R3-ME-013-R1; do not add their durations. Special cargo and one-time stranded vehicles exempt. No assertion of uninterrupted physical enforcement, other nationalities, or repeal after February 23.</x:v>
      </x:c>
      <x:c r="I480" s="4" t="str">
        <x:v>Retained baseline assessment. Retained with recorded qualifications</x:v>
      </x:c>
      <x:c r="J480" s="18" t="d">
        <x:v>2026-10-23T00:00:00.000Z</x:v>
      </x:c>
      <x:c r="K480" s="21" t="str">
        <x:f>IFERROR(HYPERLINK("https://www.annahar.com/news/details?lang=0&amp;pageid=277405","Annahar"),"Annahar")</x:f>
        <x:v>Annahar</x:v>
      </x:c>
      <x:c r="L480" s="21" t="str">
        <x:f>IFERROR(HYPERLINK("https://www.aman-alliance.org/Home/ContentDetail/100378","AMAN / NNA"),"AMAN / NNA")</x:f>
        <x:v>AMAN / NNA</x:v>
      </x:c>
      <x:c r="M480" s="21" t="str">
        <x:f>IFERROR(HYPERLINK("https://today.lorientlejour.com/article/1495794/masnaa-border-road-transport-reciprocity-mechanism-extended.html","L'Orient Today"),"L'Orient Today")</x:f>
        <x:v>L'Orient Today</x:v>
      </x:c>
      <x:c r="N480" s="4" t="str">
        <x:v>https://www.annahar.com/news/details?lang=0&amp;pageid=277405
https://www.aman-alliance.org/Home/ContentDetail/100378
https://today.lorientlejour.com/article/1495794/masnaa-border-road-transport-reciprocity-mechanism-extended.html
https://today.lorientlejour.com/article/1495763/lebanese-syrian-truck-ban-reciprocity-mechanism-to-be-extended.html
https://today.lorientlejour.com/article/1494230/syrian-ban-on-foreign-trucks-prompts-call-for-lebanese-syrian-talks.html
https://www.naharnet.com/stories/en/318373
https://english.enabbaladi.net/archives/2026/02/syria-bans-entry-of-non-syrian-trucks-except-transit/?so=related
https://www.thenationalnews.com/news/mena/2026/02/18/syria-lebanon-trucks-al-shara/
https://sana.sy/economy/2394096/</x:v>
      </x:c>
      <x:c r="O480" s="4" t="str">
        <x:v>Source 1: full
Source 2: full
Source 3: indexed excerpt; full</x:v>
      </x:c>
      <x:c r="P480" s="20" t="n">
        <x:v>2</x:v>
      </x:c>
      <x:c r="Q480" s="4" t="str">
        <x:v>Middle East</x:v>
      </x:c>
      <x:c r="R480" s="4" t="str">
        <x:v>Included</x:v>
      </x:c>
    </x:row>
    <x:row r="481" ht="186" hidden="0" customHeight="1">
      <x:c r="A481" s="16" t="str">
        <x:v>R3-ME-006</x:v>
      </x:c>
      <x:c r="B481" s="4" t="str">
        <x:v>Jdeidet Yabous same-day precautionary passenger closure, March 2026</x:v>
      </x:c>
      <x:c r="C481" s="4" t="str">
        <x:v>Syria; Lebanon</x:v>
      </x:c>
      <x:c r="D481" s="4" t="str">
        <x:v>Jdeidet Yabous / Masnaa</x:v>
      </x:c>
      <x:c r="E481" s="4" t="str">
        <x:v>Passenger departures at minimum; reports differ on whether all movement was initially halted
Direction: Departures from Syria explicitly in Reuters; SANA reports resumed movement both ways.
Exceptions: No exemptions established; passenger movement reportedly returned both ways the same day.</x:v>
      </x:c>
      <x:c r="F481" s="4" t="str">
        <x:v>R3-ME-006-D1 — Observed operation
Jdeidet Yabous precautionary suspension of Syrian passenger departures on March 4, 2026; incoming people fleeing Lebanon remained permitted
Start: 2026-03-04.
Observed scoped reopening: 2026-03-04.
Same-day episode; no whole-day duration inferred</x:v>
      </x:c>
      <x:c r="G481"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81" s="4" t="str">
        <x:v>R3-ME-006-D1: Shown as an episode occurring on this date, not a whole-day closure. SANA gives 13:00 local reopening; QNA paraphrases noon. Onset time unknown. Same-day event is not a full 24-hour closure; precise duration not calculated. Reuters explicitly keeps arrivals open for people fleeing Lebanon; no two-way closure is inferred.</x:v>
      </x:c>
      <x:c r="I481" s="4" t="str">
        <x:v>Retained baseline assessment. Retained with recorded qualifications</x:v>
      </x:c>
      <x:c r="J481" s="18" t="d">
        <x:v>2026-10-23T00:00:00.000Z</x:v>
      </x:c>
      <x:c r="K481" s="21" t="str">
        <x:f>IFERROR(HYPERLINK("https://sana.sy/es/local/2298452/","SANA"),"SANA")</x:f>
        <x:v>SANA</x:v>
      </x:c>
      <x:c r="L481" s="21" t="str">
        <x:f>IFERROR(HYPERLINK("https://shafaq.com/amp/en/Middle-East/Syria-shuts-Lebanon-border-crossing-after-Israeli-strike-warning","Shafaq News"),"Shafaq News")</x:f>
        <x:v>Shafaq News</x:v>
      </x:c>
      <x:c r="M481" s="21" t="str">
        <x:f>IFERROR(HYPERLINK("https://www.reuters.com/world/middle-east/syria-closes-its-border-crossing-with-lebanon-after-warning-it-being-targeted-by-2026-03-04/","Reuters"),"Reuters")</x:f>
        <x:v>Reuters</x:v>
      </x:c>
      <x:c r="N481" s="4" t="str">
        <x:v>https://sana.sy/es/local/2298452/
https://shafaq.com/amp/en/Middle-East/Syria-shuts-Lebanon-border-crossing-after-Israeli-strike-warning
https://www.reuters.com/world/middle-east/syria-closes-its-border-crossing-with-lebanon-after-warning-it-being-targeted-by-2026-03-04/
https://www.arabnews.com/middle-east/syria-closes-lebanon-border-crossing-after-warning-of-it-being-targeted-by-israel-2635224
https://qna.org.qa/en/news/news-details?date=4/03/2026&amp;id=syrias-jdeidet-yabous-border-crossing-with-lebanon-resumes-operations
https://npasyria.com/en/135975/
https://qna.org.qa/en/news/news-details?date=4%2F03%2F2026&amp;id=syrias-jdeidet-yabous-border-crossing-with-lebanon-resumes-operations
https://www.syriahr.com/en/378787/
https://www.reutersconnect.com/item/border-gate-between-syria-and-lebanon-reopens-after-short-closure/dGFnOnJldXRlcnMuY29tLDIwMjY6bmV3c21sX01UMUFOQURMMDAwOVIzUUtM</x:v>
      </x:c>
      <x:c r="O481" s="4" t="str">
        <x:v>Source 1: full page
Source 2: full page
Source 3: indexed extract</x:v>
      </x:c>
      <x:c r="P481" s="20" t="n">
        <x:v>1</x:v>
      </x:c>
      <x:c r="Q481" s="4" t="str">
        <x:v>Middle East</x:v>
      </x:c>
      <x:c r="R481" s="4" t="str">
        <x:v>Included</x:v>
      </x:c>
    </x:row>
    <x:row r="482" ht="174" hidden="0" customHeight="1">
      <x:c r="A482" s="16" t="str">
        <x:v>R3-ME-012</x:v>
      </x:c>
      <x:c r="B482" s="4" t="str">
        <x:v>Masnaa–Jdeidet Yabous precautionary closure after strike threat, April 2026</x:v>
      </x:c>
      <x:c r="C482" s="4" t="str">
        <x:v>Lebanon; Syria</x:v>
      </x:c>
      <x:c r="D482" s="4" t="str">
        <x:v>Masnaa / Jdeidet Yabous</x:v>
      </x:c>
      <x:c r="E482" s="4" t="str">
        <x:v>Civilian passengers, freight and border administrative operations
Direction: Both directions at paired crossing.
Exceptions: Near-total disruption reported; marginal or exceptional passage not completely excluded.</x:v>
      </x:c>
      <x:c r="F482" s="4" t="str">
        <x:v>R3-ME-012-D1 — Observed operation
Near-total disruption of ordinary passage at Masnaa–Jdeidet Yabous
Start: 2026-04-04.
Observed scoped reopening: 2026-04-09.
5 calendar-day difference; scoped endpoint only</x:v>
      </x:c>
      <x:c r="G482"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82" s="4" t="str">
        <x:v>R3-ME-012-D1: Near-total rather than absolute closure: marginal/exceptional passage cannot be excluded. Exact hours and every category are not established. No strike is inferred from the threat; the separate brief March 4 departure suspension is not merged.</x:v>
      </x:c>
      <x:c r="I482" s="4" t="str">
        <x:v>Retained baseline assessment. Retained with recorded qualifications</x:v>
      </x:c>
      <x:c r="J482" s="18" t="d">
        <x:v>2026-10-23T00:00:00.000Z</x:v>
      </x:c>
      <x:c r="K482" s="21" t="str">
        <x:f>IFERROR(HYPERLINK("https://nhrclb.org/en/archives/6566","Lebanon National Human Rights Commission"),"Lebanon National Human Rights Commission")</x:f>
        <x:v>Lebanon National Human Rights Commission</x:v>
      </x:c>
      <x:c r="L482" s="21" t="str">
        <x:f>IFERROR(HYPERLINK("https://today.lorientlejour.com/article/1502759/government-announces-reopening-of-masnaa-border-crossing.html","L’Orient Today"),"L’Orient Today")</x:f>
        <x:v>L’Orient Today</x:v>
      </x:c>
      <x:c r="M482" s="21" t="str">
        <x:f>IFERROR(HYPERLINK("https://today.lorientlejour.com/article/1502913/following-israeli-threats-masnaa-border-crossing-between-lebanon-and-syria-finally-reopens.html","L’Orient Today"),"L’Orient Today")</x:f>
        <x:v>L’Orient Today</x:v>
      </x:c>
      <x:c r="N482" s="4" t="str">
        <x:v>https://nhrclb.org/en/archives/6566
https://today.lorientlejour.com/article/1502759/government-announces-reopening-of-masnaa-border-crossing.html
https://today.lorientlejour.com/article/1502913/following-israeli-threats-masnaa-border-crossing-between-lebanon-and-syria-finally-reopens.html
https://unsco.unmissions.org/sites/default/files/2026-04/2026.04.09_OCHA_Lebanon_Flash_Update%20No%2016.pdf
https://sana.sy/en/syria/2307891/
https://sana.sy/en/syria/2308112/
https://www.timesofisrael.com/liveblog_entry/lebanon-says-reopening-main-syria-border-crossing-closed-over-israeli-threat/
https://sana.sy/en/syria/2309255/
https://www.unhcr.org/lb/sites/lb/files/2026-04/UNHCR%20LBN_Flash%20Update%206.pdf
https://daleel-madani.org/ar/node/625606</x:v>
      </x:c>
      <x:c r="O482" s="4" t="str">
        <x:v>Source 1: full page
Source 2: indexed extract
Source 3: full page</x:v>
      </x:c>
      <x:c r="P482" s="20" t="n">
        <x:v>1</x:v>
      </x:c>
      <x:c r="Q482" s="4" t="str">
        <x:v>Middle East</x:v>
      </x:c>
      <x:c r="R482" s="4" t="str">
        <x:v>Included</x:v>
      </x:c>
    </x:row>
    <x:row r="483" ht="162" hidden="0" customHeight="1">
      <x:c r="A483" s="16" t="str">
        <x:v>R3-ME-009</x:v>
      </x:c>
      <x:c r="B483" s="4" t="str">
        <x:v>Abdali precautionary shutdown after drone attack, July 2026</x:v>
      </x:c>
      <x:c r="C483" s="4" t="str">
        <x:v>Kuwait; Iraq</x:v>
      </x:c>
      <x:c r="D483" s="4" t="str">
        <x:v>Abdali / Safwan</x:v>
      </x:c>
      <x:c r="E483" s="4" t="str">
        <x:v>Passengers and commercial freight
Direction: Cross-border passenger and freight movement; filmed reopening includes entry into Iraq.
Exceptions: No exemptions established.</x:v>
      </x:c>
      <x:c r="F483" s="4" t="str">
        <x:v>R3-ME-009-D1 — Observed operation
Precautionary passenger/freight suspension at Abdali–Safwan after the drone attack
Start: 2026-07-23 to 2026-07-25.
Observed scoped reopening: 2026-07-26.
1–3 calendar-day difference; scoped endpoint only</x:v>
      </x:c>
      <x:c r="G483"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83" s="4" t="str">
        <x:v>R3-ME-009-D1: Broad onset bounds retain the discrepancy between a traveller's three-day wait and mayor's two-day shutdown; attack time is not assumed to be closure time. Reuters reports share one lineage, not independent confirmations; no attacker attribution is established.</x:v>
      </x:c>
      <x:c r="I483" s="4" t="str">
        <x:v>Retained baseline assessment. Retained with recorded qualifications</x:v>
      </x:c>
      <x:c r="J483" s="18" t="d">
        <x:v>2026-10-23T00:00:00.000Z</x:v>
      </x:c>
      <x:c r="K483" s="21" t="str">
        <x:f>IFERROR(HYPERLINK("https://www.reutersconnect.com/item/main-land-crossing-between-kuwait-and-iraq-reopens/dGFnOnJldXRlcnMuY29tLDIwMjY6bmV3c21sX0xWQTAwMTA5NTkyNjA3MjAyNlJQMQ","Reuters Connect"),"Reuters Connect")</x:f>
        <x:v>Reuters Connect</x:v>
      </x:c>
      <x:c r="L483" s="21" t="str">
        <x:f>IFERROR(HYPERLINK("https://www.reuters.com/world/middle-east/main-land-crossing-between-kuwait-iraq-reopens-iraqs-state-news-agency-says-2026-07-26/","Reuters"),"Reuters")</x:f>
        <x:v>Reuters</x:v>
      </x:c>
      <x:c r="M483" s="21" t="str">
        <x:f>IFERROR(HYPERLINK("https://ina.iq/en/local/50709-kuwait-reopens-abdali-border-crossing-with-iraq.html","Iraqi News Agency"),"Iraqi News Agency")</x:f>
        <x:v>Iraqi News Agency</x:v>
      </x:c>
      <x:c r="N483" s="4" t="str">
        <x:v>https://www.reutersconnect.com/item/main-land-crossing-between-kuwait-and-iraq-reopens/dGFnOnJldXRlcnMuY29tLDIwMjY6bmV3c21sX0xWQTAwMTA5NTkyNjA3MjAyNlJQMQ
https://www.reuters.com/world/middle-east/main-land-crossing-between-kuwait-iraq-reopens-iraqs-state-news-agency-says-2026-07-26/
https://ina.iq/en/local/50709-kuwait-reopens-abdali-border-crossing-with-iraq.html
https://www.al-monitor.com/originals/2026/07/main-land-crossing-between-kuwait-and-iraq-reopens-iraqs-state-news-agency-says
https://en.964media.com/50272/
https://aa.com.tr/en/us-israel-iran-war/drone-attack-hits-kuwait-s-abdali-border-crossing-with-iraq-causes-material-damage-army/4007037
https://www.reutersconnect.com/item/main-land-crossing-between-kuwait-and-iraq-reopens/dGFnOnJldXRlcnMuY29tLDIwMjY6bmV3c21sX1ZBMDk1OTI2MDcyMDI2UlAx</x:v>
      </x:c>
      <x:c r="O483" s="4" t="str">
        <x:v>Source 1: full page
Source 2: indexed extract
Source 3: indexed extract; full-page access denied</x:v>
      </x:c>
      <x:c r="P483" s="20" t="n">
        <x:v>1</x:v>
      </x:c>
      <x:c r="Q483" s="4" t="str">
        <x:v>Middle East</x:v>
      </x:c>
      <x:c r="R483" s="4" t="str">
        <x:v>Included</x:v>
      </x:c>
    </x:row>
    <x:row r="484" ht="162" hidden="0" customHeight="1">
      <x:c r="A484" s="16" t="str">
        <x:v>R3-SC-008</x:v>
      </x:c>
      <x:c r="B484" s="4" t="str">
        <x:v>Sonauli vehicle closure for Nepal local elections, June 2017</x:v>
      </x:c>
      <x:c r="C484" s="4" t="str">
        <x:v>India; Nepal</x:v>
      </x:c>
      <x:c r="D484" s="4" t="str">
        <x:v>Sonauli / Belahiya
Vehicles and freight crossing Sonauli</x:v>
      </x:c>
      <x:c r="E484" s="4" t="str">
        <x:v>Vehicles and freight crossing Sonauli
Direction: Both directions
Exceptions: Pedestrians admitted subject to thorough checks.</x:v>
      </x:c>
      <x:c r="F484" s="4" t="str">
        <x:v>R3-SC-008-FU1 — Observed operation
Vehicle and freight passage at Sonauli only
Start: 2017-06-26.
Last confirmed: 2017-06-26. Reopening is not established.
dated evidence; numeric duration withheld; see qualification</x:v>
      </x:c>
      <x:c r="G484"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84" s="4" t="str">
        <x:v>R3-SC-008-FU1: Onset and same-day confirmed state only. The June 29 schedule in ANI is traced to a Biratnagar/Morang official report, so its application to Sonauli is unproven. No whole-day minimum or complete operational spell is calculated.
duration: A June 26 onset observation at Sonauli is supported. The cited June 29 reopening schedule derives from a Biratnagar/Morang official and is not demonstrated to apply to Sonauli; complete duration remains unresolved.
continuity: June 26 PTI observes Sonauli vehicle obstruction from 08:00 while checked pedestrians pass. The June 29 reopening schedule comes from Biratnagar/Morang officials, not Sonauli. Same-day confirmation with no inferred endpoint is correct.</x:v>
      </x:c>
      <x:c r="I484" s="4" t="str">
        <x:v>Retained baseline assessment. Correction pass: reviewed; see attribute findings</x:v>
      </x:c>
      <x:c r="J484" s="18" t="d">
        <x:v>2026-10-23T00:00:00.000Z</x:v>
      </x:c>
      <x:c r="K484" s="21" t="str">
        <x:f>IFERROR(HYPERLINK("https://www.business-standard.com/article/pti-stories/indo-nepal-border-sealed-ahead-of-nepal-civic-polls-117062600786_1.html","Business Standard / PTI"),"Business Standard / PTI")</x:f>
        <x:v>Business Standard / PTI</x:v>
      </x:c>
      <x:c r="L484" s="21" t="str">
        <x:f>IFERROR(HYPERLINK("https://english.ratopati.com/story/63/border-sealed-off-for-local-polls","Ratopati / RSS"),"Ratopati / RSS")</x:f>
        <x:v>Ratopati / RSS</x:v>
      </x:c>
      <x:c r="M484" s="21" t="str">
        <x:f>IFERROR(HYPERLINK("https://kathmandupost.com/national/2017/03/27/dpm-nidhi-hands-over-rs-1m-to-ssb-firing-victims-family","kathmandupost.com"),"kathmandupost.com")</x:f>
        <x:v>kathmandupost.com</x:v>
      </x:c>
      <x:c r="N484" s="4" t="str">
        <x:v>https://www.business-standard.com/article/pti-stories/indo-nepal-border-sealed-ahead-of-nepal-civic-polls-117062600786_1.html
https://english.ratopati.com/story/63/border-sealed-off-for-local-polls
https://kathmandupost.com/national/2017/03/27/dpm-nidhi-hands-over-rs-1m-to-ssb-firing-victims-family
https://economictimes.indiatimes.com/news/politics-and-nation/indo-nepal-border-closed-ahead-of-civic-polls-in-nepal/articleshow/59324255.cms?from=mdr
https://www.business-standard.com/article/news-ani/indo-nepal-border-sealed-due-to-local-polls-117062600542_1.html
https://english.onlinekhabar.com/border-points-sealed-for-nepal-elections.html</x:v>
      </x:c>
      <x:c r="O484" s="4" t="str">
        <x:v>Source 1: indexed excerpt; full
Source 2: indexed excerpt; full
Source 3: access detail is retained in the source catalogue.</x:v>
      </x:c>
      <x:c r="P484" s="20" t="n">
        <x:v>1</x:v>
      </x:c>
      <x:c r="Q484" s="4" t="str">
        <x:v>South Asia</x:v>
      </x:c>
      <x:c r="R484" s="4" t="str">
        <x:v>Included</x:v>
      </x:c>
    </x:row>
    <x:row r="485" ht="78" hidden="0" customHeight="1">
      <x:c r="A485" s="16" t="str">
        <x:v>R3-SC-002</x:v>
      </x:c>
      <x:c r="B485" s="4" t="str">
        <x:v>Samdrup Jongkhar gate closes for Bhutan primary election, September 2018</x:v>
      </x:c>
      <x:c r="C485" s="4" t="str">
        <x:v>Bhutan; India</x:v>
      </x:c>
      <x:c r="D485" s="4" t="str">
        <x:v>Samdrup Jongkhar / Darranga
Visitors and ordinary cross-border passenger movement</x:v>
      </x:c>
      <x:c r="E485" s="4" t="str">
        <x:v>Visitors and ordinary cross-border passenger movement
Direction: Both directions
Exceptions: Not established</x:v>
      </x:c>
      <x:c r="F485" s="4" t="str">
        <x:v>R3-SC-002-R1 — Observed operation
Samdrup Jongkhar main gate only
Start: 2018-09-14.
Last confirmed: 2018-09-16. Reopening is not established.
confirmed through 2018-09-16; at least 2 calendar-day difference; reopening unknown</x:v>
      </x:c>
      <x:c r="G485"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x:v>
      </x:c>
      <x:c r="H485" s="4" t="str">
        <x:v>R3-SC-002-R1: September 16 is last observation date, not Sunday-evening planned opening. Publication originally 2018; 2021 update not event date.</x:v>
      </x:c>
      <x:c r="I485" s="4" t="str">
        <x:v>Targeted source review (REC50-R19); retained with recorded qualifications; evidence limits retained.</x:v>
      </x:c>
      <x:c r="J485" s="18" t="d">
        <x:v>2026-10-25T00:00:00.000Z</x:v>
      </x:c>
      <x:c r="K485" s="21" t="str">
        <x:f>IFERROR(HYPERLINK("https://nenow.in/north-east-news/bhutan-election-border-gate-close-for-visitors.html","Northeast Now"),"Northeast Now")</x:f>
        <x:v>Northeast Now</x:v>
      </x:c>
      <x:c r="L485" s="21" t="str">
        <x:f>IFERROR(HYPERLINK("https://www.ecb.bt/third-parliamentary-elections-2018-national-assembly-poll-day-for-the-primary-round/","Election Commission of Bhutan"),"Election Commission of Bhutan")</x:f>
        <x:v>Election Commission of Bhutan</x:v>
      </x:c>
      <x:c r="M485" s="21"/>
      <x:c r="N485" s="4" t="str">
        <x:v>https://nenow.in/north-east-news/bhutan-election-border-gate-close-for-visitors.html
https://www.ecb.bt/third-parliamentary-elections-2018-national-assembly-poll-day-for-the-primary-round/</x:v>
      </x:c>
      <x:c r="O485" s="4" t="str">
        <x:v>Source 1: indexed excerpt; full; full text
Source 2: search extract</x:v>
      </x:c>
      <x:c r="P485" s="20" t="n">
        <x:v>1</x:v>
      </x:c>
      <x:c r="Q485" s="4" t="str">
        <x:v>South Asia</x:v>
      </x:c>
      <x:c r="R485" s="4" t="str">
        <x:v>Included</x:v>
      </x:c>
    </x:row>
    <x:row r="486" ht="102" hidden="0" customHeight="1">
      <x:c r="A486" s="16" t="str">
        <x:v>R3-SC-010</x:v>
      </x:c>
      <x:c r="B486" s="4" t="str">
        <x:v>Tatopani initial COVID cargo closure and limited medical reopening, 2020</x:v>
      </x:c>
      <x:c r="C486" s="4" t="str">
        <x:v>Nepal; China</x:v>
      </x:c>
      <x:c r="D486" s="4" t="str">
        <x:v>Tatopani / Zhangmu
Land cargo through Tatopani; endpoint concerns China-to-Nepal medical/essential imports</x:v>
      </x:c>
      <x:c r="E486" s="4" t="str">
        <x:v>Land cargo through Tatopani; endpoint concerns China-to-Nepal medical/essential imports
Direction: Closure scope both sides not fully disaggregated; partial endpoint China to Nepal
Exceptions: At reopening food and medical goods; first shipment masks/sanitizer.</x:v>
      </x:c>
      <x:c r="F486" s="4" t="str">
        <x:v>R3-SC-010-D1 — Observed operation
Medical/essential imports from China into Nepal through Tatopani
Start: 2020-01-27 to 2020-01-29.
Observed scoped reopening: 2020-04-08.
70–72 calendar-day difference; scoped endpoint only</x:v>
      </x:c>
      <x:c r="G48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86" s="4" t="str">
        <x:v>R3-SC-010-D1: Partial one-way necessities access, not bilateral trade, exports or passengers. March 25 Nepal permission preceded Chinese agreement and actual delivery; April 9/10 publication is not reopening date. No exact-hour duration assigned.</x:v>
      </x:c>
      <x:c r="I486" s="4" t="str">
        <x:v>Retained baseline assessment. Retained with recorded qualifications</x:v>
      </x:c>
      <x:c r="J486" s="18" t="d">
        <x:v>2026-10-23T00:00:00.000Z</x:v>
      </x:c>
      <x:c r="K486" s="21" t="str">
        <x:f>IFERROR(HYPERLINK("https://kathmandupost.com/2/2020/04/09/tatopani-border-opens-for-one-way-cross-border-movement-of-goods-from-china-to-nepal","Kathmandu Post"),"Kathmandu Post")</x:f>
        <x:v>Kathmandu Post</x:v>
      </x:c>
      <x:c r="L486" s="21" t="str">
        <x:f>IFERROR(HYPERLINK("https://thehimalayantimes.com/ampArticle/269037","The Himalayan Times"),"The Himalayan Times")</x:f>
        <x:v>The Himalayan Times</x:v>
      </x:c>
      <x:c r="M486" s="21" t="str">
        <x:f>IFERROR(HYPERLINK("https://www.nepalarchives.com/news/2020/04/09/health-materials-imported-via-tatopani-border-point/","Nepal Archives"),"Nepal Archives")</x:f>
        <x:v>Nepal Archives</x:v>
      </x:c>
      <x:c r="N486" s="4" t="str">
        <x:v>https://kathmandupost.com/2/2020/04/09/tatopani-border-opens-for-one-way-cross-border-movement-of-goods-from-china-to-nepal
https://thehimalayantimes.com/ampArticle/269037
https://www.nepalarchives.com/news/2020/04/09/health-materials-imported-via-tatopani-border-point/
https://english.khabarhub.com/2020/26/114971/
https://english.ratopati.com/story/14272/check-point
https://english.ratopati.com/story/12743</x:v>
      </x:c>
      <x:c r="O486" s="4" t="str">
        <x:v>Source 1: full page
Source 2: search extract
Source 3: full page</x:v>
      </x:c>
      <x:c r="P486" s="20" t="n">
        <x:v>1</x:v>
      </x:c>
      <x:c r="Q486" s="4" t="str">
        <x:v>South Asia</x:v>
      </x:c>
      <x:c r="R486" s="4" t="str">
        <x:v>Included</x:v>
      </x:c>
    </x:row>
    <x:row r="487" ht="78" hidden="0" customHeight="1">
      <x:c r="A487" s="16" t="str">
        <x:v>R3-SC-003</x:v>
      </x:c>
      <x:c r="B487" s="4" t="str">
        <x:v>Tatopani renewed Chinese COVID cargo closure, October 2020</x:v>
      </x:c>
      <x:c r="C487" s="4" t="str">
        <x:v>Nepal; China</x:v>
      </x:c>
      <x:c r="D487" s="4" t="str">
        <x:v>Tatopani / Zhangmu
Imports from China to Nepal via Tatopani</x:v>
      </x:c>
      <x:c r="E487" s="4" t="str">
        <x:v>Imports from China to Nepal via Tatopani
Direction: China to Nepal
Exceptions: Reopening used restricted cargo handling, isolation areas and authorised workers; ordinary passenger movement not demonstrated.</x:v>
      </x:c>
      <x:c r="F487" s="4" t="str">
        <x:v>R3-SC-003-D1 — Observed operation
Imports from China to Nepal via Tatopani; Imports from China to Nepal via Tatopani; China to Nepal
Start: 2020-10-06.
Observed scoped reopening: 2020-10-29.
23 calendar-day difference; scoped endpoint only</x:v>
      </x:c>
      <x:c r="G48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87" s="4" t="str">
        <x:v>R3-SC-003-D1: Preceding July–October flood/landslide outage excluded. Formal28 October preparations differ from first confirmed truck29 October. Reports share customs-chief evidence; positive-worker counts vary and are not fixed here. Reopening used restricted cargo handling, isolation areas and authorised workers; ordinary passenger movement not demonstrated.</x:v>
      </x:c>
      <x:c r="I487" s="4" t="str">
        <x:v>Retained baseline assessment. Retained with recorded qualifications</x:v>
      </x:c>
      <x:c r="J487" s="18" t="d">
        <x:v>2026-10-23T00:00:00.000Z</x:v>
      </x:c>
      <x:c r="K487" s="21" t="str">
        <x:f>IFERROR(HYPERLINK("https://kathmandupost.com/province-no-3/2020/10/29/tatopani-border-point-comes-into-operation","Kathmandu Post"),"Kathmandu Post")</x:f>
        <x:v>Kathmandu Post</x:v>
      </x:c>
      <x:c r="L487" s="21" t="str">
        <x:f>IFERROR(HYPERLINK("https://english.ratopati.com/story/18187/seven-container","Ratopati"),"Ratopati")</x:f>
        <x:v>Ratopati</x:v>
      </x:c>
      <x:c r="M487" s="21" t="str">
        <x:f>IFERROR(HYPERLINK("https://en.imsilkroad.com/p/317222.html","Xinhua Silk Road"),"Xinhua Silk Road")</x:f>
        <x:v>Xinhua Silk Road</x:v>
      </x:c>
      <x:c r="N487" s="4" t="str">
        <x:v>https://kathmandupost.com/province-no-3/2020/10/29/tatopani-border-point-comes-into-operation
https://english.ratopati.com/story/18187/seven-container
https://en.imsilkroad.com/p/317222.html
https://english.khabarhub.com/2020/06/133322/
https://english.dcnepal.com/2020/10/29/tatopani-transit-point-reopens/</x:v>
      </x:c>
      <x:c r="O487" s="4" t="str">
        <x:v>Source 1: full page
Source 2: search extract
Source 3: full page</x:v>
      </x:c>
      <x:c r="P487" s="20" t="n">
        <x:v>1</x:v>
      </x:c>
      <x:c r="Q487" s="4" t="str">
        <x:v>South Asia</x:v>
      </x:c>
      <x:c r="R487" s="4" t="str">
        <x:v>Included</x:v>
      </x:c>
    </x:row>
    <x:row r="488" ht="162" hidden="0" customHeight="1">
      <x:c r="A488" s="16" t="str">
        <x:v>R3-SC-007</x:v>
      </x:c>
      <x:c r="B488" s="4" t="str">
        <x:v>Benapole–Petrapole passenger suspension for Bangladesh election, February 2026</x:v>
      </x:c>
      <x:c r="C488" s="4" t="str">
        <x:v>Bangladesh; India</x:v>
      </x:c>
      <x:c r="D488" s="4" t="str">
        <x:v>Benapole / Petrapole
Passport-holding travellers through the named checkpoint</x:v>
      </x:c>
      <x:c r="E488" s="4" t="str">
        <x:v>Passport-holding travellers through the named checkpoint
Direction: Both directions
Exceptions: Disputed: Bangladesh immigration statements said medical exceptions would not operate; the subsequent Times of India report attributes emergency medical passage to BSF.</x:v>
      </x:c>
      <x:c r="F488" s="4" t="str">
        <x:v>R3-SC-007-D1 — Observed operation
Ordinary non-emergency passport-holder passenger movement at Benapole–Petrapole
Start: 2026-02-12.
Observed scoped reopening: 2026-02-13.
1 calendar-day difference; scoped endpoint only</x:v>
      </x:c>
      <x:c r="G488"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88" s="4" t="str">
        <x:v>R3-SC-007-D1: Ordinary non-emergency passport-holder movement only. The 11 February bus interruption is not used as the passenger onset because its passengers were reported to cross on foot. Supported calendar dates are 12–13 February 2026. Medical access remains disputed and excluded from this cohort. Exact first refusal, resumption clock and elapsed hours are unestablished; one calendar-day difference does not prove exactly 24 hours. Inconsistent passenger subtotals are not adopted. The root fresh retrieval reproduced a later Thursday statement inconsistent with the explicit 13 February reopening date; the challenger’s retrieved body did not show it. The explicit date is retained with this qualification. Freight and routine holidays remain separate.</x:v>
      </x:c>
      <x:c r="I488" s="4" t="str">
        <x:v>Targeted source review (REC50-R04); accepted corrections; evidence limits retained.</x:v>
      </x:c>
      <x:c r="J488" s="18" t="d">
        <x:v>2026-10-25T00:00:00.000Z</x:v>
      </x:c>
      <x:c r="K488" s="21" t="str">
        <x:f>IFERROR(HYPERLINK("https://bdnews24.com/bangladesh/8f2b90bf7ced","bdnews24.com"),"bdnews24.com")</x:f>
        <x:v>bdnews24.com</x:v>
      </x:c>
      <x:c r="L488" s="21" t="str">
        <x:f>IFERROR(HYPERLINK("https://timesofindia.indiatimes.com/city/kolkata/indo-bangla-border-set-to-open-today-after-first-election-day-shutdown/articleshow/128269873.cms","The Times of India"),"The Times of India")</x:f>
        <x:v>The Times of India</x:v>
      </x:c>
      <x:c r="M488" s="21" t="str">
        <x:f>IFERROR(HYPERLINK("https://www.amadershomoy.com/country/article/176464/social-media-link/","Amader Shomoy"),"Amader Shomoy")</x:f>
        <x:v>Amader Shomoy</x:v>
      </x:c>
      <x:c r="N488" s="4" t="str">
        <x:v>https://bdnews24.com/bangladesh/8f2b90bf7ced
https://timesofindia.indiatimes.com/city/kolkata/indo-bangla-border-set-to-open-today-after-first-election-day-shutdown/articleshow/128269873.cms
https://www.amadershomoy.com/country/article/176464/social-media-link/
https://www.jagonews24.com/country/news/1092174
https://observerbd.com/news/565803
https://observerbd.com/news/565812
https://www.amadershomoy.com/country/article/176464</x:v>
      </x:c>
      <x:c r="O488" s="4" t="str">
        <x:v>Source 1: full page
Source 2: full text
Source 3: full text</x:v>
      </x:c>
      <x:c r="P488" s="20" t="n">
        <x:v>1</x:v>
      </x:c>
      <x:c r="Q488" s="4" t="str">
        <x:v>South Asia</x:v>
      </x:c>
      <x:c r="R488" s="4" t="str">
        <x:v>Included</x:v>
      </x:c>
    </x:row>
    <x:row r="489" ht="162" hidden="0" customHeight="1">
      <x:c r="A489" s="16" t="str">
        <x:v>R3-SC-001</x:v>
      </x:c>
      <x:c r="B489" s="4" t="str">
        <x:v>Benapole–Petrapole West Bengal election closure, April 2026</x:v>
      </x:c>
      <x:c r="C489" s="4" t="str">
        <x:v>Bangladesh; India</x:v>
      </x:c>
      <x:c r="D489" s="4" t="str">
        <x:v>Benapole / Petrapole
Ordinary commercial movement through this crossing</x:v>
      </x:c>
      <x:c r="E489" s="4" t="str">
        <x:v>Ordinary commercial movement through this crossing
Direction: Both directions
Exceptions: Limited medical-passenger and perishable-goods movement continued.</x:v>
      </x:c>
      <x:c r="F489" s="4" t="str">
        <x:v>R3-SC-001-D1 — Observed operation
Ordinary commercial movement at Benapole–Petrapole during the West Bengal election restriction.
Start: 2026-04-26.
Observed scoped reopening: 2026-04-30.
4 calendar-day difference; scoped endpoint only</x:v>
      </x:c>
      <x:c r="G489"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89" s="4" t="str">
        <x:v>R3-SC-001-D1: Four calendar-date differences are not four complete 24-hour periods; the headline’s three-day shorthand is not used for arithmetic. Limited perishable-goods and medical-passenger movement continued. UNB/BSS share the port-director origin for the endpoint.</x:v>
      </x:c>
      <x:c r="I489" s="4" t="str">
        <x:v>Targeted source review (REC50-R33); accepted corrections; evidence limits retained.</x:v>
      </x:c>
      <x:c r="J489" s="18" t="d">
        <x:v>2026-10-25T00:00:00.000Z</x:v>
      </x:c>
      <x:c r="K489" s="21" t="str">
        <x:f>IFERROR(HYPERLINK("https://www.tbsnews.net/bangladesh/trade-resumes-through-benapole-port-after-3-day-halt-1425891","The Business Standard / UNB"),"The Business Standard / UNB")</x:f>
        <x:v>The Business Standard / UNB</x:v>
      </x:c>
      <x:c r="L489" s="21" t="str">
        <x:f>IFERROR(HYPERLINK("https://www.bssnews.net/bangla/national/303556","Bangladesh Sangbad Sangstha"),"Bangladesh Sangbad Sangstha")</x:f>
        <x:v>Bangladesh Sangbad Sangstha</x:v>
      </x:c>
      <x:c r="M489" s="21" t="str">
        <x:f>IFERROR(HYPERLINK("https://www.thedailystar.net/business/news/india-suspends-trade-through-benapole-west-bengal-elections-4161961","thedailystar.net"),"thedailystar.net")</x:f>
        <x:v>thedailystar.net</x:v>
      </x:c>
      <x:c r="N489" s="4" t="str">
        <x:v>https://www.tbsnews.net/bangladesh/trade-resumes-through-benapole-port-after-3-day-halt-1425891
https://www.bssnews.net/bangla/national/303556
https://www.thedailystar.net/business/news/india-suspends-trade-through-benapole-west-bengal-elections-4161961
https://www.bssnews.net/business/382918</x:v>
      </x:c>
      <x:c r="O489" s="4" t="str">
        <x:v>Source 1: full text
Source 2: full text
Source 3: access detail is retained in the source catalogue.</x:v>
      </x:c>
      <x:c r="P489" s="20" t="n">
        <x:v>1</x:v>
      </x:c>
      <x:c r="Q489" s="4" t="str">
        <x:v>South Asia</x:v>
      </x:c>
      <x:c r="R489" s="4" t="str">
        <x:v>Included</x:v>
      </x:c>
    </x:row>
    <x:row r="490" ht="90" hidden="0" customHeight="1">
      <x:c r="A490" s="16" t="str">
        <x:v>R3-AF-004</x:v>
      </x:c>
      <x:c r="B490" s="4" t="str">
        <x:v>Maseru Bridge blocked by cross-border taxi dispute in January 2017</x:v>
      </x:c>
      <x:c r="C490" s="4" t="str">
        <x:v>Lesotho; South Africa</x:v>
      </x:c>
      <x:c r="D490" s="4" t="str">
        <x:v>Maseru Bridge
Maseru Bridge border post; other Free State ports affected but not specified</x:v>
      </x:c>
      <x:c r="E490" s="4" t="str">
        <x:v>Cross-border travellers and trade
Direction: Lesotho-to-South Africa operators specifically obstructed; wider passenger movement disrupted
Exceptions: Approximately 400 pedestrians reportedly crossed on January 3 while motorists were obstructed; no universal closure or complete exception inventory established.</x:v>
      </x:c>
      <x:c r="F490" s="4" t="str">
        <x:v>R3-AF-004-R1 — Intermittent regime
Documented sequence of taxi-related obstructions at Maseru Bridge
Start: 2017-01-02.
Last confirmed: 2017-01-04. Reopening is not established.
Intermittent regime envelope; total closed days unknown</x:v>
      </x:c>
      <x:c r="G490" s="4" t="str">
        <x:v>Trade and protectionism / Trade and transport protests
Transport ministry account of competing taxi operators; operators’ complaints reported by Harvest FM
Applies to: Recorded episode; exact overlap not separately established
The recorded rationale and claim assessment support the selected subcategories. All applicable broad categories are retained together; no primary rationale is imposed.</x:v>
      </x:c>
      <x:c r="H490" s="4" t="str">
        <x:v>R3-AF-004-R1: Intermittent/recurrent-obstruction envelope only, not three uninterrupted closed days. January 4 is last named blocked date. January 3 reporting distinguishes stranded motorists from approximately 400 pedestrians who crossed; broader taxi conflict remained after the post reopened. Exact clearance date and times remain unresolved.</x:v>
      </x:c>
      <x:c r="I490" s="4" t="str">
        <x:v>Full-record source audit (REC50-R20); accepted corrections; evidence limits retained.</x:v>
      </x:c>
      <x:c r="J490" s="18" t="d">
        <x:v>2026-10-25T00:00:00.000Z</x:v>
      </x:c>
      <x:c r="K490" s="21" t="str">
        <x:f>IFERROR(HYPERLINK("https://www.gov.za/speeches/cross-border-operations-13-jan-2017-0000","South African Department of Transport"),"South African Department of Transport")</x:f>
        <x:v>South African Department of Transport</x:v>
      </x:c>
      <x:c r="L490" s="21" t="str">
        <x:f>IFERROR(HYPERLINK("https://harvestfm.co.ls/article?h=Lesotho-taxi-operators-continue-to-block-border-post&amp;id=182","Harvest FM"),"Harvest FM")</x:f>
        <x:v>Harvest FM</x:v>
      </x:c>
      <x:c r="M490" s="21" t="str">
        <x:f>IFERROR(HYPERLINK("https://www.sabcnews.com/sabcnews/peters-to-convene-meeting-on-lesothosa-cross-border-taxi-dispute/","SABC"),"SABC")</x:f>
        <x:v>SABC</x:v>
      </x:c>
      <x:c r="N490" s="4" t="str">
        <x:v>https://www.gov.za/speeches/cross-border-operations-13-jan-2017-0000
https://harvestfm.co.ls/article?h=Lesotho-taxi-operators-continue-to-block-border-post&amp;id=182
https://www.sabcnews.com/sabcnews/peters-to-convene-meeting-on-lesothosa-cross-border-taxi-dispute/</x:v>
      </x:c>
      <x:c r="O490" s="4" t="str">
        <x:v>Source 1: full; full text
Source 2: full; indexed extract
Source 3: indexed excerpt</x:v>
      </x:c>
      <x:c r="P490" s="20" t="n">
        <x:v>1</x:v>
      </x:c>
      <x:c r="Q490" s="4" t="str">
        <x:v>Southern and Central Africa</x:v>
      </x:c>
      <x:c r="R490" s="4" t="str">
        <x:v>Included</x:v>
      </x:c>
    </x:row>
    <x:row r="491" ht="90" hidden="0" customHeight="1">
      <x:c r="A491" s="16" t="str">
        <x:v>R3-AF-001</x:v>
      </x:c>
      <x:c r="B491" s="4" t="str">
        <x:v>Angola Lunda Norte–Kasai conflict closure of regular crossing and markets</x:v>
      </x:c>
      <x:c r="C491" s="4" t="str">
        <x:v>Angola; Democratic Republic of the Congo</x:v>
      </x:c>
      <x:c r="D491" s="4" t="str">
        <x:v>Tchissanda / Kamako
Lunda Norte–Kasai frontier; named Tchissanda/Kamako crossing and border markets</x:v>
      </x:c>
      <x:c r="E491" s="4" t="str">
        <x:v>Cross-border travellers and trade
Direction: Not established
Exceptions: Refugee passage reported; formal exemption details unavailable</x:v>
      </x:c>
      <x:c r="F491" s="4" t="str">
        <x:v>R3-AF-001-D1 — Formal policy
Formal regular-crossing/market restriction at Tchissanda–Kamako
Start: 2017-03-01 to 2017-03-30.
Policy endpoint: 2018-03-31.
Formal policy: 366–395 calendar-day difference; operational continuity not established</x:v>
      </x:c>
      <x:c r="G491"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x:v>
      </x:c>
      <x:c r="H491" s="4" t="str">
        <x:v>R3-AF-001-D1: Policy permission period only; the governor calls opening symbolic and ordinary traffic is not independently observed. Refugee passage continued. Onset is bounded within March through first dated confirmation; other posts/markets are not assumed identical.</x:v>
      </x:c>
      <x:c r="I491" s="4" t="str">
        <x:v>Retained baseline assessment. Retained with recorded qualifications</x:v>
      </x:c>
      <x:c r="J491" s="18" t="d">
        <x:v>2026-10-23T00:00:00.000Z</x:v>
      </x:c>
      <x:c r="K491" s="21" t="str">
        <x:f>IFERROR(HYPERLINK("https://www.voaportugues.com/a/angola-encerra-posto-fronteirio-com-rdc/3789546.html","voaportugues.com"),"voaportugues.com")</x:f>
        <x:v>voaportugues.com</x:v>
      </x:c>
      <x:c r="L491" s="21" t="str">
        <x:f>IFERROR(HYPERLINK("https://amp.dw.com/pt-002/fronteira-angolana-com-rdc-%C3%A9-reaberta-ap%C3%B3s-um-ano/a-43208913","amp.dw.com"),"amp.dw.com")</x:f>
        <x:v>amp.dw.com</x:v>
      </x:c>
      <x:c r="M491" s="21" t="str">
        <x:f>IFERROR(HYPERLINK("https://www.radiookapi.net/2018/04/03/actualite/politique/kasai-reouverture-de-la-frontiere-rdc-angola","radiookapi.net"),"radiookapi.net")</x:f>
        <x:v>radiookapi.net</x:v>
      </x:c>
      <x:c r="N491" s="4" t="str">
        <x:v>https://www.voaportugues.com/a/angola-encerra-posto-fronteirio-com-rdc/3789546.html
https://amp.dw.com/pt-002/fronteira-angolana-com-rdc-%C3%A9-reaberta-ap%C3%B3s-um-ano/a-43208913
https://www.radiookapi.net/2018/04/03/actualite/politique/kasai-reouverture-de-la-frontiere-rdc-angola
https://www.ecoi.net/en/file/local/1400366/1930_1496749994_57089.pdf
https://deskeco.com/rdc-angola-reouverture-du-poste-frontalier-de-kamako-150-km-de-tshikapa</x:v>
      </x:c>
      <x:c r="O491" s="4" t="str">
        <x:v>Source 1: full
Source 2: full
Source 3: full</x:v>
      </x:c>
      <x:c r="P491" s="20" t="n">
        <x:v>1</x:v>
      </x:c>
      <x:c r="Q491" s="4" t="str">
        <x:v>Southern and Central Africa</x:v>
      </x:c>
      <x:c r="R491" s="4" t="str">
        <x:v>Included</x:v>
      </x:c>
    </x:row>
    <x:row r="492" ht="162" hidden="0" customHeight="1">
      <x:c r="A492" s="16" t="str">
        <x:v>R3-AF-008</x:v>
      </x:c>
      <x:c r="B492" s="4" t="str">
        <x:v>Cameroon South-West Nigeria frontier closure before Anglophone protests</x:v>
      </x:c>
      <x:c r="C492" s="4" t="str">
        <x:v>Cameroon; Nigeria</x:v>
      </x:c>
      <x:c r="D492" s="4" t="str">
        <x:v>South-West land frontier; individual posts not specified
South-West region frontier with Nigeria; do not generalize to entire bilateral border</x:v>
      </x:c>
      <x:c r="E492" s="4" t="str">
        <x:v>Cross-border travellers and trade
Direction: Not established
Exceptions: Not established</x:v>
      </x:c>
      <x:c r="F492" s="4" t="str">
        <x:v>R3-AF-008-R1 — Announced window
South-West region Nigeria frontier under governor’s weekend order
Start: 2017-09-29.
Scheduled endpoint: 2017-10-02.
Ordered window: 3 calendar-day difference; actual end not established</x:v>
      </x:c>
      <x:c r="G492" s="4" t="str">
        <x:v>Security / Unspecified security
Reported reason
Applies to: Recorded episode; exact overlap not separately established
The recorded rationale and claim assessment support the selected subcategories. All applicable broad categories are retained together; no primary rationale is imposed.
Power and regime politics / Opposition and political reform
Reported reason
Applies to: Recorded episode; exact overlap not separately established
The recorded rationale and claim assessment support the selected subcategories. All applicable broad categories are retained together; no primary rationale is imposed.</x:v>
      </x:c>
      <x:c r="H492" s="4" t="str">
        <x:v>R3-AF-008-R1: Scheduled 29 September 21:00 to 2 October 07:00, not verified enforcement duration; endpoint is the scheduled morning expiry. Timezone not separately verified. North-West and other frontiers excluded; later Ekok closed-status evidence is a separate unresolved operational phase.</x:v>
      </x:c>
      <x:c r="I492" s="4" t="str">
        <x:v>Retained baseline assessment. Retained with recorded qualifications</x:v>
      </x:c>
      <x:c r="J492" s="18" t="d">
        <x:v>2026-10-23T00:00:00.000Z</x:v>
      </x:c>
      <x:c r="K492" s="21" t="str">
        <x:f>IFERROR(HYPERLINK("https://defenceweb.co.za/security/civil-security/cameroon-anglophone-regions-to-shut-nigeria-border-over-protests/","DefenceWeb"),"DefenceWeb")</x:f>
        <x:v>DefenceWeb</x:v>
      </x:c>
      <x:c r="L492" s="21" t="str">
        <x:f>IFERROR(HYPERLINK("https://www.stopblablacam.com/culture-and-society/0310-1075-has-cameroon-really-closed-its-borders-with-nigeria","Stop Bla Bla Cam"),"Stop Bla Bla Cam")</x:f>
        <x:v>Stop Bla Bla Cam</x:v>
      </x:c>
      <x:c r="M492" s="21" t="str">
        <x:f>IFERROR(HYPERLINK("https://www.voanews.com/a/cameroon-reopens-border-with-nigeria/4711012.html","Voice of America"),"Voice of America")</x:f>
        <x:v>Voice of America</x:v>
      </x:c>
      <x:c r="N492" s="4" t="str">
        <x:v>https://defenceweb.co.za/security/civil-security/cameroon-anglophone-regions-to-shut-nigeria-border-over-protests/
https://www.stopblablacam.com/culture-and-society/0310-1075-has-cameroon-really-closed-its-borders-with-nigeria
https://www.voanews.com/a/cameroon-reopens-border-with-nigeria/4711012.html
https://tribuneonlineng.com/closure-cameroon-border-refugee-commission-carries-registration-person/
https://2017-2021.state.gov/reports/2017-country-reports-on-human-rights-practices/cameroon/
https://amp.dw.com/en/cameroon-troops-deployed-ahead-of-anglophone-independence-declaration/a-40751054
https://www.africanews.com/amp/2017/09/29/movement-restricted-in-cameroon-region-ahead-of-independence-day/</x:v>
      </x:c>
      <x:c r="O492" s="4" t="str">
        <x:v>Source 1: full
Source 2: indexed excerpt
Source 3: indexed excerpt</x:v>
      </x:c>
      <x:c r="P492" s="20" t="n">
        <x:v>1</x:v>
      </x:c>
      <x:c r="Q492" s="4" t="str">
        <x:v>Southern and Central Africa</x:v>
      </x:c>
      <x:c r="R492" s="4" t="str">
        <x:v>Included</x:v>
      </x:c>
    </x:row>
    <x:row r="493" ht="162" hidden="0" customHeight="1">
      <x:c r="A493" s="16" t="str">
        <x:v>R3-AF-003</x:v>
      </x:c>
      <x:c r="B493" s="4" t="str">
        <x:v>Cameroon October 2018 presidential election border closure order</x:v>
      </x:c>
      <x:c r="C493" s="4" t="str">
        <x:v>Cameroon; Nigeria; Chad; Central African Republic; Republic of the Congo; Gabon; Equatorial Guinea</x:v>
      </x:c>
      <x:c r="D493" s="4" t="str">
        <x:v>National land borders
National frontier closure order; land component retained</x:v>
      </x:c>
      <x:c r="E493" s="4" t="str">
        <x:v>Cross-border travellers and trade
Direction: Not established
Exceptions: Not established</x:v>
      </x:c>
      <x:c r="F493" s="4" t="str">
        <x:v>R3-AF-003-R1 — Announced window
Cameroon national electoral border order, land component
Start: 2018-10-05 to 2018-10-06.
Scheduled endpoint: 2018-10-08.
Ordered window: 2–3 calendar-day difference; actual end not established</x:v>
      </x:c>
      <x:c r="G493"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Unspecified security
Reported reason
Applies to: Recorded episode; exact overlap not separately established
The recorded rationale and claim assessment support the selected subcategories. All applicable broad categories are retained together; no primary rationale is imposed.</x:v>
      </x:c>
      <x:c r="H493" s="4" t="str">
        <x:v>R3-AF-003-R1: Scheduled reopening is October 8 with no stated hour; endpoint-day inclusivity is unknown. Onset remains October 5–6 because ministerial pre-poll wording and election-day ministry report differ. Domestic October 6–7 movement curfew is separate. No actual universal enforcement or reopening is asserted.</x:v>
      </x:c>
      <x:c r="I493" s="4" t="str">
        <x:v>Retained baseline assessment. Retained with recorded qualifications</x:v>
      </x:c>
      <x:c r="J493" s="18" t="d">
        <x:v>2026-10-23T00:00:00.000Z</x:v>
      </x:c>
      <x:c r="K493" s="21" t="str">
        <x:f>IFERROR(HYPERLINK("https://www.xinhuanet.com/english/2018-10/06/c_129966298.htm","Xinhua"),"Xinhua")</x:f>
        <x:v>Xinhua</x:v>
      </x:c>
      <x:c r="L493" s="21" t="str">
        <x:f>IFERROR(HYPERLINK("https://www.mincom.gov.cm/en/2018/09/26/les-rues-de-yaounde-sont-quasi-desertes-2/","Cameroon Ministry of Communication"),"Cameroon Ministry of Communication")</x:f>
        <x:v>Cameroon Ministry of Communication</x:v>
      </x:c>
      <x:c r="M493" s="21" t="str">
        <x:f>IFERROR(HYPERLINK("https://actucameroun.com/2018/10/06/cameroun-presidentielle-2018-le-cameroun-ferme-ses-frontieres/","Actu Cameroun"),"Actu Cameroun")</x:f>
        <x:v>Actu Cameroun</x:v>
      </x:c>
      <x:c r="N493" s="4" t="str">
        <x:v>https://www.xinhuanet.com/english/2018-10/06/c_129966298.htm
https://www.mincom.gov.cm/en/2018/09/26/les-rues-de-yaounde-sont-quasi-desertes-2/
https://actucameroun.com/2018/10/06/cameroun-presidentielle-2018-le-cameroun-ferme-ses-frontieres/
https://corbeaunews-centrafrique.org/presidentielle-au-cameroun-les-interdits-du-jour-de-vote/</x:v>
      </x:c>
      <x:c r="O493" s="4" t="str">
        <x:v>Source 1: indexed excerpt; full
Source 2: full
Source 3: full</x:v>
      </x:c>
      <x:c r="P493" s="20" t="n">
        <x:v>1</x:v>
      </x:c>
      <x:c r="Q493" s="4" t="str">
        <x:v>Southern and Central Africa</x:v>
      </x:c>
      <x:c r="R493" s="4" t="str">
        <x:v>Included</x:v>
      </x:c>
    </x:row>
    <x:row r="494" ht="78" hidden="0" customHeight="1">
      <x:c r="A494" s="16" t="str">
        <x:v>R3-AF-005</x:v>
      </x:c>
      <x:c r="B494" s="4" t="str">
        <x:v>Maseru Bridge protest blockade after death of a Lesotho national</x:v>
      </x:c>
      <x:c r="C494" s="4" t="str">
        <x:v>Lesotho; South Africa</x:v>
      </x:c>
      <x:c r="D494" s="4" t="str">
        <x:v>Maseru Bridge
Maseru Bridge border post</x:v>
      </x:c>
      <x:c r="E494" s="4" t="str">
        <x:v>Cross-border travellers and trade
Direction: Not established
Exceptions: Not established</x:v>
      </x:c>
      <x:c r="F494" s="4" t="str">
        <x:v>R3-AF-005-D1 — Observed operation
Maseru Bridge protest-related road blockage
Start: 2019-01-16.
Observed scoped reopening: 2019-01-16 to 2019-01-17.
0–1 calendar-day difference; scoped endpoint only</x:v>
      </x:c>
      <x:c r="G494" s="4" t="str">
        <x:v>Policy and socioeconomic demands / Rights and other policy grievances
Analytical interpretation of reported context
Applies to: Recorded episode; exact overlap not separately established
Opposition to alleged police involvement in a death fits the rights/policing grievance subtype; the underlying allegation remains unresolved.</x:v>
      </x:c>
      <x:c r="H494" s="4" t="str">
        <x:v>R3-AF-005-D1: Restoration may fall on January 16 or 17; no exact hours or full-day minimum is inferred. Allegations about responsibility for the death remain unadjudicated. SABC retrospective was available in indexed text after direct failure.</x:v>
      </x:c>
      <x:c r="I494" s="4" t="str">
        <x:v>Targeted source review (REC50-R24); accepted corrections; evidence limits retained.</x:v>
      </x:c>
      <x:c r="J494" s="18" t="d">
        <x:v>2026-10-25T00:00:00.000Z</x:v>
      </x:c>
      <x:c r="K494" s="21" t="str">
        <x:f>IFERROR(HYPERLINK("https://www.sowetan.co.za/news/south-africa/2019-01-17-body-of-man-assaulted-by-police-found-close-to-lesotho-border/","Sowetan"),"Sowetan")</x:f>
        <x:v>Sowetan</x:v>
      </x:c>
      <x:c r="L494" s="21" t="str">
        <x:f>IFERROR(HYPERLINK("https://www.sabcnews.com/sabcnews/home-affairs-minister-visit-maseru-bridge-in-lesotho/","SABC News"),"SABC News")</x:f>
        <x:v>SABC News</x:v>
      </x:c>
      <x:c r="M494" s="21"/>
      <x:c r="N494" s="4" t="str">
        <x:v>https://www.sowetan.co.za/news/south-africa/2019-01-17-body-of-man-assaulted-by-police-found-close-to-lesotho-border/
https://www.sabcnews.com/sabcnews/home-affairs-minister-visit-maseru-bridge-in-lesotho/</x:v>
      </x:c>
      <x:c r="O494" s="4" t="str">
        <x:v>Source 1: full text
Source 2: blocked direct fetch; substantive indexed extract</x:v>
      </x:c>
      <x:c r="P494" s="20" t="n">
        <x:v>1</x:v>
      </x:c>
      <x:c r="Q494" s="4" t="str">
        <x:v>Southern and Central Africa</x:v>
      </x:c>
      <x:c r="R494" s="4" t="str">
        <x:v>Included</x:v>
      </x:c>
    </x:row>
    <x:row r="495" ht="114" hidden="0" customHeight="1">
      <x:c r="A495" s="16" t="str">
        <x:v>R3-AF-002</x:v>
      </x:c>
      <x:c r="B495" s="4" t="str">
        <x:v>Equatorial Guinea extends Cameroon land closure beyond independence holiday</x:v>
      </x:c>
      <x:c r="C495" s="4" t="str">
        <x:v>Equatorial Guinea; Cameroon</x:v>
      </x:c>
      <x:c r="D495" s="4" t="str">
        <x:v>Kye-Ossi / Ebebiyin
Kye-Ossi–Ebebiyin frontier</x:v>
      </x:c>
      <x:c r="E495" s="4" t="str">
        <x:v>Cross-border travellers and trade
Direction: Not established
Exceptions: Not established</x:v>
      </x:c>
      <x:c r="F495" s="4" t="str">
        <x:v>R3-AF-002-D1 — Formal policy
Official suspension of ordinary persons and goods at Kye-Ossi–Ebebiyin
Start: 2019-10-11.
Last confirmed: 2020-04-03. Reopening is not established.
Formal policy: confirmed through 2020-04-03; at least 175 calendar-day difference; reopening unknown</x:v>
      </x:c>
      <x:c r="G495" s="4" t="str">
        <x:v>Uncoded / Unresolved rationale
Not assigned
Applies to: Not assigned
No additional motive inferred</x:v>
      </x:c>
      <x:c r="H495" s="4" t="str">
        <x:v>R3-AF-002-D1: Formal restriction confirmed through April 3, not proof of uninterrupted universal enforcement. April source could not be reopened during the prior check; English/French AFP share one origin. No reason for the extension is established and a Cameroonian governor's speculation is not adopted.
rationale: Fresh French pass finds no attributed rationale for the extended October 2019 closure. Retain explicitly uncoded rationale and existing phase; avoid importing the distinct 2017 security justification.</x:v>
      </x:c>
      <x:c r="I495" s="4" t="str">
        <x:v>Retained baseline assessment. 23 October targeted review; retained with qualifications</x:v>
      </x:c>
      <x:c r="J495" s="18" t="d">
        <x:v>2026-10-23T00:00:00.000Z</x:v>
      </x:c>
      <x:c r="K495" s="21" t="str">
        <x:f>IFERROR(HYPERLINK("https://www.cameroonintelligencereport.com/2019/10/page/5/","Cameroon Intelligence Report"),"Cameroon Intelligence Report")</x:f>
        <x:v>Cameroon Intelligence Report</x:v>
      </x:c>
      <x:c r="L495" s="21" t="str">
        <x:f>IFERROR(HYPERLINK("https://mimimefoinfos.com/national-and-international-news-roundup-31-october-2019/","Mimi Mefo Info"),"Mimi Mefo Info")</x:f>
        <x:v>Mimi Mefo Info</x:v>
      </x:c>
      <x:c r="M495" s="21" t="str">
        <x:f>IFERROR(HYPERLINK("https://www.camer.be/amp/77356/11%3A1/cameroon-la-frontiere-entre-le-cameroun-et-la-guinee-equatoriale-fermee-depuis-plus-de-dix-jours.html","Camer. be"),"Camer. be")</x:f>
        <x:v>Camer. be</x:v>
      </x:c>
      <x:c r="N495" s="4" t="str">
        <x:v>https://www.cameroonintelligencereport.com/2019/10/page/5/
https://mimimefoinfos.com/national-and-international-news-roundup-31-october-2019/
https://www.camer.be/amp/77356/11%3A1/cameroon-la-frontiere-entre-le-cameroun-et-la-guinee-equatoriale-fermee-depuis-plus-de-dix-jours.html
https://www.stopblablacam.com/politique/0304-3735-le-cameroun-evalue-la-securitaire-a-sa-frontiere-avec-le-gabon-et-la-guinee-equatoriale
https://camerounactuel.com/frontiere-cameroun-guinee-equatoriale-une-mission-de-clarifications/
https://actucameroun.com/2019/11/01/cameroun-guinee-equatoriale-paul-biya-rechauffe-les-relations/</x:v>
      </x:c>
      <x:c r="O495" s="4" t="str">
        <x:v>Source 1: full archive page
Source 2: full page
Source 3: full page</x:v>
      </x:c>
      <x:c r="P495" s="20" t="n">
        <x:v>1</x:v>
      </x:c>
      <x:c r="Q495" s="4" t="str">
        <x:v>Southern and Central Africa</x:v>
      </x:c>
      <x:c r="R495" s="4" t="str">
        <x:v>Included</x:v>
      </x:c>
    </x:row>
    <x:row r="496" ht="78" hidden="0" customHeight="1">
      <x:c r="A496" s="16" t="str">
        <x:v>R3-AF-009</x:v>
      </x:c>
      <x:c r="B496" s="4" t="str">
        <x:v>Republic of Congo 2021 presidential-election border closure order</x:v>
      </x:c>
      <x:c r="C496" s="4" t="str">
        <x:v>Republic of the Congo; Gabon; Cameroon; Central African Republic; Democratic Republic of the Congo; Angola</x:v>
      </x:c>
      <x:c r="D496" s="4" t="str">
        <x:v>National land frontiers and international river crossings; no named posts
All national frontiers; land and river-crossing component retained</x:v>
      </x:c>
      <x:c r="E496" s="4" t="str">
        <x:v>Cross-border travellers and trade
Direction: Not established
Exceptions: Not established</x:v>
      </x:c>
      <x:c r="F496" s="4" t="str">
        <x:v>R3-AF-009-R1 — Announced window
Republic of Congo national electoral border order, land component
Start: 2021-03-21.
Scheduled endpoint: 2021-03-21.
Ordered window: Same-day episode; no whole-day duration inferred; 12 ordered hours (06:00–18:00)</x:v>
      </x:c>
      <x:c r="G496"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x:v>
      </x:c>
      <x:c r="H496" s="4" t="str">
        <x:v>R3-AF-009-R1: Explicit March 21, 2021 order from 06:00 to 18:00: twelve ordered hours, not zero elapsed duration or a full twenty-four-hour day. Actual enforcement and reopening not verified; expiry does not repeal overlapping COVID restrictions.</x:v>
      </x:c>
      <x:c r="I496" s="4" t="str">
        <x:v>Full-record source audit (REC50-R35); retained with recorded qualifications; evidence limits retained.</x:v>
      </x:c>
      <x:c r="J496" s="18" t="d">
        <x:v>2026-10-25T00:00:00.000Z</x:v>
      </x:c>
      <x:c r="K496" s="21" t="str">
        <x:f>IFERROR(HYPERLINK("https://sgg.cg/JO/2021/congo-jo-2021-12.pdf","Republic of Congo, Journal officiel"),"Republic of Congo, Journal officiel")</x:f>
        <x:v>Republic of Congo, Journal officiel</x:v>
      </x:c>
      <x:c r="L496" s="21" t="str">
        <x:f>IFERROR(HYPERLINK("https://www.sgg.cg/fr/actualites/41/34e-runion-de-la-coordination-nationale-de-gestion-de-la-pandmie-de-coronavirus-covid-19.html","Republic of Congo, Secrétariat Général du Gouvernement"),"Republic of Congo, Secrétariat Général du Gouvernement")</x:f>
        <x:v>Republic of Congo, Secrétariat Général du Gouvernement</x:v>
      </x:c>
      <x:c r="M496" s="21" t="str">
        <x:f>IFERROR(HYPERLINK("https://www.journaldebrazza.com/congo-presidentielle-faible-mobilisation-ce-dimanche-de-vote/","Journal de Brazza"),"Journal de Brazza")</x:f>
        <x:v>Journal de Brazza</x:v>
      </x:c>
      <x:c r="N496" s="4" t="str">
        <x:v>https://sgg.cg/JO/2021/congo-jo-2021-12.pdf
https://www.sgg.cg/fr/actualites/41/34e-runion-de-la-coordination-nationale-de-gestion-de-la-pandmie-de-coronavirus-covid-19.html
https://www.journaldebrazza.com/congo-presidentielle-faible-mobilisation-ce-dimanche-de-vote/
https://lesechos-congobrazza.com/societe/7238-congo-les-frontieres-aeriennes-sont-reouvertes
https://www.sgg.cg/JO/2021/congo-jo-2021-12.pdf</x:v>
      </x:c>
      <x:c r="O496" s="4" t="str">
        <x:v>Source 1: full; full text
Source 2: full; full text
Source 3: full page</x:v>
      </x:c>
      <x:c r="P496" s="20" t="n">
        <x:v>1</x:v>
      </x:c>
      <x:c r="Q496" s="4" t="str">
        <x:v>Southern and Central Africa</x:v>
      </x:c>
      <x:c r="R496" s="4" t="str">
        <x:v>Included</x:v>
      </x:c>
    </x:row>
    <x:row r="497" ht="162" hidden="0" customHeight="1">
      <x:c r="A497" s="16" t="str">
        <x:v>R4-AM-003</x:v>
      </x:c>
      <x:c r="B497" s="4" t="str">
        <x:v>Guyana’s Brazil-frontier COVID travel restriction with weekly goods exceptions, 2020–2021</x:v>
      </x:c>
      <x:c r="C497" s="4" t="str">
        <x:v>Guyana; Brazil</x:v>
      </x:c>
      <x:c r="D497" s="4" t="str">
        <x:v>Takutu River Bridge / Lethem–Bonfim
Guyanese restriction on ordinary cross-border land travel at Lethem/Bonfim, with controlled essential exchanges</x:v>
      </x:c>
      <x:c r="E497" s="4" t="str">
        <x:v>Ordinary travellers and cross-border trading communities; essential supplies were handled through exceptions.
Direction: Guyana-administered cross-border travel; entry from Brazil is directly documented.
Exceptions: Thursday goods and limited shopping exchanges; October relaxation added Friday personal travel subject to health conditions.</x:v>
      </x:c>
      <x:c r="F497" s="4" t="str">
        <x:v>R4-AM-003-D1 — Formal policy
Guyana's restricted ordinary-travel regime at Lethem–Bonfim, ending here at added Friday personal-travel access
Start: 2020-03-01 to 2020-03-27.
Policy endpoint: 2021-10-01.
Formal policy: 553–579 calendar-day difference; operational continuity not established</x:v>
      </x:c>
      <x:c r="G49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497" s="4" t="str">
        <x:v>R4-AM-003-D1: Selective policy period, not universal continuous closure. Thursday goods/shopping exchanges and discretionary access continued. March onset is bounded, not borrowed from Brazil or the conflicting May retrospective; exact health conditions and Friday hours remain unresolved, and the linked gazette was inaccessible.</x:v>
      </x:c>
      <x:c r="I497" s="4" t="str">
        <x:v>Retained baseline assessment. Retained with recorded qualifications</x:v>
      </x:c>
      <x:c r="J497" s="18" t="d">
        <x:v>2026-10-23T00:00:00.000Z</x:v>
      </x:c>
      <x:c r="K497" s="21" t="str">
        <x:f>IFERROR(HYPERLINK("https://dpi.gov.gy/ministry-of-foreign-affairs-press-release/","Department of Public Information, Guyana"),"Department of Public Information, Guyana")</x:f>
        <x:v>Department of Public Information, Guyana</x:v>
      </x:c>
      <x:c r="L497" s="21" t="str">
        <x:f>IFERROR(HYPERLINK("https://newsroom.gy/2020/03/26/region-9-reo-seeks-rigorous-army-presence-at-border-after-covid-19-case-confirmed-in-bonfim/","News Room Guyana"),"News Room Guyana")</x:f>
        <x:v>News Room Guyana</x:v>
      </x:c>
      <x:c r="M497" s="21" t="str">
        <x:f>IFERROR(HYPERLINK("https://dpi.gov.gy/strict-covid-19-measures-in-place-for-limited-travel-across-borders-health-minister/","Department of Public Information, Guyana"),"Department of Public Information, Guyana")</x:f>
        <x:v>Department of Public Information, Guyana</x:v>
      </x:c>
      <x:c r="N497" s="4" t="str">
        <x:v>https://dpi.gov.gy/ministry-of-foreign-affairs-press-release/
https://newsroom.gy/2020/03/26/region-9-reo-seeks-rigorous-army-presence-at-border-after-covid-19-case-confirmed-in-bonfim/
https://dpi.gov.gy/strict-covid-19-measures-in-place-for-limited-travel-across-borders-health-minister/
https://newsroom.gy/2021/10/01/guyana-brazil-crossing-goods-to-be-transported-on-thursdays-people-can-move-on-fridays/
https://www.stabroeknews.com/2021/10/02/news/guyana/bonfim-protest-ends-as-travel-restriction-to-lethem-eased/
https://guyanachronicle.com/2020/03/20/brazil-closes-border-with-guyana-2/
https://www.stabroeknews.com/2020/03/20/news/guyana/brazil-restricts-border-crossings-due-to-coronavirus/
https://newsroom.gy/2021/11/15/lethem-crossing-now-open-from-mondays-to-fridays/</x:v>
      </x:c>
      <x:c r="O497" s="4" t="str">
        <x:v>Source 1: article body retrieved
Source 2: article body retrieved
Source 3: article body retrieved</x:v>
      </x:c>
      <x:c r="P497" s="20" t="n">
        <x:v>1</x:v>
      </x:c>
      <x:c r="Q497" s="4" t="str">
        <x:v>Americas</x:v>
      </x:c>
      <x:c r="R497" s="4" t="str">
        <x:v>Included</x:v>
      </x:c>
    </x:row>
    <x:row r="498" ht="162" hidden="0" customHeight="1">
      <x:c r="A498" s="16" t="str">
        <x:v>R4-AM-001</x:v>
      </x:c>
      <x:c r="B498" s="4" t="str">
        <x:v>Venezuela–Brazil military-exercise closure, January 2025</x:v>
      </x:c>
      <x:c r="C498" s="4" t="str">
        <x:v>Venezuela; Brazil</x:v>
      </x:c>
      <x:c r="D498" s="4" t="str">
        <x:v>Pacaraima–Santa Elena de Uairén
Pacaraima–Santa Elena de Uairén official road crossing</x:v>
      </x:c>
      <x:c r="E498" s="4" t="str">
        <x:v>Cars, freight vehicles and pedestrians at the named crossing.
Direction: Crossing traffic suspended; direction-specific exception not established.
Exceptions: No civilian exemption established in the retrieved accounts.</x:v>
      </x:c>
      <x:c r="F498" s="4" t="str">
        <x:v>R4-AM-001-D1 — Observed operation
Initial military-exercise stoppage at Pacaraima–Santa Elena de Uairen
Start: 2025-01-22.
Observed scoped reopening: 2025-01-22 to 2025-01-23.
0–1 calendar-day difference; scoped endpoint only</x:v>
      </x:c>
      <x:c r="G498"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498" s="4" t="str">
        <x:v>R4-AM-001-D1: Zero-to-one calendar-day boundary range, not an exact hourly duration. A renewed closure could explain the disagreement but is unverified and not invented; this bounds the initial episode's reported end, not proof of uninterrupted openness afterward.</x:v>
      </x:c>
      <x:c r="I498" s="4" t="str">
        <x:v>Retained baseline assessment. Retained with recorded qualifications</x:v>
      </x:c>
      <x:c r="J498" s="18" t="d">
        <x:v>2026-10-23T00:00:00.000Z</x:v>
      </x:c>
      <x:c r="K498" s="21" t="str">
        <x:f>IFERROR(HYPERLINK("https://www.cnnbrasil.com.br/politica/venezuela-fecha-fronteira-com-o-brasil-para-realizar-exercicio-militar/","CNN Brasil"),"CNN Brasil")</x:f>
        <x:v>CNN Brasil</x:v>
      </x:c>
      <x:c r="L498" s="21" t="str">
        <x:f>IFERROR(HYPERLINK("https://efe.com/mundo/2025-01-22/venezuela-ejercicios-militares-policiales-2025/","EFE"),"EFE")</x:f>
        <x:v>EFE</x:v>
      </x:c>
      <x:c r="M498" s="21" t="str">
        <x:f>IFERROR(HYPERLINK("https://www.cnnbrasil.com.br/politica/apos-12-horas-venezuela-reabre-fronteira-e-paralisa-exercicio-militar/","CNN Brasil"),"CNN Brasil")</x:f>
        <x:v>CNN Brasil</x:v>
      </x:c>
      <x:c r="N498" s="4" t="str">
        <x:v>https://www.cnnbrasil.com.br/politica/venezuela-fecha-fronteira-com-o-brasil-para-realizar-exercicio-militar/
https://efe.com/mundo/2025-01-22/venezuela-ejercicios-militares-policiales-2025/
https://www.cnnbrasil.com.br/politica/apos-12-horas-venezuela-reabre-fronteira-e-paralisa-exercicio-militar/
https://efe.com/mundo/2025-01-23/frontera-brasil-venezuela-reabre/
https://economia.uol.com.br/noticias/reuters/2025/01/10/itamaraty-diz-que-venezuela-fechou-fronteira-com-brasil-ate-2-feira.htm
https://www.folhabv.com.br/cotidiano/venezuela-reabre-fronteira-com-o-brasil-apos-tres-dias/
https://www.folhabv.com.br/geral/fronteira-entre-brasil-e-venezuela-segue-fechada-para-veiculos-em-pacaraima/</x:v>
      </x:c>
      <x:c r="O498" s="4" t="str">
        <x:v>Source 1: article body retrieved
Source 2: article body retrieved
Source 3: article body retrieved</x:v>
      </x:c>
      <x:c r="P498" s="20" t="n">
        <x:v>1</x:v>
      </x:c>
      <x:c r="Q498" s="4" t="str">
        <x:v>Americas</x:v>
      </x:c>
      <x:c r="R498" s="4" t="str">
        <x:v>Included</x:v>
      </x:c>
    </x:row>
    <x:row r="499" ht="198" hidden="0" customHeight="1">
      <x:c r="A499" s="16" t="str">
        <x:v>R4-AM-002</x:v>
      </x:c>
      <x:c r="B499" s="4" t="str">
        <x:v>Rumichaca indigenous vehicle blockade over destroyed community bridges, February 2025</x:v>
      </x:c>
      <x:c r="C499" s="4" t="str">
        <x:v>Colombia; Ecuador</x:v>
      </x:c>
      <x:c r="D499" s="4" t="str">
        <x:v>Rumichaca
Vehicle passage over Rumichaca international bridge; humanitarian pedestrian windows excluded</x:v>
      </x:c>
      <x:c r="E499" s="4" t="str">
        <x:v>Private vehicles, public transport and freight.
Direction: Vehicle movement between both countries obstructed.
Exceptions: Humanitarian pedestrian passage was opened intermittently; this is a vehicle-closure record.</x:v>
      </x:c>
      <x:c r="F499" s="4" t="str">
        <x:v>R4-AM-002-D1 — Observed operation
Public, private and freight vehicle passage at Rumichaca bridge
Start: 2025-02-26.
Observed scoped reopening: 2025-02-28.
2 calendar-day difference; scoped endpoint only</x:v>
      </x:c>
      <x:c r="G499" s="4" t="str">
        <x:v>Policy and socioeconomic demands / Jobs, services and livelihoods
Reported reason
Applies to: Recorded episode; exact overlap not separately established
The recorded rationale and claim assessment support the selected subcategories. All applicable broad categories are retained together; no primary rationale is imposed.
Policy and socioeconomic demands / Rights and other policy grievances
Reported reason
Applies to: Recorded episode; exact overlap not separately established
The recorded rationale and claim assessment support the selected subcategories. All applicable broad categories are retained together; no primary rationale is imposed.</x:v>
      </x:c>
      <x:c r="H499" s="4" t="str">
        <x:v>R4-AM-002-D1: Humanitarian pedestrian windows continued and are outside the vehicle scope. Calendar dates take precedence over changed live metadata and inconsistent 80-hour/all-persons summaries; no exact hours are calculated.</x:v>
      </x:c>
      <x:c r="I499" s="4" t="str">
        <x:v>Retained baseline assessment. Retained with recorded qualifications</x:v>
      </x:c>
      <x:c r="J499" s="18" t="d">
        <x:v>2026-10-23T00:00:00.000Z</x:v>
      </x:c>
      <x:c r="K499" s="21" t="str">
        <x:f>IFERROR(HYPERLINK("https://www.elcomercio.com/actualidad/ecuador/comunidades-indigenas-bloquean-puente-internacional-de-rumichaca/","El Comercio"),"El Comercio")</x:f>
        <x:v>El Comercio</x:v>
      </x:c>
      <x:c r="L499" s="21" t="str">
        <x:f>IFERROR(HYPERLINK("https://www.elcomercio.com/actualidad/ecuador/puente-rumichaca/","El Comercio"),"El Comercio")</x:f>
        <x:v>El Comercio</x:v>
      </x:c>
      <x:c r="M499" s="21" t="str">
        <x:f>IFERROR(HYPERLINK("https://www.cancilleria.gov.co/sala-de-prensa/noticias/comunicado-de-prensa-sobre-hecho-fronterizo-con-ecuador-y-apertura-del-puente-internacional-de-rumichaca","Colombian Ministry of Foreign Affairs"),"Colombian Ministry of Foreign Affairs")</x:f>
        <x:v>Colombian Ministry of Foreign Affairs</x:v>
      </x:c>
      <x:c r="N499" s="4" t="str">
        <x:v>https://www.elcomercio.com/actualidad/ecuador/comunidades-indigenas-bloquean-puente-internacional-de-rumichaca/
https://www.elcomercio.com/actualidad/ecuador/puente-rumichaca/
https://www.cancilleria.gov.co/sala-de-prensa/noticias/comunicado-de-prensa-sobre-hecho-fronterizo-con-ecuador-y-apertura-del-puente-internacional-de-rumichaca
https://narino.gov.co/noticias/para-resolver-crisis-fronteriza-indigenas-convocan-mesa-de-dialogo-y-concertacion-con-autoridades-en-ipiales/
https://www.eltiempo.com/colombia/otras-ciudades/despues-de-80-horas-comunidades-indigenas-levantan-el-bloqueo-del-puente-de-rumichaca-en-la-frontera-con-ecuador-3431560
https://www.lahora.com.ec/imbaburacarchi/Rumichaca-se-refuerza-y-alista-limitaciones-de-movilidad-por-elecciones-en-Ecuador-20250206-0002.html
https://www.eluniverso.com/noticias/ecuador/50-colombianos-son-retornados-a-su-pais-por-ingresar-a-ecuador-durante-proceso-electoral-nota/
https://www.bluradio.com/regiones/pacifico/comunidades-indigenas-bloquean-el-paso-vehicular-en-el-puente-internacional-rumichaca-rg10?_amp=true
https://www.eluniverso.com/noticias/ecuador/reunion-ipiales-puentes-derribados-nota/</x:v>
      </x:c>
      <x:c r="O499" s="4" t="str">
        <x:v>Source 1: article body retrieved
Source 2: article body retrieved
Source 3: article body retrieved</x:v>
      </x:c>
      <x:c r="P499" s="20" t="n">
        <x:v>1</x:v>
      </x:c>
      <x:c r="Q499" s="4" t="str">
        <x:v>Americas</x:v>
      </x:c>
      <x:c r="R499" s="4" t="str">
        <x:v>Included</x:v>
      </x:c>
    </x:row>
    <x:row r="500" ht="258" hidden="0" customHeight="1">
      <x:c r="A500" s="16" t="str">
        <x:v>R4-AM-005</x:v>
      </x:c>
      <x:c r="B500" s="4" t="str">
        <x:v>Ecuador’s selected land-crossing security closures, December 2025–July 2026 partial reopening</x:v>
      </x:c>
      <x:c r="C500" s="4" t="str">
        <x:v>Ecuador; Colombia; Peru</x:v>
      </x:c>
      <x:c r="D500" s="4" t="str">
        <x:v>San Miguel; Macará–La Tina; Lalamor; Jimbura; La Balsa
Ecuadorian restriction regime closing or limiting authorized land crossings except Rumichaca and Huaquillas; crossing-specific exceptions and reopenings</x:v>
      </x:c>
      <x:c r="E500" s="4" t="str">
        <x:v>Ordinary travellers, international buses and freight using affected secondary crossings.
Direction: Entry and exit through affected Ecuadorian crossings; Colombian merchandise entry specifically documented in diplomatic record.
Exceptions: Rumichaca/Huaquillas remained authorized. San Miguel allowed controlled crude-oil movements and special permits. Macará retained some local work, study and medical access until a July 1 tightening.</x:v>
      </x:c>
      <x:c r="F500" s="4" t="str">
        <x:v>R4-AM-005-D1 — Observed operation
Ordinary non-exempt road-vehicle passage at Macara only
Start: 2025-12-24.
Observed scoped reopening: 2026-07-07.
195 calendar-day difference; scoped endpoint only</x:v>
      </x:c>
      <x:c r="G500" s="4" t="str">
        <x:v>Security / Smuggling and illicit trafficking
Reported reason
Applies to: Recorded episode; exact overlap not separately established
The recorded rationale and claim assessment support the selected subcategories. All applicable broad categories are retained together; no primary rationale is imposed.</x:v>
      </x:c>
      <x:c r="H500" s="4" t="str">
        <x:v>R4-AM-005-D1: Excludes local work, study and medical exceptions that continued until July 1 tightening. This is not a total Macara closure or the endpoint for San Miguel/other Ecuador crossings; Rumichaca/Huaquillas remained authorised. Reopening time does not supply an exact onset hour.</x:v>
      </x:c>
      <x:c r="I500" s="4" t="str">
        <x:v>Retained baseline assessment. Retained with recorded qualifications</x:v>
      </x:c>
      <x:c r="J500" s="18" t="d">
        <x:v>2026-10-23T00:00:00.000Z</x:v>
      </x:c>
      <x:c r="K500" s="21" t="str">
        <x:f>IFERROR(HYPERLINK("https://www.eluniverso.com/noticias/ecuador/ecuador-reduce-pasos-fronterizos-internacionales-estos-seran-los-unicos-habilitados-desde-el-24-de-diciembre-nota/","El Universo"),"El Universo")</x:f>
        <x:v>El Universo</x:v>
      </x:c>
      <x:c r="L500" s="21" t="str">
        <x:f>IFERROR(HYPERLINK("https://www.ecuavisa.com/ecuador/paso-fronterizo-loja-piura-macara-20251226-0027.html","Ecuavisa"),"Ecuavisa")</x:f>
        <x:v>Ecuavisa</x:v>
      </x:c>
      <x:c r="M500" s="21" t="str">
        <x:f>IFERROR(HYPERLINK("https://rpp.pe/peru/actualidad/reabren-frontera-peru-ecuador-puente-macara-la-tina-restablece-libre-transito-video-noticia-1696361","RPP"),"RPP")</x:f>
        <x:v>RPP</x:v>
      </x:c>
      <x:c r="N500" s="4" t="str">
        <x:v>https://www.eluniverso.com/noticias/ecuador/ecuador-reduce-pasos-fronterizos-internacionales-estos-seran-los-unicos-habilitados-desde-el-24-de-diciembre-nota/
https://www.ecuavisa.com/ecuador/paso-fronterizo-loja-piura-macara-20251226-0027.html
https://rpp.pe/peru/actualidad/reabren-frontera-peru-ecuador-puente-macara-la-tina-restablece-libre-transito-video-noticia-1696361
https://www.primicias.ec/seguridad/ecuador-peru-loja-macara-zapotillo-paso-frontera-gobierno-daniel-noboa-127381/
https://www.comunidadandina.org/normativa-files/uploads/Gaceta_5755_5841a53079.pdf
https://www.ecuavisa.com/amp/seguridad/puente-san-miguel-paso-fronterizo-irrespetado-14-cruces-informales-sucumbios-20260401-0087.html
https://www.lahora.com.ec/loja/incertidumbre-en-macara-por-cierre-del-puente-fronterizo-20251229-0004.html
https://www.eluniverso.com/noticias/ecuador/zonas-maritimas-y-fluvial-bajo-control-militar-por-cierre-de-puentes-de-mataje-y-san-miguel-nota/
https://gobernacionloja.gob.ec/gobierno-nacional-refuerza-el-control-y-la-seguridad-en-macara-y-zapotillo-ante-la-reapertura-peatonal-de-la-frontera/
https://www.elcomercio.com/actualidad/ecuador/ecuador-peru-reactivan-comercio-frontera-sur-macara/
https://cronica.com.ec/2026/07/17/la-balsa-y-jimbura-reclaman-apertura-de-frontera-cierre-profundiza-la-crisis/
https://www.ecuavisa.com/seguridad/paso-fronterizo-loja-peru-20260707-0086.html</x:v>
      </x:c>
      <x:c r="O500" s="4" t="str">
        <x:v>Source 1: article body retrieved
Source 2: article body retrieved
Source 3: article body retrieved</x:v>
      </x:c>
      <x:c r="P500" s="20" t="n">
        <x:v>1</x:v>
      </x:c>
      <x:c r="Q500" s="4" t="str">
        <x:v>Americas</x:v>
      </x:c>
      <x:c r="R500" s="4" t="str">
        <x:v>Included</x:v>
      </x:c>
    </x:row>
    <x:row r="501" ht="126" hidden="0" customHeight="1">
      <x:c r="A501" s="16" t="str">
        <x:v>R4-AM-004</x:v>
      </x:c>
      <x:c r="B501" s="4" t="str">
        <x:v>La Hachadura customs-facility blockade by public-sector unionists, March 2019</x:v>
      </x:c>
      <x:c r="C501" s="4" t="str">
        <x:v>El Salvador; Guatemala</x:v>
      </x:c>
      <x:c r="D501" s="4" t="str">
        <x:v>La Hachadura–Pedro de Alvarado
La Hachadura customs operations connecting to Guatemala’s Pedro de Alvarado crossing</x:v>
      </x:c>
      <x:c r="E501" s="4" t="str">
        <x:v>Customs-dependent cross-border traffic, including freight.
Direction: Guatemala-to-El Salvador operations expressly affected; reverse direction not separately verified.
Exceptions: Not established.</x:v>
      </x:c>
      <x:c r="F501" s="4" t="str">
        <x:v>R4-AM-004-FU1 — Observed operation
La Hachadura customs facilities / Pedro de Alvarado connection
Start: unknown.
Last confirmed: 2019-03-19. Reopening is not established.
confirmed through 2019-03-19; reopening unknown</x:v>
      </x:c>
      <x:c r="G501" s="4" t="str">
        <x:v>Policy and socioeconomic demands / Rights and other policy grievances
Reported reason
Applies to: Recorded episode
The recorded rationale and claim assessment support the selected subcategories. All applicable broad categories are retained together; no primary rationale is imposed.</x:v>
      </x:c>
      <x:c r="H501" s="4" t="str">
        <x:v>R4-AM-004-FU1: Active at March 19 10:08 report; neither first onset nor reopening established.
precise legislative grievance: Fresh searches and rereading do not resolve the source’s internally mismatched legislative explanation.
duration: Add March 19 observed customs-facility obstruction, with unknown onset/end. Retain the general public-sector labour grievance and leave the exact bill/provisions unresolved.
continuity: The March 19, 2019 La Hachadura union obstruction is a dated customs/access observation; exact onset and restored passage remain unknown.</x:v>
      </x:c>
      <x:c r="I501" s="4" t="str">
        <x:v>Retained baseline assessment. Correction pass: amended with stated qualifications</x:v>
      </x:c>
      <x:c r="J501" s="18" t="d">
        <x:v>2026-10-23T00:00:00.000Z</x:v>
      </x:c>
      <x:c r="K501" s="21" t="str">
        <x:f>IFERROR(HYPERLINK("https://emisorasunidas.com/2019/03/19/sindicalistas-salvadorenos-cierran-aduana-de-la-achadura-fronteriza-con-jutiapa/","Emisoras Unidas"),"Emisoras Unidas")</x:f>
        <x:v>Emisoras Unidas</x:v>
      </x:c>
      <x:c r="L501" s="21" t="str">
        <x:f>IFERROR(HYPERLINK("https://www.prensalibre.com/ciudades/san-marcos/manifestacion-padres-familia-complica-el-paso-en-frontera-entre-guatemala-y-mexico/","Prensa Libre"),"Prensa Libre")</x:f>
        <x:v>Prensa Libre</x:v>
      </x:c>
      <x:c r="M501" s="21" t="str">
        <x:f>IFERROR(HYPERLINK("https://www.elsalvador.com/h-noticias/h-nacional/calles-cierre-de-guatemala-frontera-la-hachadura-san-francisco-menendez-ahuachapan-sur-/1204018/2025/?view=address-create","elsalvador.com"),"elsalvador.com")</x:f>
        <x:v>elsalvador.com</x:v>
      </x:c>
      <x:c r="N501" s="4" t="str">
        <x:v>https://emisorasunidas.com/2019/03/19/sindicalistas-salvadorenos-cierran-aduana-de-la-achadura-fronteriza-con-jutiapa/
https://www.prensalibre.com/ciudades/san-marcos/manifestacion-padres-familia-complica-el-paso-en-frontera-entre-guatemala-y-mexico/
https://www.elsalvador.com/h-noticias/h-nacional/calles-cierre-de-guatemala-frontera-la-hachadura-san-francisco-menendez-ahuachapan-sur-/1204018/2025/?view=address-create
https://lanoticiasv.com/habilitan-rutas-alternas-por-protesta-y-bloqueo-del-paso-en-la-frontera-la-hachadura/</x:v>
      </x:c>
      <x:c r="O501" s="4" t="str">
        <x:v>Source 1: full
Source 2: article body retrieved
Source 3: access detail is retained in the source catalogue.</x:v>
      </x:c>
      <x:c r="P501" s="20" t="n">
        <x:v>1</x:v>
      </x:c>
      <x:c r="Q501" s="4" t="str">
        <x:v>Americas</x:v>
      </x:c>
      <x:c r="R501" s="4" t="str">
        <x:v>Included</x:v>
      </x:c>
    </x:row>
    <x:row r="502" ht="150" hidden="0" customHeight="1">
      <x:c r="A502" s="16" t="str">
        <x:v>R4-SC-001</x:v>
      </x:c>
      <x:c r="B502" s="4" t="str">
        <x:v>Barak exclave's Ak-Tash–Birlishken route restriction continuing into 2018</x:v>
      </x:c>
      <x:c r="C502" s="4" t="str">
        <x:v>Kyrgyzstan; Uzbekistan</x:v>
      </x:c>
      <x:c r="D502" s="4" t="str">
        <x:v>Ak-Tash (Kyrgyzstan) / Birlishken or Birlashgan (Uzbekistan)
Ordinary direct passage by Barak residents</x:v>
      </x:c>
      <x:c r="E502" s="4" t="str">
        <x:v>Barak residents using the nearest connection to mainland Kyrgyzstan
Direction: Resident movement in both directions; not all nationalities or commercial categories
Exceptions: Emergency passage was agreed in 2013; authorised supplies continued during 2013–2015. Later practice is not fully reconstructed.</x:v>
      </x:c>
      <x:c r="F502" s="4" t="str">
        <x:v>R4-SC-001-D1 — Observed operation
Ordinary non-emergency direct passage by Barak residents through Ak-Tash–Birlishken
Start: 2013-01-01 to 2013-12-31.
Observed scoped reopening: 2018-12-25.
1820–2184 calendar-day difference; scoped endpoint only</x:v>
      </x:c>
      <x:c r="G502" s="4" t="str">
        <x:v>Administration and service operation / Checkpoint authorisation and consolidation
Attributed official justification
Applies to: Only the closure or restriction described by the cited source; no added temporal overlap claim
The checkpoint was not on the agreed authorised list; reopening was linked to legalisation. Alternative and emergency passage were reported. No additional motive is inferred.</x:v>
      </x:c>
      <x:c r="H502" s="4" t="str">
        <x:v>R4-SC-001-D1: Full-2013 onset range preserves disagreement between contemporary 16 January closure and later official spring wording. Authorized funeral, celebration, sickness/emergency passage and supply deliveries are exceptions. December 25 endpoint is a government operational assertion for Barak residents, not independently observed all-nationality commercial opening.</x:v>
      </x:c>
      <x:c r="I502" s="4" t="str">
        <x:v>Targeted source review (REC50-R49); retained with recorded qualifications; evidence limits retained.</x:v>
      </x:c>
      <x:c r="J502" s="18" t="d">
        <x:v>2026-10-25T00:00:00.000Z</x:v>
      </x:c>
      <x:c r="K502" s="21" t="str">
        <x:f>IFERROR(HYPERLINK("https://www.gov.kg/ru/post/s/barak-eksklavyinyin-zhashoochularyinyin-toskoolduksuz-t-s-ch-n-ak-tash-tk-rm-punktunun-ishi-kalyibyina-keltirildi","Kyrgyz Cabinet of Ministers"),"Kyrgyz Cabinet of Ministers")</x:f>
        <x:v>Kyrgyz Cabinet of Ministers</x:v>
      </x:c>
      <x:c r="L502" s="21" t="str">
        <x:f>IFERROR(HYPERLINK("https://www.azattyqasia.org/a/24901903.html","Azattyk / RFE/RL"),"Azattyk / RFE/RL")</x:f>
        <x:v>Azattyk / RFE/RL</x:v>
      </x:c>
      <x:c r="M502" s="21" t="str">
        <x:f>IFERROR(HYPERLINK("https://www.dcaf.ch/sites/default/files/publications/documents/MappingFragileAreasCaseStudies.pdf","DCAF"),"DCAF")</x:f>
        <x:v>DCAF</x:v>
      </x:c>
      <x:c r="N502" s="4" t="str">
        <x:v>https://www.gov.kg/ru/post/s/barak-eksklavyinyin-zhashoochularyinyin-toskoolduksuz-t-s-ch-n-ak-tash-tk-rm-punktunun-ishi-kalyibyina-keltirildi
https://www.azattyqasia.org/a/24901903.html
https://www.dcaf.ch/sites/default/files/publications/documents/MappingFragileAreasCaseStudies.pdf
https://fergana.agency/news/103914/
https://24.kg/obschestvo/105060_zarabotal_punkt_propuska_ak-tash_onbyil_zakryit_pyat_let/
https://www.azattyqasia.org/amp/kyrgyzstan_uzbekistan_border_barak/24902675.html
https://kun.uz/en/news/2018/12/27/uzbek-kyrgyz-border-checkpoint-restarts-operation-after-a-five-year-pause
https://akipress.com/news%3A614693%3AAk-Tash_border_crossing_points_reopened_on_Kyrgyz-Uzbek_border/</x:v>
      </x:c>
      <x:c r="O502" s="4" t="str">
        <x:v>Source 1: indexed excerpt; indexed extract
Source 2: full; full text
Source 3: full PDF; page 87 printed / PDF page 90</x:v>
      </x:c>
      <x:c r="P502" s="20" t="n">
        <x:v>1</x:v>
      </x:c>
      <x:c r="Q502" s="4" t="str">
        <x:v>Central Asia and Caucasus</x:v>
      </x:c>
      <x:c r="R502" s="4" t="str">
        <x:v>Included</x:v>
      </x:c>
    </x:row>
    <x:row r="503" ht="162" hidden="0" customHeight="1">
      <x:c r="A503" s="16" t="str">
        <x:v>R4-SC-002</x:v>
      </x:c>
      <x:c r="B503" s="4" t="str">
        <x:v>South Ossetian de facto election closure at simplified crossings, April 2017</x:v>
      </x:c>
      <x:c r="C503" s="4" t="str">
        <x:v>Georgia</x:v>
      </x:c>
      <x:c r="D503" s="4" t="str">
        <x:v>Razdakhan in Leningor/Akhalgori district; Sinagur/Perevi crossing as named in the report
Simplified passenger crossings with Tbilisi-administered territory</x:v>
      </x:c>
      <x:c r="E503" s="4" t="str">
        <x:v>Residents using special permits, including students, traders and people seeking healthcare
Direction: Both directions
Exceptions: Not established</x:v>
      </x:c>
      <x:c r="F503" s="4" t="str">
        <x:v>R4-SC-002-R1 — Announced window
Simplified citizen crossing points between South Ossetia and Georgian-administered territory under presidential-election security order
Start: 2017-04-07.
Scheduled endpoint: 2017-04-10.
Ordered window: 3 calendar-day difference; actual end not established</x:v>
      </x:c>
      <x:c r="G503"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03" s="4" t="str">
        <x:v>R4-SC-002-R1: 20:00 local announcement time at both boundaries; no reported completed reopening. Retained April 8 implementation evidence is compatible with this window but does not convert the end to observed.
continuity: April 4 report quotes the KGB order stopping simplified citizen crossing April 7 20:00 and scheduling restoration April 10 20:00. This supports the order and stated election rationale, not actual completed reopening.</x:v>
      </x:c>
      <x:c r="I503" s="4" t="str">
        <x:v>Full-record source audit (REC50-R45); retained with recorded qualifications; evidence limits retained.</x:v>
      </x:c>
      <x:c r="J503" s="18" t="d">
        <x:v>2026-10-25T00:00:00.000Z</x:v>
      </x:c>
      <x:c r="K503" s="21" t="str">
        <x:f>IFERROR(HYPERLINK("https://amp.kavkaz-uzel.eu/articles/300402","Caucasian Knot"),"Caucasian Knot")</x:f>
        <x:v>Caucasian Knot</x:v>
      </x:c>
      <x:c r="L503" s="21" t="str">
        <x:f>IFERROR(HYPERLINK("https://www.kavkaz-uzel.com/articles/300402/","Caucasian Knot"),"Caucasian Knot")</x:f>
        <x:v>Caucasian Knot</x:v>
      </x:c>
      <x:c r="M503" s="21" t="str">
        <x:f>IFERROR(HYPERLINK("https://www.kavkaz-uzel.eu/articles/300644","Caucasian Knot"),"Caucasian Knot")</x:f>
        <x:v>Caucasian Knot</x:v>
      </x:c>
      <x:c r="N503" s="4" t="str">
        <x:v>https://amp.kavkaz-uzel.eu/articles/300402
https://www.kavkaz-uzel.com/articles/300402/
https://www.kavkaz-uzel.eu/articles/300644</x:v>
      </x:c>
      <x:c r="O503" s="4" t="str">
        <x:v>Source 1: indexed excerpt; full
Source 2: full text
Source 3: full text</x:v>
      </x:c>
      <x:c r="P503" s="20" t="n">
        <x:v>1</x:v>
      </x:c>
      <x:c r="Q503" s="4" t="str">
        <x:v>Central Asia and Caucasus</x:v>
      </x:c>
      <x:c r="R503" s="4" t="str">
        <x:v>Included</x:v>
      </x:c>
    </x:row>
    <x:row r="504" ht="162" hidden="0" customHeight="1">
      <x:c r="A504" s="16" t="str">
        <x:v>R4-SC-003</x:v>
      </x:c>
      <x:c r="B504" s="4" t="str">
        <x:v>South Ossetian de facto order closes simplified crossings for Russia's March 2018 election</x:v>
      </x:c>
      <x:c r="C504" s="4" t="str">
        <x:v>Georgia</x:v>
      </x:c>
      <x:c r="D504" s="4" t="str">
        <x:v>Simplified crossing points collectively; individual operating posts not enumerated in the order
Citizen passage at simplified crossings with Tbilisi-administered territory</x:v>
      </x:c>
      <x:c r="E504" s="4" t="str">
        <x:v>People using simplified crossings; freight scope not separately established
Direction: Not directionally disaggregated
Exceptions: Not established</x:v>
      </x:c>
      <x:c r="F504" s="4" t="str">
        <x:v>R4-SC-003-R1 — Announced window
Simplified civilian crossing points between South Ossetia and Georgian-administered territory under Russian-election security order
Start: 2018-03-17.
Scheduled endpoint: 2018-03-19.
Ordered window: 2 calendar-day difference; actual end not established</x:v>
      </x:c>
      <x:c r="G504"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04" s="4" t="str">
        <x:v>R4-SC-003-R1: 21:00 March 17 to 06:00 March 19; actual enforcement/reopening not demonstrated. Georgian-side notification is not independent observation of completed closure.
continuity: March 16 report quotes the KGB schedule March 17 21:00 to March 19 06:00 for Russian-election security. Simplified civilian crossings are the scope; neither actual enforcement across all posts nor completed reopening is observed.</x:v>
      </x:c>
      <x:c r="I504" s="4" t="str">
        <x:v>Retained baseline assessment. Correction pass: reviewed; see attribute findings</x:v>
      </x:c>
      <x:c r="J504" s="18" t="d">
        <x:v>2026-10-23T00:00:00.000Z</x:v>
      </x:c>
      <x:c r="K504" s="21" t="str">
        <x:f>IFERROR(HYPERLINK("https://www.kavkaz-uzel.eu/articles/317905","Caucasian Knot"),"Caucasian Knot")</x:f>
        <x:v>Caucasian Knot</x:v>
      </x:c>
      <x:c r="L504" s="21" t="str">
        <x:f>IFERROR(HYPERLINK("https://1tv.ge/lang/ru/news/na-vremja-vyborov-prezidenta-rossii-de-fakto-vlasti-okkupirovannogo-ckhinvali-zakroet-granicu-s-gruziej/","Georgian First Channel"),"Georgian First Channel")</x:f>
        <x:v>Georgian First Channel</x:v>
      </x:c>
      <x:c r="M504" s="21" t="str">
        <x:f>IFERROR(HYPERLINK("https://news.rambler.ru/conflicts/39375183-yuzhnaya-osetiya-zakroet-granitsu-s-gruziey-na-vremya-vyborov-prezidenta/","news.rambler.ru"),"news.rambler.ru")</x:f>
        <x:v>news.rambler.ru</x:v>
      </x:c>
      <x:c r="N504" s="4" t="str">
        <x:v>https://www.kavkaz-uzel.eu/articles/317905
https://1tv.ge/lang/ru/news/na-vremja-vyborov-prezidenta-rossii-de-fakto-vlasti-okkupirovannogo-ckhinvali-zakroet-granicu-s-gruziej/
https://news.rambler.ru/conflicts/39375183-yuzhnaya-osetiya-zakroet-granitsu-s-gruziey-na-vremya-vyborov-prezidenta/</x:v>
      </x:c>
      <x:c r="O504" s="4" t="str">
        <x:v>Source 1: indexed excerpt; full
Source 2: substantive indexed text; direct fetch inaccessible
Source 3: access detail is retained in the source catalogue.</x:v>
      </x:c>
      <x:c r="P504" s="20" t="n">
        <x:v>1</x:v>
      </x:c>
      <x:c r="Q504" s="4" t="str">
        <x:v>Central Asia and Caucasus</x:v>
      </x:c>
      <x:c r="R504" s="4" t="str">
        <x:v>Included</x:v>
      </x:c>
    </x:row>
    <x:row r="505" ht="90" hidden="0" customHeight="1">
      <x:c r="A505" s="16" t="str">
        <x:v>R4-EA-001</x:v>
      </x:c>
      <x:c r="B505" s="4" t="str">
        <x:v>Skouw suspends border services for presidential inauguration ceremony</x:v>
      </x:c>
      <x:c r="C505" s="4" t="str">
        <x:v>Indonesia; Papua New Guinea</x:v>
      </x:c>
      <x:c r="D505" s="4" t="str">
        <x:v>Skouw / Wutung
Skouw land crossing services at the Indonesia–PNG frontier</x:v>
      </x:c>
      <x:c r="E505" s="4" t="str">
        <x:v>Ordinary users of crossing services; the report discusses passport and traditional border-pass processing.
Direction: Arrival and departure processing described; category-specific implementation not separately observed.
Exceptions: Not established.</x:v>
      </x:c>
      <x:c r="F505" s="4" t="str">
        <x:v>R4-EA-001-R1 — Announced window
Ordinary PLBN Skouw border services during presidential inauguration day
Start: 2017-05-09.
Scheduled endpoint: 2017-05-09.
Ordered window: Same-day episode; no whole-day duration inferred</x:v>
      </x:c>
      <x:c r="G505" s="4" t="str">
        <x:v>Administration and service operation / Temporary service suspension
Attributed official justification
Applies to: Only the closure or restriction described by the cited source; no added temporal overlap claim
A named border official attributed the one-day service suspension to the presidential inauguration of the facility. No additional motive is inferred.</x:v>
      </x:c>
      <x:c r="H505" s="4" t="str">
        <x:v>R4-EA-001-R1: One calendar date of ordered no-service, May 9, with unknown hours. End-inclusive denotes that scheduled service date only; it does not assert 24 elapsed hours, enforcement all day, or actual May 10 resumption.</x:v>
      </x:c>
      <x:c r="I505" s="4" t="str">
        <x:v>Retained baseline assessment. 23 October amendments; remaining qualifications retained</x:v>
      </x:c>
      <x:c r="J505" s="18" t="d">
        <x:v>2026-10-23T00:00:00.000Z</x:v>
      </x:c>
      <x:c r="K505" s="21" t="str">
        <x:f>IFERROR(HYPERLINK("https://www.antaranews.com/berita/628203/beranda-pelayanan-di-plbn-skouw-papua-ditutup-sementara","ANTARA"),"ANTARA")</x:f>
        <x:v>ANTARA</x:v>
      </x:c>
      <x:c r="L505" s="21" t="str">
        <x:f>IFERROR(HYPERLINK("https://setkab.go.id/sambutan-presiden-joko-widodo-pada-peresmian-pos-lintas-batas-negara-skouw-di-skouw-distrik-muara-tami-jayapura-papua-9-mei-2017/","Indonesia Cabinet Secretariat"),"Indonesia Cabinet Secretariat")</x:f>
        <x:v>Indonesia Cabinet Secretariat</x:v>
      </x:c>
      <x:c r="M505" s="21" t="str">
        <x:f>IFERROR(HYPERLINK("https://mandalika.antaranews.com/berita/629968/pasca-diresmikan-presiden-jokowi-pengunjung-plbn-skouw-meningkat","mandalika.antaranews.com"),"mandalika.antaranews.com")</x:f>
        <x:v>mandalika.antaranews.com</x:v>
      </x:c>
      <x:c r="N505" s="4" t="str">
        <x:v>https://www.antaranews.com/berita/628203/beranda-pelayanan-di-plbn-skouw-papua-ditutup-sementara
https://setkab.go.id/sambutan-presiden-joko-widodo-pada-peresmian-pos-lintas-batas-negara-skouw-di-skouw-distrik-muara-tami-jayapura-papua-9-mei-2017/
https://mandalika.antaranews.com/berita/629968/pasca-diresmikan-presiden-jokowi-pengunjung-plbn-skouw-meningkat
https://mediaindonesia.com/politik-dan-hukum/103975/jokowi-resmikan-plbn-skouw-di-papua</x:v>
      </x:c>
      <x:c r="O505" s="4" t="str">
        <x:v>Source 1: indexed excerpt; full
Source 2: indexed excerpt
Source 3: indexed excerpt</x:v>
      </x:c>
      <x:c r="P505" s="20" t="n">
        <x:v>1</x:v>
      </x:c>
      <x:c r="Q505" s="4" t="str">
        <x:v>East and Southeast Asia and Oceania</x:v>
      </x:c>
      <x:c r="R505" s="4" t="str">
        <x:v>Included</x:v>
      </x:c>
    </x:row>
    <x:row r="506" ht="162" hidden="0" customHeight="1">
      <x:c r="A506" s="16" t="str">
        <x:v>R4-EA-002</x:v>
      </x:c>
      <x:c r="B506" s="4" t="str">
        <x:v>Skouw announces election-day crossing suspension with urgent-travel exceptions</x:v>
      </x:c>
      <x:c r="C506" s="4" t="str">
        <x:v>Indonesia; Papua New Guinea</x:v>
      </x:c>
      <x:c r="D506" s="4" t="str">
        <x:v>Skouw / Wutung
Skouw international land gate; announced election-day suspension</x:v>
      </x:c>
      <x:c r="E506" s="4" t="str">
        <x:v>Ordinary crossing users.
Direction: Not separately specified.
Exceptions: Urgent cases and sick travellers could be allowed through.</x:v>
      </x:c>
      <x:c r="F506" s="4" t="str">
        <x:v>R4-EA-002-R1 — Announced window
PLBN Skouw election-day ordinary gate passage
Start: 2019-04-17.
Scheduled endpoint: 2019-04-17.
Ordered window: Same-day episode; no whole-day duration inferred; Scheduled until14:00WIT onApril17,2019; urgenttravel exceptions; not a24-hourclosure</x:v>
      </x:c>
      <x:c r="G506"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06" s="4" t="str">
        <x:v>R4-EA-002-R1: Start hour unspecified; urgent/sick travellers allowed. Same calendar date does not imply zero hours or completed physical reopening.</x:v>
      </x:c>
      <x:c r="I506" s="4" t="str">
        <x:v>Retained baseline assessment. Retained with recorded qualifications</x:v>
      </x:c>
      <x:c r="J506" s="18" t="d">
        <x:v>2026-10-23T00:00:00.000Z</x:v>
      </x:c>
      <x:c r="K506" s="21" t="str">
        <x:f>IFERROR(HYPERLINK("https://cenderawasihpos.jawapos.com/metropolis/10/04/2019/pemilu-plbn-skouw-ditutup/","Cenderawasih Pos"),"Cenderawasih Pos")</x:f>
        <x:v>Cenderawasih Pos</x:v>
      </x:c>
      <x:c r="L506" s="21"/>
      <x:c r="M506" s="21"/>
      <x:c r="N506" s="4" t="str">
        <x:v>https://cenderawasihpos.jawapos.com/metropolis/10/04/2019/pemilu-plbn-skouw-ditutup/</x:v>
      </x:c>
      <x:c r="O506" s="4" t="str">
        <x:v>Source 1: indexed excerpt; full</x:v>
      </x:c>
      <x:c r="P506" s="20" t="n">
        <x:v>1</x:v>
      </x:c>
      <x:c r="Q506" s="4" t="str">
        <x:v>East and Southeast Asia and Oceania</x:v>
      </x:c>
      <x:c r="R506" s="4" t="str">
        <x:v>Included</x:v>
      </x:c>
    </x:row>
    <x:row r="507" ht="162" hidden="0" customHeight="1">
      <x:c r="A507" s="16" t="str">
        <x:v>R4-EA-004</x:v>
      </x:c>
      <x:c r="B507" s="4" t="str">
        <x:v>Three Pagodas selective Thai closure during fighting near Mon villages</x:v>
      </x:c>
      <x:c r="C507" s="4" t="str">
        <x:v>Thailand; Myanmar</x:v>
      </x:c>
      <x:c r="D507" s="4" t="str">
        <x:v>Three Pagodas Pass; Soi Kaset 1; paths opposite Ban Bor Yeepun and Ban Rai Oi
Three Pagodas local frontier routes; Thai travellers and regular trade/vehicle passage restricted</x:v>
      </x:c>
      <x:c r="E507" s="4" t="str">
        <x:v>Thai travellers, regular border trade and vehicles on the named passage.
Direction: Thai outbound travellers and named trade/vehicle routes restricted; Myanmar worker entry remained possible.
Exceptions: Myanmar workers allowed through one channel; separate reporting documents civilians fleeing into Thailand during the fighting.</x:v>
      </x:c>
      <x:c r="F507" s="4" t="str">
        <x:v>R4-EA-004-R1 — Observed operation
Three Pagodas Thai travellers prevented from entering Myanmar
Start: 2019-11-27.
Last confirmed: 2019-11-29. Reopening is not established.
confirmed through 2019-11-29; at least 2 calendar-day difference; reopening unknown</x:v>
      </x:c>
      <x:c r="G507"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07" s="4" t="str">
        <x:v>R4-EA-004-R1: Underlying reporting shares Bangkok Post origin; indexed access. Does not infer all freight, refugee or Myanmar worker closure; March 2020 reopening unrelated.
continuity: Thaiger's November 29 report describes Three Pagodas closure since Wednesday fighting, specifically preventing Thais entering Myanmar while Mon civilians fled into Thailand. This supports the selective November 27–29 observation; freight and returnee access cannot be assumed closed.</x:v>
      </x:c>
      <x:c r="I507" s="4" t="str">
        <x:v>Retained baseline assessment. Correction pass: reviewed; see attribute findings</x:v>
      </x:c>
      <x:c r="J507" s="18" t="d">
        <x:v>2026-10-23T00:00:00.000Z</x:v>
      </x:c>
      <x:c r="K507" s="21" t="str">
        <x:f>IFERROR(HYPERLINK("https://www.burmalibrary.org/en/three-pagodas-border-closed-clash-in-myanmar-eases","Online Burma Library"),"Online Burma Library")</x:f>
        <x:v>Online Burma Library</x:v>
      </x:c>
      <x:c r="L507" s="21" t="str">
        <x:f>IFERROR(HYPERLINK("https://thethaiger.com/news/world/mon-refugees-continue-to-flee-myanmar-to-thailand","Thaiger / Bangkok Post"),"Thaiger / Bangkok Post")</x:f>
        <x:v>Thaiger / Bangkok Post</x:v>
      </x:c>
      <x:c r="M507" s="21" t="str">
        <x:f>IFERROR(HYPERLINK("https://monnews.org/2020/02/28/two-illegal-border-gates-in-three-pagodas-pass-closed/","IMNA"),"IMNA")</x:f>
        <x:v>IMNA</x:v>
      </x:c>
      <x:c r="N507" s="4" t="str">
        <x:v>https://www.burmalibrary.org/en/three-pagodas-border-closed-clash-in-myanmar-eases
https://thethaiger.com/news/world/mon-refugees-continue-to-flee-myanmar-to-thailand
https://monnews.org/2020/02/28/two-illegal-border-gates-in-three-pagodas-pass-closed/
https://www.bnionline.net/en/news/burma-army-mon-forces-clash-near-thai-border
https://www.bnionline.net/en/news/hundreds-refugees-remain-thailand-following-clashes-mon-border
https://myanmar-now.org/en/news/myanmar-military-violated-ceasefire-agreement-say-mon-rebels/</x:v>
      </x:c>
      <x:c r="O507" s="4" t="str">
        <x:v>Source 1: indexed excerpt; failed
Source 2: indexed excerpt; full
Source 3: indexed excerpt</x:v>
      </x:c>
      <x:c r="P507" s="20" t="n">
        <x:v>1</x:v>
      </x:c>
      <x:c r="Q507" s="4" t="str">
        <x:v>East and Southeast Asia and Oceania</x:v>
      </x:c>
      <x:c r="R507" s="4" t="str">
        <x:v>Included</x:v>
      </x:c>
    </x:row>
    <x:row r="508" ht="162" hidden="0" customHeight="1">
      <x:c r="A508" s="16" t="str">
        <x:v>R4-EA-003</x:v>
      </x:c>
      <x:c r="B508" s="4" t="str">
        <x:v>Poipet security barricades selectively block access to the Thailand crossing</x:v>
      </x:c>
      <x:c r="C508" s="4" t="str">
        <x:v>Cambodia; Thailand</x:v>
      </x:c>
      <x:c r="D508" s="4" t="str">
        <x:v>Poipet / Khlong Luek–Aranyaprathet
Access to Poipet international crossing via barricades on National Road 5</x:v>
      </x:c>
      <x:c r="E508" s="4" t="str">
        <x:v>Cambodian traders and residents seeking to reach the Thai market; vehicles. Tourists and casino workers initially delayed.
Direction: Observed outbound access from Cambodia; no blanket bidirectional closure inferred.
Exceptions: Casino workers were allowed past the barricades toward casinos around 08:30; this does not establish their passage across the international boundary. Foreign tourists were subsequently allowed to cross the border. Other local traders and vehicles remained blocked when reported.</x:v>
      </x:c>
      <x:c r="F508" s="4" t="str">
        <x:v>R4-EA-003-FU1 — Observed operation
National Road 5 barricades controlling Poipet crossing access
Start: unknown.
Last confirmed: 2019-11-09. Reopening is not established.
dated evidence; numeric duration withheld; see qualification</x:v>
      </x:c>
      <x:c r="G508" s="4" t="str">
        <x:v>Power and regime politics / Opposition and political reform
Reported reason
Applies to: Recorded episode; exact overlap not separately established
The recorded rationale and claim assessment support the selected subcategories. All applicable broad categories are retained together; no primary rationale is imposed.
Security / Unspecified security
Reported reason
Applies to: Recorded episode; exact overlap not separately established
The recorded rationale and claim assessment support the selected subcategories. All applicable broad categories are retained together; no primary rationale is imposed.</x:v>
      </x:c>
      <x:c r="H508" s="4" t="str">
        <x:v>R4-EA-003-FU1: Within-day status only; no full-day or ongoing closure inferred. Exact onset and final lifting time unknown.
duration: A November 9 observation can be recorded for the categories still denied access. Morning category changes and unknown lifting time prevent complete duration.
continuity: VOA's November 9 eyewitness account distinguishes morning barricades, later casino-worker/tourist passage, continued local-worker exclusion and restricted vehicles. This is selective access obstruction on the Cambodian approach, not a wholly sealed international gate or full-day closure.</x:v>
      </x:c>
      <x:c r="I508" s="4" t="str">
        <x:v>Retained baseline assessment. Correction pass: reviewed; see attribute findings</x:v>
      </x:c>
      <x:c r="J508" s="18" t="d">
        <x:v>2026-10-23T00:00:00.000Z</x:v>
      </x:c>
      <x:c r="K508" s="21" t="str">
        <x:f>IFERROR(HYPERLINK("https://khmer.voanews.com/a/poipet-sees-heightened-security-cover-residents-prevented-from-accessing-the-border/5159099.html","VOA Khmer"),"VOA Khmer")</x:f>
        <x:v>VOA Khmer</x:v>
      </x:c>
      <x:c r="L508" s="21" t="str">
        <x:f>IFERROR(HYPERLINK("https://cc-times.com/posts/6982","Cambodia China Times"),"Cambodia China Times")</x:f>
        <x:v>Cambodia China Times</x:v>
      </x:c>
      <x:c r="M508" s="21" t="str">
        <x:f>IFERROR(HYPERLINK("https://www.euronews.com/2019/11/09/cambodian-opposition-figure-sam-rainsy-boards-plane-in-paris","Euronews"),"Euronews")</x:f>
        <x:v>Euronews</x:v>
      </x:c>
      <x:c r="N508" s="4" t="str">
        <x:v>https://khmer.voanews.com/a/poipet-sees-heightened-security-cover-residents-prevented-from-accessing-the-border/5159099.html
https://cc-times.com/posts/6982
https://www.euronews.com/2019/11/09/cambodian-opposition-figure-sam-rainsy-boards-plane-in-paris
https://vodenglish.news/poipet-military-police-detain-vod-reporters-for-three-hours/</x:v>
      </x:c>
      <x:c r="O508" s="4" t="str">
        <x:v>Source 1: indexed excerpt
Source 2: indexed excerpt; full
Source 3: full page</x:v>
      </x:c>
      <x:c r="P508" s="20" t="n">
        <x:v>1</x:v>
      </x:c>
      <x:c r="Q508" s="4" t="str">
        <x:v>East and Southeast Asia and Oceania</x:v>
      </x:c>
      <x:c r="R508" s="4" t="str">
        <x:v>Included</x:v>
      </x:c>
    </x:row>
    <x:row r="509" ht="330" hidden="0" customHeight="1">
      <x:c r="A509" s="16" t="str">
        <x:v>R4-EU-005</x:v>
      </x:c>
      <x:c r="B509" s="4" t="str">
        <x:v>Bosnia and Herzegovina stages pandemic foreign-entry prohibitions, March–September 2020</x:v>
      </x:c>
      <x:c r="C509" s="4" t="str">
        <x:v>Bosnia and Herzegovina; Croatia; Serbia; Montenegro</x:v>
      </x:c>
      <x:c r="D509" s="4" t="str">
        <x:v>Bosnian international land admission posts; individual first-refusal posts not named in retrieved report
Foreign-entry restriction applied at land borders; aviation closures excluded as separate measures</x:v>
      </x:c>
      <x:c r="E509" s="4" t="str">
        <x:v>Initially foreign arrivals from Italy, Iran, South Korea and specified Chinese areas; additional origins from 15 March; later non-exempt foreign entrants generally
Direction: Into Bosnia and Herzegovina
Exceptions: Bosnian citizens; later documented resident, medical, worker, civil-protection/military, freight-crew, home-transit and special-permit categories; agricultural and business easing.</x:v>
      </x:c>
      <x:c r="F509" s="4" t="str">
        <x:v>R4-EU-005-R1 — Formal policy
BiH expanded foreign-entry ban as applied to non-exempt Croatian, Serbian and Montenegrin ordinary tourists
Start: 2020-03-24 to 2020-03-25.
Policy endpoint: 2020-05-28.
Formal policy: 64–65 calendar-day difference; operational continuity not established</x:v>
      </x:c>
      <x:c r="G50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09" s="4" t="str">
        <x:v>Initial origin-specific ban was recommended March 10 and confirmed implemented March 11; precise effective onset remains bounded to March 10–11. September 12 at 06:00 is conditional formal admission, not observed first passage. The March 24–25 to May 28 phase remains scoped to non-exempt neighbouring-country tourists.
R4-EU-005-R1: Qualified formal-policy phase only. Start bounds reflect decision receipt March 24 evening and implemented refusal March 25; the original commencement clause remains unrecovered. May 28 is the legal easing date, with no effect hour or verified first passage. Exempt resident, medical, worker, freight, transit, agricultural, business, burial and specially authorized movement is excluded. May 22 Serbian-side opening and June 1 airport opening concern different directions or modes.
parent start: Recommendation and implementation are documented on successive dates, but the exact effective day is unresolved.</x:v>
      </x:c>
      <x:c r="I509" s="4" t="str">
        <x:v>Retained baseline assessment. Amended after source reconciliation</x:v>
      </x:c>
      <x:c r="J509" s="18" t="d">
        <x:v>2026-10-23T00:00:00.000Z</x:v>
      </x:c>
      <x:c r="K509" s="21" t="str">
        <x:f>IFERROR(HYPERLINK("https://n1info.ba/english/news/a419299-Bosnia-starts-banning-entry-to-foreign-nationals/","N1 / SRNA"),"N1 / SRNA")</x:f>
        <x:v>N1 / SRNA</x:v>
      </x:c>
      <x:c r="L509" s="21" t="str">
        <x:f>IFERROR(HYPERLINK("https://granpol.gov.ba/en/portal/post/dopuna-odluke-vijeca-ministara-bih-u-vezi-uvjeta-ulaska-u-bih-637256232000000000","Bosnia and Herzegovina Border Police"),"Bosnia and Herzegovina Border Police")</x:f>
        <x:v>Bosnia and Herzegovina Border Police</x:v>
      </x:c>
      <x:c r="M509" s="21" t="str">
        <x:f>IFERROR(HYPERLINK("https://granpol.gov.ba/en/portal/post/otvorena-granica-za-susjedne-zemlje-637263180000000000","Bosnia and Herzegovina Border Police"),"Bosnia and Herzegovina Border Police")</x:f>
        <x:v>Bosnia and Herzegovina Border Police</x:v>
      </x:c>
      <x:c r="N509" s="4" t="str">
        <x:v>https://n1info.ba/english/news/a419299-Bosnia-starts-banning-entry-to-foreign-nationals/
https://granpol.gov.ba/en/portal/post/dopuna-odluke-vijeca-ministara-bih-u-vezi-uvjeta-ulaska-u-bih-637256232000000000
https://granpol.gov.ba/en/portal/post/otvorena-granica-za-susjedne-zemlje-637263180000000000
https://www.bhdca.gov.ba/index.php/en/news/280-decision-adopted-regarding-additional-conditions-for-the-entry-of-aliens-to-bosnia-and-herzegovina
https://granpol.gov.ba/en/portal/post/dodatni-uvjeti-za-ulazak-stranih-drzavljana-u-bih-637241508000000000
https://www.vijeceministara.gov.ba/en/portal/post/council-of-ministers-of-bih-holds-its-6th-session-637262521100000000
https://english.ahram.org.eg/NewsPrint/370060.aspx
https://granpol.gov.ba/en/portal/post/otvorena-granica-s-republikom-srbijom-637257060000000000
https://vijeceministara.gov.ba/bs/portal/objava/council-of-ministers-of-bih-holds-its-16th-session-637353090590000000
https://kfgo.com/2020/05/28/bosnia-to-re-open-borders-with-neighbouring-countries-on-june-1/
https://www.slobodnaevropa.org/a/30481435.html
https://granpol.gov.ba/en/portal/post/poduzimanje-mjera-na-granicnim-prijelazima-s-ciljem-sprjecavanja-sirenja-koronavirusa-covid-19-637196580000000000
https://n1info.ba/english/news/a415449-Travel-ban-over-COVID-19-officially-in-force/
https://www.klix.ba/vijesti/bih/ministar-radoncic-dobio-podrsku-da-zabrani-ulazak-u-bih-gradjanima-iz-najzarazenijih-zemalja/200310159
https://www.slobodnaevropa.org/a/30507261.html
https://www.vijeceministara.gov.ba/en/portal/post/council-of-ministers-of-bih-holds-its-16th-session-637353090590000000
https://granpol.gov.ba/hr/portal/objava/otvorena-granica-za-susjedne-zemlje-637263180000000000</x:v>
      </x:c>
      <x:c r="O509" s="4" t="str">
        <x:v>Source 1: full
Source 2: indexed excerpt; failed
Source 3: indexed excerpt; failed</x:v>
      </x:c>
      <x:c r="P509" s="20" t="n">
        <x:v>1</x:v>
      </x:c>
      <x:c r="Q509" s="4" t="str">
        <x:v>Europe</x:v>
      </x:c>
      <x:c r="R509" s="4" t="str">
        <x:v>Included</x:v>
      </x:c>
    </x:row>
    <x:row r="510" ht="162" hidden="0" customHeight="1">
      <x:c r="A510" s="16" t="str">
        <x:v>R4-EU-002</x:v>
      </x:c>
      <x:c r="B510" s="4" t="str">
        <x:v>Lithuania prohibits non-exempt foreign entry during the first pandemic wave</x:v>
      </x:c>
      <x:c r="C510" s="4" t="str">
        <x:v>Lithuania; Latvia; Poland; Belarus; Russia</x:v>
      </x:c>
      <x:c r="D510" s="4" t="str">
        <x:v>All Lithuanian land admission routes; Saločiai–Grenstalė documented in first-day field reporting; designated road and rail posts remained available for exceptions
Nationality/residency-based admission prohibition at land and rail frontiers</x:v>
      </x:c>
      <x:c r="E510" s="4" t="str">
        <x:v>Non-exempt foreign entrants
Direction: Into Lithuania
Exceptions: Residents, international transport crews, diplomats, NATO personnel and families, authorised entrants and controlled return transit; goods movement exempt.</x:v>
      </x:c>
      <x:c r="F510" s="4" t="str">
        <x:v>R4-EU-002-D1 — Formal policy
Lithuanian prohibition of ordinary non-exempt Baltic-national/resident entry, ending at Baltic travel permission
Start: 2020-03-16.
Policy endpoint: 2020-05-15.
Formal policy: 60 calendar-day difference; operational continuity not established
R4-EU-002-C7P1 — Formal policy
Lithuanian non-exempt citizen departure prohibition during initial quarantine regime
Start: 2020-03-16.
Last confirmed: 2020-03-26. Reopening is not established.
Formal policy: dated evidence; numeric duration withheld; see qualification</x:v>
      </x:c>
      <x:c r="G51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10" s="4" t="str">
        <x:v>R4-EU-002-D1: Formal selected-category period, not all-nationality or all-frontier closure. Residents/crews/authorised essential travellers were excepted. Archived descriptions differ on how directly Reuters observes Lithuania-side first passage, so no exact first operational crossing is claimed; March 14 checks are separate.
R4-EU-002-C7P1: Residence/employment, crews and special permission exceptions remain. The listed quarantine expiry is not adopted as observed reopening; later amendments unresolved.</x:v>
      </x:c>
      <x:c r="I510" s="4" t="str">
        <x:v>Retained baseline assessment. Retained with recorded qualifications</x:v>
      </x:c>
      <x:c r="J510" s="18" t="d">
        <x:v>2026-10-23T00:00:00.000Z</x:v>
      </x:c>
      <x:c r="K510" s="21" t="str">
        <x:f>IFERROR(HYPERLINK("https://no.mfa.lt/en/news/73/information-about-quarantine-in-the-republic-of-lithuania:1161","Lithuanian Embassy in Norway"),"Lithuanian Embassy in Norway")</x:f>
        <x:v>Lithuanian Embassy in Norway</x:v>
      </x:c>
      <x:c r="L510" s="21" t="str">
        <x:f>IFERROR(HYPERLINK("https://www.lrt.lt/naujienos/lietuvoje/2/1151712/lietuva-uzdare-siena-uzsienieciams-per-pirma-valanda-sugrazinti-latvis-ir-estas","LRT"),"LRT")</x:f>
        <x:v>LRT</x:v>
      </x:c>
      <x:c r="M510" s="21" t="str">
        <x:f>IFERROR(HYPERLINK("https://www.mfa.gov.lv/en/article/joint-statement-estonian-latvian-and-lithuanian-foreign-ministers-occasion-marking-reciprocal-lifting-covid-19-crisis-related-restrictions-movement-between-estonia-latvia-and-lithuania","Latvian Ministry of Foreign Affairs"),"Latvian Ministry of Foreign Affairs")</x:f>
        <x:v>Latvian Ministry of Foreign Affairs</x:v>
      </x:c>
      <x:c r="N510" s="4" t="str">
        <x:v>https://no.mfa.lt/en/news/73/information-about-quarantine-in-the-republic-of-lithuania:1161
https://www.lrt.lt/naujienos/lietuvoje/2/1151712/lietuva-uzdare-siena-uzsienieciams-per-pirma-valanda-sugrazinti-latvis-ir-estas
https://www.mfa.gov.lv/en/article/joint-statement-estonian-latvian-and-lithuanian-foreign-ministers-occasion-marking-reciprocal-lifting-covid-19-crisis-related-restrictions-movement-between-estonia-latvia-and-lithuania
https://en.philenews.com/international/baltics-open-europes-first-pandemic-travel-bubble-as-curbs-ease/
https://jp.mfa.lt/en/news/106/important-information-on-travel-restrictions-in-lithuania:1345
https://www.mfa.gov.lv/en/article/memorandum-understanding-latvia-lithuania-and-estonia
https://www.lrt.lt/en/news-in-english/19/1182045/lithuania-to-lift-all-border-checks-with-latvia
https://vilnius.mfa.ee/agreement-on-free-movement-between-the-baltic-states/
https://www.vestnesis.lv/op/2020/93C.1</x:v>
      </x:c>
      <x:c r="O510" s="4" t="str">
        <x:v>Source 1: full page
Source 2: search-returned article text; full page robots denial
Source 3: full page</x:v>
      </x:c>
      <x:c r="P510" s="20" t="n">
        <x:v>2</x:v>
      </x:c>
      <x:c r="Q510" s="4" t="str">
        <x:v>Europe</x:v>
      </x:c>
      <x:c r="R510" s="4" t="str">
        <x:v>Included</x:v>
      </x:c>
    </x:row>
    <x:row r="511" ht="186" hidden="0" customHeight="1">
      <x:c r="A511" s="16" t="str">
        <x:v>R4-EU-001</x:v>
      </x:c>
      <x:c r="B511" s="4" t="str">
        <x:v>Estonia prohibits non-exempt foreign entry during the first pandemic wave</x:v>
      </x:c>
      <x:c r="C511" s="4" t="str">
        <x:v>Estonia; Latvia; Russia</x:v>
      </x:c>
      <x:c r="D511" s="4" t="str">
        <x:v>Estonia–Latvia and Estonia–Russia land frontiers; Ikla–Ainaži observed at partial reopening
Admission prohibition at land/rail frontiers, alongside other modes excluded from this record</x:v>
      </x:c>
      <x:c r="E511" s="4" t="str">
        <x:v>Foreign entrants outside permitted categories; ordinary tourism affected
Direction: Into Estonia
Exceptions: Citizens/residents, authorised close family, diplomatic/military personnel, goods, essential services and immediate return transit; departure not prohibited.</x:v>
      </x:c>
      <x:c r="F511" s="4" t="str">
        <x:v>R4-EU-001-D1 — Observed operation
Ordinary non-exempt Baltic-category passenger entry to Estonia across the Latvia road frontier
Start: 2020-03-17.
Observed scoped reopening: 2020-05-15.
59 calendar-day difference; scoped endpoint only</x:v>
      </x:c>
      <x:c r="G51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11" s="4" t="str">
        <x:v>R4-EU-001-D1: Citizens/residents and authorised essential categories were excepted as applicable; this does not describe the Russian frontier or every foreign nationality. Original March 17 order governs over later retrospective March 16 wording. Additional June admission is a different phase.</x:v>
      </x:c>
      <x:c r="I511" s="4" t="str">
        <x:v>Retained baseline assessment. Retained with recorded qualifications</x:v>
      </x:c>
      <x:c r="J511" s="18" t="d">
        <x:v>2026-10-23T00:00:00.000Z</x:v>
      </x:c>
      <x:c r="K511" s="21" t="str">
        <x:f>IFERROR(HYPERLINK("https://valitsus.ee/en/news/government-confirmed-decisions-reintroduction-temporary-controls-estonian-border","Government of Estonia"),"Government of Estonia")</x:f>
        <x:v>Government of Estonia</x:v>
      </x:c>
      <x:c r="L511" s="21" t="str">
        <x:f>IFERROR(HYPERLINK("https://valitsus.ee/sites/default/files/documents/2021-01/temporary_restriction_of_crossing_state_borders.pdf","Government of Estonia"),"Government of Estonia")</x:f>
        <x:v>Government of Estonia</x:v>
      </x:c>
      <x:c r="M511" s="21" t="str">
        <x:f>IFERROR(HYPERLINK("https://www.mfa.gov.lv/en/article/joint-statement-estonian-latvian-and-lithuanian-foreign-ministers-occasion-marking-reciprocal-lifting-covid-19-crisis-related-restrictions-movement-between-estonia-latvia-and-lithuania","Latvian Ministry of Foreign Affairs"),"Latvian Ministry of Foreign Affairs")</x:f>
        <x:v>Latvian Ministry of Foreign Affairs</x:v>
      </x:c>
      <x:c r="N511" s="4" t="str">
        <x:v>https://valitsus.ee/en/news/government-confirmed-decisions-reintroduction-temporary-controls-estonian-border
https://valitsus.ee/sites/default/files/documents/2021-01/temporary_restriction_of_crossing_state_borders.pdf
https://www.mfa.gov.lv/en/article/joint-statement-estonian-latvian-and-lithuanian-foreign-ministers-occasion-marking-reciprocal-lifting-covid-19-crisis-related-restrictions-movement-between-estonia-latvia-and-lithuania
https://www.euractiv.com/news/baltics-open-europes-first-pandemic-travel-bubble-as-curbs-ease/
https://valitsus.ee/en/news/government-has-eased-some-restrictions-related-covid-19
https://news.err.ee/1064921/temporary-border-controls-introduced-overnight
https://www.valitsus.ee/en/news/government-approved-memorandum-between-baltic-states-cooperation-easing-restrictions-borders
https://en.philenews.com/international/baltics-open-europes-first-pandemic-travel-bubble-as-curbs-ease/
https://www.vestnesis.lv/op/2020/93C.1</x:v>
      </x:c>
      <x:c r="O511" s="4" t="str">
        <x:v>Source 1: full page
Source 2: full PDF
Source 3: full page</x:v>
      </x:c>
      <x:c r="P511" s="20" t="n">
        <x:v>1</x:v>
      </x:c>
      <x:c r="Q511" s="4" t="str">
        <x:v>Europe</x:v>
      </x:c>
      <x:c r="R511" s="4" t="str">
        <x:v>Included</x:v>
      </x:c>
    </x:row>
    <x:row r="512" ht="150" hidden="0" customHeight="1">
      <x:c r="A512" s="16" t="str">
        <x:v>R4-EU-003</x:v>
      </x:c>
      <x:c r="B512" s="4" t="str">
        <x:v>Latvia prohibits non-exempt passenger movement at Russian and Belarusian land borders in March 2020</x:v>
      </x:c>
      <x:c r="C512" s="4" t="str">
        <x:v>Latvia; Russia; Belarus</x:v>
      </x:c>
      <x:c r="D512" s="4" t="str">
        <x:v>Latvia–Russia and Latvia–Belarus external-border road, rail and local crossings
External-EU land/rail and local-border-traffic crossings; internal-EU private travel excluded</x:v>
      </x:c>
      <x:c r="E512" s="4" t="str">
        <x:v>Non-exempt passengers and passenger vehicles, including Latvian citizens seeking eastern departure
Direction: Both directions, with asymmetric return and departure exceptions
Exceptions: Freight, Latvian citizen/resident return, diplomats and humanitarian/national-interest cases; outward foreign travel and additional later exemptions were permitted.</x:v>
      </x:c>
      <x:c r="F512" s="4" t="str">
        <x:v>R4-EU-003-R1 — Formal policy
Order 103 paragraph 4.17 phase for non-exempt ordinary passenger entry at Latvian Russian/Belarusian land external-border posts
Start: 2020-03-17.
Policy endpoint: 2020-06-10.
Formal policy: 85 calendar-day difference; operational continuity not established
R4-EU-003-C7P1 — Formal policy
Successor Latvian restrictions on non-exempt passenger movement at Russian and Belarusian land frontiers
Start: 2020-06-10.
Last confirmed: 2020-06-10. Reopening is not established.
Formal policy: dated evidence; numeric duration withheld; see qualification</x:v>
      </x:c>
      <x:c r="G51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12" s="4" t="str">
        <x:v>R4-EU-003-R1: Order 103 version remains valid through June 9 and loses force June 10; the endpoint excludes June 10 as a day under this instrument. Restrictions persisted under the successor framework. Evolving freight, returnee, transport-worker, business and humanitarian exceptions are retained; no physical closure or first-passage time is asserted.
R4-EU-003-C7P1: A replacement framework, not physical reopening. Returnees, transit, transport staff and other exceptions remain; later amendments and endpoint unknown.</x:v>
      </x:c>
      <x:c r="I512" s="4" t="str">
        <x:v>Full-record source audit (REC50-R30); retained with recorded qualifications; evidence limits retained.</x:v>
      </x:c>
      <x:c r="J512" s="18" t="d">
        <x:v>2026-10-25T00:00:00.000Z</x:v>
      </x:c>
      <x:c r="K512" s="21" t="str">
        <x:f>IFERROR(HYPERLINK("https://www.fm.gov.lv/en/article/regarding-declaration-emergency-situation","Latvian Ministry of Finance"),"Latvian Ministry of Finance")</x:f>
        <x:v>Latvian Ministry of Finance</x:v>
      </x:c>
      <x:c r="L512" s="21" t="str">
        <x:f>IFERROR(HYPERLINK("https://faolex.fao.org/docs/pdf/lat196564LAT.pdf","Latvian Cabinet / Likumi.lv via FAOLEX"),"Latvian Cabinet / Likumi.lv via FAOLEX")</x:f>
        <x:v>Latvian Cabinet / Likumi.lv via FAOLEX</x:v>
      </x:c>
      <x:c r="M512" s="21" t="str">
        <x:f>IFERROR(HYPERLINK("https://www.rs.gov.lv/en/covid-19","Latvian State Border Guard"),"Latvian State Border Guard")</x:f>
        <x:v>Latvian State Border Guard</x:v>
      </x:c>
      <x:c r="N512" s="4" t="str">
        <x:v>https://www.fm.gov.lv/en/article/regarding-declaration-emergency-situation
https://faolex.fao.org/docs/pdf/lat196564LAT.pdf
https://www.rs.gov.lv/en/covid-19
https://likumi.lv/ta/en/en/id/313191
https://www.em.gov.lv/en/article/regarding-declaration-emergency-situation-0
https://likumi.lv/ta/id/313191-par-arkartejas-situacijas-izsludinasanu
https://www.lsm.lv/raksts/zinas/latvija/latvija-slegta-robeza-starptautiskajiem-pasazieru-parvadajumiem.a351961/
https://riga.mfa.ee/important-information-about-the-state-of-emergency-and-covid-19-in-latvia/</x:v>
      </x:c>
      <x:c r="O512" s="4" t="str">
        <x:v>Source 1: indexed excerpt
Source 2: full
Source 3: indexed excerpt; indexed extract</x:v>
      </x:c>
      <x:c r="P512" s="20" t="n">
        <x:v>2</x:v>
      </x:c>
      <x:c r="Q512" s="4" t="str">
        <x:v>Europe</x:v>
      </x:c>
      <x:c r="R512" s="4" t="str">
        <x:v>Included</x:v>
      </x:c>
    </x:row>
    <x:row r="513" ht="114" hidden="0" customHeight="1">
      <x:c r="A513" s="16" t="str">
        <x:v>R4-EU-004</x:v>
      </x:c>
      <x:c r="B513" s="4" t="str">
        <x:v>Croatia restricts non-exempt personal border crossing in March–May 2020</x:v>
      </x:c>
      <x:c r="C513" s="4" t="str">
        <x:v>Croatia; Slovenia; Hungary; Serbia; Bosnia and Herzegovina; Montenegro</x:v>
      </x:c>
      <x:c r="D513" s="4" t="str">
        <x:v>Croatian road and rail frontiers; no claim that every crossing was physically barricaded
Personal crossing prohibition at all border posts; land component retained here</x:v>
      </x:c>
      <x:c r="E513" s="4" t="str">
        <x:v>Non-exempt personal movement; freight personnel and transit remained permitted
Direction: Both directions under the legal order, with nationality and purpose exceptions
Exceptions: Croatian return and departure to country of work/residence; EU/Schengen home return; medical, frontier worker, freight, diplomatic, emergency and transit categories. Later business/property exceptions.</x:v>
      </x:c>
      <x:c r="F513" s="4" t="str">
        <x:v>R4-EU-004-D1 — Formal policy
Croatia's personal-crossing prohibition regime, ending here at exemption of ten named EU nationalities
Start: 2020-03-19.
Policy endpoint: 2020-05-28.
Formal policy: 70 calendar-day difference; operational continuity not established</x:v>
      </x:c>
      <x:c r="G51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13" s="4" t="str">
        <x:v>R4-EU-004-D1: Regime-level formal partial easing, not invariant denial of all members of those nationalities or all-border traffic. Earlier business/property and essential exceptions persisted; May 29 publication is not the effective endpoint. No first physical passage is claimed.</x:v>
      </x:c>
      <x:c r="I513" s="4" t="str">
        <x:v>Retained baseline assessment. Retained with recorded qualifications</x:v>
      </x:c>
      <x:c r="J513" s="18" t="d">
        <x:v>2026-10-23T00:00:00.000Z</x:v>
      </x:c>
      <x:c r="K513" s="21" t="str">
        <x:f>IFERROR(HYPERLINK("https://narodne-novine.nn.hr/clanci/sluzbeni/2020_03_32_714.html","Narodne novine"),"Narodne novine")</x:f>
        <x:v>Narodne novine</x:v>
      </x:c>
      <x:c r="L513" s="21" t="str">
        <x:f>IFERROR(HYPERLINK("https://narodne-novine.nn.hr/clanci/sluzbeni/full/2020_05_64_1280.html","Narodne novine"),"Narodne novine")</x:f>
        <x:v>Narodne novine</x:v>
      </x:c>
      <x:c r="M513" s="21" t="str">
        <x:f>IFERROR(HYPERLINK("https://mvep.gov.hr/print.aspx?id=177914&amp;url=print","Croatian Ministry of Foreign and European Affairs"),"Croatian Ministry of Foreign and European Affairs")</x:f>
        <x:v>Croatian Ministry of Foreign and European Affairs</x:v>
      </x:c>
      <x:c r="N513" s="4" t="str">
        <x:v>https://narodne-novine.nn.hr/clanci/sluzbeni/2020_03_32_714.html
https://narodne-novine.nn.hr/clanci/sluzbeni/full/2020_05_64_1280.html
https://mvep.gov.hr/print.aspx?id=177914&amp;url=print
https://www.croatiaweek.com/croatia-imposes-new-restrictions-concerning-cross-border-traffic/
https://mint.gov.hr/print.aspx?id=21223&amp;url=print
https://home-affairs.ec.europa.eu/system/files/2021-08/croatia_arm2020_part2_en.pdf
https://narodne-novine.nn.hr/clanci/sluzbeni/2020_05_64_1280.html
https://www.mfa.gr/missionsabroad/en/croatia-en/news/announcement-by-the-embassy-of-the-hellenic-republic-in-croatia-13052020.html</x:v>
      </x:c>
      <x:c r="O513" s="4" t="str">
        <x:v>Source 1: full legal text
Source 2: full legal text
Source 3: full page</x:v>
      </x:c>
      <x:c r="P513" s="20" t="n">
        <x:v>1</x:v>
      </x:c>
      <x:c r="Q513" s="4" t="str">
        <x:v>Europe</x:v>
      </x:c>
      <x:c r="R513" s="4" t="str">
        <x:v>Included</x:v>
      </x:c>
    </x:row>
    <x:row r="514" ht="186" hidden="0" customHeight="1">
      <x:c r="A514" s="16" t="str">
        <x:v>R4-EU-006</x:v>
      </x:c>
      <x:c r="B514" s="4" t="str">
        <x:v>Slovak hauliers obstruct freight at Vyšné Nemecké–Uzhhorod, 1–4 December 2023</x:v>
      </x:c>
      <x:c r="C514" s="4" t="str">
        <x:v>Slovakia; Ukraine</x:v>
      </x:c>
      <x:c r="D514" s="4" t="str">
        <x:v>Vyšné Nemecké–Uzhhorod road crossing and its Slovak approach
Intentional throttling of freight access at one international road crossing</x:v>
      </x:c>
      <x:c r="E514" s="4" t="str">
        <x:v>Ordinary commercial trucks, prominently on the route into Ukraine; not all passenger movement
Direction: Freight access at the crossing; evidence particularly documents Slovak-side queues toward Ukraine, not identical restriction in both directions
Exceptions: Four ordinary trucks per hour reportedly admitted; humanitarian and military consignments, fuel, live animals and fresh/refrigerated goods exempt. Passenger cars and buses unaffected.</x:v>
      </x:c>
      <x:c r="F514" s="4" t="str">
        <x:v>R4-EU-006-D1 — Observed operation
Intentional throttling of freight access at one international road crossing; Ordinary commercial trucks, prominently on the route into Ukraine; not all passenger movement; Freight access at the crossing; evidence particularly documents Slovak-side queues toward Ukraine, not identical restriction in both directions
Start: 2023-12-01.
Observed scoped reopening: 2023-12-04.
3 calendar-day difference; scoped endpoint only</x:v>
      </x:c>
      <x:c r="G514"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514" s="4" t="str">
        <x:v>R4-EU-006-D1: Partial controlled throughput continued during the blockade. The endpoint report gives 22:00 without an explicit timezone; no exact hour-duration computed. Related recurrences are separate leads. Four ordinary trucks per hour reportedly admitted; humanitarian and military consignments, fuel, live animals and fresh/refrigerated goods exempt. Passenger cars and buses unaffected.</x:v>
      </x:c>
      <x:c r="I514" s="4" t="str">
        <x:v>Full-record source audit (REC50-R45); accepted corrections; evidence limits retained.</x:v>
      </x:c>
      <x:c r="J514" s="18" t="d">
        <x:v>2026-10-25T00:00:00.000Z</x:v>
      </x:c>
      <x:c r="K514" s="21" t="str">
        <x:f>IFERROR(HYPERLINK("https://spravy.stvr.sk/2023/12/unia-autodopravcov-zablokovala-hranicny-priechod-vysne-nemecke-obmedzenie-ma-trvat-do-odvolania/","RTVS / STVR"),"RTVS / STVR")</x:f>
        <x:v>RTVS / STVR</x:v>
      </x:c>
      <x:c r="L514" s="21" t="str">
        <x:f>IFERROR(HYPERLINK("https://spravy.stvr.sk/2023/12/unia-autodopravcov-slovenska-uz-druhy-den-blokuje-hranicny-priechod-vysne-nemecke-postavili-sa-na-stranu-polskych-kamionistov/","RTVS / STVR"),"RTVS / STVR")</x:f>
        <x:v>RTVS / STVR</x:v>
      </x:c>
      <x:c r="M514" s="21" t="str">
        <x:f>IFERROR(HYPERLINK("https://t.me/s/DPSUkr?before=16604","State Border Guard Service of Ukraine official Telegram"),"State Border Guard Service of Ukraine official Telegram")</x:f>
        <x:v>State Border Guard Service of Ukraine official Telegram</x:v>
      </x:c>
      <x:c r="N514" s="4" t="str">
        <x:v>https://spravy.stvr.sk/2023/12/unia-autodopravcov-zablokovala-hranicny-priechod-vysne-nemecke-obmedzenie-ma-trvat-do-odvolania/
https://spravy.stvr.sk/2023/12/unia-autodopravcov-slovenska-uz-druhy-den-blokuje-hranicny-priechod-vysne-nemecke-postavili-sa-na-stranu-polskych-kamionistov/
https://t.me/s/DPSUkr?before=16604
https://cyprus-mail.com/2023/12/01/slovak-truckers-block-ukraine-border-crossing-joining-polish-protests
https://en.lb.ua/news/2023/12/05/24594_truck_traffic_slovakiaukraine.html
https://t.me/s/DPSUkr/16582
https://www.ukrinform.net/rubric-economy/3798487-slovak-carriers-to-block-only-trucks-leaving-ukraine-customs.html
https://www.pravda.com.ua/eng/news/2023/12/01/7431259/
https://english.nv.ua/business/truck-traffic-on-the-border-with-slovakia-is-being-restored-50376811.html
https://www.rferl.org/a/slovak-truckers-end-blockate-ukraine-border/32732069.html</x:v>
      </x:c>
      <x:c r="O514" s="4" t="str">
        <x:v>Source 1: full text
Source 2: full text
Source 3: full official channel text</x:v>
      </x:c>
      <x:c r="P514" s="20" t="n">
        <x:v>1</x:v>
      </x:c>
      <x:c r="Q514" s="4" t="str">
        <x:v>Europe</x:v>
      </x:c>
      <x:c r="R514" s="4" t="str">
        <x:v>Included</x:v>
      </x:c>
    </x:row>
    <x:row r="515" ht="366" hidden="0" customHeight="1">
      <x:c r="A515" s="16" t="str">
        <x:v>R4-AES-002</x:v>
      </x:c>
      <x:c r="B515" s="4" t="str">
        <x:v>Malaba truck blockade over COVID testing charges in January 2022</x:v>
      </x:c>
      <x:c r="C515" s="4" t="str">
        <x:v>Kenya; Uganda</x:v>
      </x:c>
      <x:c r="D515" s="4" t="str">
        <x:v>Malaba
Kenya-to-Uganda truck approach and crossing at Malaba</x:v>
      </x:c>
      <x:c r="E515" s="4" t="str">
        <x:v>Uganda-bound trucks and cargo, including fuel; passenger prohibition not established.
Direction: Kenya to Uganda; broader bilateral closure not established.
Exceptions: Reverse-direction trucks and Busia flows were reported operating in the early phase.</x:v>
      </x:c>
      <x:c r="F515" s="4" t="str">
        <x:v>R4-AES-002-R1 — Observed operation
Initial Kenya-to-Uganda truck stoppage at Malaba
Start: 2022-01-01 to 2022-01-03.
Last confirmed: 2022-01-07. Reopening is not established.
confirmed through 2022-01-07; at least 4 calendar-day difference; reopening unknown</x:v>
      </x:c>
      <x:c r="G515" s="4" t="str">
        <x:v>Policy and socioeconomic demands / Opposition to health policies
Reported reason
Applies to: Recorded episode; exact overlap not separately established
The recorded rationale and claim assessment support the selected subcategories. All applicable broad categories are retained together; no primary rationale is imposed.</x:v>
      </x:c>
      <x:c r="H515" s="4" t="str">
        <x:v>R4-AES-002-R1: January 7 is the evidence endpoint, not reopening. Onset bounds retain January 1 versus January 3 reporting. Only Kenya-to-Uganda trucks at Malaba are covered. Busia is excluded; January 4 reporting of queues on both sides means reverse-direction conditions should not be generalized from the Standard's January 7 account. Conflicting January 11 resumption and continuation reports, and later queue clearance, are not appended.
Actual Malaba reopening and conflicting January 11 reports: Exact sequence, geographical extent and independently observed first truck passage unresolved. No endpoint/date correction proposed.</x:v>
      </x:c>
      <x:c r="I515" s="4" t="str">
        <x:v>Targeted source review (REC50-R04); retained with recorded qualifications; evidence limits retained.</x:v>
      </x:c>
      <x:c r="J515" s="18" t="d">
        <x:v>2026-10-25T00:00:00.000Z</x:v>
      </x:c>
      <x:c r="K515" s="21" t="str">
        <x:f>IFERROR(HYPERLINK("https://www.standardmedia.co.ke/health/amp/national/article/2001433667/truck-drivers-at-kenya-uganda-border-on-strike-over-covid-19-tests","The Standard"),"The Standard")</x:f>
        <x:v>The Standard</x:v>
      </x:c>
      <x:c r="L515" s="21" t="str">
        <x:f>IFERROR(HYPERLINK("https://www.the-star.co.ke/sports/football/2022-01-06-striking-truck-drivers-reject-covid-19-testing-fees-reduction-offer","The Star"),"The Star")</x:f>
        <x:v>The Star</x:v>
      </x:c>
      <x:c r="M515" s="21" t="str">
        <x:f>IFERROR(HYPERLINK("https://www.theeastafrican.co.ke/tea/business-tech/kenyan-truckers-strike-3678976","The EastAfrican"),"The EastAfrican")</x:f>
        <x:v>The EastAfrican</x:v>
      </x:c>
      <x:c r="N515" s="4" t="str">
        <x:v>https://www.standardmedia.co.ke/health/amp/national/article/2001433667/truck-drivers-at-kenya-uganda-border-on-strike-over-covid-19-tests
https://www.the-star.co.ke/sports/football/2022-01-06-striking-truck-drivers-reject-covid-19-testing-fees-reduction-offer
https://www.theeastafrican.co.ke/tea/business-tech/kenyan-truckers-strike-3678976
https://www.the-star.co.ke/in-pictures/2022-01-11-truck-drivers-end-strike-after-uganda-heeds-to-demands
https://www.the-star.co.ke/counties/central/2022-01-06-striking-truck-drivers-reject-covid-19-testing-fees-reduction-offer
https://www.monitor.co.ug/uganda/news/national/truck-drivers-protest-covid-testing-fee-at-malaba-border-3671772
https://www.the-star.co.ke/sports/football/2022-01-11-truck-drivers-end-strike-after-uganda-heeds-to-demands
https://www.freightnews.co.za/article/covid-induced-malaba-impasse-resolved
https://www.the-star.co.ke/counties/central/2022-01-11-truck-drivers-end-strike-after-uganda-heeds-to-demands
https://www.theeastafrican.co.ke/tea/business-tech/kenyan-truckers-call-of-strike-uganda-border-3678644
https://www.standardmedia.co.ke/amp/business/national/article/2001433667/truck-drivers-at-kenya-uganda-border-on-strike-over-covid-19-tests
https://www.the-star.co.ke/news/realtime/2022-01-06-striking-truck-drivers-reject-covid-19-testing-fees-reduction-offer
https://www.monitor.co.ug/uganda/news/national/10-000-uganda-bound-trucks-stuck-in-kenya-3689104
https://www.ugandaradionetwork.net/story/truck-drivers-protest-against-covid-19-testing-fees-at-malaba-border-point
https://www.the-star.co.ke/sports/athletics/2022-01-23-kenya-uganda-suspend-cargo-scanning-to-clear-malaba-backlog
https://the-star.co.ke/sports/athletics/2022-01-25-ugandan-motorists-flock-kenyan-petrol-stations-for-cheaper-fuel</x:v>
      </x:c>
      <x:c r="O515" s="4" t="str">
        <x:v>Source 1: full; full text
Source 2: indexed excerpt
Source 3: full; full text</x:v>
      </x:c>
      <x:c r="P515" s="20" t="n">
        <x:v>1</x:v>
      </x:c>
      <x:c r="Q515" s="4" t="str">
        <x:v>Great Lakes</x:v>
      </x:c>
      <x:c r="R515" s="4" t="str">
        <x:v>Included</x:v>
      </x:c>
    </x:row>
    <x:row r="516" ht="138" hidden="0" customHeight="1">
      <x:c r="A516" s="16" t="str">
        <x:v>R4-ME-003</x:v>
      </x:c>
      <x:c r="B516" s="4" t="str">
        <x:v>Exceptional extended Sukkot restriction on West Bank and Gaza crossings, October 2017</x:v>
      </x:c>
      <x:c r="C516" s="4" t="str">
        <x:v>Israel; Palestine (West Bank and Gaza)</x:v>
      </x:c>
      <x:c r="D516" s="4" t="str">
        <x:v>West Bank crossings and Gaza Erez; cargo conditions differed
Palestinian movement through Israeli-controlled crossings of disputed/de facto boundaries</x:v>
      </x:c>
      <x:c r="E516" s="4" t="str">
        <x:v>Palestinians otherwise eligible to cross; categories and destinations differed
Direction: Mainly movement out of West Bank/Gaza; category-specific operation
Exceptions: Approved humanitarian, medical and exceptional cases; some earlier passenger and cargo movement is recorded.</x:v>
      </x:c>
      <x:c r="F516" s="4" t="str">
        <x:v>R4-ME-003-D1 — Observed operation
Erez business-category passenger passage only
Start: 2017-10-04.
Observed scoped reopening: 2017-10-08.
4 calendar-day difference; scoped endpoint only
R4-ME-003-R2 — Observed operation
Erez business-category passenger passage only
Start: 2017-10-11.
Scoped endpoint: 2017-10-15.
4 calendar-day difference; scoped endpoint only</x:v>
      </x:c>
      <x:c r="G516"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x:v>
      </x:c>
      <x:c r="H516" s="4" t="str">
        <x:v>Erez business passage occurred October 8–10 during the extended holiday restriction, then resumed October 15 after another interruption. October 15 is not the first partial reopening. Actual restoration across the whole West Bank is unestablished; medical, other passenger and cargo movements followed separate schedules.
R4-ME-003-D1: First Erez business-category interruption only. PCHR records business passage and partial opening on October 8–10; humanitarian and other categories moved earlier. Calendar span includes ordinary non-operating days and does not measure additional working days lost.
R4-ME-003-R2: Does not imply total Erez closure: medical and other categories crossed earlier. Calendar dates include ordinary non-operating days; no precise hours or lost working-day count inferred.</x:v>
      </x:c>
      <x:c r="I516" s="4" t="str">
        <x:v>Retained baseline assessment. Amended after source reconciliation</x:v>
      </x:c>
      <x:c r="J516" s="18" t="d">
        <x:v>2026-10-23T00:00:00.000Z</x:v>
      </x:c>
      <x:c r="K516" s="21" t="str">
        <x:f>IFERROR(HYPERLINK("https://www.timesofisrael.com/israel-to-impose-11-day-closure-on-west-bank-gaza-for-sukkot-holiday/amp/","The Times of Israel"),"The Times of Israel")</x:f>
        <x:v>The Times of Israel</x:v>
      </x:c>
      <x:c r="L516" s="21" t="str">
        <x:f>IFERROR(HYPERLINK("https://pchrgaza.org/weekly-report-on-israeli-human-rights-violations-in-the-occupied-palestinian-territory-12-18-october-2017/","Palestinian Centre for Human Rights"),"Palestinian Centre for Human Rights")</x:f>
        <x:v>Palestinian Centre for Human Rights</x:v>
      </x:c>
      <x:c r="M516" s="21" t="str">
        <x:f>IFERROR(HYPERLINK("https://pchrgaza.org/weekly-report-on-israeli-human-rights-violations-in-the-occupied-palestinian-territory-05-11-october-2017/","pchrgaza.org"),"pchrgaza.org")</x:f>
        <x:v>pchrgaza.org</x:v>
      </x:c>
      <x:c r="N516" s="4" t="str">
        <x:v>https://www.timesofisrael.com/israel-to-impose-11-day-closure-on-west-bank-gaza-for-sukkot-holiday/amp/
https://pchrgaza.org/weekly-report-on-israeli-human-rights-violations-in-the-occupied-palestinian-territory-12-18-october-2017/
https://pchrgaza.org/weekly-report-on-israeli-human-rights-violations-in-the-occupied-palestinian-territory-05-11-october-2017/
https://2017-2021.state.gov/reports/2017-country-reports-on-human-rights-practices/israel-golan-heights-west-bank-and-gaza/israel-golan-heights-west-bank-and-gaza-west-bank-and-gaza/</x:v>
      </x:c>
      <x:c r="O516" s="4" t="str">
        <x:v>Source 1: full page
Source 2: full relevant report and tables
Source 3: access detail is retained in the source catalogue.</x:v>
      </x:c>
      <x:c r="P516" s="20" t="n">
        <x:v>2</x:v>
      </x:c>
      <x:c r="Q516" s="4" t="str">
        <x:v>Middle East</x:v>
      </x:c>
      <x:c r="R516" s="4" t="str">
        <x:v>Included</x:v>
      </x:c>
    </x:row>
    <x:row r="517" ht="222" hidden="0" customHeight="1">
      <x:c r="A517" s="16" t="str">
        <x:v>R4-ME-001</x:v>
      </x:c>
      <x:c r="B517" s="4" t="str">
        <x:v>Khosravi and Chazzabeh pilgrimage restrictions during Iraqi unrest, October 2019</x:v>
      </x:c>
      <x:c r="C517" s="4" t="str">
        <x:v>Iran; Iraq</x:v>
      </x:c>
      <x:c r="D517" s="4" t="str">
        <x:v>Khosravi and Chazzabeh / Chazabeh
Pilgrim departures at two crossings with different reopening phases</x:v>
      </x:c>
      <x:c r="E517" s="4" t="str">
        <x:v>Pilgrims travelling from Iran into Iraq
Direction: Iran to Iraq; reverse direction unresolved
Exceptions: Chazzabeh had an earlier reported reopening; return travel and cargo are not established.</x:v>
      </x:c>
      <x:c r="F517" s="4" t="str">
        <x:v>R4-ME-001-R1 — Observed operation
Khosravi suspension of departing Iranian Arbaeen pilgrims using Baghdad route
Start: 2019-10-02 to 2019-10-03.
Observed scoped reopening: 2019-10-06 to 2019-10-07.
3–5 calendar-day difference; scoped endpoint only</x:v>
      </x:c>
      <x:c r="G517"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17" s="4" t="str">
        <x:v>R4-ME-001-R1: Qualified reported operational restriction on departing pilgrims, not a physically sealed gate. Fresh Anadolu and Iran Press support Sunday reported reopening, while Tasnim gives Monday morning; actual first crossing and clock times unverified. Chazzabeh, freight and reverse-direction movement excluded.</x:v>
      </x:c>
      <x:c r="I517" s="4" t="str">
        <x:v>Retained baseline assessment. Retained with recorded qualifications</x:v>
      </x:c>
      <x:c r="J517" s="18" t="d">
        <x:v>2026-10-23T00:00:00.000Z</x:v>
      </x:c>
      <x:c r="K517" s="21" t="str">
        <x:f>IFERROR(HYPERLINK("https://www.tasnimnews.ir/en/news/2019/10/07/2113276/iran-s-khosravi-border-crossing-reopens-to-pilgrims-visiting-iraq/amp","Tasnim"),"Tasnim")</x:f>
        <x:v>Tasnim</x:v>
      </x:c>
      <x:c r="L517" s="21" t="str">
        <x:f>IFERROR(HYPERLINK("https://www.euronews.com/2019/10/04/ahead-of-pilgrimage-iran-border-crossing-closed-due-to-iraq-unrest","Euronews"),"Euronews")</x:f>
        <x:v>Euronews</x:v>
      </x:c>
      <x:c r="M517" s="21" t="str">
        <x:f>IFERROR(HYPERLINK("https://www.aa.com.tr/en/middle-east/iraq-104-killed-in-demonstrations-since-oct1/1603958","Anadolu"),"Anadolu")</x:f>
        <x:v>Anadolu</x:v>
      </x:c>
      <x:c r="N517" s="4" t="str">
        <x:v>https://www.tasnimnews.ir/en/news/2019/10/07/2113276/iran-s-khosravi-border-crossing-reopens-to-pilgrims-visiting-iraq/amp
https://www.aa.com.tr/fa/%D8%A7%DB%8C%D8%B1%D8%A7%D9%86/%D9%85%D8%B1%D8%B2-%D8%AE%D8%B3%D8%B1%D9%88%DB%8C-%D8%A7%DB%8C%D8%B1%D8%A7%D9%86-%D8%A8%D8%A7-%D8%B9%D8%B1%D8%A7%D9%82-%D9%85%D8%AC%D8%AF%D8%AF%D8%A7-%D8%A8%D8%A7%D8%B2-%D9%85%DB%8C-%D8%B4%D9%88%D8%AF/1603537
https://www.euronews.com/2019/10/04/ahead-of-pilgrimage-iran-border-crossing-closed-due-to-iraq-unrest
https://www.aa.com.tr/en/middle-east/iraq-104-killed-in-demonstrations-since-oct1/1603958
https://aa.com.tr/en/middle-east/iraq-104-killed-in-demonstrations-since-oct1/1603958
https://www.arabnews.pk/node/1563496/middle-east
https://iranpress.com/tag/8114-arbaeen-great-walk-arbaeen-great-walk/6
https://www.vista.sahafi.jo/art.php?id=f20abc984e570b30ab9d59cf11a89c8c9f55f691
https://www.tasnimnews.ir/en/news/2019/10/07/2113276/iran-s-khosravi-border-crossing-reopens-to-pilgrims-visiting-iraq
https://iranpress.com/content/14509/khosravi-border-will-reopened-friday
https://www.aa.com.tr/fa/ایران/مرز-خسروی-ایران-با-عراق-مجددا-باز-می-شود/1603537</x:v>
      </x:c>
      <x:c r="O517" s="4" t="str">
        <x:v>Source 1: full
Source 2: indexed excerpt
Source 3: failed</x:v>
      </x:c>
      <x:c r="P517" s="20" t="n">
        <x:v>1</x:v>
      </x:c>
      <x:c r="Q517" s="4" t="str">
        <x:v>Middle East</x:v>
      </x:c>
      <x:c r="R517" s="4" t="str">
        <x:v>Included</x:v>
      </x:c>
    </x:row>
    <x:row r="518" ht="138" hidden="0" customHeight="1">
      <x:c r="A518" s="16" t="str">
        <x:v>R4-ME-002</x:v>
      </x:c>
      <x:c r="B518" s="4" t="str">
        <x:v>Mehran prohibition on direct truck entry into Iraq, October 2019</x:v>
      </x:c>
      <x:c r="C518" s="4" t="str">
        <x:v>Iran; Iraq</x:v>
      </x:c>
      <x:c r="D518" s="4" t="str">
        <x:v>Mehran
Direct entry of Iranian / transit trucks; transshipment remained permitted</x:v>
      </x:c>
      <x:c r="E518" s="4" t="str">
        <x:v>Trucks crossing into Iraq; goods transferred onto Iraqi trucks were treated separately
Direction: Truck entry from Iran into Iraq
Exceptions: Cargo delivery to Iraqi trucks at the Mehran terminal was expressly allowed.</x:v>
      </x:c>
      <x:c r="F518" s="4" t="str">
        <x:v>R4-ME-002-D1 — Observed operation
Direct Iranian/transit truck entry into Iraq at Mehran, excluding transshipment
Start: 2019-10-30.
Last confirmed: 2019-11-03. Reopening is not established.
confirmed through 2019-11-03; at least 4 calendar-day difference; reopening unknown</x:v>
      </x:c>
      <x:c r="G518" s="4" t="str">
        <x:v>Security / Public order and immediate safety
Attributed official justification
Applies to: Recorded episode; exact overlap not separately established
The recorded rationale and claim assessment support the selected subcategories. All applicable broad categories are retained together; no primary rationale is imposed.</x:v>
      </x:c>
      <x:c r="H518" s="4" t="str">
        <x:v>R4-ME-002-D1: Confirmed through November 3 only, not a reopening or later persistence claim. Customs-interview continuity is not direct gate observation and was not freshly recovered in the prior pass. Passenger accounts conflict and are excluded; English/Persian reporting shares the official chain.</x:v>
      </x:c>
      <x:c r="I518" s="4" t="str">
        <x:v>Retained baseline assessment. Retained with recorded qualifications</x:v>
      </x:c>
      <x:c r="J518" s="18" t="d">
        <x:v>2026-10-23T00:00:00.000Z</x:v>
      </x:c>
      <x:c r="K518" s="21" t="str">
        <x:f>IFERROR(HYPERLINK("https://www.aa.com.tr/en/middle-east/iran-closes-border-crossing-with-protest-hit-iraq/1630775","aa.com.tr"),"aa.com.tr")</x:f>
        <x:v>aa.com.tr</x:v>
      </x:c>
      <x:c r="L518" s="21" t="str">
        <x:f>IFERROR(HYPERLINK("https://www.tasnimnews.ir/fa/news/1398/08/08/2129852/مرز-مهران-تا-اطلاع-ثانوی-بسته-شد","tasnimnews.ir"),"tasnimnews.ir")</x:f>
        <x:v>tasnimnews.ir</x:v>
      </x:c>
      <x:c r="M518" s="21" t="str">
        <x:f>IFERROR(HYPERLINK("https://asrkhabar.com/fa/news/165403/فعالیت-تجاری-هیچ-مرزی-با-عراق-متوقف-نیس/","asrkhabar.com"),"asrkhabar.com")</x:f>
        <x:v>asrkhabar.com</x:v>
      </x:c>
      <x:c r="N518" s="4" t="str">
        <x:v>https://www.aa.com.tr/en/middle-east/iran-closes-border-crossing-with-protest-hit-iraq/1630775
https://www.tasnimnews.ir/fa/news/1398/08/08/2129852/مرز-مهران-تا-اطلاع-ثانوی-بسته-شد
https://asrkhabar.com/fa/news/165403/فعالیت-تجاری-هیچ-مرزی-با-عراق-متوقف-نیس/
https://www.sarpoosh.com/religion/hajj-shrine/hajj-shrine980801506.html
https://www.aa.com.tr/tr/dunya/iran-ile-irak-arasindaki-mehran-sinir-kapisi-yeniden-acildi/1654577
https://shafaq.com/amp/en/Economy/iraq-confirms-zurbatia-port-with-iran-is-open
https://asrkhabar.com/fa/news/165403/%D9%81%D8%B9%D8%A7%D9%84%DB%8C%D8%AA-%D8%AA%D8%AC%D8%A7%D8%B1%DB%8C-%D9%87%DB%8C%DA%86-%D9%85%D8%B1%D8%B2%DB%8C-%D8%A8%D8%A7-%D8%B9%D8%B1%D8%A7%D9%82-%D9%85%D8%AA%D9%88%D9%82%D9%81-%D9%86%DB%8C%D8%B3/
https://www.hurriyetdailynews.com/amp/iran-closes-border-crossing-with-protest-hit-iraq-148103</x:v>
      </x:c>
      <x:c r="O518" s="4" t="str">
        <x:v>Source 1: indexed excerpt
Source 2: full
Source 3: indexed excerpt</x:v>
      </x:c>
      <x:c r="P518" s="20" t="n">
        <x:v>1</x:v>
      </x:c>
      <x:c r="Q518" s="4" t="str">
        <x:v>Middle East</x:v>
      </x:c>
      <x:c r="R518" s="4" t="str">
        <x:v>Included</x:v>
      </x:c>
    </x:row>
    <x:row r="519" ht="102" hidden="0" customHeight="1">
      <x:c r="A519" s="16" t="str">
        <x:v>R4-ME-004</x:v>
      </x:c>
      <x:c r="B519" s="4" t="str">
        <x:v>Erez and Kerem Shalom hostilities restrictions, November 2019</x:v>
      </x:c>
      <x:c r="C519" s="4" t="str">
        <x:v>Israel; Palestine (Gaza)</x:v>
      </x:c>
      <x:c r="D519" s="4" t="str">
        <x:v>Erez / Beit Hanoun and Kerem Shalom / Karm Abu Salem
Passenger and goods crossings on the Gaza–Israel de facto boundary</x:v>
      </x:c>
      <x:c r="E519" s="4" t="str">
        <x:v>Previously eligible passengers and ordinary goods traffic
Direction: Crossing movements both ways, with separate goods categories
Exceptions: Erez exceptional cases on November 13–14; indirect report of power-plant fuel permitted November 14.</x:v>
      </x:c>
      <x:c r="F519" s="4" t="str">
        <x:v>R4-ME-004-R1 — Observed operation
Kerem Shalom non-fuel goods imports during hostilities
Start: 2019-11-12.
Last confirmed: 2019-11-14. Reopening is not established.
confirmed through 2019-11-14; at least 2 calendar-day difference; reopening unknown</x:v>
      </x:c>
      <x:c r="G519"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x:v>
      </x:c>
      <x:c r="H519" s="4" t="str">
        <x:v>R4-ME-004-R1: November 14 is last covered closure day, not reopening. Fuel and Erez passengers excluded; no attribution of normal weekend stoppage to hostilities.</x:v>
      </x:c>
      <x:c r="I519" s="4" t="str">
        <x:v>Retained baseline assessment. Retained with recorded qualifications</x:v>
      </x:c>
      <x:c r="J519" s="18" t="d">
        <x:v>2026-10-23T00:00:00.000Z</x:v>
      </x:c>
      <x:c r="K519" s="21" t="str">
        <x:f>IFERROR(HYPERLINK("https://www.ochaopt.org/sites/default/files/gaza_crossings_operations_status_november_2019.pdf","UN OCHA"),"UN OCHA")</x:f>
        <x:v>UN OCHA</x:v>
      </x:c>
      <x:c r="L519" s="21" t="str">
        <x:f>IFERROR(HYPERLINK("https://www.timesofisrael.com/liveblog_entry/gaza-crossings-remain-closed-amid-pij-rocket-fire/","Times of Israel"),"Times of Israel")</x:f>
        <x:v>Times of Israel</x:v>
      </x:c>
      <x:c r="M519" s="21" t="str">
        <x:f>IFERROR(HYPERLINK("https://www.arabnews.com/middle-east/truce-ends-deadly-clashes-across-gaza-border-1583861","Arab News"),"Arab News")</x:f>
        <x:v>Arab News</x:v>
      </x:c>
      <x:c r="N519" s="4" t="str">
        <x:v>https://www.ochaopt.org/sites/default/files/gaza_crossings_operations_status_november_2019.pdf
https://www.timesofisrael.com/liveblog_entry/gaza-crossings-remain-closed-amid-pij-rocket-fire/
https://www.arabnews.com/middle-east/truce-ends-deadly-clashes-across-gaza-border-1583861
https://www.israelnationalnews.com/news/271608
https://pchrgaza.org/weekly-report-on-israeli-human-rights-violations-in-the-occupied-palestinian-territory-14-20-november-2019/
https://www.un.org/unispal/ngo-action-news-14-november-2019/
https://www.timesofisrael.com/liveblog-november-14-2019/amp/</x:v>
      </x:c>
      <x:c r="O519" s="4" t="str">
        <x:v>Source 1: full
Source 2: indexed excerpt
Source 3: indexed excerpt</x:v>
      </x:c>
      <x:c r="P519" s="20" t="n">
        <x:v>1</x:v>
      </x:c>
      <x:c r="Q519" s="4" t="str">
        <x:v>Middle East</x:v>
      </x:c>
      <x:c r="R519" s="4" t="str">
        <x:v>Included</x:v>
      </x:c>
    </x:row>
    <x:row r="520" ht="126" hidden="0" customHeight="1">
      <x:c r="A520" s="16" t="str">
        <x:v>R4-AWN-003</x:v>
      </x:c>
      <x:c r="B520" s="4" t="str">
        <x:v>Guerguerat COVID passenger closure, March 2020 to November 2021 permission</x:v>
      </x:c>
      <x:c r="C520" s="4" t="str">
        <x:v>Morocco; Mauritania; Western Sahara</x:v>
      </x:c>
      <x:c r="D520" s="4" t="str">
        <x:v>Guerguerat / El Guerguerate
Passenger crossing between Moroccan-administered Western Sahara and Mauritania</x:v>
      </x:c>
      <x:c r="E520" s="4" t="str">
        <x:v>Travellers and private or tourist vehicles; mixed passenger/goods transport was affected.
Direction: Both directions for ordinary travellers.
Exceptions: Professional freight traffic remained permitted under the health regime.</x:v>
      </x:c>
      <x:c r="F520" s="4" t="str">
        <x:v>R4-AWN-003-D1 — Formal policy
Ordinary passenger restriction at Guerguerat between Moroccan-administered Western Sahara and Mauritania
Start: 2020-03-18.
Policy endpoint: 2021-11-09 to 2021-11-10.
Formal policy: 601–602 calendar-day difference; operational continuity not established</x:v>
      </x:c>
      <x:c r="G52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20" s="4" t="str">
        <x:v>R4-AWN-003-D1: Formal passenger permission period, not observed first traffic or all-traffic closure. Freight remained permitted; separate protest blockade overlaps geographically but is not added to this duration. Disputed-territory description is retained.</x:v>
      </x:c>
      <x:c r="I520" s="4" t="str">
        <x:v>Retained baseline assessment. Retained with recorded qualifications</x:v>
      </x:c>
      <x:c r="J520" s="18" t="d">
        <x:v>2026-10-23T00:00:00.000Z</x:v>
      </x:c>
      <x:c r="K520" s="21" t="str">
        <x:f>IFERROR(HYPERLINK("https://www.lemonde.fr/afrique/article/2020/03/25/des-transporteurs-senegalais-bloques-en-plein-desert-entre-casablanca-et-dakar_6034417_3212.html","Le Monde"),"Le Monde")</x:f>
        <x:v>Le Monde</x:v>
      </x:c>
      <x:c r="L520" s="21" t="str">
        <x:f>IFERROR(HYPERLINK("https://afrique.le360.ma/maroc-mauritanie/politique/2021/11/10/35995-maroc-mauritanie-le-poste-frontiere-del-guerguerat-rouvert-aux-voyageurs-des-ce/","Le360 Afrique"),"Le360 Afrique")</x:f>
        <x:v>Le360 Afrique</x:v>
      </x:c>
      <x:c r="M520" s="21" t="str">
        <x:f>IFERROR(HYPERLINK("https://www.swissinfo.ch/spa/marruecos-cierra-tambi%C3%A9n-el-paso-de-guerguerat-y-su-%C3%BAnica-conexi%C3%B3n-mar%C3%ADtima/47152890","Swissinfo"),"Swissinfo")</x:f>
        <x:v>Swissinfo</x:v>
      </x:c>
      <x:c r="N520" s="4" t="str">
        <x:v>https://www.lemonde.fr/afrique/article/2020/03/25/des-transporteurs-senegalais-bloques-en-plein-desert-entre-casablanca-et-dakar_6034417_3212.html
https://afrique.le360.ma/maroc-mauritanie/politique/2021/11/10/35995-maroc-mauritanie-le-poste-frontiere-del-guerguerat-rouvert-aux-voyageurs-des-ce/
https://www.swissinfo.ch/spa/marruecos-cierra-tambi%C3%A9n-el-paso-de-guerguerat-y-su-%C3%BAnica-conexi%C3%B3n-mar%C3%ADtima/47152890
https://fr.le360.ma/politique/coronavirus-le-passage-del-guerguerat-ferme-des-ce-mercredi-soir-sauf-pour-les-camions-de-211113/
https://fr.le360.ma/societe/le-poste-frontiere-del-guerguerat-rouvert-aux-voyageurs-des-ce-mercredi-10-novembre-249090/</x:v>
      </x:c>
      <x:c r="O520" s="4" t="str">
        <x:v>Source 1: substantive search extract
Source 2: full page
Source 3: full page</x:v>
      </x:c>
      <x:c r="P520" s="20" t="n">
        <x:v>1</x:v>
      </x:c>
      <x:c r="Q520" s="4" t="str">
        <x:v>North Africa</x:v>
      </x:c>
      <x:c r="R520" s="4" t="str">
        <x:v>Included</x:v>
      </x:c>
    </x:row>
    <x:row r="521" ht="138" hidden="0" customHeight="1">
      <x:c r="A521" s="16" t="str">
        <x:v>R4-AWN-004</x:v>
      </x:c>
      <x:c r="B521" s="4" t="str">
        <x:v>Guerguerat Omicron passenger restrictions with repatriation phase</x:v>
      </x:c>
      <x:c r="C521" s="4" t="str">
        <x:v>Morocco; Mauritania; Western Sahara</x:v>
      </x:c>
      <x:c r="D521" s="4" t="str">
        <x:v>Guerguerat / El Guerguerate
Passenger restrictions at the Western Sahara–Mauritania crossing</x:v>
      </x:c>
      <x:c r="E521" s="4" t="str">
        <x:v>Ordinary travellers, including Moroccan and other foreign passengers.
Direction: Initially both directions; later a nationality- and direction-specific repatriation exception.
Exceptions: Goods transport continued; from 8 December Mauritanian nationals could return to Mauritania.</x:v>
      </x:c>
      <x:c r="F521" s="4" t="str">
        <x:v>R4-AWN-004-D1 — Observed operation
Ordinary Guerguerat passenger travel excluding Mauritanian nationals returning to Mauritania
Start: 2021-11-30.
Observed scoped reopening: 2022-04-04.
125 calendar-day difference; scoped endpoint only</x:v>
      </x:c>
      <x:c r="G52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21" s="4" t="str">
        <x:v>R4-AWN-004-D1: December 8 Mauritanian repatriation exception and freight are excluded from this stable scope. Health conditions continued after reopening; intended two-week expiry is not used. Retrospective two-year shorthand is not accepted as continuous closure across earlier openings.</x:v>
      </x:c>
      <x:c r="I521" s="4" t="str">
        <x:v>Retained baseline assessment. Retained with recorded qualifications</x:v>
      </x:c>
      <x:c r="J521" s="18" t="d">
        <x:v>2026-10-23T00:00:00.000Z</x:v>
      </x:c>
      <x:c r="K521" s="21" t="str">
        <x:f>IFERROR(HYPERLINK("https://fr.le360.ma/societe/info360-le-poste-frontiere-del-guerguerat-ferme-aux-voyageurs-250338/","Le360"),"Le360")</x:f>
        <x:v>Le360</x:v>
      </x:c>
      <x:c r="L521" s="21" t="str">
        <x:f>IFERROR(HYPERLINK("https://www.swissinfo.ch/spa/marruecos-cierra-tambi%C3%A9n-el-paso-de-guerguerat-y-su-%C3%BAnica-conexi%C3%B3n-mar%C3%ADtima/47152890","Swissinfo"),"Swissinfo")</x:f>
        <x:v>Swissinfo</x:v>
      </x:c>
      <x:c r="M521" s="21" t="str">
        <x:f>IFERROR(HYPERLINK("https://afrique.le360.ma/maroc-mauritanie/politique/2021/12/08/36306-le-poste-frontiere-del-guerguerat-rouvre-pour-le-rapatriement-des-ressortissants/","Le360 Afrique"),"Le360 Afrique")</x:f>
        <x:v>Le360 Afrique</x:v>
      </x:c>
      <x:c r="N521" s="4" t="str">
        <x:v>https://fr.le360.ma/societe/info360-le-poste-frontiere-del-guerguerat-ferme-aux-voyageurs-250338/
https://www.swissinfo.ch/spa/marruecos-cierra-tambi%C3%A9n-el-paso-de-guerguerat-y-su-%C3%BAnica-conexi%C3%B3n-mar%C3%ADtima/47152890
https://afrique.le360.ma/maroc-mauritanie/politique/2021/12/08/36306-le-poste-frontiere-del-guerguerat-rouvre-pour-le-rapatriement-des-ressortissants/
https://afrique.le360.ma/maroc-mauritanie/politique/2022/04/06/37591-maroc-mauritanie-ouverture-integrale-du-passage-de-guerguerat-mais-lobligation-du-test/
https://cridem.org/C_Info.php?article=755378
https://fr.le360.ma/societe/info360-le-poste-frontiere-del-guerguerat-rouvre-pour-le-rapatriement-des-ressortissants-250893/
https://cridem.org/C_InfoConCat.php?articl=3341&amp;tt_news_cat=16</x:v>
      </x:c>
      <x:c r="O521" s="4" t="str">
        <x:v>Source 1: full page
Source 2: full page
Source 3: full page</x:v>
      </x:c>
      <x:c r="P521" s="20" t="n">
        <x:v>1</x:v>
      </x:c>
      <x:c r="Q521" s="4" t="str">
        <x:v>North Africa</x:v>
      </x:c>
      <x:c r="R521" s="4" t="str">
        <x:v>Included</x:v>
      </x:c>
    </x:row>
    <x:row r="522" ht="162" hidden="0" customHeight="1">
      <x:c r="A522" s="16" t="str">
        <x:v>R4-SC-004</x:v>
      </x:c>
      <x:c r="B522" s="4" t="str">
        <x:v>Parsa/Birgunj border restriction for Bihar Lok Sabha voting, May 2019</x:v>
      </x:c>
      <x:c r="C522" s="4" t="str">
        <x:v>Nepal; India</x:v>
      </x:c>
      <x:c r="D522" s="4" t="str">
        <x:v>Parsa frontier / Birgunj–Raxaul
Parsa district frontier, including Birgunj/Raxaul ordinary crossing</x:v>
      </x:c>
      <x:c r="E522" s="4" t="str">
        <x:v>Ordinary crossing users; petroleum tankers excepted
Direction: General restriction reported bilaterally; fuel exception concerns supply to Nepal
Exceptions: Fuel tankers were expressly permitted as essential supply; wider emergency exceptions not established.</x:v>
      </x:c>
      <x:c r="F522" s="4" t="str">
        <x:v>R4-SC-004-R1 — Announced window
Parsa frontier including Birgunj–Raxaul, ordinary cross-border movement; petroleum tankers exempt
Start: 2019-05-10.
Scheduled endpoint: 2019-05-12.
Ordered window: 2 calendar-day difference; actual end not established</x:v>
      </x:c>
      <x:c r="G522"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Crime and law enforcement
Reported reason
Applies to: Recorded episode; exact overlap not separately established
The recorded rationale and claim assessment support the selected subcategories. All applicable broad categories are retained together; no primary rationale is imposed.</x:v>
      </x:c>
      <x:c r="H522" s="4" t="str">
        <x:v>R4-SC-004-R1: Later schedule says 23:00–23:00 (48h), earlier account says 72h. No hours or completed operational duration inferred.
continuity: May 11 reporting observes Parsa sealing from Friday night and specifies the later 48-hour schedule, while May 9 describes 72 hours and petroleum exemptions. Keep the dates as an ordered interval with no observed Sunday restoration.</x:v>
      </x:c>
      <x:c r="I522" s="4" t="str">
        <x:v>Retained baseline assessment. Correction pass: reviewed; see attribute findings</x:v>
      </x:c>
      <x:c r="J522" s="18" t="d">
        <x:v>2026-10-23T00:00:00.000Z</x:v>
      </x:c>
      <x:c r="K522" s="21" t="str">
        <x:f>IFERROR(HYPERLINK("https://kathmandupost.com/national/2019/05/11/nepal-india-border-sealed-for-48-hours","Kathmandu Post"),"Kathmandu Post")</x:f>
        <x:v>Kathmandu Post</x:v>
      </x:c>
      <x:c r="L522" s="21" t="str">
        <x:f>IFERROR(HYPERLINK("https://english.onlinekhabar.com/india-not-to-obstruct-fuel-supply-to-nepal-during-election-border-closure.html","OnlineKhabar"),"OnlineKhabar")</x:f>
        <x:v>OnlineKhabar</x:v>
      </x:c>
      <x:c r="M522" s="21"/>
      <x:c r="N522" s="4" t="str">
        <x:v>https://kathmandupost.com/national/2019/05/11/nepal-india-border-sealed-for-48-hours
https://english.onlinekhabar.com/india-not-to-obstruct-fuel-supply-to-nepal-during-election-border-closure.html</x:v>
      </x:c>
      <x:c r="O522" s="4" t="str">
        <x:v>Source 1: full
Source 2: indexed excerpt; full</x:v>
      </x:c>
      <x:c r="P522" s="20" t="n">
        <x:v>1</x:v>
      </x:c>
      <x:c r="Q522" s="4" t="str">
        <x:v>South Asia</x:v>
      </x:c>
      <x:c r="R522" s="4" t="str">
        <x:v>Included</x:v>
      </x:c>
    </x:row>
    <x:row r="523" ht="162" hidden="0" customHeight="1">
      <x:c r="A523" s="16" t="str">
        <x:v>R4-SC-005</x:v>
      </x:c>
      <x:c r="B523" s="4" t="str">
        <x:v>Jhulaghat bridge closure for Indian local elections, October 2019</x:v>
      </x:c>
      <x:c r="C523" s="4" t="str">
        <x:v>Nepal; India</x:v>
      </x:c>
      <x:c r="D523" s="4" t="str">
        <x:v>Jhulaghat bridge over the Kali/Mahakali River
Ordinary crossing of the Jhulaghat international suspension bridge</x:v>
      </x:c>
      <x:c r="E523" s="4" t="str">
        <x:v>Ordinary people crossing the bridge; cargo not separately disaggregated
Direction: Both directions
Exceptions: Emergency passage could be agreed by the two administrations.</x:v>
      </x:c>
      <x:c r="F523" s="4" t="str">
        <x:v>R4-SC-005-R1 — Announced window
Jhulaghat suspension bridge / Baitadi frontier election restriction with discretionary emergency passage
Start: 2019-10-03.
Scheduled endpoint: 2019-10-05 to 2019-10-06.
Ordered window: 2–3 calendar-day difference; actual end not established</x:v>
      </x:c>
      <x:c r="G523"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23" s="4" t="str">
        <x:v>Nepali officials scheduled October 3 at 17:00 through October 5 at 17:00, while Indian district reporting gives early October 6. Actual reopening was not observed. The phase therefore preserves scheduled endpoint bounds, with discretionary emergency passage.
R4-SC-005-R1: Nepali officials scheduled October 3 at 17:00 through October 5 at 17:00; Indian district reporting instead gives early October 6. Closure implementation is documented, but actual reopening is not. Emergency passage remained discretionary; later Darchula restrictions are separate.
phase endpoint: Conflicting scheduled dates and no direct resumption report.</x:v>
      </x:c>
      <x:c r="I523" s="4" t="str">
        <x:v>Retained baseline assessment. Amended after source reconciliation</x:v>
      </x:c>
      <x:c r="J523" s="18" t="d">
        <x:v>2026-10-23T00:00:00.000Z</x:v>
      </x:c>
      <x:c r="K523" s="21" t="str">
        <x:f>IFERROR(HYPERLINK("https://english.ratopati.com/story/10760","Ratopati"),"Ratopati")</x:f>
        <x:v>Ratopati</x:v>
      </x:c>
      <x:c r="L523" s="21" t="str">
        <x:f>IFERROR(HYPERLINK("https://english.khabarhub.com/2019/05/47967/","Khabarhub"),"Khabarhub")</x:f>
        <x:v>Khabarhub</x:v>
      </x:c>
      <x:c r="M523" s="21" t="str">
        <x:f>IFERROR(HYPERLINK("https://english.ratopati.com/story/11084/closed","Ratopati / RSS"),"Ratopati / RSS")</x:f>
        <x:v>Ratopati / RSS</x:v>
      </x:c>
      <x:c r="N523" s="4" t="str">
        <x:v>https://english.ratopati.com/story/10760
https://english.khabarhub.com/2019/05/47967/
https://english.ratopati.com/story/11084/closed
https://www.sharesansar.com/newsdetail/nepal-india-border-in-baitadi-darchula-to-be-sealed-off-for-three-days
https://timesofindia.indiatimes.com/city/dehradun/indo-nepal-border-to-be-closed-for-panchayat-polls/amp_articleshow/71399045.cms
https://www.livehindustan.com/uttarakhand/pithoragarh/story-indo-nepal-border-sealed-for-48-hours-in-jhulaghat-2780262.html
https://sports.nagariknews.com/news/transit-point-to-be-closed
https://enewspolar.com/border-transit-points-with-india-to-be-closed-for-48-hours/?cat=25</x:v>
      </x:c>
      <x:c r="O523" s="4" t="str">
        <x:v>Source 1: indexed excerpt; failed
Source 2: indexed excerpt
Source 3: indexed excerpt; failed</x:v>
      </x:c>
      <x:c r="P523" s="20" t="n">
        <x:v>1</x:v>
      </x:c>
      <x:c r="Q523" s="4" t="str">
        <x:v>South Asia</x:v>
      </x:c>
      <x:c r="R523" s="4" t="str">
        <x:v>Included</x:v>
      </x:c>
    </x:row>
    <x:row r="524" ht="114" hidden="0" customHeight="1">
      <x:c r="A524" s="16" t="str">
        <x:v>R4-AES-001</x:v>
      </x:c>
      <x:c r="B524" s="4" t="str">
        <x:v>Oshoek border shut during EFF solidarity protest in July 2021</x:v>
      </x:c>
      <x:c r="C524" s="4" t="str">
        <x:v>South Africa; Eswatini</x:v>
      </x:c>
      <x:c r="D524" s="4" t="str">
        <x:v>Oshoek–Ngwenya
Oshoek land port; no national frontier-wide implementation established</x:v>
      </x:c>
      <x:c r="E524" s="4" t="str">
        <x:v>Port operations; source does not disaggregate passengers and freight.
Direction: Affected directions not separately established.
Exceptions: Not established.</x:v>
      </x:c>
      <x:c r="F524" s="4" t="str">
        <x:v>R4-AES-001-NP1 — Observed operation
Oshoek crossing protest obstruction
Start: unknown.
Last confirmed: 2021-07-09. Reopening is not established.
dated evidence; numeric duration withheld; see qualification</x:v>
      </x:c>
      <x:c r="G524" s="4" t="str">
        <x:v>Power and regime politics / Opposition and political reform
Reported reason
Applies to: Recorded episode; exact overlap not separately established
The recorded rationale and claim assessment support the selected subcategories. All applicable broad categories are retained together; no primary rationale is imposed.</x:v>
      </x:c>
      <x:c r="H524" s="4" t="str">
        <x:v>R4-AES-001-NP1: Single dated observation, not a one-day complete closure or a whole-frontier restriction.
duration: July 9 observation available; find protest clearance or actual passage evidence.
onset: July9 SABC text supports a shutdown observation but not its first hour or complete-day span.</x:v>
      </x:c>
      <x:c r="I524" s="4" t="str">
        <x:v>Retained baseline assessment. Correction pass: reviewed; see attribute findings</x:v>
      </x:c>
      <x:c r="J524" s="18" t="d">
        <x:v>2026-10-23T00:00:00.000Z</x:v>
      </x:c>
      <x:c r="K524" s="21" t="str">
        <x:f>IFERROR(HYPERLINK("https://www.sabcnews.com/sabcnews/call-for-king-mswatis-prosecution-as-eff-members-protest-in-solidarity-with-amaswati/","SABC"),"SABC")</x:f>
        <x:v>SABC</x:v>
      </x:c>
      <x:c r="L524" s="21" t="str">
        <x:f>IFERROR(HYPERLINK("https://eswatiniprotests.org/","Eswatini Protests"),"Eswatini Protests")</x:f>
        <x:v>Eswatini Protests</x:v>
      </x:c>
      <x:c r="M524" s="21" t="str">
        <x:f>IFERROR(HYPERLINK("https://www.news24.com/africa/news/eff-marchers-claim-eswatini-police-fired-on-them-at-border-post-with-sa-20210709","News24"),"News24")</x:f>
        <x:v>News24</x:v>
      </x:c>
      <x:c r="N524" s="4" t="str">
        <x:v>https://www.sabcnews.com/sabcnews/call-for-king-mswatis-prosecution-as-eff-members-protest-in-solidarity-with-amaswati/
https://eswatiniprotests.org/
https://www.news24.com/africa/news/eff-marchers-claim-eswatini-police-fired-on-them-at-border-post-with-sa-20210709
https://www.sowetan.co.za/news/africa/2021-07-01-sa-businesses-in-eswatini-close-shop-as-violent-protests-intensify/
https://www.sabcnews.com/sabcnews/eff-in-mpumalanga-shuts-down-mananga-border-in-solidarity-with-poeple-of-eswatini/</x:v>
      </x:c>
      <x:c r="O524" s="4" t="str">
        <x:v>Source 1: indexed excerpt; failed
Source 2: indexed excerpt
Source 3: Substantive indexed extract; direct page restricted.</x:v>
      </x:c>
      <x:c r="P524" s="20" t="n">
        <x:v>1</x:v>
      </x:c>
      <x:c r="Q524" s="4" t="str">
        <x:v>Southern and Central Africa</x:v>
      </x:c>
      <x:c r="R524" s="4" t="str">
        <x:v>Included</x:v>
      </x:c>
    </x:row>
    <x:row r="525" ht="78" hidden="0" customHeight="1">
      <x:c r="A525" s="16" t="str">
        <x:v>R4-AES-004</x:v>
      </x:c>
      <x:c r="B525" s="4" t="str">
        <x:v>Maseru Bridge obstructions in September 2025 transport-market dispute</x:v>
      </x:c>
      <x:c r="C525" s="4" t="str">
        <x:v>Lesotho; South Africa</x:v>
      </x:c>
      <x:c r="D525" s="4" t="str">
        <x:v>Maseru Bridge
Maseru Bridge passenger transport and pedestrian access, with a temporary wider vehicle obstruction</x:v>
      </x:c>
      <x:c r="E525" s="4" t="str">
        <x:v>Hawkers and other passengers, Lesotho buses/minibuses, and pedestrians in the retaliatory phase.
Direction: Initial restriction targeted Lesotho vehicles entering South Africa; retaliatory obstruction affected bridge access.
Exceptions: No formal exemptions documented; the bridge-wide vehicle blockade was removed by police.</x:v>
      </x:c>
      <x:c r="F525" s="4" t="str">
        <x:v>R4-AES-004-FU1 — Observed operation
Maseru Bridge obstruction affecting Basotho hawkers travelling in Lesotho vehicles
Start: 2025-09-14 to 2025-09-15.
Last confirmed: 2025-09-15. Reopening is not established.
dated evidence; numeric duration withheld; see qualification</x:v>
      </x:c>
      <x:c r="G525"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525" s="4" t="str">
        <x:v>R4-AES-004-FU1: Hawkers described as stranded from Sunday night/midnight, bounded September14–15. This concerns those travellers in Lesotho vehicles, not the first closure of the whole bridge. Later agreements and smooth passage do not identify one continuous spell or its first end.
duration: Fresh indexed evidence supports a September 15 hawker-transport obstruction snapshot; no first reopening or continuous September 14–21 spell is established. Propose dated observation only.</x:v>
      </x:c>
      <x:c r="I525" s="4" t="str">
        <x:v>Retained baseline assessment. Correction pass: amended with stated qualifications</x:v>
      </x:c>
      <x:c r="J525" s="18" t="d">
        <x:v>2026-10-23T00:00:00.000Z</x:v>
      </x:c>
      <x:c r="K525" s="21" t="str">
        <x:f>IFERROR(HYPERLINK("https://www.lena.gov.ls/basotho-hawkers-stranded-as-maseru-border-dispute-drags-on/","Lesotho News Agency"),"Lesotho News Agency")</x:f>
        <x:v>Lesotho News Agency</x:v>
      </x:c>
      <x:c r="L525" s="21" t="str">
        <x:f>IFERROR(HYPERLINK("https://allafrica.com/stories/202509240056.html","Lesotho Times / allAfrica"),"Lesotho Times / allAfrica")</x:f>
        <x:v>Lesotho Times / allAfrica</x:v>
      </x:c>
      <x:c r="M525" s="21" t="str">
        <x:f>IFERROR(HYPERLINK("https://www.lena.gov.ls/cross-border-transportrow-eases-after-temporary-deal/","Lesotho News Agency"),"Lesotho News Agency")</x:f>
        <x:v>Lesotho News Agency</x:v>
      </x:c>
      <x:c r="N525" s="4" t="str">
        <x:v>https://www.lena.gov.ls/basotho-hawkers-stranded-as-maseru-border-dispute-drags-on/
https://allafrica.com/stories/202509240056.html
https://www.lena.gov.ls/cross-border-transportrow-eases-after-temporary-deal/</x:v>
      </x:c>
      <x:c r="O525" s="4" t="str">
        <x:v>Source 1: indexed excerpt
Source 2: indexed excerpt
Source 3: indexed excerpt</x:v>
      </x:c>
      <x:c r="P525" s="20" t="n">
        <x:v>1</x:v>
      </x:c>
      <x:c r="Q525" s="4" t="str">
        <x:v>Southern and Central Africa</x:v>
      </x:c>
      <x:c r="R525" s="4" t="str">
        <x:v>Included</x:v>
      </x:c>
    </x:row>
    <x:row r="526" ht="246" hidden="0" customHeight="1">
      <x:c r="A526" s="16" t="str">
        <x:v>R4-AES-003</x:v>
      </x:c>
      <x:c r="B526" s="4" t="str">
        <x:v>Kasumbalesa trucker obstruction and broader crossing closure in autumn 2022</x:v>
      </x:c>
      <x:c r="C526" s="4" t="str">
        <x:v>Zambia; Democratic Republic of the Congo</x:v>
      </x:c>
      <x:c r="D526" s="4" t="str">
        <x:v>Kasumbalesa
Kasumbalesa crossing, changing from northbound freight disruption to broader trader obstruction</x:v>
      </x:c>
      <x:c r="E526" s="4" t="str">
        <x:v>Northbound heavy vehicles initially; Congolese small traders and wider crossing movements during escalation.
Direction: Varied by phase; both directions operating again in 6 October field accounts.
Exceptions: Southbound traffic reportedly continued during the initial truck refusal; later scope broadened.</x:v>
      </x:c>
      <x:c r="F526" s="4" t="str">
        <x:v>R4-AES-003-D1 — Observed operation
Immediate broader Kasumbalesa blockage affecting small pedestrian traders on October 5
Start: 2022-10-05.
Observed scoped reopening: 2022-10-05 to 2022-10-06.
0–1 calendar-day difference; scoped endpoint only</x:v>
      </x:c>
      <x:c r="G526" s="4" t="str">
        <x:v>Security / Public order and immediate safety
Reported reason
Applies to: Recorded episode; exact overlap not separately established
Drivers demanded safer working routes and officials responded to disorder. Contested reports of killings are not endorsed.
Policy and socioeconomic demands / Jobs, services and livelihoods
Reported reason
Applies to: Recorded episode; exact overlap not separately established
Drivers demanded safer working routes and officials responded to disorder. Contested reports of killings are not endorsed.</x:v>
      </x:c>
      <x:c r="H526" s="4" t="str">
        <x:v>R4-AES-003-D1: Only the immediate broader phase, not the earlier northbound truck refusal or a sustained all-frontier closure. First resumption may precede October 6 confirmation; durable normalisation remained disputed. Alleged killings are not adopted over conflicting official inquiries.</x:v>
      </x:c>
      <x:c r="I526" s="4" t="str">
        <x:v>Retained baseline assessment. Retained with recorded qualifications</x:v>
      </x:c>
      <x:c r="J526" s="18" t="d">
        <x:v>2026-10-23T00:00:00.000Z</x:v>
      </x:c>
      <x:c r="K526" s="21" t="str">
        <x:f>IFERROR(HYPERLINK("https://actualite.cd/2022/10/05/rdc-zambie-les-chauffeurs-zambiens-en-greve-apres-le-deces-de-leur-collegue-sur-le-sol","Actualite.cd"),"Actualite.cd")</x:f>
        <x:v>Actualite.cd</x:v>
      </x:c>
      <x:c r="L526" s="21" t="str">
        <x:f>IFERROR(HYPERLINK("https://actualite.cd/index.php/2022/10/06/rdc-zambie-reprise-du-trafic-la-frontiere-de-kasumbalesa-apres-24h-de-greve-declenchee","Actualite.cd"),"Actualite.cd")</x:f>
        <x:v>Actualite.cd</x:v>
      </x:c>
      <x:c r="M526" s="21" t="str">
        <x:f>IFERROR(HYPERLINK("https://www.theeastafrican.co.ke/tea/news/east-africa/main-dr-congo-zambia-border-crossing-closed-amid-tensions-3975032","The EastAfrican"),"The EastAfrican")</x:f>
        <x:v>The EastAfrican</x:v>
      </x:c>
      <x:c r="N526" s="4" t="str">
        <x:v>https://actualite.cd/2022/10/05/rdc-zambie-les-chauffeurs-zambiens-en-greve-apres-le-deces-de-leur-collegue-sur-le-sol
https://actualite.cd/index.php/2022/10/06/rdc-zambie-reprise-du-trafic-la-frontiere-de-kasumbalesa-apres-24h-de-greve-declenchee
https://www.theeastafrican.co.ke/tea/news/east-africa/main-dr-congo-zambia-border-crossing-closed-amid-tensions-3975032
https://www.radiookapi.net/2022/10/06/actualite/societe/haut-katanga-reprise-du-trafic-la-frontiere-de-kasumbalesa
https://www.freightnews.co.za/article/uneasy-peace-settles-on-copperbelt-border
https://www.adiac-congo.com/content/rdc-zambie-le-poste-frontalier-de-kasumbalesa-rouvert-au-trafic-apres-la-greve-des
https://www.freightnews.co.za/article/drivers-resisting-drc-threat-block-kasumbalesa
https://www.parliament.gov.zm/node/10714
https://indianexpress.com/article/world/zambia-to-reopen-closed-border-with-democratic-republic-of-congo-9510510/lite/
https://www.lusakatimes.com/2022/10/05/zambian-police-officers-and-protesting-truck-drivers-stoned-by-congolese-traders-at-kasumbalesa/
https://www.freightnews.co.za/article/transporters-urged-to-keep-moving-across-zambiadrc-borders?page=1
https://www.adiac-congo.com/node/141850</x:v>
      </x:c>
      <x:c r="O526" s="4" t="str">
        <x:v>Source 1: Full page.
Source 2: Substantive indexed article; direct retrieval timed out.
Source 3: Full page; marked updated 12 October.</x:v>
      </x:c>
      <x:c r="P526" s="20" t="n">
        <x:v>1</x:v>
      </x:c>
      <x:c r="Q526" s="4" t="str">
        <x:v>Southern and Central Africa</x:v>
      </x:c>
      <x:c r="R526" s="4" t="str">
        <x:v>Included</x:v>
      </x:c>
    </x:row>
    <x:row r="527" ht="186" hidden="0" customHeight="1">
      <x:c r="A527" s="16" t="str">
        <x:v>R4-AWN-001</x:v>
      </x:c>
      <x:c r="B527" s="4" t="str">
        <x:v>Guinea-Bissau COVID land-border closure, March 2020</x:v>
      </x:c>
      <x:c r="C527" s="4" t="str">
        <x:v>Guinea-Bissau; Senegal; Guinea</x:v>
      </x:c>
      <x:c r="D527" s="4" t="str">
        <x:v>Mpack–São Domingos implementation documented; other posts not individually verified
National land-border component of a wider land, sea and air closure</x:v>
      </x:c>
      <x:c r="E527" s="4" t="str">
        <x:v>Ordinary travellers and passenger transport; fish vendors were turned back at Mpack.
Direction: National restriction; observed refusals include travel from Senegal into Guinea-Bissau.
Exceptions: Medical evacuations, medicine supplies and essential food imports were excepted; treatment of small traders was uneven.</x:v>
      </x:c>
      <x:c r="F527" s="4" t="str">
        <x:v>R4-AWN-001-D1 — Formal policy
Guinea-Bissau formal land-passenger restriction with humanitarian and essential-import exceptions
Start: 2020-03-18.
Last confirmed: 2020-03-19. Reopening is not established.
Formal policy: confirmed through 2020-03-19; at least 1 calendar-day difference; reopening unknown</x:v>
      </x:c>
      <x:c r="G52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27" s="4" t="str">
        <x:v>R4-AWN-001-D1: Short formal-policy segment confirmed through March 19, not a national first-stoppage hour or reopening. Local implementation lag and uneven trader treatment are retained; later air/general reopening language is not used for land duration.</x:v>
      </x:c>
      <x:c r="I527" s="4" t="str">
        <x:v>Retained baseline assessment. Retained with recorded qualifications</x:v>
      </x:c>
      <x:c r="J527" s="18" t="d">
        <x:v>2026-10-23T00:00:00.000Z</x:v>
      </x:c>
      <x:c r="K527" s="21" t="str">
        <x:f>IFERROR(HYPERLINK("https://www.odemocratagb.com/?p=24002","O Democrata GB"),"O Democrata GB")</x:f>
        <x:v>O Democrata GB</x:v>
      </x:c>
      <x:c r="L527" s="21" t="str">
        <x:f>IFERROR(HYPERLINK("https://www.rtp.pt/noticias/mundo/guine-bissau-fecha-fronteiras-e-cancela-voos-provenientes-de-qualquer-pais_n1212793","RTP"),"RTP")</x:f>
        <x:v>RTP</x:v>
      </x:c>
      <x:c r="M527" s="21" t="str">
        <x:f>IFERROR(HYPERLINK("https://teranganews.sn/2020/03/covid-19-la-guinee-bissau-et-le-senegal-ont-finalement-ferme-leurs-frontieres/","Teranga News"),"Teranga News")</x:f>
        <x:v>Teranga News</x:v>
      </x:c>
      <x:c r="N527" s="4" t="str">
        <x:v>https://www.odemocratagb.com/?p=24002
https://www.rtp.pt/noticias/mundo/guine-bissau-fecha-fronteiras-e-cancela-voos-provenientes-de-qualquer-pais_n1212793
https://teranganews.sn/2020/03/covid-19-la-guinee-bissau-et-le-senegal-ont-finalement-ferme-leurs-frontieres/
https://www.dnoticias.pt/app/2020/3/18/64075-mais-de-150-pessoas-pedem-na-guine-bissau-para-regressar/
https://angnoticias.blogspot.com/2020/03/covid-19_35.html
https://madeira.rtp.pt/sociedade/covid-19-tap-retoma-voos-para-a-guine-bissau-ao-sabado/
https://angnoticias.blogspot.com/2020/11/covid-19-presidente-da-republica.html
https://www.igfm.sn/ui/covid-19-la-guinee-bissau-et-le-senegal-ont-finalement-ferme-leurs-frontieres
https://www.saudemais.tv/noticia/7696-covid-19-fronteira-fechou-entre-guine-bissau-e-senegal-mas-travessia-faz-se-em-sao-domingos
https://bomdia.eu/portugueses-na-guine-tentam-voltar-a-casa/</x:v>
      </x:c>
      <x:c r="O527" s="4" t="str">
        <x:v>Source 1: full page
Source 2: substantive search extract and page body
Source 3: full page</x:v>
      </x:c>
      <x:c r="P527" s="20" t="n">
        <x:v>1</x:v>
      </x:c>
      <x:c r="Q527" s="4" t="str">
        <x:v>West Africa and Sahel</x:v>
      </x:c>
      <x:c r="R527" s="4" t="str">
        <x:v>Included</x:v>
      </x:c>
    </x:row>
    <x:row r="528" ht="234" hidden="0" customHeight="1">
      <x:c r="A528" s="16" t="str">
        <x:v>R4-AWN-002</x:v>
      </x:c>
      <x:c r="B528" s="4" t="str">
        <x:v>Sierra Leone COVID land-border closure and initial return window</x:v>
      </x:c>
      <x:c r="C528" s="4" t="str">
        <x:v>Sierra Leone; Guinea; Liberia</x:v>
      </x:c>
      <x:c r="D528" s="4" t="str">
        <x:v>Individual posts not exhaustively verified
National land borders with Guinea and Liberia</x:v>
      </x:c>
      <x:c r="E528" s="4" t="str">
        <x:v>Ordinary cross-border movement and passenger travel.
Direction: Land movement across both neighbouring frontiers; return window prevents an immediate absolute two-way interpretation.
Exceptions: Essential commodities; temporary return window for people on the other side.</x:v>
      </x:c>
      <x:c r="F528" s="4" t="str">
        <x:v>R4-AWN-002-D1 — Formal policy
Sierra Leone's initial formal land-border restriction, with essential commodities and temporary return window excepted
Start: 2020-03-27 to 2020-03-28.
Last confirmed: 2020-04-01. Reopening is not established.
Formal policy: confirmed through 2020-04-01; at least 4 calendar-day difference; reopening unknown</x:v>
      </x:c>
      <x:c r="G52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28" s="4" t="str">
        <x:v>R4-AWN-002-D1: Formal restriction only, not absolute passage denial; one-day onset bounds preserve midnight ambiguity. April 1 is last confirmed date in this selected segment, not reopening. Later July/September narratives remain unresolved; original official URL changed and indexed/contemporary replacement evidence is distinguished.</x:v>
      </x:c>
      <x:c r="I528" s="4" t="str">
        <x:v>Targeted source review (REC50-R16); completed with unresolved evidence; evidence limits retained.</x:v>
      </x:c>
      <x:c r="J528" s="18" t="d">
        <x:v>2026-10-25T00:00:00.000Z</x:v>
      </x:c>
      <x:c r="K528" s="21" t="str">
        <x:f>IFERROR(HYPERLINK("https://statehouse.gov.sl/sierra-leones-president-julius-maada-bio-announces-closure-of-land-borders/","Sierra Leone State House"),"Sierra Leone State House")</x:f>
        <x:v>Sierra Leone State House</x:v>
      </x:c>
      <x:c r="L528" s="21" t="str">
        <x:f>IFERROR(HYPERLINK("https://awokonewspapersl.com/mru-borders-close-today/","awokonewspapersl.com"),"awokonewspapersl.com")</x:f>
        <x:v>awokonewspapersl.com</x:v>
      </x:c>
      <x:c r="M528" s="21" t="str">
        <x:f>IFERROR(HYPERLINK("https://childfundalliance.org/wp-content/uploads/2022/03/2020-04-01-SierraLeone-covid19-SitRep-1.pdf","childfundalliance.org"),"childfundalliance.org")</x:f>
        <x:v>childfundalliance.org</x:v>
      </x:c>
      <x:c r="N528" s="4" t="str">
        <x:v>https://statehouse.gov.sl/sierra-leones-president-julius-maada-bio-announces-closure-of-land-borders/
https://awokonewspapersl.com/mru-borders-close-today/
https://childfundalliance.org/wp-content/uploads/2022/03/2020-04-01-SierraLeone-covid19-SitRep-1.pdf
https://www.thesierraleonetelegraph.com/president-bio-closes-sierra-leones-land-borders-with-guinea-and-liberia/comment-page-1/
https://dtm.iom.int/sites/g/files/tmzbdl1461/files/reports/Sierra%20Leone_Cross%20Border%20Mobility_COVID-19_Survey%20Report%2006122022_FINAL_0.pdf
https://carl.org.sl/wp-content/uploads/2021/08/SIERRA-LEONE%E2%80%99S-RESPONSE-TO-COVID19-IMPLICATIONS-FOR-HUMAN-RIGHTS-LIVELIHOOD-AND-GOVERNANCE-Design.pdf
https://dtm.iom.int/reports/sierra-leone-points-entry-cross-border-mobility-and-disease-surveillance-focus-kailahun
https://dtm.iom.int/reports/sierra-leone-socio-economic-impacts-covid-19-pandemic-travellers-migrants-and-cross-border
https://www.cambridge.org/core/journals/journal-of-biosocial-science/article/ebola-in-the-rearview-mirror-how-epidemic-pasts-shaped-sierra-leones-preparedness-and-response-to-covid19/613119717A7DD55F8238DF5F57AED6DA
https://www.xinhuanet.com/english/2020-03/29/c_138926626.htm</x:v>
      </x:c>
      <x:c r="O528" s="4" t="str">
        <x:v>Source 1: Round 5 original URL returns unrelated content; substantive official archive extract and contemporary report recovered
Source 2: indexed excerpt
Source 3: full</x:v>
      </x:c>
      <x:c r="P528" s="20" t="n">
        <x:v>1</x:v>
      </x:c>
      <x:c r="Q528" s="4" t="str">
        <x:v>West Africa and Sahel</x:v>
      </x:c>
      <x:c r="R528" s="4" t="str">
        <x:v>Included</x:v>
      </x:c>
    </x:row>
    <x:row r="529" ht="114" hidden="0" customHeight="1">
      <x:c r="A529" s="16" t="str">
        <x:v>R4-AWN-005</x:v>
      </x:c>
      <x:c r="B529" s="4" t="str">
        <x:v>Mauritania restrictions on entry from Mali during April 2024 border tensions</x:v>
      </x:c>
      <x:c r="C529" s="4" t="str">
        <x:v>Mauritania; Mali</x:v>
      </x:c>
      <x:c r="D529" s="4" t="str">
        <x:v>Koki Zamal named in the early report; later EFE report covers entry from Mali more broadly
Selective entry restrictions and reported transit interruption; not a verified total bilateral closure</x:v>
      </x:c>
      <x:c r="E529" s="4" t="str">
        <x:v>Malian entrants without accepted authorisation; buses and trucks were affected at Koki Zamal in the early account.
Direction: Best-supported direction is Mali into Mauritania; complete outbound closure is not established.
Exceptions: EFE reports entry for Malian residents or holders of written authorisation; an earlier account says some permit holders were nevertheless refused.</x:v>
      </x:c>
      <x:c r="F529" s="4" t="str">
        <x:v>R4-AWN-005-R1 — Observed operation
Mauritanian entry restrictions on Malians without accepted residence/authorization; Koki Zamal specifically corroborated
Start: 2024-04-01 to 2024-04-17.
Last confirmed: 2024-04-25. Reopening is not established.
confirmed through 2024-04-25; at least 8 calendar-day difference; reopening unknown</x:v>
      </x:c>
      <x:c r="G529"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529" s="4" t="str">
        <x:v>R4-AWN-005-R1: Not total closure; permit practice may have evolved. Outbound protest blockade is separate. Last confirmation April 25 is not reopening.</x:v>
      </x:c>
      <x:c r="I529" s="4" t="str">
        <x:v>Full-record source audit (REC50-R30); retained with recorded qualifications; evidence limits retained.</x:v>
      </x:c>
      <x:c r="J529" s="18" t="d">
        <x:v>2026-10-25T00:00:00.000Z</x:v>
      </x:c>
      <x:c r="K529" s="21" t="str">
        <x:f>IFERROR(HYPERLINK("https://cridem.org/C_Info.php?article=774078","CRIDEM / Senalioune"),"CRIDEM / Senalioune")</x:f>
        <x:v>CRIDEM / Senalioune</x:v>
      </x:c>
      <x:c r="L529" s="21" t="str">
        <x:f>IFERROR(HYPERLINK("https://www.swissinfo.ch/spa/la-frontera-entre-mauritania-y-mali,-casi-cerrada-por-incidentes-violentos-recurrentes/76422649","Swissinfo"),"Swissinfo")</x:f>
        <x:v>Swissinfo</x:v>
      </x:c>
      <x:c r="M529" s="21" t="str">
        <x:f>IFERROR(HYPERLINK("https://www.cridem.org/imprimable.php?article=774253","CRIDEM / Senalioune"),"CRIDEM / Senalioune")</x:f>
        <x:v>CRIDEM / Senalioune</x:v>
      </x:c>
      <x:c r="N529" s="4" t="str">
        <x:v>https://cridem.org/C_Info.php?article=774078
https://www.swissinfo.ch/spa/la-frontera-entre-mauritania-y-mali,-casi-cerrada-por-incidentes-violentos-recurrentes/76422649
https://www.cridem.org/imprimable.php?article=774253
https://www.swissinfo.ch/spa/la-frontera-entre-mauritania-y-mali%2C-casi-cerrada-por-incidentes-violentos-recurrentes/76422649
https://ami.mr/fr/archives/245360
https://tefassil.mr/ar/node/1591
https://www.cridem.orgwww.cridem.org/C_Info.php?article=774078</x:v>
      </x:c>
      <x:c r="O529" s="4" t="str">
        <x:v>Source 1: indexed excerpt; full; full text
Source 2: full
Source 3: indexed excerpt; full; full text</x:v>
      </x:c>
      <x:c r="P529" s="20" t="n">
        <x:v>1</x:v>
      </x:c>
      <x:c r="Q529" s="4" t="str">
        <x:v>West Africa and Sahel</x:v>
      </x:c>
      <x:c r="R529" s="4" t="str">
        <x:v>Included</x:v>
      </x:c>
    </x:row>
    <x:row r="530" ht="174" hidden="0" customHeight="1">
      <x:c r="A530" s="16" t="str">
        <x:v>R5-AM-002</x:v>
      </x:c>
      <x:c r="B530" s="4" t="str">
        <x:v>Peñas Blancas trucker blockade over shortened transit permission, April–May 2020</x:v>
      </x:c>
      <x:c r="C530" s="4" t="str">
        <x:v>Costa Rica; Nicaragua</x:v>
      </x:c>
      <x:c r="D530" s="4" t="str">
        <x:v>Peñas Blancas
Truck passage at Peñas Blancas international crossing</x:v>
      </x:c>
      <x:c r="E530" s="4" t="str">
        <x:v>Cross-border freight trucks, including perishable and urgent goods.
Direction: Truck entry and exit at the Costa Rican crossing obstructed.
Exceptions: Passenger and pedestrian access not established by these sources.</x:v>
      </x:c>
      <x:c r="F530" s="4" t="str">
        <x:v>R5-AM-002-D1 — Observed operation
Truck passage at Peñas Blancas international crossing; Cross-border freight trucks, including perishable and urgent goods.; Truck entry and exit at the Costa Rican crossing obstructed.
Start: 2020-04-30.
Observed scoped reopening: 2020-05-01.
1 calendar-day difference; scoped endpoint only</x:v>
      </x:c>
      <x:c r="G530" s="4" t="str">
        <x:v>Trade and protectionism / Trade and transport protests
Reported reason
Applies to: Recorded episode; exact overlap not separately established
The blockade opposed a commercial stay limit imposed during the pandemic. It is coded as a transport protest, not infection control.</x:v>
      </x:c>
      <x:c r="H530" s="4" t="str">
        <x:v>R5-AM-002-D1: The onset is morning April 30, without exact hour. Police reported normal entry and exit after removal around 05:00 on May 1. The record concerns freight, not a universal passenger closure. Passenger and pedestrian access not established by these sources.</x:v>
      </x:c>
      <x:c r="I530" s="4" t="str">
        <x:v>Targeted source review (REC50-R19); retained with recorded qualifications; evidence limits retained.</x:v>
      </x:c>
      <x:c r="J530" s="18" t="d">
        <x:v>2026-10-25T00:00:00.000Z</x:v>
      </x:c>
      <x:c r="K530" s="21" t="str">
        <x:f>IFERROR(HYPERLINK("https://www.nacion.com/economia/negocios/transportistas-extranjeros-cierran-paso-en-penas/O56T3DLZOZDQZHCCNJ3NUIZMPQ/story/","La Nación"),"La Nación")</x:f>
        <x:v>La Nación</x:v>
      </x:c>
      <x:c r="L530" s="21" t="str">
        <x:f>IFERROR(HYPERLINK("https://www.teletica.com/amp/sucesos/policia-levanta-bloqueo-de-transportistas-en-penas-blancas_256017","Teletica"),"Teletica")</x:f>
        <x:v>Teletica</x:v>
      </x:c>
      <x:c r="M530" s="21" t="str">
        <x:f>IFERROR(HYPERLINK("https://presidencia.gobiernocarlosalvarado.cr/comunicados/2020/03/cinco-cuerpos-policiales-aumentan-vigilancia-en-puestos-y-puntos-ciegos-en-frontera-con-nicaragua/","presidencia.gobiernocarlosalvarado.cr"),"presidencia.gobiernocarlosalvarado.cr")</x:f>
        <x:v>presidencia.gobiernocarlosalvarado.cr</x:v>
      </x:c>
      <x:c r="N530" s="4" t="str">
        <x:v>https://www.nacion.com/economia/negocios/transportistas-extranjeros-cierran-paso-en-penas/O56T3DLZOZDQZHCCNJ3NUIZMPQ/story/
https://www.teletica.com/amp/sucesos/policia-levanta-bloqueo-de-transportistas-en-penas-blancas_256017
https://presidencia.gobiernocarlosalvarado.cr/comunicados/2020/03/cinco-cuerpos-policiales-aumentan-vigilancia-en-puestos-y-puntos-ciegos-en-frontera-con-nicaragua/
https://presidencia.gobiernocarlosalvarado.cr/comunicados/2020/04/instalada-base-aerea-alterna-en-las-tablillas-para-vigilancia-permanente-en-frontera-norte/
https://www.crhoy.com/nacionales/nicaragua-restringe-paso-de-extranjeros-en-frontera-con-costa-rica/
https://www.nacion.com/economia/politica-economica/gobierno-de-nicaragua-cierra-transito-de/4JLEPB67ZNDBJHQUI5DWZJ2DCI/story/
https://www.teletica.com/noticias/transportistas-levantan-bloqueo-en-penas-blancas-tras-15-dias-de-cierre_258333</x:v>
      </x:c>
      <x:c r="O530" s="4" t="str">
        <x:v>Source 1: partial metadata
Source 2: full text
Source 3: access detail is retained in the source catalogue.</x:v>
      </x:c>
      <x:c r="P530" s="20" t="n">
        <x:v>1</x:v>
      </x:c>
      <x:c r="Q530" s="4" t="str">
        <x:v>Americas</x:v>
      </x:c>
      <x:c r="R530" s="4" t="str">
        <x:v>Included</x:v>
      </x:c>
    </x:row>
    <x:row r="531" ht="210" hidden="0" customHeight="1">
      <x:c r="A531" s="16" t="str">
        <x:v>R5-AM-001</x:v>
      </x:c>
      <x:c r="B531" s="4" t="str">
        <x:v>Bonfim traders’ interrupted freight blockade over access to Lethem, September 2021</x:v>
      </x:c>
      <x:c r="C531" s="4" t="str">
        <x:v>Brazil; Guyana</x:v>
      </x:c>
      <x:c r="D531" s="4" t="str">
        <x:v>Bonfim–Lethem / Takutu River Bridge
Brazilian approach and fiscal-post gate near the Takutu/Tacutu bridge; obstruction of supply trucks bound for Lethem</x:v>
      </x:c>
      <x:c r="E531" s="4" t="str">
        <x:v>Goods trucks travelling from Brazil to Lethem, including essential supplies.
Direction: Brazil to Guyana freight movement obstructed.
Exceptions: Goods could reach Lethem by alternative routes. No claim that all border movement stopped.</x:v>
      </x:c>
      <x:c r="F531" s="4" t="str">
        <x:v>R5-AM-001-D1 — Observed operation
Initial six-hour Brazil-to-Guyana supply-truck blockade near the Takutu bridge on September 9
Start: 2021-09-09.
Observed scoped reopening: 2021-09-09.
Same-day episode; no whole-day duration inferred; Initial protest reported as six hours; not the duration of the later resumed blockade.</x:v>
      </x:c>
      <x:c r="G531" s="4" t="str">
        <x:v>Trade and protectionism / Trade and transport protests
Reported reason
Applies to: Recorded episode; exact overlap not separately established
Equal access to work and trade and opposition to pandemic travel rules are explicit overlapping grievances.
Policy and socioeconomic demands / Opposition to health policies
Reported reason
Applies to: Recorded episode; exact overlap not separately established
Equal access to work and trade and opposition to pandemic travel rules are explicit overlapping grievances.
Policy and socioeconomic demands / Jobs, services and livelihoods
Reported reason
Applies to: Recorded episode; exact overlap not separately established
Equal access to work and trade and opposition to pandemic travel rules are explicit overlapping grievances.</x:v>
      </x:c>
      <x:c r="H531" s="4" t="str">
        <x:v>R5-AM-001-D1: Only the first completed sub-day spell is admitted. The resumed blockade's final removal date remains unresolved; October 1 personal-travel easing is not its freight endpoint. Alternative supply routes remained available.</x:v>
      </x:c>
      <x:c r="I531" s="4" t="str">
        <x:v>Retained baseline assessment. Retained with recorded qualifications</x:v>
      </x:c>
      <x:c r="J531" s="18" t="d">
        <x:v>2026-10-23T00:00:00.000Z</x:v>
      </x:c>
      <x:c r="K531" s="21" t="str">
        <x:f>IFERROR(HYPERLINK("https://kaieteurnewsonline.com/2021/09/17/brazilians-protest-unfair-practice-at-lethem-crossing/","Kaieteur News"),"Kaieteur News")</x:f>
        <x:v>Kaieteur News</x:v>
      </x:c>
      <x:c r="L531" s="21" t="str">
        <x:f>IFERROR(HYPERLINK("https://roraima1.com.br/fechamento-entre-brasil-e-guiana-causa-prejuizo-aos-moradores-da-fronteira/","Roraima 1"),"Roraima 1")</x:f>
        <x:v>Roraima 1</x:v>
      </x:c>
      <x:c r="M531" s="21" t="str">
        <x:f>IFERROR(HYPERLINK("https://www.stabroeknews.com/2021/09/27/news/guyana/bonfim-blockade-continuing-but-lethem-being-supplied-by-road-river/","Stabroek News"),"Stabroek News")</x:f>
        <x:v>Stabroek News</x:v>
      </x:c>
      <x:c r="N531" s="4" t="str">
        <x:v>https://kaieteurnewsonline.com/2021/09/17/brazilians-protest-unfair-practice-at-lethem-crossing/
https://roraima1.com.br/fechamento-entre-brasil-e-guiana-causa-prejuizo-aos-moradores-da-fronteira/
https://www.stabroeknews.com/2021/09/27/news/guyana/bonfim-blockade-continuing-but-lethem-being-supplied-by-road-river/
https://newsroom.gy/2021/09/29/pm-vaccinated-covid-negative-persons-can-use-guyana-brazil-crossing-on-thursdays-only/
https://www.stabroeknews.com/2021/10/02/news/guyana/bonfim-protest-ends-as-travel-restriction-to-lethem-eased/
https://www.stabroeknews.com/2021/09/17/news/guyana/essential-supplies-to-lethem-blocked-at-bon-fim/</x:v>
      </x:c>
      <x:c r="O531" s="4" t="str">
        <x:v>Source 1: article body retrieved
Source 2: article body retrieved
Source 3: article body retrieved</x:v>
      </x:c>
      <x:c r="P531" s="20" t="n">
        <x:v>1</x:v>
      </x:c>
      <x:c r="Q531" s="4" t="str">
        <x:v>Americas</x:v>
      </x:c>
      <x:c r="R531" s="4" t="str">
        <x:v>Included</x:v>
      </x:c>
    </x:row>
    <x:row r="532" ht="78" hidden="0" customHeight="1">
      <x:c r="A532" s="16" t="str">
        <x:v>R5-AM-003</x:v>
      </x:c>
      <x:c r="B532" s="4" t="str">
        <x:v>Santa Rosa–Chacalluta renewed migrant road blockade, June 22, 2023</x:v>
      </x:c>
      <x:c r="C532" s="4" t="str">
        <x:v>Chile; Peru</x:v>
      </x:c>
      <x:c r="D532" s="4" t="str">
        <x:v>Santa Rosa–Chacalluta / Línea de la Concordia
Road between Chacalluta and Santa Rosa at the international boundary, on the Chilean side</x:v>
      </x:c>
      <x:c r="E532" s="4" t="str">
        <x:v>Vehicles on the international road, notably shared taxis; Emol identifies Peru-bound lanes.
Direction: Peru-bound lanes expressly identified; broader vehicle queue also reported.
Exceptions: No verified whole-frontier ban; the separate denial of admission to undocumented protesters continued after traffic resumed.</x:v>
      </x:c>
      <x:c r="F532" s="4" t="str">
        <x:v>R5-AM-003-D1 — Observed operation
Santa Rosa episode on 22 June 2023.
Start: 2023-06-22.
Observed scoped reopening: 2023-06-22.
Same-day episode; no whole-day duration inferred</x:v>
      </x:c>
      <x:c r="G532" s="4" t="str">
        <x:v>Migration / Admission and document disputes
Reported reason
Applies to: Recorded episode; exact overlap not separately established
The recorded rationale and claim assessment support the selected subcategories. All applicable broad categories are retained together; no primary rationale is imposed.</x:v>
      </x:c>
      <x:c r="H532" s="4" t="str">
        <x:v>R5-AM-003-D1: Shown as an episode occurring on this date, not a whole-day closure. Radio Uno reports a short action of almost twenty minutes; Emol independently confirms the date and reopened road but not that duration. Clock times are reported differently on the two sides and are not harmonized here.</x:v>
      </x:c>
      <x:c r="I532" s="4" t="str">
        <x:v>Retained baseline assessment. Retained with recorded qualifications</x:v>
      </x:c>
      <x:c r="J532" s="18" t="d">
        <x:v>2026-10-23T00:00:00.000Z</x:v>
      </x:c>
      <x:c r="K532" s="21" t="str">
        <x:f>IFERROR(HYPERLINK("https://radiouno.pe/noticias/175298/migrantes-repiten-bloqueo-frontera-peru-y-chile/","Radio Uno"),"Radio Uno")</x:f>
        <x:v>Radio Uno</x:v>
      </x:c>
      <x:c r="L532" s="21" t="str">
        <x:f>IFERROR(HYPERLINK("https://www.emol.com/noticias/Nacional/2023/06/23/1098941/migrantes-vuelven-bloquear-carretera-internacional.html","Emol"),"Emol")</x:f>
        <x:v>Emol</x:v>
      </x:c>
      <x:c r="M532" s="21"/>
      <x:c r="N532" s="4" t="str">
        <x:v>https://radiouno.pe/noticias/175298/migrantes-repiten-bloqueo-frontera-peru-y-chile/
https://www.emol.com/noticias/Nacional/2023/06/23/1098941/migrantes-vuelven-bloquear-carretera-internacional.html</x:v>
      </x:c>
      <x:c r="O532" s="4" t="str">
        <x:v>Source 1: article body retrieved
Source 2: substantive article summary retrieved; linked full print report not accessed</x:v>
      </x:c>
      <x:c r="P532" s="20" t="n">
        <x:v>1</x:v>
      </x:c>
      <x:c r="Q532" s="4" t="str">
        <x:v>Americas</x:v>
      </x:c>
      <x:c r="R532" s="4" t="str">
        <x:v>Included</x:v>
      </x:c>
    </x:row>
    <x:row r="533" ht="102" hidden="0" customHeight="1">
      <x:c r="A533" s="16" t="str">
        <x:v>R5-AM-004</x:v>
      </x:c>
      <x:c r="B533" s="4" t="str">
        <x:v>Santa Rosa–Chacalluta intermittent transporters’ blockade demanding longer opening hours, November 2023</x:v>
      </x:c>
      <x:c r="C533" s="4" t="str">
        <x:v>Peru; Chile</x:v>
      </x:c>
      <x:c r="D533" s="4" t="str">
        <x:v>Santa Rosa–Chacalluta
Vehicle access near Santa Rosa on the Tacna–Arica international road</x:v>
      </x:c>
      <x:c r="E533" s="4" t="str">
        <x:v>Cross-border motor vehicles and passengers using collective taxis and buses.
Direction: Vehicle entry and exit at the crossing affected.
Exceptions: Intermittent vehicle passage and people walking past the obstruction are explicitly reported.</x:v>
      </x:c>
      <x:c r="F533" s="4" t="str">
        <x:v>R5-AM-004-D1 — Observed operation
Reported morning vehicle-access obstruction at Santa Rosa, ending at Andina's midday clearance milestone
Start: 2023-11-29.
Observed scoped reopening: 2023-11-29.
Same-day episode; no whole-day duration inferred</x:v>
      </x:c>
      <x:c r="G533"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533" s="4" t="str">
        <x:v>R5-AM-004-D1: Intermittent passage and pedestrians continued. Later-published present-tense obstruction may reflect observation-time mismatch or recurrence; final uninterrupted reopening is not established. This marks a reported completed same-day segment, not a full day or exact eight-hour duration.</x:v>
      </x:c>
      <x:c r="I533" s="4" t="str">
        <x:v>Retained baseline assessment. Retained with recorded qualifications</x:v>
      </x:c>
      <x:c r="J533" s="18" t="d">
        <x:v>2026-10-23T00:00:00.000Z</x:v>
      </x:c>
      <x:c r="K533" s="21" t="str">
        <x:f>IFERROR(HYPERLINK("https://andina.pe/agencia/noticia-tacna-transportistas-piden-restablecer-atencion-sin-interrupciones-frontera-chile-964794.aspx","Agencia Andina"),"Agencia Andina")</x:f>
        <x:v>Agencia Andina</x:v>
      </x:c>
      <x:c r="L533" s="21" t="str">
        <x:f>IFERROR(HYPERLINK("https://www.cooperativa.cl/noticias/pais/region-de-arica/transportistas-bloquearon-ruta-que-une-a-arica-con-tacna/2023-11-29/114419.html","Cooperativa"),"Cooperativa")</x:f>
        <x:v>Cooperativa</x:v>
      </x:c>
      <x:c r="M533" s="21" t="str">
        <x:f>IFERROR(HYPERLINK("https://larepublica.pe/sociedad/2023/11/29/frontera-peruchile-bloqueada-por-paro-de-transportistas-en-tacna-que-exigen-lrsd-1850374","La República"),"La República")</x:f>
        <x:v>La República</x:v>
      </x:c>
      <x:c r="N533" s="4" t="str">
        <x:v>https://andina.pe/agencia/noticia-tacna-transportistas-piden-restablecer-atencion-sin-interrupciones-frontera-chile-964794.aspx
https://www.cooperativa.cl/noticias/pais/region-de-arica/transportistas-bloquearon-ruta-que-une-a-arica-con-tacna/2023-11-29/114419.html
https://larepublica.pe/sociedad/2023/11/29/frontera-peruchile-bloqueada-por-paro-de-transportistas-en-tacna-que-exigen-lrsd-1850374
https://www.elmostrador.cl/noticias/pais/2023/11/29/conductores-de-tacna-bloquean-paso-fronterizo-con-chile-demandan-su-apertura-las-24-horas-del-dia/</x:v>
      </x:c>
      <x:c r="O533" s="4" t="str">
        <x:v>Source 1: article body retrieved
Source 2: article body retrieved
Source 3: article body retrieved</x:v>
      </x:c>
      <x:c r="P533" s="20" t="n">
        <x:v>1</x:v>
      </x:c>
      <x:c r="Q533" s="4" t="str">
        <x:v>Americas</x:v>
      </x:c>
      <x:c r="R533" s="4" t="str">
        <x:v>Included</x:v>
      </x:c>
    </x:row>
    <x:row r="534" ht="126" hidden="0" customHeight="1">
      <x:c r="A534" s="16" t="str">
        <x:v>R5-AM-005</x:v>
      </x:c>
      <x:c r="B534" s="4" t="str">
        <x:v>Venezuela-side Pacaraima–Santa Elena crossing closure after US attack, January 3, 2026</x:v>
      </x:c>
      <x:c r="C534" s="4" t="str">
        <x:v>Venezuela; Brazil</x:v>
      </x:c>
      <x:c r="D534" s="4" t="str">
        <x:v>Pacaraima–Santa Elena de Uairén
Venezuelan side of the Pacaraima–Santa Elena de Uairén land crossing</x:v>
      </x:c>
      <x:c r="E534" s="4" t="str">
        <x:v>Ordinary cross-border travellers and vehicles at this crossing.
Direction: Venezuelan-side control affected both directions; phased Brazil-bound tourist returns.
Exceptions: Brazilian tourists were permitted to return before full normalization, according to Folhapress. Uniform denial to all people or goods is not asserted.</x:v>
      </x:c>
      <x:c r="F534" s="4" t="str">
        <x:v>R5-AM-005-D1 — Observed operation
Pacaraima episode on 3 January 2026; staged return permissions precede the reported same-day general reopening.
Start: 2026-01-03.
Observed scoped reopening: 2026-01-03.
Same-day episode; no whole-day duration inferred</x:v>
      </x:c>
      <x:c r="G534" s="4" t="str">
        <x:v>Security / Armed conflict and military confrontation
Analytical interpretation of reported context
Applies to: Recorded episode; exact overlap not separately established
Security is a contextual classification of the reported US attack. No original Venezuelan closure order is claimed to have been recovered.</x:v>
      </x:c>
      <x:c r="H534" s="4" t="str">
        <x:v>R5-AM-005-D1: Shown as an episode occurring on this date, not a whole-day closure. Reports differ on the number of hours and reopening times. Return permissions preceded general restoration. The record supports same-day bounds, not a single all-persons interval or an exact hour duration.</x:v>
      </x:c>
      <x:c r="I534" s="4" t="str">
        <x:v>Retained baseline assessment. Retained with recorded qualifications</x:v>
      </x:c>
      <x:c r="J534" s="18" t="d">
        <x:v>2026-10-23T00:00:00.000Z</x:v>
      </x:c>
      <x:c r="K534" s="21" t="str">
        <x:f>IFERROR(HYPERLINK("https://noticias.uol.com.br/ultimas-noticias/reuters/2026/01/03/venezuela-fecha-fronteiras-com-brasil-apos-ataque-dos-eua-diz-diretor-geral-da-pf.htm","UOL / Reuters"),"UOL / Reuters")</x:f>
        <x:v>UOL / Reuters</x:v>
      </x:c>
      <x:c r="L534" s="21" t="str">
        <x:f>IFERROR(HYPERLINK("https://www.folhabv.com.br/internacional/fronteira-entre-venezuela-e-brasil-amanhece-fechada-apos-eua-anunciar-captura-de-maduro/","Folha BV"),"Folha BV")</x:f>
        <x:v>Folha BV</x:v>
      </x:c>
      <x:c r="M534" s="21" t="str">
        <x:f>IFERROR(HYPERLINK("https://www.folhabv.com.br/internacional/fronteira-entre-brasil-e-venezuela-e-reaberta-2/","Folha BV"),"Folha BV")</x:f>
        <x:v>Folha BV</x:v>
      </x:c>
      <x:c r="N534" s="4" t="str">
        <x:v>https://noticias.uol.com.br/ultimas-noticias/reuters/2026/01/03/venezuela-fecha-fronteiras-com-brasil-apos-ataque-dos-eua-diz-diretor-geral-da-pf.htm
https://www.folhabv.com.br/internacional/fronteira-entre-venezuela-e-brasil-amanhece-fechada-apos-eua-anunciar-captura-de-maduro/
https://www.folhabv.com.br/internacional/fronteira-entre-brasil-e-venezuela-e-reaberta-2/
https://www.acessa.com/mundo/2026/01/303098-fronteira-do-brasil-com-venezuela-esta-aberta-nos-dois-sentidos.html
https://noticias.uol.com.br/internacional/ultimas-noticias/2026/01/04/fronteira-brasil-venezuela.htm
https://www1.folha.uol.com.br/mundo/2026/01/fronteira-do-brasil-com-venezuela-esta-aberta-nos-dois-sentidos.shtml</x:v>
      </x:c>
      <x:c r="O534" s="4" t="str">
        <x:v>Source 1: article body retrieved
Source 2: article body retrieved
Source 3: article body retrieved</x:v>
      </x:c>
      <x:c r="P534" s="20" t="n">
        <x:v>1</x:v>
      </x:c>
      <x:c r="Q534" s="4" t="str">
        <x:v>Americas</x:v>
      </x:c>
      <x:c r="R534" s="4" t="str">
        <x:v>Included</x:v>
      </x:c>
    </x:row>
    <x:row r="535" ht="258" hidden="0" customHeight="1">
      <x:c r="A535" s="16" t="str">
        <x:v>R5-AM-006</x:v>
      </x:c>
      <x:c r="B535" s="4" t="str">
        <x:v>Rumichaca phased commercial protest blockade against tariff dispute, March 2026</x:v>
      </x:c>
      <x:c r="C535" s="4" t="str">
        <x:v>Colombia; Ecuador</x:v>
      </x:c>
      <x:c r="D535" s="4" t="str">
        <x:v>Rumichaca
Rumichaca bridge and its road approaches; passenger and freight vehicles principally obstructed</x:v>
      </x:c>
      <x:c r="E535" s="4" t="str">
        <x:v>Freight trucks, ordinary cars and passenger vehicles on the bridge route.
Direction: Vehicle movement between Colombia and Ecuador obstructed.
Exceptions: Pedestrians and motorcycles could cross during at least the March 11 phase; pedestrian travel also documented March 18.</x:v>
      </x:c>
      <x:c r="F535" s="4" t="str">
        <x:v>R5-AM-006-R1 — Intermittent regime
Rumichaca border corridor commercial protest vehicle restrictions, initially Colombian side
Start: 2026-03-09.
Scoped endpoint: 2026-03-27.
Intermittent regime envelope; total closed days unknown</x:v>
      </x:c>
      <x:c r="G535" s="4" t="str">
        <x:v>Trade and protectionism / Trade and transport protests
Reported reason
Applies to: Commercial protest regime; exact overlap varies
Commercial actors explicitly demanded removal of reciprocal tariffs.
Policy and socioeconomic demands / Jobs, services and livelihoods
Reported reason
Applies to: March 11 protest reported March 12; not automatically every spell
EFE quotes transport leader Édison Mena demanding a guaranteed right to work amid threatened border employment.</x:v>
      </x:c>
      <x:c r="H535" s="4" t="str">
        <x:v>R5-AM-006-R1: Intermittent regime envelope only; March 27 gradual resumption began at 07:00. Exact total closed hours/days and intermediate exemptions remain unknown; pedestrians/motorcycles crossed during documented phases.</x:v>
      </x:c>
      <x:c r="I535" s="4" t="str">
        <x:v>Retained baseline assessment. Amended after source reconciliation</x:v>
      </x:c>
      <x:c r="J535" s="18" t="d">
        <x:v>2026-10-23T00:00:00.000Z</x:v>
      </x:c>
      <x:c r="K535" s="21" t="str">
        <x:f>IFERROR(HYPERLINK("https://www.ecuavisa.com/economia/ecuador-colombia-frontera-rumichaca-cierre-transportistas--20260309-0077.html","Ecuavisa"),"Ecuavisa")</x:f>
        <x:v>Ecuavisa</x:v>
      </x:c>
      <x:c r="L535" s="21" t="str">
        <x:f>IFERROR(HYPERLINK("https://www.teleamazonas.com/actualidad/noticias/ecuador/abre-puente-rumichaca-ecuador-colombia-protestas-113118/","Teleamazonas"),"Teleamazonas")</x:f>
        <x:v>Teleamazonas</x:v>
      </x:c>
      <x:c r="M535" s="21" t="str">
        <x:f>IFERROR(HYPERLINK("https://www.primicias.ec/economia/gremios-levantan-paro-protesta-rumichaca-carchi-frontera-ecuador-colombia-guerra-comercial-aranceles-119106/","Primicias"),"Primicias")</x:f>
        <x:v>Primicias</x:v>
      </x:c>
      <x:c r="N535" s="4" t="str">
        <x:v>https://www.ecuavisa.com/economia/ecuador-colombia-frontera-rumichaca-cierre-transportistas--20260309-0077.html
https://www.teleamazonas.com/actualidad/noticias/ecuador/abre-puente-rumichaca-ecuador-colombia-protestas-113118/
https://www.primicias.ec/economia/gremios-levantan-paro-protesta-rumichaca-carchi-frontera-ecuador-colombia-guerra-comercial-aranceles-119106/
https://www.lahora.com.ec/imbaburacarchi/segundo-dia-de-protestas-en-rumichaca-mantiene-bloqueos-intermitentes-20260310-0029.html
https://forbes.co/economia-y-finanzas/comerciantes-y-transportadores-bloquean-paso-fronterizo-con-ecuador-por-guerra-de-aranceles
https://www.primicias.ec/economia/frontera-bloqueada-colombia-asfixia-carchi-agencias-aduanas-guerra-comercial-ecuador-118643/
https://efe.com/mundo/2026-03-27/frontera-ecuador-colombia-abierta/
https://portal.migracioncolombia.gov.co/detalle-noticia/agenda-migcol/comunicaciones-y-prensa/asi-sera-el-cierre-temporal-de-fronteras-por-elecciones-legislativas-del-8-de-marzo
https://www.lahora.com.ec/imbaburacarchi/bloquean-puente-de-rumichaca-por-guerra-arancelaria-entre-ecuador-y-colombia-20260309-0025.html
https://www.noticiasrcn.com/colombia/comite-gremial-amenaza-con-mantener-el-paro-en-la-frontera-con-narino-si-no-hay-dialogo-entre-los-gobiernos-de-ecuador-y-colombia-1001748
https://www.lahora.com.ec/imbaburacarchi/rumichaca-tras-19-dias-se-levanta-el-paro-sin-resolver-crisis-y-disputa-arancelaria-entre-ecuador-y-colombia-20260327-0009.html</x:v>
      </x:c>
      <x:c r="O535" s="4" t="str">
        <x:v>Source 1: full
Source 2: full
Source 3: indexed excerpt</x:v>
      </x:c>
      <x:c r="P535" s="20" t="n">
        <x:v>1</x:v>
      </x:c>
      <x:c r="Q535" s="4" t="str">
        <x:v>Americas</x:v>
      </x:c>
      <x:c r="R535" s="4" t="str">
        <x:v>Included</x:v>
      </x:c>
    </x:row>
    <x:row r="536" ht="162" hidden="0" customHeight="1">
      <x:c r="A536" s="16" t="str">
        <x:v>R5-EA-001</x:v>
      </x:c>
      <x:c r="B536" s="4" t="str">
        <x:v>Myawaddy BGF river checkpoint shut during vehicle-smuggling crackdown</x:v>
      </x:c>
      <x:c r="C536" s="4" t="str">
        <x:v>Myanmar; Thailand</x:v>
      </x:c>
      <x:c r="D536" s="4" t="str">
        <x:v>Unnamed BGF river checkpoint
One unnamed BGF crossing on the Moei River near Myawaddy–Mae Sot.</x:v>
      </x:c>
      <x:c r="E536" s="4" t="str">
        <x:v>Access to this informal car-trading crossing.
Direction: Crossing access; usual vehicle flow Thailand to Myanmar.
Exceptions: Not established.</x:v>
      </x:c>
      <x:c r="F536" s="4" t="str">
        <x:v>R5-EA-001-FU1 — Observed operation
One unnamed BGF Moei River crossing near Myawaddy–Mae Sot
Start: unknown.
Last confirmed: 2018-03-26. Reopening is not established.
dated evidence; numeric duration withheld; see qualification</x:v>
      </x:c>
      <x:c r="G536" s="4" t="str">
        <x:v>Security / Smuggling and illicit trafficking
Reported reason
Applies to: Recorded episode; exact overlap not separately established
The recorded rationale and claim assessment support the selected subcategories. All applicable broad categories are retained together; no primary rationale is imposed.</x:v>
      </x:c>
      <x:c r="H536" s="4" t="str">
        <x:v>R5-EA-001-FU1: Date of observation only; unnamed gate cannot be matched to later numbered-gate reopenings. March 25 meeting is not substituted for first enforcement.
duration: March 26 direct refusal supports a scoped observation. It does not identify the gate or prove start on the preceding meeting day, nor resolve reopening.
onset: Irrawaddy's reporter was refused access by BGF soldiers March 26, 2018; local sources attribute closure to army action against vehicle smuggling. The unnamed river gate and observation date are supported, but onset and matching to later numbered gates are unknown.
continuity: Irrawaddy's reporter was refused access by BGF soldiers March 26, 2018; local sources attribute closure to army action against vehicle smuggling. The unnamed river gate and observation date are supported, but onset and matching to later numbered gates are unknown.</x:v>
      </x:c>
      <x:c r="I536" s="4" t="str">
        <x:v>Retained baseline assessment. Correction pass: reviewed; see attribute findings</x:v>
      </x:c>
      <x:c r="J536" s="18" t="d">
        <x:v>2026-10-23T00:00:00.000Z</x:v>
      </x:c>
      <x:c r="K536" s="21" t="str">
        <x:f>IFERROR(HYPERLINK("https://www.irrawaddy.com/news/burma/army-shutters-myawaddy-checkpoint-clampdown-auto-smuggling.html","The Irrawaddy"),"The Irrawaddy")</x:f>
        <x:v>The Irrawaddy</x:v>
      </x:c>
      <x:c r="L536" s="21" t="str">
        <x:f>IFERROR(HYPERLINK("https://www.xcept-research.org/publication/junta-trade-policies-spark-a-smuggling-revival-at-thai-border/","XCEPT / Frontier Myanmar"),"XCEPT / Frontier Myanmar")</x:f>
        <x:v>XCEPT / Frontier Myanmar</x:v>
      </x:c>
      <x:c r="M536" s="21"/>
      <x:c r="N536" s="4" t="str">
        <x:v>https://www.irrawaddy.com/news/burma/army-shutters-myawaddy-checkpoint-clampdown-auto-smuggling.html
https://www.xcept-research.org/publication/junta-trade-policies-spark-a-smuggling-revival-at-thai-border/</x:v>
      </x:c>
      <x:c r="O536" s="4" t="str">
        <x:v>Source 1: indexed excerpt; full
Source 2: full relevant article text</x:v>
      </x:c>
      <x:c r="P536" s="20" t="n">
        <x:v>1</x:v>
      </x:c>
      <x:c r="Q536" s="4" t="str">
        <x:v>East and Southeast Asia and Oceania</x:v>
      </x:c>
      <x:c r="R536" s="4" t="str">
        <x:v>Included</x:v>
      </x:c>
    </x:row>
    <x:row r="537" ht="126" hidden="0" customHeight="1">
      <x:c r="A537" s="16" t="str">
        <x:v>R5-EA-004</x:v>
      </x:c>
      <x:c r="B537" s="4" t="str">
        <x:v>Burgastai–Laoemyao pandemic suspension of road freight, 2021–2022</x:v>
      </x:c>
      <x:c r="C537" s="4" t="str">
        <x:v>Mongolia; China</x:v>
      </x:c>
      <x:c r="D537" s="4" t="str">
        <x:v>Burgastai–Laoemyao (Laoyemiao)
Burgastai–Laoemyao road port.</x:v>
      </x:c>
      <x:c r="E537" s="4" t="str">
        <x:v>Road freight, particularly mineral-product transport.
Direction: Cross-border freight; mineral exports from Mongolia emphasized.
Exceptions: Passenger restoration is not established.</x:v>
      </x:c>
      <x:c r="F537" s="4" t="str">
        <x:v>R5-EA-004-R1 — Observed operation
Burgastai–Laoemyao road freight clearance, with mineral cargo specifically documented
Start: 2021-01-01.
Observed scoped reopening: 2022-04-28.
482 calendar-day difference; scoped endpoint only</x:v>
      </x:c>
      <x:c r="G53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37" s="4" t="str">
        <x:v>R5-EA-004-R1: Year-round administrative status from April 2021 and prospective 2021 holiday operation are retained contrary wording, not observed cargo movements. Continuity remains qualified; no daily traffic logs retrieved.</x:v>
      </x:c>
      <x:c r="I537" s="4" t="str">
        <x:v>Retained baseline assessment. Retained with recorded qualifications</x:v>
      </x:c>
      <x:c r="J537" s="18" t="d">
        <x:v>2026-10-23T00:00:00.000Z</x:v>
      </x:c>
      <x:c r="K537" s="21" t="str">
        <x:f>IFERROR(HYPERLINK("https://www.ubchamber.mn/a/318","Ulaanbaatar Chamber / Mongolian ministry account"),"Ulaanbaatar Chamber / Mongolian ministry account")</x:f>
        <x:v>Ulaanbaatar Chamber / Mongolian ministry account</x:v>
      </x:c>
      <x:c r="L537" s="21" t="str">
        <x:f>IFERROR(HYPERLINK("https://www.mnb.mn/i/263221","MNB"),"MNB")</x:f>
        <x:v>MNB</x:v>
      </x:c>
      <x:c r="M537" s="21" t="str">
        <x:f>IFERROR(HYPERLINK("https://m.cnhubei.com/content/2022-04/28/content_14704525.html","cnhubei"),"cnhubei")</x:f>
        <x:v>cnhubei</x:v>
      </x:c>
      <x:c r="N537" s="4" t="str">
        <x:v>https://www.ubchamber.mn/a/318
https://www.mnb.mn/i/263221
https://m.cnhubei.com/content/2022-04/28/content_14704525.html
https://www.sohu.com/a/490250843_120545367
https://www.xjblk.gov.cn/xjblk/c119741/202207/ec780763c0cb41679f8abe9aacefbb64.shtml
https://www.hami.gov.cn/hami/c119981/202404/42610550edc64ee48c5aaa90e0586fea.shtml
https://montsame.mn/mn/read/295823
https://xjdrc.xinjiang.gov.cn/xjfgw/c112381/202304/e1d490f460e943c193a75bbf0437f115.shtml
https://ubn.mn/p/20525
https://ubinfo.mn/uploads/3849fd28-2466-4f36-a388-878a9106e74b.pdf</x:v>
      </x:c>
      <x:c r="O537" s="4" t="str">
        <x:v>Source 1: full
Source 2: indexed excerpt; failed
Source 3: indexed excerpt; failed</x:v>
      </x:c>
      <x:c r="P537" s="20" t="n">
        <x:v>1</x:v>
      </x:c>
      <x:c r="Q537" s="4" t="str">
        <x:v>East and Southeast Asia and Oceania</x:v>
      </x:c>
      <x:c r="R537" s="4" t="str">
        <x:v>Included</x:v>
      </x:c>
    </x:row>
    <x:row r="538" ht="162" hidden="0" customHeight="1">
      <x:c r="A538" s="16" t="str">
        <x:v>R5-EA-002</x:v>
      </x:c>
      <x:c r="B538" s="4" t="str">
        <x:v>Mae Sot–Myawaddy Bridge I restricts entry during March 2023 fighting</x:v>
      </x:c>
      <x:c r="C538" s="4" t="str">
        <x:v>Thailand; Myanmar</x:v>
      </x:c>
      <x:c r="D538" s="4" t="str">
        <x:v>Thai–Myanmar Friendship Bridge I
Thai–Myanmar Friendship Bridge I, Ban Rim Moei.</x:v>
      </x:c>
      <x:c r="E538" s="4" t="str">
        <x:v>Thai and other foreign visitors entering Myanmar through Bridge I.
Direction: Thailand to Myanmar for the stated visitor category.
Exceptions: Myanmar shoppers already in Thailand could return; this was not a ban on every person in both directions.</x:v>
      </x:c>
      <x:c r="F538" s="4" t="str">
        <x:v>R5-EA-002-D1 — Formal policy
Bridge I restriction on Thai/foreign visitor trips from Thailand into Myanmar
Start: 2023-03-25.
Policy endpoint: 2023-03-26.
Formal policy: 1 calendar-day difference; operational continuity not established</x:v>
      </x:c>
      <x:c r="G538"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38" s="4" t="str">
        <x:v>R5-EA-002-D1: Permission/availability endpoint only: tourists declined to use it that day, so no first visitor passage is established. Myanmar returnees were excepted. Later March 28 narrative overlaps the same incident and is not treated as a new closure; Bridge II cargo and inland roads are separate.</x:v>
      </x:c>
      <x:c r="I538" s="4" t="str">
        <x:v>Retained baseline assessment. Retained with recorded qualifications</x:v>
      </x:c>
      <x:c r="J538" s="18" t="d">
        <x:v>2026-10-23T00:00:00.000Z</x:v>
      </x:c>
      <x:c r="K538" s="21" t="str">
        <x:f>IFERROR(HYPERLINK("https://www.nationthailand.com/thailand/general/40026031","The Nation"),"The Nation")</x:f>
        <x:v>The Nation</x:v>
      </x:c>
      <x:c r="L538" s="21" t="str">
        <x:f>IFERROR(HYPERLINK("https://www.nationthailand.com/thailand/general/40026050","The Nation"),"The Nation")</x:f>
        <x:v>The Nation</x:v>
      </x:c>
      <x:c r="M538" s="21" t="str">
        <x:f>IFERROR(HYPERLINK("https://www.pptvhd36.com/news/สังคม/193221","PPTV HD36"),"PPTV HD36")</x:f>
        <x:v>PPTV HD36</x:v>
      </x:c>
      <x:c r="N538" s="4" t="str">
        <x:v>https://www.nationthailand.com/thailand/general/40026031
https://www.nationthailand.com/thailand/general/40026050
https://www.pptvhd36.com/news/สังคม/193221
https://www.thansettakij.com/business/trade-agriculture/560283
https://elevenmyanmar.com/news/no-1-friendship-bridge-reopens-after-fighting-ceased-in-myawady-trade-zone-and-thingannyinaung</x:v>
      </x:c>
      <x:c r="O538" s="4" t="str">
        <x:v>Source 1: full text
Source 2: full text
Source 3: full text</x:v>
      </x:c>
      <x:c r="P538" s="20" t="n">
        <x:v>1</x:v>
      </x:c>
      <x:c r="Q538" s="4" t="str">
        <x:v>East and Southeast Asia and Oceania</x:v>
      </x:c>
      <x:c r="R538" s="4" t="str">
        <x:v>Included</x:v>
      </x:c>
    </x:row>
    <x:row r="539" ht="186" hidden="0" customHeight="1">
      <x:c r="A539" s="16" t="str">
        <x:v>R5-EA-003</x:v>
      </x:c>
      <x:c r="B539" s="4" t="str">
        <x:v>Chinshwehaw commercial post closure until March 2024 reopening permission; trade routes remained blocked</x:v>
      </x:c>
      <x:c r="C539" s="4" t="str">
        <x:v>Myanmar; China</x:v>
      </x:c>
      <x:c r="D539" s="4" t="str">
        <x:v>Chinshwehaw–Qingshuihe
Chinshwehaw border trade post opposite China.</x:v>
      </x:c>
      <x:c r="E539" s="4" t="str">
        <x:v>Commercial goods handled by the Chinshwehaw post.
Direction: Cross-border commercial trade; direction-specific completeness unproved.
Exceptions: Passenger, humanitarian and informal movement not established.</x:v>
      </x:c>
      <x:c r="F539" s="4" t="str">
        <x:v>R5-EA-003-D1 — Formal policy
Availability of Chinshwehaw commercial border-post services; endpoint is restored permission and post operation, not observed goods flow
Start: 2023-10-01 to 2023-10-31.
Policy endpoint: 2024-03-11.
Formal policy: 132–162 calendar-day difference; operational continuity not established</x:v>
      </x:c>
      <x:c r="G539"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539" s="4" t="str">
        <x:v>March 11 reopening concerns the post's availability and office operations. Contemporary March 15 merchant reporting says trade still did not flow because of the Lashio route blockade. Exact first cargo resumption is unverified; October gate-onset bounds remain.
R5-EA-003-D1: October onset bounds retained. SHAN residents and MNDAA confirm post reopened March 11; Irrawaddy March 15 reports no trade from either side because of a separate junta road blockade near Lashio. This measures post availability only; no cargo-flow restoration or entire-corridor opening is established.
actual cargo resumption: Post opening March 11 and continued absence of trade March 15 are different claims. No first shipment date is established.
continuity: SHAN reports Chinshwehaw gate reopened March 11, 2024, while Irrawaddy says no trade flowed because the regime blocked inland roads. The current policy-availability endpoint is defensible; interpreting it as operational trade restoration would be contradicted.</x:v>
      </x:c>
      <x:c r="I539" s="4" t="str">
        <x:v>Targeted source review (REC50-R09); retained with recorded qualifications; evidence limits retained.</x:v>
      </x:c>
      <x:c r="J539" s="18" t="d">
        <x:v>2026-10-25T00:00:00.000Z</x:v>
      </x:c>
      <x:c r="K539" s="21" t="str">
        <x:f>IFERROR(HYPERLINK("https://www.taipeitimes.com/News/world/archives/2023/11/12/2003809065","Taipei Times"),"Taipei Times")</x:f>
        <x:v>Taipei Times</x:v>
      </x:c>
      <x:c r="L539" s="21" t="str">
        <x:f>IFERROR(HYPERLINK("https://www.rfa.org/english/news/myanmar/trade-12152023123932.html","Radio Free Asia"),"Radio Free Asia")</x:f>
        <x:v>Radio Free Asia</x:v>
      </x:c>
      <x:c r="M539" s="21" t="str">
        <x:f>IFERROR(HYPERLINK("https://english.shannews.org/archives/26983","SHAN"),"SHAN")</x:f>
        <x:v>SHAN</x:v>
      </x:c>
      <x:c r="N539" s="4" t="str">
        <x:v>https://www.taipeitimes.com/News/world/archives/2023/11/12/2003809065
https://www.rfa.org/english/news/myanmar/trade-12152023123932.html
https://english.shannews.org/archives/26983
https://www.irrawaddy.com/business/myanmar-junta-blocks-flow-of-exports-to-checkpoint-on-china-border.html
https://www.bnionline.net/en/news/kokang-armed-group-mndaa-orders-closure-lashio-chinshwehaw-muse-block-junta-troop-movements
https://eng.mizzima.com/2023/11/12/4649
https://eng.mizzima.com/2023/10/31/4333</x:v>
      </x:c>
      <x:c r="O539" s="4" t="str">
        <x:v>Source 1: full text
Source 2: full text
Source 3: full text</x:v>
      </x:c>
      <x:c r="P539" s="20" t="n">
        <x:v>1</x:v>
      </x:c>
      <x:c r="Q539" s="4" t="str">
        <x:v>East and Southeast Asia and Oceania</x:v>
      </x:c>
      <x:c r="R539" s="4" t="str">
        <x:v>Included</x:v>
      </x:c>
    </x:row>
    <x:row r="540" ht="78" hidden="0" customHeight="1">
      <x:c r="A540" s="16" t="str">
        <x:v>R5-EA-005</x:v>
      </x:c>
      <x:c r="B540" s="4" t="str">
        <x:v>Indonesia orders emergency-only crossing services at three PNG frontier posts for regional elections</x:v>
      </x:c>
      <x:c r="C540" s="4" t="str">
        <x:v>Indonesia; Papua New Guinea</x:v>
      </x:c>
      <x:c r="D540" s="4" t="str">
        <x:v>Skouw; Sota; Yetetkun
Indonesian PLBN Skouw, Sota and Yetetkun services.</x:v>
      </x:c>
      <x:c r="E540" s="4" t="str">
        <x:v>Ordinary cross-border service users under the announced emergency-only schedule.
Direction: Inbound and outbound service remit; implementation by direction unobserved.
Exceptions: Illness, accidents, remains repatriation and other emergencies, 08:00–16:00 WIT.</x:v>
      </x:c>
      <x:c r="F540" s="4" t="str">
        <x:v>R5-EA-005-R1 — Announced window
Skouw, Sota and Yetetkun: ordinary crossing service excluded during the scheduled 08:00–16:00 WIT service day; emergency crossings allowed
Start: 2024-11-27.
Scheduled endpoint: 2024-11-27.
Ordered window: Same-day episode; no whole-day duration inferred</x:v>
      </x:c>
      <x:c r="G540"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x:v>
      </x:c>
      <x:c r="H540" s="4" t="str">
        <x:v>R5-EA-005-R1: Scheduled 08:00–16:00 WIT November 27, an eight-hour restriction on non-emergency service. Ending date is partial-day window end, not actual reopening at 16:00 or November 28. Execution and subsequent ordinary service unknown.</x:v>
      </x:c>
      <x:c r="I540" s="4" t="str">
        <x:v>Retained baseline assessment. Retained with recorded qualifications</x:v>
      </x:c>
      <x:c r="J540" s="18" t="d">
        <x:v>2026-10-23T00:00:00.000Z</x:v>
      </x:c>
      <x:c r="K540" s="21" t="str">
        <x:f>IFERROR(HYPERLINK("https://www.askara.co/read/2024/11/27/51369/hari-pencoblos-27-november-2024an-pilkada-plbn-tetap-laksanakan-pelayanan-perlintasan","Askara / BNPP"),"Askara / BNPP")</x:f>
        <x:v>Askara / BNPP</x:v>
      </x:c>
      <x:c r="L540" s="21" t="str">
        <x:f>IFERROR(HYPERLINK("https://bnpp.go.id/berita/hari-pencoblosan-pilkada-plbn-tetap-laksanakan-pelayanan-perlintasan","BNPP"),"BNPP")</x:f>
        <x:v>BNPP</x:v>
      </x:c>
      <x:c r="M540" s="21"/>
      <x:c r="N540" s="4" t="str">
        <x:v>https://www.askara.co/read/2024/11/27/51369/hari-pencoblos-27-november-2024an-pilkada-plbn-tetap-laksanakan-pelayanan-perlintasan
https://bnpp.go.id/berita/hari-pencoblosan-pilkada-plbn-tetap-laksanakan-pelayanan-perlintasan</x:v>
      </x:c>
      <x:c r="O540" s="4" t="str">
        <x:v>Source 1: full
Source 2: indexed text; direct open failed</x:v>
      </x:c>
      <x:c r="P540" s="20" t="n">
        <x:v>1</x:v>
      </x:c>
      <x:c r="Q540" s="4" t="str">
        <x:v>East and Southeast Asia and Oceania</x:v>
      </x:c>
      <x:c r="R540" s="4" t="str">
        <x:v>Included</x:v>
      </x:c>
    </x:row>
    <x:row r="541" ht="126" hidden="0" customHeight="1">
      <x:c r="A541" s="16" t="str">
        <x:v>R5-EU-003</x:v>
      </x:c>
      <x:c r="B541" s="4" t="str">
        <x:v>Kosovo closes land admission to foreign travellers in the first pandemic wave</x:v>
      </x:c>
      <x:c r="C541" s="4" t="str">
        <x:v>Kosovo (disputed status); Serbia; Albania; Montenegro; North Macedonia</x:v>
      </x:c>
      <x:c r="D541" s="4" t="str">
        <x:v>Reopening scope: Merdare, Vërmicë, Kullë, Hani i Elezit, Jarinje and Dheu i Bardhë
Land entry prohibition; includes Kosovo–Serbia disputed-status boundary</x:v>
      </x:c>
      <x:c r="E541" s="4" t="str">
        <x:v>Foreign travellers entering Kosovo
Direction: Into Kosovo
Exceptions: Kosovo citizens could return subject initially to 14-day isolation. June monitoring records international freight permission; uninterrupted freight access from March is not established. At easing, recent PCR or seven-day isolation applied.</x:v>
      </x:c>
      <x:c r="F541" s="4" t="str">
        <x:v>R5-EU-003-D1 — Formal policy
Kosovo non-exempt foreign land-entry prohibition at the six posts covered by the June reopening decision
Start: 2020-03-14.
Policy endpoint: 2020-06-01.
Formal policy: 79 calendar-day difference; operational continuity not established</x:v>
      </x:c>
      <x:c r="G54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41" s="4" t="str">
        <x:v>R5-EU-003-D1: Formal partial opening, not first vehicles or every post's continuous enforcement. Citizens could return; PCR/isolation conditions remained. Original header/body dates and monitoring's stale contrary sentence are disclosed; uninterrupted March freight access is not inferred.</x:v>
      </x:c>
      <x:c r="I541" s="4" t="str">
        <x:v>Retained baseline assessment. Retained with recorded qualifications</x:v>
      </x:c>
      <x:c r="J541" s="18" t="d">
        <x:v>2026-10-23T00:00:00.000Z</x:v>
      </x:c>
      <x:c r="K541" s="21" t="str">
        <x:f>IFERROR(HYPERLINK("https://kryeministri.rks-gov.net/en/news/aprovohen-masat-shtese-nga-qeveria-e-kosoves-pas-konfirmimit-te-rasteve-pozitive-me-corona-virus-covid-19/","Kosovo Prime Minister’s Office"),"Kosovo Prime Minister’s Office")</x:f>
        <x:v>Kosovo Prime Minister’s Office</x:v>
      </x:c>
      <x:c r="L541" s="21" t="str">
        <x:f>IFERROR(HYPERLINK("https://www.koha.net/en/arberi/edhe-zyrtarisht-nga-ora-6-e-mengjesit-jane-mbyllur-kufijte-tokesore-ne-kosove","KOHA"),"KOHA")</x:f>
        <x:v>KOHA</x:v>
      </x:c>
      <x:c r="M541" s="21" t="str">
        <x:f>IFERROR(HYPERLINK("https://kryeministri.rks-gov.net/news/qeveria-mbajti-mbledhjen-e-38-te/","Kosovo Prime Minister’s Office"),"Kosovo Prime Minister’s Office")</x:f>
        <x:v>Kosovo Prime Minister’s Office</x:v>
      </x:c>
      <x:c r="N541" s="4" t="str">
        <x:v>https://kryeministri.rks-gov.net/en/news/aprovohen-masat-shtese-nga-qeveria-e-kosoves-pas-konfirmimit-te-rasteve-pozitive-me-corona-virus-covid-19/
https://www.koha.net/en/arberi/edhe-zyrtarisht-nga-ora-6-e-mengjesit-jane-mbyllur-kufijte-tokesore-ne-kosove
https://kryeministri.rks-gov.net/news/qeveria-mbajti-mbledhjen-e-38-te/
https://www.transport-community.org/wp-content/uploads/2020/06/draft-Monitoring-report-2.6..pdf
https://www.kosovo-online.com/vesti/drustvo/otvoren-prelaz-prema-albaniji-pojacan-saobracaj-1-6-2020
https://www.koha.net/en/arberi/kaos-e-radhe-kilometrike-ne-diten-e-pare-te-rihapjes-se-kufirit-kosove-shqiperi</x:v>
      </x:c>
      <x:c r="O541" s="4" t="str">
        <x:v>Source 1: full relevant page; header/body date mismatch
Source 2: substantive indexed article text; direct page unavailable
Source 3: full relevant decision text</x:v>
      </x:c>
      <x:c r="P541" s="20" t="n">
        <x:v>1</x:v>
      </x:c>
      <x:c r="Q541" s="4" t="str">
        <x:v>Europe</x:v>
      </x:c>
      <x:c r="R541" s="4" t="str">
        <x:v>Included</x:v>
      </x:c>
    </x:row>
    <x:row r="542" ht="186" hidden="0" customHeight="1">
      <x:c r="A542" s="16" t="str">
        <x:v>R5-EU-004</x:v>
      </x:c>
      <x:c r="B542" s="4" t="str">
        <x:v>Greece restricts passenger admission from Albania and North Macedonia during the pandemic</x:v>
      </x:c>
      <x:c r="C542" s="4" t="str">
        <x:v>Greece; Albania; North Macedonia</x:v>
      </x:c>
      <x:c r="D542" s="4" t="str">
        <x:v>Albania and North Macedonia frontiers; endpoint covers Evzoni–Bogorodica only
Inward road and rail admission at Albania and North Macedonia frontiers; other modes in the order excluded from this record</x:v>
      </x:c>
      <x:c r="E542" s="4" t="str">
        <x:v>Non-exempt passengers arriving from Albania and North Macedonia
Direction: Into Greece
Exceptions: Greek citizens, qualifying residence/main domicile and, for Albania, ethnic-Greek identity-card holders; freight trucks. Later essential work/medical and other category exceptions.</x:v>
      </x:c>
      <x:c r="F542" s="4" t="str">
        <x:v>R5-EU-004-D1 — Formal policy
Ordinary non-exempt passenger-entry restriction into Greece through Evzoni from North Macedonia
Start: 2020-03-15.
Policy endpoint: 2021-05-14.
Formal policy: 425 calendar-day difference; operational continuity not established</x:v>
      </x:c>
      <x:c r="G54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42" s="4" t="str">
        <x:v>R5-EU-004-D1: Policy-level continuity, not complete intermediate instrument or daily enforcement reconstruction. Greek/resident/essential exceptions remained; only Evzoni is covered, not Niki/Doirani or Albanian posts. May restoration is conditional and no named first traveller is observed.</x:v>
      </x:c>
      <x:c r="I542" s="4" t="str">
        <x:v>Full-record source audit (REC50-R10); retained with recorded qualifications; evidence limits retained.</x:v>
      </x:c>
      <x:c r="J542" s="18" t="d">
        <x:v>2026-10-25T00:00:00.000Z</x:v>
      </x:c>
      <x:c r="K542" s="21" t="str">
        <x:f>IFERROR(HYPERLINK("https://www.ynanp.gr/media/documents/%CE%A6%CE%B5%CE%BA_860%CE%92.pdf","Greek Government Gazette"),"Greek Government Gazette")</x:f>
        <x:v>Greek Government Gazette</x:v>
      </x:c>
      <x:c r="L542" s="21" t="str">
        <x:f>IFERROR(HYPERLINK("https://media.gov.gr/enimerosi-ton-politikon-syntakton-kai-ton-antapokriton-ksenou-typou-2-7-2020/","Greek Government Secretariat of Communication"),"Greek Government Secretariat of Communication")</x:f>
        <x:v>Greek Government Secretariat of Communication</x:v>
      </x:c>
      <x:c r="M542" s="21" t="str">
        <x:f>IFERROR(HYPERLINK("https://services.naftemporiki.gr/story/1726286/boreia-makedonia-anoiksan-ta-sunora-me-ellada","Naftemporiki / AMNA"),"Naftemporiki / AMNA")</x:f>
        <x:v>Naftemporiki / AMNA</x:v>
      </x:c>
      <x:c r="N542" s="4" t="str">
        <x:v>https://www.ynanp.gr/media/documents/%CE%A6%CE%B5%CE%BA_860%CE%92.pdf
https://media.gov.gr/enimerosi-ton-politikon-syntakton-kai-ton-antapokriton-ksenou-typou-2-7-2020/
https://www.ynanp.gr/media/documents/2021/05/14/%CE%92_1969_14.05.2021_%CE%98%CE%B1%CE%BB%CE%AC%CF%83%CF%83%CE%B9%CE%B5%CF%82_%CE%A3%CF%85%CE%BD%CE%B4%CE%AD%CF%83%CE%B5%CE%B9%CF%82__%CE%A0%CF%81%CE%BF%CF%8B%CF%80%CE%BF%CE%B8%CE%AD%CF%83%CE%B5%CE%B9%CF%82_%CE%95%CE%B9%CF%83%CF%8C%CE%B4%CE%BF%CF%85_%CF%83%CF%84%CE%B7_%CF%87%CF%8E%CF%81%CE%B1_2.pdf
https://services.naftemporiki.gr/story/1726286/boreia-makedonia-anoiksan-ta-sunora-me-ellada
https://www.ekathimerini.com/news/250665/further-restrictions-to-travel-cruise-ships-banned/
https://www.carina.mk/index.php/sq/2016-08-15-20-09-55/2016-08-15-15-05-6/2921-izvestuvanje-za-sostojba-na-gp-bogorodica-evzoni-2
https://www.ertnews.gr/eidiseis/diethni/voreia-makedonia-apo-simera-oi-polites-tis-choras-mporoyn-na-taxideyoyn-stin-ellada/</x:v>
      </x:c>
      <x:c r="O542" s="4" t="str">
        <x:v>Source 1: full text
Source 2: full text
Source 3: full text</x:v>
      </x:c>
      <x:c r="P542" s="20" t="n">
        <x:v>1</x:v>
      </x:c>
      <x:c r="Q542" s="4" t="str">
        <x:v>Europe</x:v>
      </x:c>
      <x:c r="R542" s="4" t="str">
        <x:v>Included</x:v>
      </x:c>
    </x:row>
    <x:row r="543" ht="150" hidden="0" customHeight="1">
      <x:c r="A543" s="16" t="str">
        <x:v>R5-EU-002</x:v>
      </x:c>
      <x:c r="B543" s="4" t="str">
        <x:v>Bulgaria stages origin-based and third-country pandemic entry prohibitions</x:v>
      </x:c>
      <x:c r="C543" s="4" t="str">
        <x:v>Bulgaria; Romania; Serbia; North Macedonia; Greece; Türkiye</x:v>
      </x:c>
      <x:c r="D543" s="4" t="str">
        <x:v>Bulgarian land frontiers; regime rather than universal gate closure
Admission restrictions at all border checkpoints, including land and rail</x:v>
      </x:c>
      <x:c r="E543" s="4" t="str">
        <x:v>Initially non-exempt arrivals from named risk origins; subsequently non-exempt third-country entrants and restricted European-origin categories
Direction: Into Bulgaria
Exceptions: Bulgarian citizens, family and qualifying residents; later notices preserve health workers, freight personnel, diplomats, military, humanitarian workers and specified return transit. May permissions broadened further.</x:v>
      </x:c>
      <x:c r="F543" s="4" t="str">
        <x:v>R5-EU-002-R1 — Announced window
Initial Order RD-01-138 window forbidding non-exempt third-country citizens' entry into Bulgaria through road and rail posts
Start: 2020-03-20.
Scheduled endpoint: 2020-04-18.
Ordered window: 29 calendar-day difference; actual end not established</x:v>
      </x:c>
      <x:c r="G54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43" s="4" t="str">
        <x:v>R5-EU-002-R1: End boundary April 18 denotes midnight after the last included day; not a reopening. Renewals and March 22 modifications are not presumed absent. March 18 European-origin ban excluded.</x:v>
      </x:c>
      <x:c r="I543" s="4" t="str">
        <x:v>Retained baseline assessment. Retained with recorded qualifications</x:v>
      </x:c>
      <x:c r="J543" s="18" t="d">
        <x:v>2026-10-23T00:00:00.000Z</x:v>
      </x:c>
      <x:c r="K543" s="21" t="str">
        <x:f>IFERROR(HYPERLINK("https://www.mfa.bg/embassies/turkeygc/news/24901","Bulgarian Foreign Ministry"),"Bulgarian Foreign Ministry")</x:f>
        <x:v>Bulgarian Foreign Ministry</x:v>
      </x:c>
      <x:c r="L543" s="21" t="str">
        <x:f>IFERROR(HYPERLINK("https://www.bta.bg/en/news//67248-Non-EU-Citizens-Banned-from-Entering-Bulgaria","BTA"),"BTA")</x:f>
        <x:v>BTA</x:v>
      </x:c>
      <x:c r="M543" s="21" t="str">
        <x:f>IFERROR(HYPERLINK("https://air.bg/en/posts/order-of-ministry-of-health-from-may-21st-2020","Bulgaria Air"),"Bulgaria Air")</x:f>
        <x:v>Bulgaria Air</x:v>
      </x:c>
      <x:c r="N543" s="4" t="str">
        <x:v>https://www.mfa.bg/embassies/turkeygc/news/24901
https://www.bta.bg/en/news//67248-Non-EU-Citizens-Banned-from-Entering-Bulgaria
https://air.bg/en/posts/order-of-ministry-of-health-from-may-21st-2020
https://old.mh.government.bg/bg/novini/aktualno/ot-0000-chasa-na-18-mart-vliza-v-sila-zabrana-za-v/
https://www.mfa.bg/embassies/germany/news/25468
https://mvr.bg/gdgp/информационен-център/пресцентър/новини/4335
https://wiki.unece.org/spaces/CTRBSBC/pages/101548412/Bulgaria
https://www.bta.bg/en/news/62394-Ban-on-Entry-in-Bulgaria-of-Certain-Nationals-of-EU-Schengen-Agreement-Countrie
https://tourism.government.bg/en/kategorii/covid-19/message-minister-tourism-bulgaria-welcomes-tourists-29-countries-june-1st-2020</x:v>
      </x:c>
      <x:c r="O543" s="4" t="str">
        <x:v>Source 1: full
Source 2: indexed excerpt
Source 3: indexed excerpt</x:v>
      </x:c>
      <x:c r="P543" s="20" t="n">
        <x:v>1</x:v>
      </x:c>
      <x:c r="Q543" s="4" t="str">
        <x:v>Europe</x:v>
      </x:c>
      <x:c r="R543" s="4" t="str">
        <x:v>Included</x:v>
      </x:c>
    </x:row>
    <x:row r="544" ht="234" hidden="0" customHeight="1">
      <x:c r="A544" s="16" t="str">
        <x:v>R5-EU-001</x:v>
      </x:c>
      <x:c r="B544" s="4" t="str">
        <x:v>Romania prohibits non-exempt third-country entry during the pandemic</x:v>
      </x:c>
      <x:c r="C544" s="4" t="str">
        <x:v>Romania; Hungary; Serbia; Bulgaria; Moldova; Ukraine</x:v>
      </x:c>
      <x:c r="D544" s="4" t="str">
        <x:v>Romanian land frontiers; no assertion that every physical checkpoint shut
Inward admission prohibition at state border checkpoints; land, rail and international river crossings within this record</x:v>
      </x:c>
      <x:c r="E544" s="4" t="str">
        <x:v>Non-exempt third-country nationals and stateless persons; ordinary tourist entry affected
Direction: Into Romania
Exceptions: Romanian, EU/EEA and Swiss citizens outside the defined foreigner category; family, residence/long-stay documents, professional travel, diplomats, military, humanitarian protection, transit and imperative travel. Later study, seasonal and other specified work exceptions.</x:v>
      </x:c>
      <x:c r="F544" s="4" t="str">
        <x:v>R5-EU-001-D1 — Formal policy
Romanian non-exempt third-country entry prohibition, excluding Romanian/EU/EEA/Swiss citizens
Start: 2020-03-22.
Policy endpoint: 2021-06-01.
Formal policy: 436 calendar-day difference; operational continuity not established</x:v>
      </x:c>
      <x:c r="G54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44" s="4" t="str">
        <x:v>R5-EU-001-D1: Formal prohibition period with evolving family, residence, work, study, humanitarian and transit exceptions. Full intermediate amendment chain and first physical crossing are not reconstructed. Original repeal was unavailable in the prior fresh pass; archived legal evidence and stakeholder reaction are distinguished.</x:v>
      </x:c>
      <x:c r="I544" s="4" t="str">
        <x:v>Full-record source audit (REC50-R20); retained with recorded qualifications; evidence limits retained.</x:v>
      </x:c>
      <x:c r="J544" s="18" t="d">
        <x:v>2026-10-25T00:00:00.000Z</x:v>
      </x:c>
      <x:c r="K544" s="21" t="str">
        <x:f>IFERROR(HYPERLINK("https://rm.coe.int/16809e126c","Romanian Ministry of Internal Affairs / Council of Europe"),"Romanian Ministry of Internal Affairs / Council of Europe")</x:f>
        <x:v>Romanian Ministry of Internal Affairs / Council of Europe</x:v>
      </x:c>
      <x:c r="L544" s="21" t="str">
        <x:f>IFERROR(HYPERLINK("https://legislatie.just.ro/Public/DetaliiDocument/50236","Romanian legislative portal"),"Romanian legislative portal")</x:f>
        <x:v>Romanian legislative portal</x:v>
      </x:c>
      <x:c r="M544" s="21" t="str">
        <x:f>IFERROR(HYPERLINK("https://legislatie.just.ro/Public/DetaliiDocumentAfis/242173","Romanian legislative portal"),"Romanian legislative portal")</x:f>
        <x:v>Romanian legislative portal</x:v>
      </x:c>
      <x:c r="N544" s="4" t="str">
        <x:v>https://rm.coe.int/16809e126c
https://legislatie.just.ro/Public/DetaliiDocument/50236
https://legislatie.just.ro/Public/DetaliiDocumentAfis/242173
https://www.politiadefrontiera.ro/en/main/i-information-on-the-measures-upon-the-arrival-in-romania-for-foreign-citizens-and-stateless-persons--7643.html
https://legislatie.just.ro/Public/DetaliiDocument/242908
https://agerpres.ro/economic/2021/05/31/romania-isi-redeschide-granitele-pentru-incoming-de-la-1-iunie--722792
https://www.onrc.ro/documente/legislatie/MO_580.pdf
https://www.uaic.ro/wp-content/uploads/2021/05/HOT%C4%82R%C3%82RE-nr.-531-din-10-mai-2021-privind-prelungirea-st%C4%83rii-de-alert%C4%83-pe-teritoriul-Rom%C3%A2niei-%C3%AEncep%C3%A2nd-cu-data-de-13-mai-2021.pdf
https://legislatie.just.ro/Public/DetaliiDocumentAfis/206467
https://legislatie.just.ro/Public/DetaliiDocumentAfis/224284
https://www.politiadefrontiera.ro/en/main/i-prohibition-of-the-entry-on-the-romanian-territory-through-the-state-border-crossing-points-of-foreign-citizens-and-stateless-persons-7589.html
https://www.moldpres.md/eng/society/moldovan-citizens-can-enter-romania-without-quarantine-
https://igi.mai.gov.ro/wp-content/uploads/2021/10/oug_nr._194_din_12_decembrie_2002_privind_regimul_strainilor_in_romania_forma_actualizata_martie_2021.pdf</x:v>
      </x:c>
      <x:c r="O544" s="4" t="str">
        <x:v>Source 1: full text
Source 2: consolidated official text; Article 2 and amendment annotation read
Source 3: unavailable</x:v>
      </x:c>
      <x:c r="P544" s="20" t="n">
        <x:v>1</x:v>
      </x:c>
      <x:c r="Q544" s="4" t="str">
        <x:v>Europe</x:v>
      </x:c>
      <x:c r="R544" s="4" t="str">
        <x:v>Included</x:v>
      </x:c>
    </x:row>
    <x:row r="545" ht="162" hidden="0" customHeight="1">
      <x:c r="A545" s="16" t="str">
        <x:v>R5-EU-005</x:v>
      </x:c>
      <x:c r="B545" s="4" t="str">
        <x:v>Slovak hauliers renew inbound freight blockade at Vyšné Nemecké in December 2023</x:v>
      </x:c>
      <x:c r="C545" s="4" t="str">
        <x:v>Slovakia; Ukraine</x:v>
      </x:c>
      <x:c r="D545" s="4" t="str">
        <x:v>Vyšné Nemecké–Uzhhorod
Intentional obstruction of inbound commercial freight at one road crossing</x:v>
      </x:c>
      <x:c r="E545" s="4" t="str">
        <x:v>Trucks travelling from Ukraine into Slovakia
Direction: Ukraine to Slovakia
Exceptions: Passenger movement and trucks travelling from Slovakia into Ukraine were not blocked by this action.</x:v>
      </x:c>
      <x:c r="F545" s="4" t="str">
        <x:v>R5-EU-005-D1 — Observed operation
Ukraine-to-Slovakia truck blockage at Vyšné Nemecké, ending at first partial truck resumption.
Start: 2023-12-11.
Observed scoped reopening: 2023-12-13.
2 calendar-day difference; scoped endpoint only</x:v>
      </x:c>
      <x:c r="G545"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545" s="4" t="str">
        <x:v>R5-EU-005-D1: Full protest removal on 14 December is a later milestone. Passengers and Slovakia-to-Ukraine trucks were exempt. Reported clock times are not harmonized across time zones.</x:v>
      </x:c>
      <x:c r="I545" s="4" t="str">
        <x:v>Retained baseline assessment. Retained with recorded qualifications</x:v>
      </x:c>
      <x:c r="J545" s="18" t="d">
        <x:v>2026-10-23T00:00:00.000Z</x:v>
      </x:c>
      <x:c r="K545" s="21" t="str">
        <x:f>IFERROR(HYPERLINK("https://spravy.stvr.sk/2023/12/hranicny-priechod-vysne-nemecke-je-pre-kamiony-z-ukrajiny-znova-zablokovany-az-do-odvolania/","STVR / RTVS"),"STVR / RTVS")</x:f>
        <x:v>STVR / RTVS</x:v>
      </x:c>
      <x:c r="L545" s="21" t="str">
        <x:f>IFERROR(HYPERLINK("https://t.me/s/DPSUkr?before=16794","State Border Guard Service of Ukraine, official Telegram"),"State Border Guard Service of Ukraine, official Telegram")</x:f>
        <x:v>State Border Guard Service of Ukraine, official Telegram</x:v>
      </x:c>
      <x:c r="M545" s="21" t="str">
        <x:f>IFERROR(HYPERLINK("https://spravy.stvr.sk/2023/12/unia-autodopravcov-ukoncila-blokadu-kamionov-na-priechode-vysne-nemecke/","STVR / RTVS"),"STVR / RTVS")</x:f>
        <x:v>STVR / RTVS</x:v>
      </x:c>
      <x:c r="N545" s="4" t="str">
        <x:v>https://spravy.stvr.sk/2023/12/hranicny-priechod-vysne-nemecke-je-pre-kamiony-z-ukrajiny-znova-zablokovany-az-do-odvolania/
https://t.me/s/DPSUkr?before=16794
https://spravy.stvr.sk/2023/12/unia-autodopravcov-ukoncila-blokadu-kamionov-na-priechode-vysne-nemecke/
https://www.pravda.com.ua/eng/news/2023/12/01/7431259/
https://www.ukrinform.net/rubric-economy/3798487-slovak-carriers-to-block-only-trucks-leaving-ukraine-customs.html
https://english.nv.ua/business/truck-traffic-on-the-border-with-slovakia-is-being-restored-50376811.html
https://www.rferl.org/a/slovak-truckers-end-blockate-ukraine-border/32732069.html
https://www.ukrinform.net/rubric-economy/3799911-movement-of-trucks-to-enter-slovakia-from-ukraine-partially-resumed-border-guards.html</x:v>
      </x:c>
      <x:c r="O545" s="4" t="str">
        <x:v>Source 1: full article
Source 2: full substantive official post in channel archive; individual embed lacked text
Source 3: full article</x:v>
      </x:c>
      <x:c r="P545" s="20" t="n">
        <x:v>1</x:v>
      </x:c>
      <x:c r="Q545" s="4" t="str">
        <x:v>Europe</x:v>
      </x:c>
      <x:c r="R545" s="4" t="str">
        <x:v>Included</x:v>
      </x:c>
    </x:row>
    <x:row r="546" ht="294" hidden="0" customHeight="1">
      <x:c r="A546" s="16" t="str">
        <x:v>R5-AES-003</x:v>
      </x:c>
      <x:c r="B546" s="4" t="str">
        <x:v>Tanzanian restrictions on Kenyan truckers during May–June 2020 COVID border dispute</x:v>
      </x:c>
      <x:c r="C546" s="4" t="str">
        <x:v>Tanzania; Kenya</x:v>
      </x:c>
      <x:c r="D546" s="4" t="str">
        <x:v>Lunga Lunga/Horohoro and Taveta/Holili; retrospective KNA account also names Namanga and Isebania.
Selective Tanzanian entry prohibition affecting Kenyan drivers/trucks, with implementation reported at multiple Kenya-facing posts.</x:v>
      </x:c>
      <x:c r="E546" s="4" t="str">
        <x:v>Kenyan truck drivers and affected Kenyan-registered cargo vehicles entering Tanzania; goods transfer and some non-Kenyan-driven transit remained possible.
Direction: Kenya into Tanzania for affected drivers/vehicles; outward goods could continue through transfer arrangements.
Exceptions: Capital FM reports third-country transit permitted if vehicles were not driven by Kenyans; Tanzania-to-Kenya goods could be transferred at the border.</x:v>
      </x:c>
      <x:c r="F546" s="4" t="str">
        <x:v>R5-AES-003-R1 — Formal policy
Tanga regional commissioner's directive barring Kenyan truck-driver entry at Horohoro
Start: 2020-05-18.
Last confirmed: 2020-05-19. Reopening is not established.
Formal policy: confirmed through 2020-05-19; at least 1 calendar-day difference; reopening unknown
REC50-R01-PH001 — Formal policy
Namanga Tanzanian policy statement refusing Kenyan trucks during renewed testing dispute
Start: unknown.
Last confirmed: 2020-06-03. Reopening is not established.
Formal policy: dated evidence; numeric duration withheld; see qualification</x:v>
      </x:c>
      <x:c r="G54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
Trade and protectionism / Customs and transport rules
Reported reason
Applies to: Recorded episode; exact overlap not separately established
The recorded rationale and claim assessment support the selected subcategories. All applicable broad categories are retained together; no primary rationale is imposed.
Interstate disputes and pressure / Diplomatic disputes and retaliation
Reported reason
Applies to: Recorded episode; exact overlap not separately established
The recorded rationale and claim assessment support the selected subcategories. All applicable broad categories are retained together; no primary rationale is imposed.</x:v>
      </x:c>
      <x:c r="H546" s="4" t="str">
        <x:v>Contemporary reporting places a Holili/Taveta restriction on Sunday May 17; the separate Tanga/Horohoro directive began May 18. No synchronized onset at every post is established. May 22 is a formal bilateral framework, not observed complete restoration; local driver and registration criteria varied.
R5-AES-003-R1: Non-Kenyan transit drivers and cargo transfer excepted. May 19 is the last substantive confirmation of this short formal segment, not repeal or opening. Other regional directives, the May 22 testing agreement and later Namanga/Holili refusals are distinct phases.
REC50-R01-PH001: 1 June dates the dispute, not necessarily refusal onset. Full UNECA/WFP source for indexed 2 June closure claim was not recovered; do not upgrade operational dates from the extract. Preserve original R5-AES-003-R1 unchanged. Kenyan spokesman said official communication not received. The June 18 Citizen report describes a reciprocal testing agreement discussed on June 17, but the driver’s observed resumed trip is into Kenya. It does not supply the first observed return for the recorded Kenya-to-Tanzania cohort or an exact effective endpoint; the later Horohoro passage is prospective.
continuity: Capital FM's May 19 report attributes a May 18 directive to Tanga's commissioner restricting Kenyan truck drivers, with cargo-transfer and nationality exceptions. The short Horohoro observation must not be extrapolated to all Tanzanian boundaries or treated as ending May 19.
Namanga operational onset and endpoint: First actual Namanga refusal, operational continuity and reopening require full-source verification.</x:v>
      </x:c>
      <x:c r="I546" s="4" t="str">
        <x:v>Targeted source review (REC50-R34); accepted qualification; evidence limits retained.</x:v>
      </x:c>
      <x:c r="J546" s="18" t="d">
        <x:v>2026-10-25T00:00:00.000Z</x:v>
      </x:c>
      <x:c r="K546" s="21" t="str">
        <x:f>IFERROR(HYPERLINK("https://capitalfm.africa/tanzania-shuts-its-borders-to-kenyan-truckers-citing-sabotage-in-virus-war/","Capital FM"),"Capital FM")</x:f>
        <x:v>Capital FM</x:v>
      </x:c>
      <x:c r="L546" s="21" t="str">
        <x:f>IFERROR(HYPERLINK("https://www.the-star.co.ke/sports/2020-06-03-tanzania-closes-reopened-border-over-virus-tests-tiff","The Star"),"The Star")</x:f>
        <x:v>The Star</x:v>
      </x:c>
      <x:c r="M546" s="21" t="str">
        <x:f>IFERROR(HYPERLINK("https://digitallibrary.un.org/record/3886569/files/AfricaCovid.pdf","UN Economic Commission for Africa"),"UN Economic Commission for Africa")</x:f>
        <x:v>UN Economic Commission for Africa</x:v>
      </x:c>
      <x:c r="N546" s="4" t="str">
        <x:v>https://capitalfm.africa/tanzania-shuts-its-borders-to-kenyan-truckers-citing-sabotage-in-virus-war/
https://www.the-star.co.ke/sports/2020-06-03-tanzania-closes-reopened-border-over-virus-tests-tiff
https://digitallibrary.un.org/record/3886569/files/AfricaCovid.pdf
https://www.kenyanews.go.ke/stand-off-brewing-at-namanga-over-covid-19-testing/
https://www.thecitizen.co.tz/tanzania/news/national/tanzania-kenya-agree-to-end-cross-border-trade-spat-2711056
https://www.kenyanews.go.ke/kenya-and-tanzania-resolve-dispute-over-covid19-tests/
https://www.thecitizen.co.tz/tanzania/news/national/rwanda-kenya-address-truck-standoff-on-tanzania-borders-2710946
https://www.thecitizen.co.tz/tanzania/news/national/-traders-agony-as-tanzania-kenya-feud-over-lorries-2709496
https://www.the-star.co.ke/counties/nyanza/2020-05-18-tanzania-blocks-entry-to-kenyan-truckers
https://www.theeastafrican.co.ke/tea/news/east-africa/kenya-tanzania-agree-on-covid-19-testing-and-cross-border-movement-1441772
https://au-pida.org/events/wp-content/uploads/2024/11/One-Stop-Border-Post-OSBP-Status-Report.pdf
https://kahawatungu.com/tanzanian-authorities-blame-kenyans-spreading-covid-19-tanga-region/
https://www.the-star.co.ke/sports/football/2020-06-03-tanzania-closes-reopened-border-over-virus-tests-tiff
https://www.businessdailyafrica.com/bd/news/corona-row-threatens-sh61-billion-tanzania-kenya-trade-2290160
https://www.businessdailyafrica.com/news/Corona-row-threatens-Sh61-billion-Tanzania--Kenya-trade/539546-5557848-2lvrb7/index.html
https://www.the-star.co.ke/news/world/2020-05-18-tanzania-blocks-entry-to-kenyan-truckers</x:v>
      </x:c>
      <x:c r="O546" s="4" t="str">
        <x:v>Source 1: full; full text
Source 2: full text
Source 3: indexed extract</x:v>
      </x:c>
      <x:c r="P546" s="20" t="n">
        <x:v>2</x:v>
      </x:c>
      <x:c r="Q546" s="4" t="str">
        <x:v>Horn of Africa</x:v>
      </x:c>
      <x:c r="R546" s="4" t="str">
        <x:v>Included</x:v>
      </x:c>
    </x:row>
    <x:row r="547" ht="409" hidden="0" customHeight="1">
      <x:c r="A547" s="16" t="str">
        <x:v>R5-ME-002</x:v>
      </x:c>
      <x:c r="B547" s="4" t="str">
        <x:v>Saudi restriction on Yemen-bound SUVs and heavy equipment, July 2018</x:v>
      </x:c>
      <x:c r="C547" s="4" t="str">
        <x:v>Saudi Arabia; Yemen</x:v>
      </x:c>
      <x:c r="D547" s="4" t="str">
        <x:v>Al-Wadea / Al-Wadiah
Vehicle-category restriction on Saudi exit toward Yemen</x:v>
      </x:c>
      <x:c r="E547" s="4" t="str">
        <x:v>SUVs and heavy equipment; ordinary passenger vehicles not shown universally barred.
Direction: Saudi Arabia to Yemen
Exceptions: July 9 permission required the owner and documents; Shas and Hilux remained excluded. Earlier registration-based exceptions are disputed.</x:v>
      </x:c>
      <x:c r="F547" s="4" t="str">
        <x:v>R5-ME-002-NP1 — Observed operation
Al-Wadiah entry to Yemen for qualifying owner-driven SUVs
Start: 2018-07-05.
Observed scoped reopening: by 2018-07-09; earliest bound unknown.
Contested: dated evidence; numeric duration withheld; see qualification
Held evidence: excluded from numeric duration and animation displays.</x:v>
      </x:c>
      <x:c r="G547" s="4" t="str">
        <x:v>Uncoded / Unresolved rationale
Not assigned
Applies to: Not assigned
No additional motive inferred</x:v>
      </x:c>
      <x:c r="H547" s="4" t="str">
        <x:v>R5-ME-002-NP1: Onset of the reported restriction is now sourced, but a July 6 traveller account alleges earlier passage. Whether the same ownership/vehicle cohort was continuously barred is unresolved. July 9 remains an endpoint upper bound, not the first crossing for every vehicle. Shas/Hilux and heavy-equipment endings remain unknown.
rationale: Category-specific passage observed by July 9, without resolving initial scope, continuity or purpose.
continuity: Category-specific passage observed by July 9, without resolving initial scope, continuity or purpose.
Current finding: New earlier-passage evidence conflicts with uniform continuity. Numeric duration remains withheld.
duration: Category-specific passage observed by July 9, without resolving initial scope, continuity or purpose.</x:v>
      </x:c>
      <x:c r="I547" s="4" t="str">
        <x:v>Retained baseline assessment. Correction pass: amended with stated qualifications</x:v>
      </x:c>
      <x:c r="J547" s="18" t="d">
        <x:v>2026-10-23T00:00:00.000Z</x:v>
      </x:c>
      <x:c r="K547" s="21" t="str">
        <x:f>IFERROR(HYPERLINK("https://www.sabanew.net/story/ar/35519","SABA"),"SABA")</x:f>
        <x:v>SABA</x:v>
      </x:c>
      <x:c r="L547" s="21" t="str">
        <x:f>IFERROR(HYPERLINK("https://al-wattan.net/news/20474","al-wattan.net"),"al-wattan.net")</x:f>
        <x:v>al-wattan.net</x:v>
      </x:c>
      <x:c r="M547" s="21" t="str">
        <x:f>IFERROR(HYPERLINK("https://www.yemenmonitor.com/Details/ArtMID/908/ArticleID/25565","Yemen Monitor"),"Yemen Monitor")</x:f>
        <x:v>Yemen Monitor</x:v>
      </x:c>
      <x:c r="N547" s="4" t="str">
        <x:v>https://www.sabanew.net/story/ar/35519
https://www.yemenembassy-sa.org/index.php/pages/%D8%A7%D9%84%D8%A3%D8%AE%D8%A8%D8%A7%D8%B1/%D8%A7%D9%84%D8%B3%D9%81%D8%A7%D8%B1%D8%A9-%D8%AA%D8%AF%D8%B9%D9%88-%D9%85%D9%88%D8%A7%D8%B7%D9%86%D9%8A%D9%87%D8%A7-%D8%A5%D9%84%D9%89-%D8%B9%D8%AF%D9%85-%D8%A7%D9%84%D8%B3%D9%81%D8%B1-%D9%84%D9%84%D9%8A%D9%85%D9%86-%D8%A8%D8%A7%D9%84%D8%B3%D9%8A%D8%A7%D8%B1%D8%A7%D8%AA-%D8%B0%D8%A7%D8%AA-%D8%A7%D9%84%D8%AF%D9%81%D8%B9-%D8%A7%D9%84%D8%B1%D8%A8%D8%A7%D8%B9%D9%8A421?id=189&amp;type=news
https://www.yemenembassy-sa.org/pages/%D8%A7%D9%84%D8%A3%D8%AE%D8%A8%D8%A7%D8%B1/%D8%A7%D9%84%D8%B3%D9%81%D8%A7%D8%B1%D8%A9-%D8%AA%D8%A4%D9%83%D8%AF-%D8%A7%D9%84%D8%B3%D9%85%D8%A7%D8%AD-%D8%A8%D8%AE%D8%B1%D9%88%D8%AC-%D8%B3%D9%8A%D8%A7%D8%B1%D8%A7%D8%AA-%D8%A7%D9%84%D8%AF%D9%81%D8%B9-%D8%A7%D9%84%D8%B1%D8%A8%D8%A7%D8%B9%D9%8A-%D8%A8%D8%A7%D8%B3%D8%AA%D8%AB%D9%86%D8%A7%D8%A1-%D9%86%D9%88%D8%B9%D9%8A%D9%86945?id=190&amp;type=news
https://al-wattan.net/news/20474
https://www.yemenmonitor.com/Details/ArtMID/908/ArticleID/25565
https://www.almashhad.news/news/115312
https://www.sabanew.net/story/ar/35451
https://almawqeapost.net/news/32126
https://www.aa.com.tr/ar/%D8%A7%D9%84%D8%AF%D9%88%D9%84-%D8%A7%D9%84%D8%B9%D8%B1%D8%A8%D9%8A%D8%A9/%D8%A7%D9%84%D8%B3%D8%B9%D9%88%D8%AF%D9%8A%D8%A9-%D8%AA%D9%85%D9%86%D8%B9-%D8%AE%D8%B1%D9%88%D8%AC-%D8%B3%D9%8A%D8%A7%D8%B1%D8%A7%D8%AA-%D8%A7%D9%84%D8%AF%D9%81%D8%B9-%D8%A7%D9%84%D8%B1%D8%A8%D8%A7%D8%B9%D9%8A-%D9%85%D9%86-%D8%A3%D8%B1%D8%A7%D8%B6%D9%8A%D9%87%D8%A7-%D8%A5%D9%84%D9%89-%D8%A7%D9%84%D9%8A%D9%85%D9%86-/1197040
https://www.alaraby.co.uk/%D8%A7%D9%84%D8%B3%D8%B9%D9%88%D8%AF%D9%8A%D8%A9-%D8%AA%D9%85%D9%86%D8%B9-%D9%85%D8%BA%D8%A7%D8%AF%D8%B1%D8%A9-%D8%A7%D9%84%D9%85%D9%82%D9%8A%D9%85%D9%8A%D9%86-%D8%A7%D9%84%D9%8A%D9%85%D9%86%D9%8A%D9%8A%D9%86-%D8%A8%D8%B3%D9%8A%D8%A7%D8%B1%D8%A7%D8%AA-%D8%A7%D9%84%D8%AF%D9%81%D8%B9-%D8%A7%D9%84%D8%B1%D8%A8%D8%A7%D8%B9%D9%8A
https://www.alaraby.co.uk/السعودية-تمنع-مغادرة-المقيمين-اليمنيين-بسيارات-الدفع-الرباعي
https://alharf28.com/p-8644
https://alharf28.com/UploadControl/FilesFromEditor/Images/لا5643(1).jpg</x:v>
      </x:c>
      <x:c r="O547" s="4" t="str">
        <x:v>Source 1: full
Source 2: access detail is retained in the source catalogue.
Source 3: indexed excerpt; full</x:v>
      </x:c>
      <x:c r="P547" s="20" t="n">
        <x:v>1</x:v>
      </x:c>
      <x:c r="Q547" s="4" t="str">
        <x:v>Middle East</x:v>
      </x:c>
      <x:c r="R547" s="4" t="str">
        <x:v>Included</x:v>
      </x:c>
    </x:row>
    <x:row r="548" ht="78" hidden="0" customHeight="1">
      <x:c r="A548" s="16" t="str">
        <x:v>R5-ME-003</x:v>
      </x:c>
      <x:c r="B548" s="4" t="str">
        <x:v>Sheeb passenger departures suspended during Iranian fuel protests, November 2019</x:v>
      </x:c>
      <x:c r="C548" s="4" t="str">
        <x:v>Iraq; Iran</x:v>
      </x:c>
      <x:c r="D548" s="4" t="str">
        <x:v>Sheeb / Al-Shib
Passenger departures toward Iran at one crossing; trade exempt</x:v>
      </x:c>
      <x:c r="E548" s="4" t="str">
        <x:v>Ordinary passengers leaving Iraq for Iran.
Direction: Iraq to Iran passengers
Exceptions: Goods movement continued.</x:v>
      </x:c>
      <x:c r="F548" s="4" t="str">
        <x:v>R5-ME-003-D1 — Observed operation
Passenger departures toward Iran at one crossing; trade exempt; Ordinary passengers leaving Iraq for Iran.; Iraq to Iran passengers
Start: 2019-11-16.
Observed scoped reopening: 2019-11-25.
9 calendar-day difference; scoped endpoint only</x:v>
      </x:c>
      <x:c r="G548" s="4" t="str">
        <x:v>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48" s="4" t="str">
        <x:v>R5-ME-003-D1: Endpoints and November 16 onset rely on the Border Ports Commission account, reproduced by INA and Anadolu. No independent daily gate record recovered. Two historical NINA URLs now serve unrelated 2026 content and are withdrawn from active phase support; their prior access history remains archived.</x:v>
      </x:c>
      <x:c r="I548" s="4" t="str">
        <x:v>Retained baseline assessment. Retained with recorded qualifications</x:v>
      </x:c>
      <x:c r="J548" s="18" t="d">
        <x:v>2026-10-23T00:00:00.000Z</x:v>
      </x:c>
      <x:c r="K548" s="21" t="str">
        <x:f>IFERROR(HYPERLINK("https://www.aa.com.tr/en/middle-east/iraq-closes-border-crossings-with-protest-hit-iran/1647425","Anadolu Agency"),"Anadolu Agency")</x:f>
        <x:v>Anadolu Agency</x:v>
      </x:c>
      <x:c r="L548" s="21" t="str">
        <x:f>IFERROR(HYPERLINK("https://ina.iq/ar/political/98051--.html","Iraqi News Agency"),"Iraqi News Agency")</x:f>
        <x:v>Iraqi News Agency</x:v>
      </x:c>
      <x:c r="M548" s="21" t="str">
        <x:f>IFERROR(HYPERLINK("https://www.aa.com.tr/en/middle-east/iraq-reopens-border-crossing-with-iran/1654746","Anadolu Agency"),"Anadolu Agency")</x:f>
        <x:v>Anadolu Agency</x:v>
      </x:c>
      <x:c r="N548" s="4" t="str">
        <x:v>https://www.aa.com.tr/en/middle-east/iraq-closes-border-crossings-with-protest-hit-iran/1647425
https://ina.iq/ar/political/98051--.html
https://www.aa.com.tr/en/middle-east/iraq-reopens-border-crossing-with-iran/1654746
https://ninanews.com/website/News/Details?Key=797577
https://ninanews.com/website/News/Details?Key=799044
https://shafaq.com/en/Iraq/a-port-between-iraq-and-iran-reopened-after-9-days-of-being-closed</x:v>
      </x:c>
      <x:c r="O548" s="4" t="str">
        <x:v>Source 1: full article
Source 2: substantive indexed text; direct page returned 403
Source 3: full article</x:v>
      </x:c>
      <x:c r="P548" s="20" t="n">
        <x:v>1</x:v>
      </x:c>
      <x:c r="Q548" s="4" t="str">
        <x:v>Middle East</x:v>
      </x:c>
      <x:c r="R548" s="4" t="str">
        <x:v>Included</x:v>
      </x:c>
    </x:row>
    <x:row r="549" ht="222" hidden="0" customHeight="1">
      <x:c r="A549" s="16" t="str">
        <x:v>R5-ME-004</x:v>
      </x:c>
      <x:c r="B549" s="4" t="str">
        <x:v>Iraq prohibits Iranian passenger entry during the initial COVID response, February 2020</x:v>
      </x:c>
      <x:c r="C549" s="4" t="str">
        <x:v>Iraq; Iran</x:v>
      </x:c>
      <x:c r="D549" s="4" t="str">
        <x:v>Iraq–Iran land posts; individual implementation not exhaustively established
Land-border component of an all-ports Iranian passenger entry prohibition</x:v>
      </x:c>
      <x:c r="E549" s="4" t="str">
        <x:v>Iranian nationals seeking entry into Iraq.
Direction: Iran to Iraq passenger entry
Exceptions: Iraqi returnees subject to health screening; imported goods exempt.</x:v>
      </x:c>
      <x:c r="F549" s="4" t="str">
        <x:v>R5-ME-004-R1 — Announced window
Initial Iraqi border-authority prohibition on Iranian traveller entry through land crossings
Start: 2020-02-20.
Scheduled endpoint: 2020-02-22 to 2020-02-23.
Ordered window: 2–3 calendar-day difference; actual end not established
R5-ME-004-C7P1 — Formal policy
Iraqi successor prohibition on non-Iraqi passenger arrivals from Iran
Start: 2020-02-22 to 2020-02-23.
Policy endpoint: unknown.
Formal policy: dated evidence; numeric duration withheld; see qualification</x:v>
      </x:c>
      <x:c r="G54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49" s="4" t="str">
        <x:v>R5-ME-004-R1: This is the initial ordered term only. Other official descriptions are open-ended; no February 22/23 actual reopening inferred.
R5-ME-004-C7P1: Policy commencement bounded by announcement/report dates. Iraqi returnees exempt. No subsequent lifting, uniform gate implementation or freight restriction is inferred.
end: First actual reopening to the prohibited passenger category remains unknown, already reflected in the parent.</x:v>
      </x:c>
      <x:c r="I549" s="4" t="str">
        <x:v>Retained baseline assessment. Correction pass: amended with stated qualifications</x:v>
      </x:c>
      <x:c r="J549" s="18" t="d">
        <x:v>2026-10-23T00:00:00.000Z</x:v>
      </x:c>
      <x:c r="K549" s="21" t="str">
        <x:f>IFERROR(HYPERLINK("https://www.rferl.org/amp/iraq-kuwait-restrict-entry-iranians-virus-fears/30446506.html","RFE/RL"),"RFE/RL")</x:f>
        <x:v>RFE/RL</x:v>
      </x:c>
      <x:c r="L549" s="21" t="str">
        <x:f>IFERROR(HYPERLINK("https://english.aawsat.com/home/article/2145541/iraq-extends-ban-border-crossings-iranians?_wrapper_format=html&amp;page=1","english.aawsat.com"),"english.aawsat.com")</x:f>
        <x:v>english.aawsat.com</x:v>
      </x:c>
      <x:c r="M549" s="21" t="str">
        <x:f>IFERROR(HYPERLINK("https://www.gettyimages.fi/detail/video/various-shots-of-bashmakh-border-crossing-between-iraq-uutismateriaali/1208135760","Getty Images"),"Getty Images")</x:f>
        <x:v>Getty Images</x:v>
      </x:c>
      <x:c r="N549" s="4" t="str">
        <x:v>https://www.alsumaria.tv/news/localnews/335095/%D9%85%D9%86%D8%B9-%D8%AF%D8%AE%D9%88%D9%84-%D8%A7%D9%84%D9%85%D8%B3%D8%A7%D9%81%D8%B1%D9%8A%D9%86-%D8%A7%D9%84%D8%A5%D9%8A%D8%B1%D8%A7%D9%86%D9%8A%D9%8A%D9%86-%D9%85%D9%86-%D9%83%D8%A7%D9%81%D8%A9-%D8%A7%D9%84%D9%85%D9%86%D8%A7%D9%81%D8%B0-%D8%A7%D9%84%D8%AD%D8%AF%D9%88%D8%AF%D9%8A%D8%A9
https://www.rferl.org/amp/iraq-kuwait-restrict-entry-iranians-virus-fears/30446506.html
https://english.aawsat.com/home/article/2145541/iraq-extends-ban-border-crossings-iranians?_wrapper_format=html&amp;page=1
https://www.gettyimages.fi/detail/video/various-shots-of-bashmakh-border-crossing-between-iraq-uutismateriaali/1208135760
https://www.aa.com.tr/en/health/iraq-shuts-border-crossings-with-iran-for-three-days/1740126
https://ninanews.com/website/News/Details?Key=814966
https://www.alsumaria.tv/news/localnews/335095/منع-دخول-المسافرين-الإيرانيين-من-كافة-المنافذ-الحدودية
https://www.thenationalnews.com/world/mena/coronavirus-iran-reports-three-new-cases-after-two-deaths-1.982259
https://alwatannews.net/ampArticle/868530</x:v>
      </x:c>
      <x:c r="O549" s="4" t="str">
        <x:v>Source 1: full
Source 2: access detail is retained in the source catalogue.
Source 3: indexed excerpt</x:v>
      </x:c>
      <x:c r="P549" s="20" t="n">
        <x:v>2</x:v>
      </x:c>
      <x:c r="Q549" s="4" t="str">
        <x:v>Middle East</x:v>
      </x:c>
      <x:c r="R549" s="4" t="str">
        <x:v>Included</x:v>
      </x:c>
    </x:row>
    <x:row r="550" ht="66" hidden="0" customHeight="1">
      <x:c r="A550" s="16" t="str">
        <x:v>R5-ME-005</x:v>
      </x:c>
      <x:c r="B550" s="4" t="str">
        <x:v>Saudi restriction on Yemen-bound personal SUVs, March–April 2021</x:v>
      </x:c>
      <x:c r="C550" s="4" t="str">
        <x:v>Saudi Arabia; Yemen</x:v>
      </x:c>
      <x:c r="D550" s="4" t="str">
        <x:v>Sharurah / Al-Wadea
Outbound vehicle-category restriction at the Saudi–Yemen land route</x:v>
      </x:c>
      <x:c r="E550" s="4" t="str">
        <x:v>Yemen-bound SUV owners and travellers; commercial military-use pickups separately implicated.
Direction: Saudi Arabia to Yemen
Exceptions: April 25 passage required owner presence; full residual commercial and vehicle-model exclusions not reconstructed.</x:v>
      </x:c>
      <x:c r="F550" s="4" t="str">
        <x:v>R5-ME-005-D1 — Observed operation
Personal SUVs travelling Saudi Arabia to Yemen in the owner-present category admitted on April 25
Start: 2021-03-01 to 2021-03-31.
Observed scoped reopening: 2021-04-25.
25–55 calendar-day difference; scoped endpoint only</x:v>
      </x:c>
      <x:c r="G550" s="4" t="str">
        <x:v>Security / Armed conflict and military confrontation
Attributed official justification
Applies to: Recorded episode; exact overlap not separately established
The anti-diversion explanation applies to the requested military-use pickup restriction; extension to private vehicles was disputed.</x:v>
      </x:c>
      <x:c r="H550" s="4" t="str">
        <x:v>R5-ME-005-D1: Onset remains month precision; mid-March, two-week and 35-day retrospective accounts are not forced into an exact day. Endpoint is conditional owner-present passage, not all models/commercial vehicles; residual exclusions are incompletely reconstructed and reports share the director's lineage.</x:v>
      </x:c>
      <x:c r="I550" s="4" t="str">
        <x:v>Retained baseline assessment. Retained with recorded qualifications</x:v>
      </x:c>
      <x:c r="J550" s="18" t="d">
        <x:v>2026-10-23T00:00:00.000Z</x:v>
      </x:c>
      <x:c r="K550" s="21" t="str">
        <x:f>IFERROR(HYPERLINK("https://www.yemenmonitor.com/Details/ArtMID/908/ArticleID/52535","Yemen Monitor"),"Yemen Monitor")</x:f>
        <x:v>Yemen Monitor</x:v>
      </x:c>
      <x:c r="L550" s="21" t="str">
        <x:f>IFERROR(HYPERLINK("https://carnegieendowment.org/ar/middle-east/diwan/2021/04/mnfth-alwdyah-alhdwdy-la-yrhb-bkm","Carnegie Endowment / Diwan"),"Carnegie Endowment / Diwan")</x:f>
        <x:v>Carnegie Endowment / Diwan</x:v>
      </x:c>
      <x:c r="M550" s="21" t="str">
        <x:f>IFERROR(HYPERLINK("https://www.sabanew.net/story/ar/74905","SABA"),"SABA")</x:f>
        <x:v>SABA</x:v>
      </x:c>
      <x:c r="N550" s="4" t="str">
        <x:v>https://www.yemenmonitor.com/Details/ArtMID/908/ArticleID/52535
https://carnegieendowment.org/ar/middle-east/diwan/2021/04/mnfth-alwdyah-alhdwdy-la-yrhb-bkm
https://www.sabanew.net/story/ar/74905
https://alsharaeanews.com/2021/04/25/34415/
https://www.alwatan.com.sa/article/1074604</x:v>
      </x:c>
      <x:c r="O550" s="4" t="str">
        <x:v>Source 1: full article
Source 2: full article
Source 3: full article</x:v>
      </x:c>
      <x:c r="P550" s="20" t="n">
        <x:v>1</x:v>
      </x:c>
      <x:c r="Q550" s="4" t="str">
        <x:v>Middle East</x:v>
      </x:c>
      <x:c r="R550" s="4" t="str">
        <x:v>Included</x:v>
      </x:c>
    </x:row>
    <x:row r="551" ht="162" hidden="0" customHeight="1">
      <x:c r="A551" s="16" t="str">
        <x:v>R5-ME-006</x:v>
      </x:c>
      <x:c r="B551" s="4" t="str">
        <x:v>Shalamcheh security suspension and same-day passenger restoration, April 2026</x:v>
      </x:c>
      <x:c r="C551" s="4" t="str">
        <x:v>Iraq; Iran</x:v>
      </x:c>
      <x:c r="D551" s="4" t="str">
        <x:v>Shalamcheh / Shalamjah
Trade and passenger suspension at Shalamcheh after a nearby strike</x:v>
      </x:c>
      <x:c r="E551" s="4" t="str">
        <x:v>Passenger and commercial movements initially suspended.
Direction: Both crossing functions; precise directional exceptions not established.
Exceptions: Passenger traffic restored later that day; first resumed freight movement not established.</x:v>
      </x:c>
      <x:c r="F551" s="4" t="str">
        <x:v>R5-ME-006-D1 — Observed operation
Shalamcheh passengers on 4 April 2026; freight endpoint remains unknown.
Start: 2026-04-04.
Observed scoped reopening: 2026-04-04.
Same-day episode; no whole-day duration inferred</x:v>
      </x:c>
      <x:c r="G551"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551" s="4" t="str">
        <x:v>R5-ME-006-D1: Shown as an episode occurring on this date, not a whole-day closure. Most official claims derive from INA; Reuters adds security-source reporting. Later passenger restoration does not establish the freight endpoint or exact hours.
end: Freight restoration remains unestablished, already excluded from passenger phase.</x:v>
      </x:c>
      <x:c r="I551" s="4" t="str">
        <x:v>Retained baseline assessment. Retained with recorded qualifications</x:v>
      </x:c>
      <x:c r="J551" s="18" t="d">
        <x:v>2026-10-23T00:00:00.000Z</x:v>
      </x:c>
      <x:c r="K551" s="21" t="str">
        <x:f>IFERROR(HYPERLINK("https://www.reuters.com/world/middle-east/iraq-closes-shalamcheh-crossing-with-iran-after-airstrikes-kill-iraqi-2026-04-04/","Reuters"),"Reuters")</x:f>
        <x:v>Reuters</x:v>
      </x:c>
      <x:c r="L551" s="21" t="str">
        <x:f>IFERROR(HYPERLINK("https://qna.org.qa/en/news/news-details?date=4%2F04%2F2026&amp;id=iraq-passenger-traffic-returns-to-shalamcheh-border-crossing-with-iran","Qatar News Agency"),"Qatar News Agency")</x:f>
        <x:v>Qatar News Agency</x:v>
      </x:c>
      <x:c r="M551" s="21" t="str">
        <x:f>IFERROR(HYPERLINK("https://www.bernama.com/en/news.php?id=2541133","Bernama"),"Bernama")</x:f>
        <x:v>Bernama</x:v>
      </x:c>
      <x:c r="N551" s="4" t="str">
        <x:v>https://www.reuters.com/world/middle-east/iraq-closes-shalamcheh-crossing-with-iran-after-airstrikes-kill-iraqi-2026-04-04/
https://qna.org.qa/en/news/news-details?date=4%2F04%2F2026&amp;id=iraq-passenger-traffic-returns-to-shalamcheh-border-crossing-with-iran
https://www.bernama.com/en/news.php?id=2541133
https://www.iraqinews.com/iraq/iraq-iran-border-crossing-reopened-following-air-strikes/
https://www.marketscreener.com/news/iraq-iran-border-crossing-at-shalamcheh-returns-to-normal-after-closure-due-to-air-strikes-ce7e51d2dd8ef523</x:v>
      </x:c>
      <x:c r="O551" s="4" t="str">
        <x:v>Source 1: full article
Source 2: full article
Source 3: full article</x:v>
      </x:c>
      <x:c r="P551" s="20" t="n">
        <x:v>1</x:v>
      </x:c>
      <x:c r="Q551" s="4" t="str">
        <x:v>Middle East</x:v>
      </x:c>
      <x:c r="R551" s="4" t="str">
        <x:v>Included</x:v>
      </x:c>
    </x:row>
    <x:row r="552" ht="198" hidden="0" customHeight="1">
      <x:c r="A552" s="16" t="str">
        <x:v>R5-AWN-004</x:v>
      </x:c>
      <x:c r="B552" s="4" t="str">
        <x:v>Ras Jedir August 2024 approach-road blockade and passenger reopening</x:v>
      </x:c>
      <x:c r="C552" s="4" t="str">
        <x:v>Libya; Tunisia</x:v>
      </x:c>
      <x:c r="D552" s="4" t="str">
        <x:v>Ras Jedir / Ra’s Judayr and Boukamech / Abu Kamash approach road
Deliberate obstruction of access to the international crossing, with subsequent official outbound suspension</x:v>
      </x:c>
      <x:c r="E552" s="4" t="str">
        <x:v>Travellers and vehicles trying to use Ras Jedir; this record bounds the renewed passenger-access obstruction.
Direction: Two-way passenger obstruction reported; UN annex separately records an official outbound suspension on 26 August.
Exceptions: Dhehiba–Wazen provided an alternative route; specific exceptions through the blocked road are not established.</x:v>
      </x:c>
      <x:c r="F552" s="4" t="str">
        <x:v>R5-AWN-004-D1 — Observed operation
Ordinary passenger/vehicle access to Ras Jedir through the obstructed approach road
Start: 2024-08-22.
Observed scoped reopening: 2024-08-28.
6 calendar-day difference; scoped endpoint only</x:v>
      </x:c>
      <x:c r="G552" s="4" t="str">
        <x:v>Trade and protectionism / Trade and transport protests
Reported reason
Applies to: Protester approach blockade; precise overlap with later official suspension not established
Local reporting attributes commercial-access demands to residents; not an official government justification.</x:v>
      </x:c>
      <x:c r="H552" s="4" t="str">
        <x:v>R5-AWN-004-D1: The 28 August account calls the closure four days, inconsistent with the explicit Thursday-evening 22 August onset. The precisely anchored contemporary date is retained, with that shorthand disclosed. Protester obstruction and the later reported official outward suspension are distinct mechanisms; no exact elapsed-hour count is certified. The endpoint concerns passengers and ordinary vehicles, not restored commercial freight. Dhehiba–Wazen was an alternative. The official UN PDF was unavailable in this round.</x:v>
      </x:c>
      <x:c r="I552" s="4" t="str">
        <x:v>Targeted source review (REC50-R21); accepted corrections; evidence limits retained.</x:v>
      </x:c>
      <x:c r="J552" s="18" t="d">
        <x:v>2026-10-25T00:00:00.000Z</x:v>
      </x:c>
      <x:c r="K552" s="21" t="str">
        <x:f>IFERROR(HYPERLINK("https://o2efm.radioexpressfm.com/fr/actualites/ras-jedir-le-passage-frontalier-totalement-paralyse/","Radio Express FM"),"Radio Express FM")</x:f>
        <x:v>Radio Express FM</x:v>
      </x:c>
      <x:c r="L552" s="21" t="str">
        <x:f>IFERROR(HYPERLINK("https://o2efm.radioexpressfm.com/fr/actualites/reouverture-du-passage-frontalier-de-ras-jedir/","Radio Express FM"),"Radio Express FM")</x:f>
        <x:v>Radio Express FM</x:v>
      </x:c>
      <x:c r="M552" s="21" t="str">
        <x:f>IFERROR(HYPERLINK("https://www.mosaiquefm.net/fr/actualite-regional-tunisie/1306457/reprise-du-trafic-au-passage-de-ras-jedir","Mosaïque FM"),"Mosaïque FM")</x:f>
        <x:v>Mosaïque FM</x:v>
      </x:c>
      <x:c r="N552" s="4" t="str">
        <x:v>https://o2efm.radioexpressfm.com/fr/actualites/ras-jedir-le-passage-frontalier-totalement-paralyse/
https://o2efm.radioexpressfm.com/fr/actualites/reouverture-du-passage-frontalier-de-ras-jedir/
https://www.mosaiquefm.net/fr/actualite-regional-tunisie/1306457/reprise-du-trafic-au-passage-de-ras-jedir
https://digitallibrary.un.org/record/4073810/files/S_2024_914-FR.pdf
https://africa24tv.com/libye-reouverture-du-poste-frontiere-de-ras-jedir/
https://www.mosaiquefm.net/mobile/fr/actualite-regional-tunisie/1305020/l-activite-au-poste-frontalier-de-ras-jedir-a-l-arret
https://digitallibrary.un.org/record/4073810?ln=es
https://www.webdo.tn/fr/actualite/national/tunisie-le-trafic-reprend-au-poste-frontalier-de-ras-jedir/216044/
https://www.lequotidien.com.tn/fr/nationale/4645-poste-frontalier-ras-jedir-encore-une-fermeture-dans-les-deux-sens
https://www.tunisie-tribune.com/2024/08/28/reprise-du-trafic-a-ras-jedir/
https://kapitalis.com/tunisie/2024/09/02/ras-jedir-au-coeur-de-la-contrebande-entre-la-tunisie-et-la-libye/</x:v>
      </x:c>
      <x:c r="O552" s="4" t="str">
        <x:v>Source 1: full text
Source 2: full text
Source 3: unavailable</x:v>
      </x:c>
      <x:c r="P552" s="20" t="n">
        <x:v>1</x:v>
      </x:c>
      <x:c r="Q552" s="4" t="str">
        <x:v>North Africa</x:v>
      </x:c>
      <x:c r="R552" s="4" t="str">
        <x:v>Included</x:v>
      </x:c>
    </x:row>
    <x:row r="553" ht="162" hidden="0" customHeight="1">
      <x:c r="A553" s="16" t="str">
        <x:v>R5-SC-004</x:v>
      </x:c>
      <x:c r="B553" s="4" t="str">
        <x:v>Jhulaghat closure order for November 2019 Indian legislative election</x:v>
      </x:c>
      <x:c r="C553" s="4" t="str">
        <x:v>Nepal; India</x:v>
      </x:c>
      <x:c r="D553" s="4" t="str">
        <x:v>Jhulaghat bridge/transit, Baitadi–Pithoragarh
Ordinary passage through Jhulaghat border transit</x:v>
      </x:c>
      <x:c r="E553" s="4" t="str">
        <x:v>Ordinary border users; freight not separately described.
Direction: Cross-border passage; not separately disaggregated
Exceptions: Emergency passage could be agreed by authorities on both sides.</x:v>
      </x:c>
      <x:c r="F553" s="4" t="str">
        <x:v>R5-SC-004-R1 — Announced window
Jhulaghat crossing restriction for Indian legislative election, emergency permission retained
Start: 2019-11-22.
Scheduled endpoint: 2019-11-25.
Ordered window: 3 calendar-day difference; actual end not established</x:v>
      </x:c>
      <x:c r="G553"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53" s="4" t="str">
        <x:v>R5-SC-004-R1: Start hour unknown; order-only dates; November 2020 pensioner reopening result is a different event.
continuity: Actual implementation and reopening are unobserved, already labeled as such.
Current finding: November 18 report gives the Jhulaghat election order November 22–25, ending at 17:00 with discretionary emergency passage. Actual implementation and lifting were not retrieved. The November 2020 pensioner event cannot supply this endpoint.</x:v>
      </x:c>
      <x:c r="I553" s="4" t="str">
        <x:v>Retained baseline assessment. Correction pass: reviewed; see attribute findings</x:v>
      </x:c>
      <x:c r="J553" s="18" t="d">
        <x:v>2026-10-23T00:00:00.000Z</x:v>
      </x:c>
      <x:c r="K553" s="21" t="str">
        <x:f>IFERROR(HYPERLINK("https://english.ratopati.com/story/11084/closed","Ratopati / RSS"),"Ratopati / RSS")</x:f>
        <x:v>Ratopati / RSS</x:v>
      </x:c>
      <x:c r="L553" s="21" t="str">
        <x:f>IFERROR(HYPERLINK("https://english.ratopati.com/story/16500","Ratopati / RSS"),"Ratopati / RSS")</x:f>
        <x:v>Ratopati / RSS</x:v>
      </x:c>
      <x:c r="M553" s="21" t="str">
        <x:f>IFERROR(HYPERLINK("https://www.myrepublica.nagariknetwork.com/index.php/news/transit-point-to-be-closed","Republica"),"Republica")</x:f>
        <x:v>Republica</x:v>
      </x:c>
      <x:c r="N553" s="4" t="str">
        <x:v>https://english.ratopati.com/story/11084/closed
https://english.ratopati.com/story/16500
https://www.myrepublica.nagariknetwork.com/index.php/news/transit-point-to-be-closed
https://sports.nagariknews.com/news/transit-point-to-be-closed</x:v>
      </x:c>
      <x:c r="O553" s="4" t="str">
        <x:v>Source 1: indexed excerpt; failed
Source 2: indexed excerpt
Source 3: full page</x:v>
      </x:c>
      <x:c r="P553" s="20" t="n">
        <x:v>1</x:v>
      </x:c>
      <x:c r="Q553" s="4" t="str">
        <x:v>South Asia</x:v>
      </x:c>
      <x:c r="R553" s="4" t="str">
        <x:v>Included</x:v>
      </x:c>
    </x:row>
    <x:row r="554" ht="78" hidden="0" customHeight="1">
      <x:c r="A554" s="16" t="str">
        <x:v>R5-SC-002</x:v>
      </x:c>
      <x:c r="B554" s="4" t="str">
        <x:v>Bhutan closes southern international gates for November 2023 primary elections</x:v>
      </x:c>
      <x:c r="C554" s="4" t="str">
        <x:v>Bhutan; India</x:v>
      </x:c>
      <x:c r="D554" s="4" t="str">
        <x:v>Southern Bhutan international border gates; individual gates not listed in retrieved notice
Passage through southern international land gates</x:v>
      </x:c>
      <x:c r="E554" s="4" t="str">
        <x:v>Cross-border travellers; freight treatment and exceptions not specified.
Direction: Cross-border passage; directions not separately described
Exceptions: Not established</x:v>
      </x:c>
      <x:c r="F554" s="4" t="str">
        <x:v>R5-SC-002-R1 — Announced window
Bhutan's southern international land gates, election closure as announced
Start: 2023-11-29.
Scheduled endpoint: 2023-11-30.
Ordered window: 1 calendar-day difference; actual end not established</x:v>
      </x:c>
      <x:c r="G554"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x:v>
      </x:c>
      <x:c r="H554" s="4" t="str">
        <x:v>R5-SC-002-R1: Announced November 29 18:00–November 30 18:00 window; individual gates and exemptions not enumerated. BBS confirms onset but actual next-evening restoration is unverified. Separate pandemic episodes excluded.</x:v>
      </x:c>
      <x:c r="I554" s="4" t="str">
        <x:v>Retained baseline assessment. Retained with recorded qualifications</x:v>
      </x:c>
      <x:c r="J554" s="18" t="d">
        <x:v>2026-10-23T00:00:00.000Z</x:v>
      </x:c>
      <x:c r="K554" s="21" t="str">
        <x:f>IFERROR(HYPERLINK("https://www.bbs.bt/195177/","BBS"),"BBS")</x:f>
        <x:v>BBS</x:v>
      </x:c>
      <x:c r="L554" s="21" t="str">
        <x:f>IFERROR(HYPERLINK("https://www.indiatodayne.in/international/story/southern-bhutan-border-to-be-sealed-ahead-of-national-assembly-elections-716610-2023-11-25","India Today NE"),"India Today NE")</x:f>
        <x:v>India Today NE</x:v>
      </x:c>
      <x:c r="M554" s="21"/>
      <x:c r="N554" s="4" t="str">
        <x:v>https://www.bbs.bt/195177/
https://www.indiatodayne.in/international/story/southern-bhutan-border-to-be-sealed-ahead-of-national-assembly-elections-716610-2023-11-25</x:v>
      </x:c>
      <x:c r="O554" s="4" t="str">
        <x:v>Source 1: full
Source 2: indexed excerpt</x:v>
      </x:c>
      <x:c r="P554" s="20" t="n">
        <x:v>1</x:v>
      </x:c>
      <x:c r="Q554" s="4" t="str">
        <x:v>South Asia</x:v>
      </x:c>
      <x:c r="R554" s="4" t="str">
        <x:v>Included</x:v>
      </x:c>
    </x:row>
    <x:row r="555" ht="162" hidden="0" customHeight="1">
      <x:c r="A555" s="16" t="str">
        <x:v>R5-SC-003</x:v>
      </x:c>
      <x:c r="B555" s="4" t="str">
        <x:v>Tamulpur orders selective Bhutan-border closure for April 2026 Assam polling</x:v>
      </x:c>
      <x:c r="C555" s="4" t="str">
        <x:v>India; Bhutan</x:v>
      </x:c>
      <x:c r="D555" s="4" t="str">
        <x:v>International land entry/exit points in Tamulpur district, Assam
Non-exempt movement of people and vehicles through Tamulpur’s Bhutan-border routes</x:v>
      </x:c>
      <x:c r="E555" s="4" t="str">
        <x:v>Non-exempt travellers and vehicles.
Direction: Entry and exit, with category-specific exemptions
Exceptions: Medical emergencies from Bhutan; Indian citizens/foreign tourists already in Bhutan with valid documents; permitted tourists travelling to Bhutan; essential perishable cargo after checks; identified Tamulpur and Goreshwar voters entering the district.</x:v>
      </x:c>
      <x:c r="F555" s="4" t="str">
        <x:v>R5-SC-003-R1 — Announced window
Tamulpur district's Bhutan land routes; ordinary individuals and vehicles restricted with specified exceptions
Start: 2026-04-06.
Scheduled endpoint: 2026-04-09.
Ordered window: 3 calendar-day difference; actual end not established</x:v>
      </x:c>
      <x:c r="G555"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55" s="4" t="str">
        <x:v>R5-SC-003-R1: Starts April 6 at 17:00; April 9 endpoint is polling completion, clock time unspecified, not a complete closed calendar day. No lifting log; exceptions include medical entry, documented tourists, eligible voters and perishable essentials.</x:v>
      </x:c>
      <x:c r="I555" s="4" t="str">
        <x:v>Retained baseline assessment. Retained with recorded qualifications</x:v>
      </x:c>
      <x:c r="J555" s="18" t="d">
        <x:v>2026-10-23T00:00:00.000Z</x:v>
      </x:c>
      <x:c r="K555" s="21" t="str">
        <x:f>IFERROR(HYPERLINK("https://english.hindusthansamachar.in/Encyc/2026/4/6/Traffic-control-on-India-Bhuta.php","Hindusthan Samachar"),"Hindusthan Samachar")</x:f>
        <x:v>Hindusthan Samachar</x:v>
      </x:c>
      <x:c r="L555" s="21" t="str">
        <x:f>IFERROR(HYPERLINK("https://timesofindia.indiatimes.com/city/guwahati/restrictions-on-vehicles-along-india-bhutan-border-for-polls/amp_articleshow/130069426.cms","Times of India"),"Times of India")</x:f>
        <x:v>Times of India</x:v>
      </x:c>
      <x:c r="M555" s="21" t="str">
        <x:f>IFERROR(HYPERLINK("https://www.indiatodayne.in/assam/story/movement-curbs-imposed-along-india-bhutan-border-in-tamulpur-ahead-of-assam-polls-1371494-2026-04-06","India Today NE"),"India Today NE")</x:f>
        <x:v>India Today NE</x:v>
      </x:c>
      <x:c r="N555" s="4" t="str">
        <x:v>https://english.hindusthansamachar.in/Encyc/2026/4/6/Traffic-control-on-India-Bhuta.php
https://timesofindia.indiatimes.com/city/guwahati/restrictions-on-vehicles-along-india-bhutan-border-for-polls/amp_articleshow/130069426.cms
https://www.indiatodayne.in/assam/story/movement-curbs-imposed-along-india-bhutan-border-in-tamulpur-ahead-of-assam-polls-1371494-2026-04-06</x:v>
      </x:c>
      <x:c r="O555" s="4" t="str">
        <x:v>Source 1: indexed excerpt; full
Source 2: indexed excerpt
Source 3: full page</x:v>
      </x:c>
      <x:c r="P555" s="20" t="n">
        <x:v>1</x:v>
      </x:c>
      <x:c r="Q555" s="4" t="str">
        <x:v>South Asia</x:v>
      </x:c>
      <x:c r="R555" s="4" t="str">
        <x:v>Included</x:v>
      </x:c>
    </x:row>
    <x:row r="556" ht="162" hidden="0" customHeight="1">
      <x:c r="A556" s="16" t="str">
        <x:v>R5-SC-005</x:v>
      </x:c>
      <x:c r="B556" s="4" t="str">
        <x:v>Bhutan-facing gates close for West Bengal’s April 2026 first-phase election</x:v>
      </x:c>
      <x:c r="C556" s="4" t="str">
        <x:v>Bhutan; India</x:v>
      </x:c>
      <x:c r="D556" s="4" t="str">
        <x:v>Phuentsholing–Jaigaon; Samtse; Lhamoizingkha
Ordinary entry/exit at three Bhutan–India gates</x:v>
      </x:c>
      <x:c r="E556" s="4" t="str">
        <x:v>Ordinary cross-border users; no universal all-goods claim.
Direction: Entry and exit
Exceptions: NDTV’s Jaigaon account exempts tourists and essential services. Applicability of those exceptions at the other two gates is not established.</x:v>
      </x:c>
      <x:c r="F556" s="4" t="str">
        <x:v>R5-SC-005-R1 — Announced window
Lhamoizingkha, Phuentsholing and Samtse international exit/entry gates under Bhutan election-related notice
Start: 2026-04-20.
Scheduled endpoint: 2026-04-23.
Ordered window: 3 calendar-day difference; actual end not established</x:v>
      </x:c>
      <x:c r="G556"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56" s="4" t="str">
        <x:v>R5-SC-005-R1: NDTV reports Jaigaon closed after 18:00 rather than 17:00 and specifies exemptions; other gates not independently observed. No actual April 23 reopening inferred.</x:v>
      </x:c>
      <x:c r="I556" s="4" t="str">
        <x:v>Retained baseline assessment. Retained with recorded qualifications</x:v>
      </x:c>
      <x:c r="J556" s="18" t="d">
        <x:v>2026-10-23T00:00:00.000Z</x:v>
      </x:c>
      <x:c r="K556" s="21" t="str">
        <x:f>IFERROR(HYPERLINK("https://samtse.gov.bt/2026/04/public-notification/","Samtse Dzongkhag Administration"),"Samtse Dzongkhag Administration")</x:f>
        <x:v>Samtse Dzongkhag Administration</x:v>
      </x:c>
      <x:c r="L556" s="21" t="str">
        <x:f>IFERROR(HYPERLINK("https://ndtv.in/india/bhutan-gate-in-jaigaon-sealed-ahead-of-phase-1-voting-in-bengal-movement-restricted-11384959","NDTV India"),"NDTV India")</x:f>
        <x:v>NDTV India</x:v>
      </x:c>
      <x:c r="M556" s="21" t="str">
        <x:f>IFERROR(HYPERLINK("https://samtse.gov.bt/wp-content/uploads/2026/04/Public-Notification.pdf","Samtse Dzongkhag Administration"),"Samtse Dzongkhag Administration")</x:f>
        <x:v>Samtse Dzongkhag Administration</x:v>
      </x:c>
      <x:c r="N556" s="4" t="str">
        <x:v>https://samtse.gov.bt/2026/04/public-notification/
https://ndtv.in/india/bhutan-gate-in-jaigaon-sealed-ahead-of-phase-1-voting-in-bengal-movement-restricted-11384959
https://samtse.gov.bt/wp-content/uploads/2026/04/Public-Notification.pdf
https://www.newsonair.gov.in/west-bengal-assembly-elections-campaigning-enters-final-two-days/</x:v>
      </x:c>
      <x:c r="O556" s="4" t="str">
        <x:v>Source 1: indexed excerpt; failed; full
Source 2: full
Source 3: failed</x:v>
      </x:c>
      <x:c r="P556" s="20" t="n">
        <x:v>1</x:v>
      </x:c>
      <x:c r="Q556" s="4" t="str">
        <x:v>South Asia</x:v>
      </x:c>
      <x:c r="R556" s="4" t="str">
        <x:v>Included</x:v>
      </x:c>
    </x:row>
    <x:row r="557" ht="282" hidden="0" customHeight="1">
      <x:c r="A557" s="16" t="str">
        <x:v>R5-SC-001</x:v>
      </x:c>
      <x:c r="B557" s="4" t="str">
        <x:v>Banke restricts Nepali shopping trips through Jamunaha–Rupaidiha during the 2021 COVID wave</x:v>
      </x:c>
      <x:c r="C557" s="4" t="str">
        <x:v>Nepal; India</x:v>
      </x:c>
      <x:c r="D557" s="4" t="str">
        <x:v>Jamunaha–Rupaidiha, Banke district
Non-essential outbound travel by Nepali residents, especially shopping trips</x:v>
      </x:c>
      <x:c r="E557" s="4" t="str">
        <x:v>Nepali residents making non-essential trips to the Indian border market; no total freight prohibition established.
Direction: Nepal to India for the restricted trips
Exceptions: Essential work permitted in April account; India-to-Nepal returns subject to screening.</x:v>
      </x:c>
      <x:c r="F557" s="4" t="str">
        <x:v>R5-SC-001-FU1 — Observed operation
Jamunaha–Rupaidiha outbound local shopping movement
Start: unknown.
Last confirmed: 2021-03-25. Reopening is not established.
confirmed through 2021-03-25; reopening unknown
R5-SC-001-FU2 — Observed operation
Jamunaha–Rupaidiha outbound local shopping movement
Start: unknown.
Last confirmed: 2021-04-16. Reopening is not established.
confirmed through 2021-04-16; reopening unknown</x:v>
      </x:c>
      <x:c r="G55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57" s="4" t="str">
        <x:v>The initial decision date and interruptions before April remain unknown. March 25 is an observation, not onset. Shopping was occurring by July 29, 2021, but the first relaxation day is unknown. Formal national restrictions and local practice differed.
R5-SC-001-FU1: Restriction observed/reported March 25; first decision date unknown and continuity to April is not inferred.
R5-SC-001-FU2: April 16 separately confirmed restricted state; not assumed a distinct event or uninterrupted continuation of March 25.
end: July 29 shopping was already the known passed-by observation; this pass adds no first relaxation instruction or date. Separate March/April restricted-state snapshots improve phase representation but do not answer this endpoint question.
duration: Add separately confirmed March 25 and April 16 shopping-restriction states without joining them. July 29 shopping proves passage by then, leaving the first relaxation day unresolved.
onset: March 25 and April 16 reports separately document restricted Nepali shopping trips toward Rupaidiha, while returnees and essential journeys are treated differently. Neither first onset nor uninterrupted continuity between the observations is established.
continuity: No evidence establishes uninterrupted enforcement between the dated observations or actual lifting of an announced order.</x:v>
      </x:c>
      <x:c r="I557" s="4" t="str">
        <x:v>Retained baseline assessment. Correction pass: amended with stated qualifications</x:v>
      </x:c>
      <x:c r="J557" s="18" t="d">
        <x:v>2026-10-23T00:00:00.000Z</x:v>
      </x:c>
      <x:c r="K557" s="21" t="str">
        <x:f>IFERROR(HYPERLINK("https://english.nepalnews.com/s/nation/banke-administration-halts-mobility-at-nepalindia-border/","NepalNews"),"NepalNews")</x:f>
        <x:v>NepalNews</x:v>
      </x:c>
      <x:c r="L557" s="21" t="str">
        <x:f>IFERROR(HYPERLINK("https://thehimalayantimes.com/nepal/district-risk-management-centre-in-banke-prohibits-movement-to-rupaidiha-india","The Himalayan Times"),"The Himalayan Times")</x:f>
        <x:v>The Himalayan Times</x:v>
      </x:c>
      <x:c r="M557" s="21" t="str">
        <x:f>IFERROR(HYPERLINK("https://english.nepalnews.com/s/nation/movement-to-rupaidiha-across-indian-border-banned/","NepalNews"),"NepalNews")</x:f>
        <x:v>NepalNews</x:v>
      </x:c>
      <x:c r="N557" s="4" t="str">
        <x:v>https://english.nepalnews.com/s/nation/banke-administration-halts-mobility-at-nepalindia-border/
https://thehimalayantimes.com/nepal/district-risk-management-centre-in-banke-prohibits-movement-to-rupaidiha-india
https://english.nepalnews.com/s/nation/movement-to-rupaidiha-across-indian-border-banned/
https://kathmandupost.com/province-no-5/2021/08/21/people-returning-to-india-despite-covid-19-risks
https://thehimalayantimes.com/ampArticle/1006488
https://kathmandupost.com/9/2021/08/21/people-returning-to-india-despite-covid-19-risks
https://risingnepaldaily.com/news/76469
https://risingnepaldaily.com/news/68373
https://english.khabarhub.com/2021/29/199828/
https://english.ratopati.com/story/18749</x:v>
      </x:c>
      <x:c r="O557" s="4" t="str">
        <x:v>Source 1: full
Source 2: full page
Source 3: indexed excerpt</x:v>
      </x:c>
      <x:c r="P557" s="20" t="n">
        <x:v>2</x:v>
      </x:c>
      <x:c r="Q557" s="4" t="str">
        <x:v>South Asia</x:v>
      </x:c>
      <x:c r="R557" s="4" t="str">
        <x:v>Included</x:v>
      </x:c>
    </x:row>
    <x:row r="558" ht="174" hidden="0" customHeight="1">
      <x:c r="A558" s="16" t="str">
        <x:v>R5-AES-005</x:v>
      </x:c>
      <x:c r="B558" s="4" t="str">
        <x:v>Gabon COVID land-passenger restrictions beginning with northern closure in March 2020</x:v>
      </x:c>
      <x:c r="C558" s="4" t="str">
        <x:v>Gabon; Cameroon; Equatorial Guinea; Republic of the Congo</x:v>
      </x:c>
      <x:c r="D558" s="4" t="str">
        <x:v>Kyé-Ossi/Meyo-Kyé specifically documented; national extension covers other land crossings without separate gate observations.
Initial northern land frontier restrictions, extended to national land boundaries; permitted movement categories changed over time.</x:v>
      </x:c>
      <x:c r="E558" s="4" t="str">
        <x:v>Ordinary non-exempt land passengers; later explicit conditional return/institutional travel and essential-goods exceptions.
Direction: Entry and exit restrictions, with specified conditional exceptions; no uniform total two-way seal inferred.
Exceptions: February 1, 2021 notice permits specified Gabonese/regional return travel and international/subregional personnel under conditions, essential food/fuel/gas/medical supplies, and authorised entry/exit with tests and special permits. Some local pedestrian passage was observed in the initial northern phase.</x:v>
      </x:c>
      <x:c r="F558" s="4" t="str">
        <x:v>R5-AES-005-R1 — Formal policy
Initial Gabon northern land-frontier passenger restriction, with Kyé-Ossi/Meyo-Kyé implementation evidence
Start: 2020-03-06.
Last confirmed: 2020-03-12. Reopening is not established.
Formal policy: confirmed through 2020-03-12; at least 6 calendar-day difference; reopening unknown</x:v>
      </x:c>
      <x:c r="G55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58" s="4" t="str">
        <x:v>R5-AES-005-R1: Not total passenger sealing, national onset, or reopening on March 12. Later national/exception phases not appended without matching chain.</x:v>
      </x:c>
      <x:c r="I558" s="4" t="str">
        <x:v>Retained baseline assessment. Retained with recorded qualifications</x:v>
      </x:c>
      <x:c r="J558" s="18" t="d">
        <x:v>2026-10-23T00:00:00.000Z</x:v>
      </x:c>
      <x:c r="K558" s="21" t="str">
        <x:f>IFERROR(HYPERLINK("https://www.gabonreview.com/coronavirus-covid-19-calme-plat-a-la-frontiere-gabon-cameroun/","Gabonreview"),"Gabonreview")</x:f>
        <x:v>Gabonreview</x:v>
      </x:c>
      <x:c r="L558" s="21" t="str">
        <x:f>IFERROR(HYPERLINK("https://afrique.le360.ma/gabon/politique/2020/03/07/29733-coronavirus-le-gabon-restreint-les-mouvements-sa-frontiere-avec-le-cameroun-29733/","Le360 Afrique"),"Le360 Afrique")</x:f>
        <x:v>Le360 Afrique</x:v>
      </x:c>
      <x:c r="M558" s="21" t="str">
        <x:f>IFERROR(HYPERLINK("https://gabonactu.com/blog/2020/03/14/le-gabon-ferme-toutes-ses-frontieres-terrestres-a-cause-du-coronavirus/","Gabonactu"),"Gabonactu")</x:f>
        <x:v>Gabonactu</x:v>
      </x:c>
      <x:c r="N558" s="4" t="str">
        <x:v>https://www.gabonreview.com/coronavirus-covid-19-calme-plat-a-la-frontiere-gabon-cameroun/
https://afrique.le360.ma/gabon/politique/2020/03/07/29733-coronavirus-le-gabon-restreint-les-mouvements-sa-frontiere-avec-le-cameroun-29733/
https://gabonactu.com/blog/2020/03/14/le-gabon-ferme-toutes-ses-frontieres-terrestres-a-cause-du-coronavirus/
https://gabonmediatime.com/gabon-le-ministere-de-linterieur-enonce-des-derogations-a-la-fermeture-des-frontieres/
https://www.journal-officiel.ga/18456-0088-pr-mi-/
https://gabonactu.com/blog/2020/03/20/declaration-integrale-sur-la-fermeture-des-frontieres-au-gabon/
https://www.atibt.org/wp-content/uploads/2020/07/GABON-15-Premier-Ministre-Point-Presse-3-Phase-1-dall%C3%A8gement-des-mesures-restrictives-20200630.pdf
https://www.conjonctures.net/gouvernance/gabon-le-gouvernement-annonce-des-derogations-a-la-mesure-de-fermeture-des-frontieres-terrestres/</x:v>
      </x:c>
      <x:c r="O558" s="4" t="str">
        <x:v>Source 1: full
Source 2: indexed excerpt; full
Source 3: full</x:v>
      </x:c>
      <x:c r="P558" s="20" t="n">
        <x:v>1</x:v>
      </x:c>
      <x:c r="Q558" s="4" t="str">
        <x:v>Southern and Central Africa</x:v>
      </x:c>
      <x:c r="R558" s="4" t="str">
        <x:v>Included</x:v>
      </x:c>
    </x:row>
    <x:row r="559" ht="126" hidden="0" customHeight="1">
      <x:c r="A559" s="16" t="str">
        <x:v>R5-AES-004</x:v>
      </x:c>
      <x:c r="B559" s="4" t="str">
        <x:v>Nakonde–Tunduma COVID closure followed by limited cargo reopening in May 2020</x:v>
      </x:c>
      <x:c r="C559" s="4" t="str">
        <x:v>Zambia; Tanzania</x:v>
      </x:c>
      <x:c r="D559" s="4" t="str">
        <x:v>Nakonde / Tunduma One Stop Border Post
Nakonde–Tunduma crossing and associated Nakonde movement restriction; measured endpoint is initial cargo restoration only.</x:v>
      </x:c>
      <x:c r="E559" s="4" t="str">
        <x:v>Cross-border cargo and ordinary people initially affected; cargo resumed while ordinary passenger crossing remained prohibited.
Direction: Both freight directions reopened, initially trucks destined for Tanzania.
Exceptions: Reopening prioritised cargo, including essential fuel, food and medical supplies. Passenger reopening not established by the cargo evidence.</x:v>
      </x:c>
      <x:c r="F559" s="4" t="str">
        <x:v>R5-AES-004-D1 — Observed operation
Initial Nakonde–Tunduma cargo suspension to first limited truck restoration
Start: 2020-05-10 to 2020-05-11.
Observed scoped reopening: 2020-05-15.
4–5 calendar-day difference; scoped endpoint only</x:v>
      </x:c>
      <x:c r="G55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59" s="4" t="str">
        <x:v>R5-AES-004-D1: Cargo-only endpoint, prioritising essential consignments; passengers remained barred. Later May 22/23 notices are not first cargo restoration. Reuters mirrors are one lineage and no exact five-day or hourly duration is claimed.</x:v>
      </x:c>
      <x:c r="I559" s="4" t="str">
        <x:v>Retained baseline assessment. Retained with recorded qualifications</x:v>
      </x:c>
      <x:c r="J559" s="18" t="d">
        <x:v>2026-10-23T00:00:00.000Z</x:v>
      </x:c>
      <x:c r="K559" s="21" t="str">
        <x:f>IFERROR(HYPERLINK("https://www.thecitizen.co.tz/tanzania/news/national/zambia-closes-border-with-tanzania-to-tame-covid-19-2709020","The Citizen (Tanzania)"),"The Citizen (Tanzania)")</x:f>
        <x:v>The Citizen (Tanzania)</x:v>
      </x:c>
      <x:c r="L559" s="21" t="str">
        <x:f>IFERROR(HYPERLINK("https://www.sabcnews.com/sabcnews/zambia-reopens-border-with-tanzania-to-cargo-after-covid-19-closure/","SABC News / Reuters"),"SABC News / Reuters")</x:f>
        <x:v>SABC News / Reuters</x:v>
      </x:c>
      <x:c r="M559" s="21" t="str">
        <x:f>IFERROR(HYPERLINK("https://magazine.feaffa.com/zambias-nakonde-border-opening-and-kenyas-mobile-lab-at-namanga-quick-gains/","FEAFFA Freight Logistics Magazine"),"FEAFFA Freight Logistics Magazine")</x:f>
        <x:v>FEAFFA Freight Logistics Magazine</x:v>
      </x:c>
      <x:c r="N559" s="4" t="str">
        <x:v>https://www.thecitizen.co.tz/tanzania/news/national/zambia-closes-border-with-tanzania-to-tame-covid-19-2709020
https://www.sabcnews.com/sabcnews/zambia-reopens-border-with-tanzania-to-cargo-after-covid-19-closure/
https://magazine.feaffa.com/zambias-nakonde-border-opening-and-kenyas-mobile-lab-at-namanga-quick-gains/
https://www.miningweekly.com/article/zambia-reopens-border-with-tanzania-to-cargo-after-covid-19-closure-2020-05-15
https://www.thecitizen.co.tz/tanzania/news/international/zambian-border-with-tanzania-reopens--2709366</x:v>
      </x:c>
      <x:c r="O559" s="4" t="str">
        <x:v>Source 1: full relevant text
Source 2: full relevant text
Source 3: full relevant text</x:v>
      </x:c>
      <x:c r="P559" s="20" t="n">
        <x:v>1</x:v>
      </x:c>
      <x:c r="Q559" s="4" t="str">
        <x:v>Southern and Central Africa</x:v>
      </x:c>
      <x:c r="R559" s="4" t="str">
        <x:v>Included</x:v>
      </x:c>
    </x:row>
    <x:row r="560" ht="162" hidden="0" customHeight="1">
      <x:c r="A560" s="16" t="str">
        <x:v>R5-AES-001</x:v>
      </x:c>
      <x:c r="B560" s="4" t="str">
        <x:v>Golela–Lavumisa export suspension during June 2021 Eswatini unrest</x:v>
      </x:c>
      <x:c r="C560" s="4" t="str">
        <x:v>South Africa; Eswatini</x:v>
      </x:c>
      <x:c r="D560" s="4" t="str">
        <x:v>Golela / Lavumisa
South Africa-to-Eswatini exports at Golela–Lavumisa; wider reported frontier interruptions remain separate scope leads.</x:v>
      </x:c>
      <x:c r="E560" s="4" t="str">
        <x:v>Exports from South Africa through Golela; the record does not extend the customs notice to all passengers or imports.
Direction: South Africa to Eswatini, export traffic.
Exceptions: No exception to the specified export suspension documented; other movement categories are not established.</x:v>
      </x:c>
      <x:c r="F560" s="4" t="str">
        <x:v>R5-AES-001-FU1 — Observed operation
Golela Port of Entry export suspension
Start: unknown.
Last confirmed: 2021-06-29. Reopening is not established.
dated evidence; numeric duration withheld; see qualification</x:v>
      </x:c>
      <x:c r="G560" s="4" t="str">
        <x:v>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Power and regime politics / Opposition and political reform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560" s="4" t="str">
        <x:v>R5-AES-001-FU1: Dated customs-status observation only. Page-wide July 2 update does not extend Golela status. Later July unrest report says port open while approach road blocked, a different category and episode.
duration: Fresh primary-source pass supports June 29 export-status observation, and rules out July 29 archive false lead (2020). Parliament describes a different July 2021 road-access disruption; the export endpoint remains unknown.
onset: June29 SARS status confirms export suspension only; the first operative instant is not supplied.</x:v>
      </x:c>
      <x:c r="I560" s="4" t="str">
        <x:v>Retained baseline assessment. Correction pass: amended with stated qualifications</x:v>
      </x:c>
      <x:c r="J560" s="18" t="d">
        <x:v>2026-10-23T00:00:00.000Z</x:v>
      </x:c>
      <x:c r="K560" s="21" t="str">
        <x:f>IFERROR(HYPERLINK("https://www.sars.gov.za/latest-news/customs-borders-and-ports-closures-2/","South African Revenue Service"),"South African Revenue Service")</x:f>
        <x:v>South African Revenue Service</x:v>
      </x:c>
      <x:c r="L560" s="21" t="str">
        <x:f>IFERROR(HYPERLINK("https://www.sowetan.co.za/news/africa/2021-06-30-protests-against-mswatis-supremacy-send-eswatini-into-chaos/","Sowetan"),"Sowetan")</x:f>
        <x:v>Sowetan</x:v>
      </x:c>
      <x:c r="M560" s="21" t="str">
        <x:f>IFERROR(HYPERLINK("https://www.parliament.gov.za/storage/app/media/Docs/atc/7163b8dd-30d2-49ec-97b6-9b465fea7f3b.pdf","Parliament of South Africa"),"Parliament of South Africa")</x:f>
        <x:v>Parliament of South Africa</x:v>
      </x:c>
      <x:c r="N560" s="4" t="str">
        <x:v>https://www.sars.gov.za/latest-news/customs-borders-and-ports-closures-2/
https://www.sowetan.co.za/news/africa/2021-06-30-protests-against-mswatis-supremacy-send-eswatini-into-chaos/
https://www.parliament.gov.za/storage/app/media/Docs/atc/7163b8dd-30d2-49ec-97b6-9b465fea7f3b.pdf
https://wiki.unece.org/spaces/CTRBSBC/pages/101549007/South%2BAfrica</x:v>
      </x:c>
      <x:c r="O560" s="4" t="str">
        <x:v>Source 1: full
Source 2: full
Source 3: full</x:v>
      </x:c>
      <x:c r="P560" s="20" t="n">
        <x:v>1</x:v>
      </x:c>
      <x:c r="Q560" s="4" t="str">
        <x:v>Southern and Central Africa</x:v>
      </x:c>
      <x:c r="R560" s="4" t="str">
        <x:v>Included</x:v>
      </x:c>
    </x:row>
    <x:row r="561" ht="102" hidden="0" customHeight="1">
      <x:c r="A561" s="16" t="str">
        <x:v>R5-AES-002</x:v>
      </x:c>
      <x:c r="B561" s="4" t="str">
        <x:v>Eswatini frontier protest blockades on King Mswati’s birthday in April 2022</x:v>
      </x:c>
      <x:c r="C561" s="4" t="str">
        <x:v>South Africa; Eswatini</x:v>
      </x:c>
      <x:c r="D561" s="4" t="str">
        <x:v>Ngwenya/Oshoek and Golela in News24 reporting; Mananga and Jeppes Reef additionally in SABC reporting.
Reported disruption at several South Africa–Eswatini posts; confirmed same-day restoration relates specifically to Ngwenya–Oshoek.</x:v>
      </x:c>
      <x:c r="E561" s="4" t="str">
        <x:v>Cross-border traffic at the affected posts; exact passenger/freight shares are not documented.
Direction: Cross-border flow affected; direction-specific enforcement not systematically reported.
Exceptions: No documented systematic exceptions; disruption does not establish complete impermeability at every post.</x:v>
      </x:c>
      <x:c r="F561" s="4" t="str">
        <x:v>R5-AES-002-D1 — Observed operation
Protest disruption at Ngwenya–Oshoek only
Start: 2022-04-19.
Observed scoped reopening: 2022-04-19.
Same-day episode; no whole-day duration inferred; News24 describes six hours for a broader protest account; not assigned as a verified Ngwenya-only clock duration.</x:v>
      </x:c>
      <x:c r="G561" s="4" t="str">
        <x:v>Power and regime politics / Opposition and political reform
Reported reason
Applies to: Recorded episode; exact overlap not separately established
The recorded rationale and claim assessment support the selected subcategories. All applicable broad categories are retained together; no primary rationale is imposed.</x:v>
      </x:c>
      <x:c r="H561" s="4" t="str">
        <x:v>R5-AES-002-D1: Sub-day selected-post episode, not a common six-hour duration for every named Eswatini crossing. Post lists differ across reports and complete impermeability is not established. Other posts' endpoints remain unresolved.</x:v>
      </x:c>
      <x:c r="I561" s="4" t="str">
        <x:v>Full-record source audit (REC50-R25); retained with recorded qualifications; evidence limits retained.</x:v>
      </x:c>
      <x:c r="J561" s="18" t="d">
        <x:v>2026-10-25T00:00:00.000Z</x:v>
      </x:c>
      <x:c r="K561" s="21" t="str">
        <x:f>IFERROR(HYPERLINK("https://polity.org.za/article/king-mswati-iii-placed-on-notice-by-eff-and-pro-democracy-groups-2022-04-19","Polity / News24Wire"),"Polity / News24Wire")</x:f>
        <x:v>Polity / News24Wire</x:v>
      </x:c>
      <x:c r="L561" s="21" t="str">
        <x:f>IFERROR(HYPERLINK("https://www.sabcnews.com/sabcnews/eff-pro-democracy-groups-block-eswatini-border-posts-calling-for-democratic-reform/","SABC News"),"SABC News")</x:f>
        <x:v>SABC News</x:v>
      </x:c>
      <x:c r="M561" s="21" t="str">
        <x:f>IFERROR(HYPERLINK("https://au-pida.org/events/wp-content/uploads/2024/11/One-Stop-Border-Post-OSBP-Status-Report.pdf","AU-PIDA"),"AU-PIDA")</x:f>
        <x:v>AU-PIDA</x:v>
      </x:c>
      <x:c r="N561" s="4" t="str">
        <x:v>https://polity.org.za/article/king-mswati-iii-placed-on-notice-by-eff-and-pro-democracy-groups-2022-04-19
https://www.sabcnews.com/sabcnews/eff-pro-democracy-groups-block-eswatini-border-posts-calling-for-democratic-reform/
https://au-pida.org/events/wp-content/uploads/2024/11/One-Stop-Border-Post-OSBP-Status-Report.pdf
https://www.polity.org.za/article/king-mswati-iii-placed-on-notice-by-eff-and-pro-democracy-groups-2022-04-19</x:v>
      </x:c>
      <x:c r="O561" s="4" t="str">
        <x:v>Source 1: full text
Source 2: indexed extract
Source 3: full text</x:v>
      </x:c>
      <x:c r="P561" s="20" t="n">
        <x:v>1</x:v>
      </x:c>
      <x:c r="Q561" s="4" t="str">
        <x:v>Southern and Central Africa</x:v>
      </x:c>
      <x:c r="R561" s="4" t="str">
        <x:v>Included</x:v>
      </x:c>
    </x:row>
    <x:row r="562" ht="162" hidden="0" customHeight="1">
      <x:c r="A562" s="16" t="str">
        <x:v>R5-AES-006</x:v>
      </x:c>
      <x:c r="B562" s="4" t="str">
        <x:v>Gabon land-border closure order for August 2023 general elections</x:v>
      </x:c>
      <x:c r="C562" s="4" t="str">
        <x:v>Gabon; Cameroon; Equatorial Guinea; Republic of the Congo</x:v>
      </x:c>
      <x:c r="D562" s="4" t="str">
        <x:v>All land posts under the order; no crossing-specific observation retrieved.
National land boundaries; maritime part of the same order is outside this land-closure record.</x:v>
      </x:c>
      <x:c r="E562" s="4" t="str">
        <x:v>Land entry/exit authorisations suspended; source does not establish gate-by-gate passenger/freight exceptions.
Direction: Entry and exit under the formal measure.
Exceptions: No land exception recovered. Air transport expressly remained outside this order.</x:v>
      </x:c>
      <x:c r="F562" s="4" t="str">
        <x:v>R5-AES-006-R1 — Announced window
Gabon national election land-border order
Start: 2023-08-26.
Scheduled endpoint: 2023-08-27.
Ordered window: 1 calendar-day difference; actual end not established</x:v>
      </x:c>
      <x:c r="G562"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62" s="4" t="str">
        <x:v>R5-AES-006-R1: Ordered window from August 26 2023 00:00 to August 27 2023 00:00, normalized from August 25 24:00 to August 26 24:00. No observed August 27 reopening or gate-by-gate enforcement is established. Maritime component excluded from this land phase and aviation expressly exempt. The later coup restriction and September opening remain separate.</x:v>
      </x:c>
      <x:c r="I562" s="4" t="str">
        <x:v>Targeted source review (REC50-R36); retained with recorded qualifications; evidence limits retained.</x:v>
      </x:c>
      <x:c r="J562" s="18" t="d">
        <x:v>2026-10-25T00:00:00.000Z</x:v>
      </x:c>
      <x:c r="K562" s="21" t="str">
        <x:f>IFERROR(HYPERLINK("https://gabonmediatime.com/elections-gabon-2023-fermeture-des-frontieres-terrestres-et-maritimes-des-ce-25-aout/","Gabon Media Time"),"Gabon Media Time")</x:f>
        <x:v>Gabon Media Time</x:v>
      </x:c>
      <x:c r="L562" s="21" t="str">
        <x:f>IFERROR(HYPERLINK("https://www.aa.com.tr/fr/afrique/gabon-elections-fermeture-des-fronti%C3%A8res-terrestres-et-maritimes-/2976319","Anadolu"),"Anadolu")</x:f>
        <x:v>Anadolu</x:v>
      </x:c>
      <x:c r="M562" s="21" t="str">
        <x:f>IFERROR(HYPERLINK("https://presidence.ga/2023/09/02/communique-du-ctri-n005-2/","Presidency of Gabon"),"Presidency of Gabon")</x:f>
        <x:v>Presidency of Gabon</x:v>
      </x:c>
      <x:c r="N562" s="4" t="str">
        <x:v>https://gabonmediatime.com/elections-gabon-2023-fermeture-des-frontieres-terrestres-et-maritimes-des-ce-25-aout/
https://www.aa.com.tr/fr/afrique/gabon-elections-fermeture-des-fronti%C3%A8res-terrestres-et-maritimes-/2976319
https://presidence.ga/2023/09/02/communique-du-ctri-n005-2/
https://www.fragomen.com/insights/gabon-land-borders-and-government-offices-closed.html
https://africa24tv.com/elections-2023-fermeture-des-frontieres-et-des-bars-des-ce-25-aout-pour-24-heures/
https://www.investing.com/news/world-news/gabon-reopens-borders-three-days-after-military-coup-3166544</x:v>
      </x:c>
      <x:c r="O562" s="4" t="str">
        <x:v>Source 1: full; full text
Source 2: indexed excerpt; full; full text
Source 3: indexed excerpt; full</x:v>
      </x:c>
      <x:c r="P562" s="20" t="n">
        <x:v>1</x:v>
      </x:c>
      <x:c r="Q562" s="4" t="str">
        <x:v>Southern and Central Africa</x:v>
      </x:c>
      <x:c r="R562" s="4" t="str">
        <x:v>Included</x:v>
      </x:c>
    </x:row>
    <x:row r="563" ht="126" hidden="0" customHeight="1">
      <x:c r="A563" s="16" t="str">
        <x:v>R5-AWN-001</x:v>
      </x:c>
      <x:c r="B563" s="4" t="str">
        <x:v>Niger COVID land-passenger restriction, March 2020 to June 2021 permission</x:v>
      </x:c>
      <x:c r="C563" s="4" t="str">
        <x:v>Niger; Algeria; Libya; Chad; Nigeria; Benin; Burkina Faso; Mali</x:v>
      </x:c>
      <x:c r="D563" s="4" t="str">
        <x:v>All land posts in the order; later transport reporting specifically discusses the Mali route
National land-border passenger restriction with goods exemption</x:v>
      </x:c>
      <x:c r="E563" s="4" t="str">
        <x:v>Ordinary passenger journeys and international road passenger transport.
Direction: National land-border restriction; detailed direction and practice at every post not established.
Exceptions: Transport of goods explicitly exempt; additional individual permissions not exhaustively reconstructed.</x:v>
      </x:c>
      <x:c r="F563" s="4" t="str">
        <x:v>R5-AWN-001-D1 — Formal policy
Niger-side formal land-passenger restriction with goods exemption
Start: 2020-03-19 to 2020-03-20.
Policy endpoint: 2021-06-17.
Formal policy: 454–455 calendar-day difference; operational continuity not established</x:v>
      </x:c>
      <x:c r="G56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63" s="4" t="str">
        <x:v>R5-AWN-001-D1: One-day onset bounds preserve midnight convention, not the March 17 decision date. Regime-level legal period, not complete extension-chain/daily enforcement verification or bilateral operational restoration. Neighbouring restrictions and operator accounts differed; freight remained exempt.</x:v>
      </x:c>
      <x:c r="I563" s="4" t="str">
        <x:v>Retained baseline assessment. Retained with recorded qualifications</x:v>
      </x:c>
      <x:c r="J563" s="18" t="d">
        <x:v>2026-10-23T00:00:00.000Z</x:v>
      </x:c>
      <x:c r="K563" s="21" t="str">
        <x:f>IFERROR(HYPERLINK("https://www.dgi.gouv.ne/index.php/communiques-de-presse/717-communiques-du-gouvernement-relatifs-a-la-lutte-contre-la-pandemie-du-coronavirus","Niger Directorate General of Taxes / Ministry of Finance"),"Niger Directorate General of Taxes / Ministry of Finance")</x:f>
        <x:v>Niger Directorate General of Taxes / Ministry of Finance</x:v>
      </x:c>
      <x:c r="L563" s="21" t="str">
        <x:f>IFERROR(HYPERLINK("https://anp.ne/coronavirus-niger-ferme-ses-aeroports-ses-frontieres-les-ecoles-et-les-lieux-de-loisir/","Agence Nigérienne de Presse"),"Agence Nigérienne de Presse")</x:f>
        <x:v>Agence Nigérienne de Presse</x:v>
      </x:c>
      <x:c r="M563" s="21" t="str">
        <x:f>IFERROR(HYPERLINK("https://www.actuniger.com/politique/17284-communique-du-conseil-des-ministres-du-jeudi-17-juin-2021","ActuNiger"),"ActuNiger")</x:f>
        <x:v>ActuNiger</x:v>
      </x:c>
      <x:c r="N563" s="4" t="str">
        <x:v>https://www.dgi.gouv.ne/index.php/communiques-de-presse/717-communiques-du-gouvernement-relatifs-a-la-lutte-contre-la-pandemie-du-coronavirus
https://anp.ne/coronavirus-niger-ferme-ses-aeroports-ses-frontieres-les-ecoles-et-les-lieux-de-loisir/
https://www.actuniger.com/politique/17284-communique-du-conseil-des-ministres-du-jeudi-17-juin-2021
https://anp.ne/ouverture-des-frontieres-terrestres-au-niger-les-transporteurs-interurbains-reprennent-progressivement-le-trafic-vers-linternational/
https://anp.ne/niger-le-gouvernement-decide-de-la-reouverture-des-frontieres-terrestres-a-compter-du-17-juin-2021/</x:v>
      </x:c>
      <x:c r="O563" s="4" t="str">
        <x:v>Source 1: substantive indexed text; direct open timed out
Source 2: full article
Source 3: full page</x:v>
      </x:c>
      <x:c r="P563" s="20" t="n">
        <x:v>1</x:v>
      </x:c>
      <x:c r="Q563" s="4" t="str">
        <x:v>West Africa and Sahel</x:v>
      </x:c>
      <x:c r="R563" s="4" t="str">
        <x:v>Included</x:v>
      </x:c>
    </x:row>
    <x:row r="564" ht="126" hidden="0" customHeight="1">
      <x:c r="A564" s="16" t="str">
        <x:v>R5-AWN-002</x:v>
      </x:c>
      <x:c r="B564" s="4" t="str">
        <x:v>Mali COVID land-passenger closure, March to July 2020 formal reopening</x:v>
      </x:c>
      <x:c r="C564" s="4" t="str">
        <x:v>Mali; Algeria; Niger; Burkina Faso; Côte d’Ivoire; Guinea; Senegal; Mauritania</x:v>
      </x:c>
      <x:c r="D564" s="4" t="str">
        <x:v>All national land frontiers in the policy; individual posts not exhaustively observed
National land-border passenger closure with freight exception</x:v>
      </x:c>
      <x:c r="E564" s="4" t="str">
        <x:v>Ordinary passenger entry and exit through land borders.
Direction: National land restriction; implementation and individual exceptions by direction not comprehensively documented.
Exceptions: Freight and goods transport, especially essential supplies, explicitly exempt.</x:v>
      </x:c>
      <x:c r="F564" s="4" t="str">
        <x:v>R5-AWN-002-D1 — Formal policy
Malian land-passenger closure order, excluding freight/goods
Start: 2020-03-26.
Policy endpoint: 2020-07-31.
Formal policy: 127 calendar-day difference; operational continuity not established</x:v>
      </x:c>
      <x:c r="G56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64" s="4" t="str">
        <x:v>R5-AWN-002-D1: Formal permission interval only, not first enforcement hour or universal actual traffic restart. Freight/essential goods and post-reopening health conditions remained. July 25 air restoration and domestic curfew exceptions are not transferred to the land record.</x:v>
      </x:c>
      <x:c r="I564" s="4" t="str">
        <x:v>Retained baseline assessment. Retained with recorded qualifications</x:v>
      </x:c>
      <x:c r="J564" s="18" t="d">
        <x:v>2026-10-23T00:00:00.000Z</x:v>
      </x:c>
      <x:c r="K564" s="21" t="str">
        <x:f>IFERROR(HYPERLINK("https://amap.ml/2020/03/26/suite-a-deux-cas-positifs-au-covid-19-le-president-keita-decrete-letat-durgence-sanitaire/","Agence malienne de presse et de publicité"),"Agence malienne de presse et de publicité")</x:f>
        <x:v>Agence malienne de presse et de publicité</x:v>
      </x:c>
      <x:c r="L564" s="21" t="str">
        <x:f>IFERROR(HYPERLINK("https://bamada.net/communique-du-ministere-de-la-securite-sur-le-couvre-feu-etabli-en-raison-du-coronavirus","Bamada.net"),"Bamada.net")</x:f>
        <x:v>Bamada.net</x:v>
      </x:c>
      <x:c r="M564" s="21" t="str">
        <x:f>IFERROR(HYPERLINK("https://www.droit-afrique.com/uploads/Mali-Decret-2020-326-reouverture-frontieres-pandemie.pdf","Droit-Afrique"),"Droit-Afrique")</x:f>
        <x:v>Droit-Afrique</x:v>
      </x:c>
      <x:c r="N564" s="4" t="str">
        <x:v>https://amap.ml/2020/03/26/suite-a-deux-cas-positifs-au-covid-19-le-president-keita-decrete-letat-durgence-sanitaire/
https://bamada.net/communique-du-ministere-de-la-securite-sur-le-couvre-feu-etabli-en-raison-du-coronavirus
https://www.droit-afrique.com/uploads/Mali-Decret-2020-326-reouverture-frontieres-pandemie.pdf
https://www.voaafrique.com/a/le-mali-rouvre-ses-fronti%C3%A8res-a%C3%A9riennes-samedi-et-terrestres-le-31-juillet/5516458.html
https://www.aa.com.tr/fr/afrique/mali-covid-19-le-gouvernement-annonce-la-r%C3%A9ouverture-des-fronti%C3%A8res-a%C3%A9riennes-et-terrestres-/1921555
https://www.ecoi.net/en/document/2048168.html</x:v>
      </x:c>
      <x:c r="O564" s="4" t="str">
        <x:v>Source 1: full article
Source 2: full page
Source 3: full three-page PDF text</x:v>
      </x:c>
      <x:c r="P564" s="20" t="n">
        <x:v>1</x:v>
      </x:c>
      <x:c r="Q564" s="4" t="str">
        <x:v>West Africa and Sahel</x:v>
      </x:c>
      <x:c r="R564" s="4" t="str">
        <x:v>Included</x:v>
      </x:c>
    </x:row>
    <x:row r="565" ht="162" hidden="0" customHeight="1">
      <x:c r="A565" s="16" t="str">
        <x:v>R5-AWN-003</x:v>
      </x:c>
      <x:c r="B565" s="4" t="str">
        <x:v>Togo April 2024 legislative and regional election land-border closure</x:v>
      </x:c>
      <x:c r="C565" s="4" t="str">
        <x:v>Togo; Ghana; Benin; Burkina Faso</x:v>
      </x:c>
      <x:c r="D565" s="4" t="str">
        <x:v>National order; resumed movement reported specifically at Aflao and Hilacondji
National land-border closure ordered for polling day</x:v>
      </x:c>
      <x:c r="E565" s="4" t="str">
        <x:v>Land-border users and cross-border movement; exact goods-category treatment not specified.
Direction: National land restriction; later Aflao account explicitly describes entries and exits.
Exceptions: Airport and seaport remained open; no land-category exemption located in the retrieved communiqué.</x:v>
      </x:c>
      <x:c r="F565" s="4" t="str">
        <x:v>R5-AWN-003-D1 — Observed operation
Election-related land restriction as reported at Aflao and Hilacondji, to observed 30 April resumption.
Start: 2024-04-29.
Observed scoped reopening: 2024-04-30.
1 calendar-day difference; scoped endpoint only</x:v>
      </x:c>
      <x:c r="G565"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65" s="4" t="str">
        <x:v>R5-AWN-003-D1: A May publication date is not the reopening date. The national order is broader than the observed endpoints; identical implementation at every land post is not established. Reopening republications are not independent observations.</x:v>
      </x:c>
      <x:c r="I565" s="4" t="str">
        <x:v>Retained baseline assessment. Retained with recorded qualifications</x:v>
      </x:c>
      <x:c r="J565" s="18" t="d">
        <x:v>2026-10-23T00:00:00.000Z</x:v>
      </x:c>
      <x:c r="K565" s="21" t="str">
        <x:f>IFERROR(HYPERLINK("https://www.republiquetogolaise.tg/gestion-publique/2804-9192-elections-les-frontieres-terrestres-seront-fermees-le-jour-j-pour-24h","Togo Officiel"),"Togo Officiel")</x:f>
        <x:v>Togo Officiel</x:v>
      </x:c>
      <x:c r="L565" s="21" t="str">
        <x:f>IFERROR(HYPERLINK("https://24heureinfo.com/politique/legislatives-et-regionales-au-togo-fermeture-des-frontieres-lundi-29-avril-2024/","24heureinfo"),"24heureinfo")</x:f>
        <x:v>24heureinfo</x:v>
      </x:c>
      <x:c r="M565" s="21" t="str">
        <x:f>IFERROR(HYPERLINK("https://www.republicoftogo.com/toutes-les-rubriques/politique/frontieres-fermees-lundi","République Togolaise / republicoftogo.com"),"République Togolaise / republicoftogo.com")</x:f>
        <x:v>République Togolaise / republicoftogo.com</x:v>
      </x:c>
      <x:c r="N565" s="4" t="str">
        <x:v>https://www.republiquetogolaise.tg/gestion-publique/2804-9192-elections-les-frontieres-terrestres-seront-fermees-le-jour-j-pour-24h
https://24heureinfo.com/politique/legislatives-et-regionales-au-togo-fermeture-des-frontieres-lundi-29-avril-2024/
https://www.republicoftogo.com/toutes-les-rubriques/politique/frontieres-fermees-lundi
https://www.togofirst.com/fr/politique/2904-13935-elections-legislatives-et-regionales-les-frontieres-du-togo-fermees-ce-lundi-29-avril
https://loeildusahara.com/togo-les-frontieres-terrestres-rouvertes-ce-30-avril/
https://beninwebtv.com/togo-le-gouvernement-annonce-la-reouverture-des-frontieres-terrestres/</x:v>
      </x:c>
      <x:c r="O565" s="4" t="str">
        <x:v>Source 1: substantive indexed article; direct open timed out
Source 2: full page
Source 3: full article</x:v>
      </x:c>
      <x:c r="P565" s="20" t="n">
        <x:v>1</x:v>
      </x:c>
      <x:c r="Q565" s="4" t="str">
        <x:v>West Africa and Sahel</x:v>
      </x:c>
      <x:c r="R565" s="4" t="str">
        <x:v>Included</x:v>
      </x:c>
    </x:row>
    <x:row r="566" ht="78" hidden="0" customHeight="1">
      <x:c r="A566" s="16" t="str">
        <x:v>R6-AM-003</x:v>
      </x:c>
      <x:c r="B566" s="4" t="str">
        <x:v>Rumichaca teachers’ vehicle blockade, May 23, 2017</x:v>
      </x:c>
      <x:c r="C566" s="4" t="str">
        <x:v>Colombia; Ecuador</x:v>
      </x:c>
      <x:c r="D566" s="4" t="str">
        <x:v>Rumichaca
Rumichaca international bridge</x:v>
      </x:c>
      <x:c r="E566" s="4" t="str">
        <x:v>International passenger vehicles and freight.
Direction: Vehicle passage across bridge blocked; Ecuador-to-Colombia truck queue explicitly reported.
Exceptions: Pedestrians could cross.</x:v>
      </x:c>
      <x:c r="F566" s="4" t="str">
        <x:v>R6-AM-003-D1 — Observed operation
Rumichaca vehicle occupation on 23 May 2017.
Start: 2017-05-23.
Observed scoped reopening: 2017-05-23.
Same-day episode; no whole-day duration inferred</x:v>
      </x:c>
      <x:c r="G566" s="4" t="str">
        <x:v>Policy and socioeconomic demands / Jobs, services and livelihoods
Reported reason
Applies to: Recorded episode; exact overlap not separately established
The recorded rationale and claim assessment support the selected subcategories. All applicable broad categories are retained together; no primary rationale is imposed.</x:v>
      </x:c>
      <x:c r="H566" s="4" t="str">
        <x:v>R6-AM-003-D1: Shown as an episode occurring on this date, not a whole-day closure. Same-day occupation ended, but exact restoration minute and all-lane normalization are not independently recorded.</x:v>
      </x:c>
      <x:c r="I566" s="4" t="str">
        <x:v>Retained baseline assessment. Retained with recorded qualifications</x:v>
      </x:c>
      <x:c r="J566" s="18" t="d">
        <x:v>2026-10-23T00:00:00.000Z</x:v>
      </x:c>
      <x:c r="K566" s="21" t="str">
        <x:f>IFERROR(HYPERLINK("https://www.elcomercio.com/actualidad/ecuador/manifestantes-colombia-cerraron-puente-internacional/","El Comercio (Ecuador)"),"El Comercio (Ecuador)")</x:f>
        <x:v>El Comercio (Ecuador)</x:v>
      </x:c>
      <x:c r="L566" s="21" t="str">
        <x:f>IFERROR(HYPERLINK("https://www.radioipiales.co/2017/05/profesores-se-tomaron-rumichaca/","Radio Ipiales Caracol"),"Radio Ipiales Caracol")</x:f>
        <x:v>Radio Ipiales Caracol</x:v>
      </x:c>
      <x:c r="M566" s="21"/>
      <x:c r="N566" s="4" t="str">
        <x:v>https://www.elcomercio.com/actualidad/ecuador/manifestantes-colombia-cerraron-puente-internacional/
https://www.radioipiales.co/2017/05/profesores-se-tomaron-rumichaca/</x:v>
      </x:c>
      <x:c r="O566" s="4" t="str">
        <x:v>Source 1: opened article text
Source 2: opened article text</x:v>
      </x:c>
      <x:c r="P566" s="20" t="n">
        <x:v>1</x:v>
      </x:c>
      <x:c r="Q566" s="4" t="str">
        <x:v>Americas</x:v>
      </x:c>
      <x:c r="R566" s="4" t="str">
        <x:v>Included</x:v>
      </x:c>
    </x:row>
    <x:row r="567" ht="102" hidden="0" customHeight="1">
      <x:c r="A567" s="16" t="str">
        <x:v>R6-AM-004</x:v>
      </x:c>
      <x:c r="B567" s="4" t="str">
        <x:v>Rainbow Bridge Canadian-approach pipeline-solidarity blockade, February 16, 2020</x:v>
      </x:c>
      <x:c r="C567" s="4" t="str">
        <x:v>Canada; United States</x:v>
      </x:c>
      <x:c r="D567" s="4" t="str">
        <x:v>Rainbow Bridge
Canadian approach to Rainbow Bridge at Niagara Falls</x:v>
      </x:c>
      <x:c r="E567" s="4" t="str">
        <x:v>Cross-border vehicles; pedestrian scope unverified.
Direction: Canadian approach obstructed; directional and pedestrian scope incomplete.
Exceptions: No movement-category exceptions established.</x:v>
      </x:c>
      <x:c r="F567" s="4" t="str">
        <x:v>R6-AM-004-V1 — Observed operation
Physical protest obstruction of Canadian-side vehicular access to Rainbow Bridge
Start: 2020-02-16.
Observed scoped reopening: 2020-02-16.
Same-day episode; no whole-day duration inferred</x:v>
      </x:c>
      <x:c r="G567" s="4" t="str">
        <x:v>Policy and socioeconomic demands / Rights and other policy grievances
Reported reason
Applies to: Recorded episode; exact overlap not separately established
The recorded rationale and claim assessment support the selected subcategories. All applicable broad categories are retained together; no primary rationale is imposed.</x:v>
      </x:c>
      <x:c r="H567" s="4" t="str">
        <x:v>R6-AM-004-V1: Reported end of protest obstruction only. No exact start/end hour, measured elapsed duration, bridge-authority reopening time, pedestrian coverage or all-direction customs continuity is established. Peace Bridge is a conflicting label in one WBFO paragraph; CBSA confirms Rainbow. Indexed departure evidence and shared reporting origins remain limitations.</x:v>
      </x:c>
      <x:c r="I567" s="4" t="str">
        <x:v>Retained baseline assessment. Retained with recorded qualifications</x:v>
      </x:c>
      <x:c r="J567" s="18" t="d">
        <x:v>2026-10-23T00:00:00.000Z</x:v>
      </x:c>
      <x:c r="K567" s="21" t="str">
        <x:f>IFERROR(HYPERLINK("https://www.cbsa-asfc.gc.ca/transparency-transparence/pd-dp/bbp-rpp/secu/2020-02-26/issues-enjeux-eng.html","Canada Border Services Agency"),"Canada Border Services Agency")</x:f>
        <x:v>Canada Border Services Agency</x:v>
      </x:c>
      <x:c r="L567" s="21" t="str">
        <x:f>IFERROR(HYPERLINK("https://www.btpm.org/local/2020-02-17/protesters-shut-down-rainbow-bridge","WBFO / Buffalo Toronto Public Media"),"WBFO / Buffalo Toronto Public Media")</x:f>
        <x:v>WBFO / Buffalo Toronto Public Media</x:v>
      </x:c>
      <x:c r="M567" s="21" t="str">
        <x:f>IFERROR(HYPERLINK("https://thepostmillennial.com/thousand-islands-bridge-reopens-after-anti-pipeline-protests","The Post Millennial"),"The Post Millennial")</x:f>
        <x:v>The Post Millennial</x:v>
      </x:c>
      <x:c r="N567" s="4" t="str">
        <x:v>https://www.cbsa-asfc.gc.ca/transparency-transparence/pd-dp/bbp-rpp/secu/2020-02-26/issues-enjeux-eng.html
https://www.btpm.org/local/2020-02-17/protesters-shut-down-rainbow-bridge
https://thepostmillennial.com/thousand-islands-bridge-reopens-after-anti-pipeline-protests
https://globalnews.ca/news/6561031/wetsutweten-protests-bloor-street-toronto/
https://nationalpost.com/news/canada/afn-national-chief-to-speak-on-wetsuweten-crisis-rail-blockades
https://iacenter.org/2020/02/19/anti-pipeline-protests-block-traffic-at-niagara-falls/</x:v>
      </x:c>
      <x:c r="O567" s="4" t="str">
        <x:v>Source 1: full
Source 2: full
Source 3: indexed excerpt; failed</x:v>
      </x:c>
      <x:c r="P567" s="20" t="n">
        <x:v>1</x:v>
      </x:c>
      <x:c r="Q567" s="4" t="str">
        <x:v>Americas</x:v>
      </x:c>
      <x:c r="R567" s="4" t="str">
        <x:v>Included</x:v>
      </x:c>
    </x:row>
    <x:row r="568" ht="90" hidden="0" customHeight="1">
      <x:c r="A568" s="16" t="str">
        <x:v>R6-AM-005</x:v>
      </x:c>
      <x:c r="B568" s="4" t="str">
        <x:v>Thousand Islands Bridge pipeline-solidarity blockade and entry-point suspension, February 17, 2020</x:v>
      </x:c>
      <x:c r="C568" s="4" t="str">
        <x:v>Canada; United States</x:v>
      </x:c>
      <x:c r="D568" s="4" t="str">
        <x:v>Thousand Islands Bridge
Canadian span of Thousand Islands Bridge and associated cross-border access</x:v>
      </x:c>
      <x:c r="E568" s="4" t="str">
        <x:v>Cross-border road vehicles.
Direction: Both entry points reported closed; northbound I-81 explicitly stopped at Canadian customs’ request.
Exceptions: Local access to Wellesley Island was reportedly possible; no claim that every bridge-complex segment closed.</x:v>
      </x:c>
      <x:c r="F568" s="4" t="str">
        <x:v>R6-AM-005-D1 — Observed operation
Thousand Islands episode on 17 February 2020.
Start: 2020-02-17.
Observed scoped reopening: 2020-02-17.
Same-day episode; no whole-day duration inferred</x:v>
      </x:c>
      <x:c r="G568" s="4" t="str">
        <x:v>Policy and socioeconomic demands / Rights and other policy grievances
Reported reason
Applies to: Recorded episode; exact overlap not separately established
The recorded rationale and claim assessment support the selected subcategories. All applicable broad categories are retained together; no primary rationale is imposed.</x:v>
      </x:c>
      <x:c r="H568" s="4" t="str">
        <x:v>R6-AM-005-D1: Shown as an episode occurring on this date, not a whole-day closure. Approach closure, protest length and port suspension start at different reported times; no precise-hour continuous interval.</x:v>
      </x:c>
      <x:c r="I568" s="4" t="str">
        <x:v>Retained baseline assessment. Retained with recorded qualifications</x:v>
      </x:c>
      <x:c r="J568" s="18" t="d">
        <x:v>2026-10-23T00:00:00.000Z</x:v>
      </x:c>
      <x:c r="K568" s="21" t="str">
        <x:f>IFERROR(HYPERLINK("https://www.wwnytv.com/2020/02/17/protest-blocks-canadian-access-ti-bridge/","WWNY"),"WWNY")</x:f>
        <x:v>WWNY</x:v>
      </x:c>
      <x:c r="L568" s="21" t="str">
        <x:f>IFERROR(HYPERLINK("https://www.btpm.org/binational/2020-02-19/thousand-islands-bridge-reopens-following-anti-pipeline-protest","Buffalo Toronto Public Media"),"Buffalo Toronto Public Media")</x:f>
        <x:v>Buffalo Toronto Public Media</x:v>
      </x:c>
      <x:c r="M568" s="21" t="str">
        <x:f>IFERROR(HYPERLINK("https://www.cbsa-asfc.gc.ca/transparency-transparence/pd-dp/bbp-rpp/secu/2020-02-26/issues-enjeux-eng.html","Canada Border Services Agency"),"Canada Border Services Agency")</x:f>
        <x:v>Canada Border Services Agency</x:v>
      </x:c>
      <x:c r="N568" s="4" t="str">
        <x:v>https://www.wwnytv.com/2020/02/17/protest-blocks-canadian-access-ti-bridge/
https://www.btpm.org/binational/2020-02-19/thousand-islands-bridge-reopens-following-anti-pipeline-protest
https://www.cbsa-asfc.gc.ca/transparency-transparence/pd-dp/bbp-rpp/secu/2020-02-26/issues-enjeux-eng.html
https://www.northcountrypublicradio.org/news/story/40628/20200218/thousand-islands-bridge-reopens-following-anti-pipeline-protest</x:v>
      </x:c>
      <x:c r="O568" s="4" t="str">
        <x:v>Source 1: opened article text
Source 2: opened article text
Source 3: substantive indexed official text; direct opens failed (502/timeout)</x:v>
      </x:c>
      <x:c r="P568" s="20" t="n">
        <x:v>1</x:v>
      </x:c>
      <x:c r="Q568" s="4" t="str">
        <x:v>Americas</x:v>
      </x:c>
      <x:c r="R568" s="4" t="str">
        <x:v>Included</x:v>
      </x:c>
    </x:row>
    <x:row r="569" ht="138" hidden="0" customHeight="1">
      <x:c r="A569" s="16" t="str">
        <x:v>R6-AM-002</x:v>
      </x:c>
      <x:c r="B569" s="4" t="str">
        <x:v>Haiti COVID land-passenger restriction and June 2020 formal reopening permission</x:v>
      </x:c>
      <x:c r="C569" s="4" t="str">
        <x:v>Haiti; Dominican Republic</x:v>
      </x:c>
      <x:c r="D569" s="4" t="str">
        <x:v>Malpasse; Belladère; Ouanaminthe; Anse-à-Pitre
Haitian side of Dominican frontier; June permission names four official posts</x:v>
      </x:c>
      <x:c r="E569" s="4" t="str">
        <x:v>Cross-border passenger traffic.
Direction: Haitian-side passenger traffic suspended; exact directional exceptions incomplete.
Exceptions: Freight vehicles with reduced crews permitted in initial announcement.</x:v>
      </x:c>
      <x:c r="F569" s="4" t="str">
        <x:v>R6-AM-002-D1 — Formal policy
Haitian-side passenger restriction at Malpasse, Belladere, Ouanaminthe and Anse-a-Pitre
Start: 2020-03-16 to 2020-03-17.
Policy endpoint: 2020-06-30.
Formal policy: 105–106 calendar-day difference; operational continuity not established</x:v>
      </x:c>
      <x:c r="G569" s="4" t="str">
        <x:v>Health and biosecurity / Human disease control
Attributed official justification
Applies to: Recorded episode; exact overlap not separately established
The recorded rationale and claim assessment support the selected subcategories. All applicable broad categories are retained together; no primary rationale is imposed.</x:v>
      </x:c>
      <x:c r="H569" s="4" t="str">
        <x:v>R6-AM-002-D1: Formal Haitian permission period only. Reduced-crew freight was excepted; Dominican restrictions remained July 1 and prevent any bilateral reopening inference. Flight-specific 00:00 wording does not fix land onset.</x:v>
      </x:c>
      <x:c r="I569" s="4" t="str">
        <x:v>Retained baseline assessment. Retained with recorded qualifications</x:v>
      </x:c>
      <x:c r="J569" s="18" t="d">
        <x:v>2026-10-23T00:00:00.000Z</x:v>
      </x:c>
      <x:c r="K569" s="21" t="str">
        <x:f>IFERROR(HYPERLINK("https://eldia.com.do/haiti-cierra-su-frontera-con-rd-por-coronavirus-arrecian-medidas/","El Día"),"El Día")</x:f>
        <x:v>El Día</x:v>
      </x:c>
      <x:c r="L569" s="21" t="str">
        <x:f>IFERROR(HYPERLINK("https://www.exteriores.gob.es/Embajadas/puertoprincipe/es/Comunicacion/Noticias/Paginas/Articulos/Suspensi%C3%B3n-vuelos-desde-Hait%C3%AD.aspx","Spanish Ministry of Foreign Affairs"),"Spanish Ministry of Foreign Affairs")</x:f>
        <x:v>Spanish Ministry of Foreign Affairs</x:v>
      </x:c>
      <x:c r="M569" s="21" t="str">
        <x:f>IFERROR(HYPERLINK("https://rnhaiti.com/2020/07/02/le-president-jovenel-moise-annonce-la-reprise-graduelle-des-activites-sur-le-territoire/","Radio Nationale d’Haïti"),"Radio Nationale d’Haïti")</x:f>
        <x:v>Radio Nationale d’Haïti</x:v>
      </x:c>
      <x:c r="N569" s="4" t="str">
        <x:v>https://eldia.com.do/haiti-cierra-su-frontera-con-rd-por-coronavirus-arrecian-medidas/
https://www.exteriores.gob.es/Embajadas/puertoprincipe/es/Comunicacion/Noticias/Paginas/Articulos/Suspensi%C3%B3n-vuelos-desde-Hait%C3%AD.aspx
https://rnhaiti.com/2020/07/02/le-president-jovenel-moise-annonce-la-reprise-graduelle-des-activites-sur-le-territoire/
https://www.diariolibre.com/actualidad/la-republica-dominicana-mantiene-las-restricciones-en-frontera-con-haiti-EE19847113
https://www.stabroeknews.com/2020/03/20/news/world/haiti-declares-emergency-over-coronavirus-imposes-curfew-shuts-borders/
https://www.voanews.com/amp/covid-19-pandemic_haiti-reopens-international-airports-borders-amid-pandemic/6192035.html</x:v>
      </x:c>
      <x:c r="O569" s="4" t="str">
        <x:v>Source 1: opened article text
Source 2: substantive indexed notice; direct opening returned 403
Source 3: substantive indexed article; direct opening unavailable</x:v>
      </x:c>
      <x:c r="P569" s="20" t="n">
        <x:v>1</x:v>
      </x:c>
      <x:c r="Q569" s="4" t="str">
        <x:v>Americas</x:v>
      </x:c>
      <x:c r="R569" s="4" t="str">
        <x:v>Included</x:v>
      </x:c>
    </x:row>
    <x:row r="570" ht="126" hidden="0" customHeight="1">
      <x:c r="A570" s="16" t="str">
        <x:v>R6-AM-001</x:v>
      </x:c>
      <x:c r="B570" s="4" t="str">
        <x:v>Dominican Republic COVID land-passenger restriction with limited Dajabón market reopening</x:v>
      </x:c>
      <x:c r="C570" s="4" t="str">
        <x:v>Dominican Republic; Haiti</x:v>
      </x:c>
      <x:c r="D570" s="4" t="str">
        <x:v>Dajabón–Ouanaminthe
Dominican side of Haiti land frontier; endpoint limited to Dajabón–Ouanaminthe</x:v>
      </x:c>
      <x:c r="E570" s="4" t="str">
        <x:v>Ordinary passenger movement and border-market attendance.
Direction: Dominican admission restricted; Haitian return departures excepted.
Exceptions: Goods and Haitian nationals returning to Haiti were permitted; November pilot admitted limited market participants.</x:v>
      </x:c>
      <x:c r="F570" s="4" t="str">
        <x:v>R6-AM-001-D1 — Observed operation
Ordinary Haitian market-participant entry at Dajabon–Ouanaminthe
Start: 2020-03-19.
Observed scoped reopening: 2020-11-06.
232 calendar-day difference; scoped endpoint only</x:v>
      </x:c>
      <x:c r="G57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70" s="4" t="str">
        <x:v>R6-AM-001-D1: Endpoint is a limited pilot of fifty entries per hour, not general national reopening. Goods and Haitian return departures were excepted. The initial fifteen-day planned term is not used; other posts and categories may differ.</x:v>
      </x:c>
      <x:c r="I570" s="4" t="str">
        <x:v>Retained baseline assessment. Retained with recorded qualifications</x:v>
      </x:c>
      <x:c r="J570" s="18" t="d">
        <x:v>2026-10-23T00:00:00.000Z</x:v>
      </x:c>
      <x:c r="K570" s="21" t="str">
        <x:f>IFERROR(HYPERLINK("https://gobiernodanilomedina.do/noticias/danilo-medina-solicitara-declaratoria-emergencia-nacional-dispone-cierre-fronteras-y","Gobierno Danilo Medina"),"Gobierno Danilo Medina")</x:f>
        <x:v>Gobierno Danilo Medina</x:v>
      </x:c>
      <x:c r="L570" s="21" t="str">
        <x:f>IFERROR(HYPERLINK("https://www.diariolibre.com/actualidad/la-republica-dominicana-mantiene-las-restricciones-en-frontera-con-haiti-EE19847113","Diario Libre"),"Diario Libre")</x:f>
        <x:v>Diario Libre</x:v>
      </x:c>
      <x:c r="M570" s="21" t="str">
        <x:f>IFERROR(HYPERLINK("https://www.diariolibre.com/actualidad/reanudan-mercado-binacional-de-dajabon-LE22513796","Diario Libre"),"Diario Libre")</x:f>
        <x:v>Diario Libre</x:v>
      </x:c>
      <x:c r="N570" s="4" t="str">
        <x:v>https://gobiernodanilomedina.do/noticias/danilo-medina-solicitara-declaratoria-emergencia-nacional-dispone-cierre-fronteras-y
https://www.diariolibre.com/actualidad/la-republica-dominicana-mantiene-las-restricciones-en-frontera-con-haiti-EE19847113
https://www.diariolibre.com/actualidad/reanudan-mercado-binacional-de-dajabon-LE22513796
https://eljacaguero.com.do/rd-y-haiti-reabren-mercado-binacional/
https://www.diariolibre.com/actualidad/internacional/unos-4200-haitianos-abandonaron-la-republica-dominicana-por-el-coronavirus-GB18082136
https://www.haitilibre.com/en/news-32232-haiti-dr-reopening-of-the-binational-market-of-dajabon-under-high-sanitary-surveillance.html</x:v>
      </x:c>
      <x:c r="O570" s="4" t="str">
        <x:v>Source 1: opened article text
Source 2: opened article text
Source 3: opened article text</x:v>
      </x:c>
      <x:c r="P570" s="20" t="n">
        <x:v>1</x:v>
      </x:c>
      <x:c r="Q570" s="4" t="str">
        <x:v>Americas</x:v>
      </x:c>
      <x:c r="R570" s="4" t="str">
        <x:v>Included</x:v>
      </x:c>
    </x:row>
    <x:row r="571" ht="162" hidden="0" customHeight="1">
      <x:c r="A571" s="16" t="str">
        <x:v>R6-AM-006</x:v>
      </x:c>
      <x:c r="B571" s="4" t="str">
        <x:v>Paso del Norte CBP emergency suspension during migrant crowd arrival, March 12, 2023</x:v>
      </x:c>
      <x:c r="C571" s="4" t="str">
        <x:v>United States; Mexico</x:v>
      </x:c>
      <x:c r="D571" s="4" t="str">
        <x:v>Paso del Norte
US-bound crossing of Paso del Norte international bridge</x:v>
      </x:c>
      <x:c r="E571" s="4" t="str">
        <x:v>Northbound pedestrians and vehicles.
Direction: Northbound into United States.
Exceptions: No exceptions during reported suspension; evening reopening included pedestrians and one vehicle lane.</x:v>
      </x:c>
      <x:c r="F571" s="4" t="str">
        <x:v>R6-AM-006-D1 — Observed operation
Northbound Paso del Norte emergency stoppage to first pedestrian/one-lane vehicle reopening
Start: 2023-03-12.
Observed scoped reopening: 2023-03-12.
Same-day episode; no whole-day duration inferred</x:v>
      </x:c>
      <x:c r="G571" s="4" t="str">
        <x:v>Migration / Entry and asylum control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571" s="4" t="str">
        <x:v>R6-AM-006-D1: Sub-day closure, not full-day or final all-lane restoration. Earlier crowd arrival is not onset. Official statements overlap in lineage and approximate clock descriptions are not treated as an exact measured duration.</x:v>
      </x:c>
      <x:c r="I571" s="4" t="str">
        <x:v>Retained baseline assessment. Retained with recorded qualifications</x:v>
      </x:c>
      <x:c r="J571" s="18" t="d">
        <x:v>2026-10-23T00:00:00.000Z</x:v>
      </x:c>
      <x:c r="K571" s="21" t="str">
        <x:f>IFERROR(HYPERLINK("https://kvia.com/news/top-stories/2023/03/12/witnesses-say-a-large-group-of-migrants-are-trying-to-rush-the-paso-del-norte-international-bridge/","KVIA ABC-7"),"KVIA ABC-7")</x:f>
        <x:v>KVIA ABC-7</x:v>
      </x:c>
      <x:c r="L571" s="21" t="str">
        <x:f>IFERROR(HYPERLINK("https://www.texastribune.org/2023/03/12/el-paso-bridge-migrants/","The Texas Tribune"),"The Texas Tribune")</x:f>
        <x:v>The Texas Tribune</x:v>
      </x:c>
      <x:c r="M571" s="21"/>
      <x:c r="N571" s="4" t="str">
        <x:v>https://kvia.com/news/top-stories/2023/03/12/witnesses-say-a-large-group-of-migrants-are-trying-to-rush-the-paso-del-norte-international-bridge/
https://www.texastribune.org/2023/03/12/el-paso-bridge-migrants/</x:v>
      </x:c>
      <x:c r="O571" s="4" t="str">
        <x:v>Source 1: opened article text
Source 2: opened article text</x:v>
      </x:c>
      <x:c r="P571" s="20" t="n">
        <x:v>1</x:v>
      </x:c>
      <x:c r="Q571" s="4" t="str">
        <x:v>Americas</x:v>
      </x:c>
      <x:c r="R571" s="4" t="str">
        <x:v>Included</x:v>
      </x:c>
    </x:row>
    <x:row r="572" ht="150" hidden="0" customHeight="1">
      <x:c r="A572" s="16" t="str">
        <x:v>R6-AM-007</x:v>
      </x:c>
      <x:c r="B572" s="4" t="str">
        <x:v>Chile-side Santa Rosa–Chacalluta migrant road blockade, November 28, 2025</x:v>
      </x:c>
      <x:c r="C572" s="4" t="str">
        <x:v>Chile; Peru</x:v>
      </x:c>
      <x:c r="D572" s="4" t="str">
        <x:v>Santa Rosa–Chacalluta road
International road on Chilean side of Tacna–Arica frontier near Santa Rosa–Chacalluta</x:v>
      </x:c>
      <x:c r="E572" s="4" t="str">
        <x:v>Trucks, buses and private vehicles.
Direction: Vehicle blockage began toward Peru and subsequently affected both directions; later passage was intermittent.
Exceptions: Some passengers crossed on foot during vehicle obstruction; negotiated and category-specific vehicle passage occurred during pauses.</x:v>
      </x:c>
      <x:c r="F572" s="4" t="str">
        <x:v>R6-AM-007-RREV1 — Intermittent regime
Observed November 28 recurrent migrant obstruction of vehicle road access on Chilean side of Concordia between Chacalluta and Santa Rosa
Start: 2025-11-28.
Last confirmed: 2025-11-28. Reopening is not established.
Intermittent regime envelope; total closed days unknown</x:v>
      </x:c>
      <x:c r="G572" s="4" t="str">
        <x:v>Migration / Admission and document disputes
Reported reason
Applies to: Recorded episode; exact overlap not separately established
The recorded rationale and claim assessment support the selected subcategories. All applicable broad categories are retained together; no primary rationale is imposed.</x:v>
      </x:c>
      <x:c r="H572" s="4" t="str">
        <x:v>R6-AM-007-RREV1: Only the observed November 28 regime is proposed. Pedestrian passage and later vehicle pauses are exceptions; customs queues are not closure. No final endpoint or duration in closed hours is inferred from November 29 normal aggregate flows.</x:v>
      </x:c>
      <x:c r="I572" s="4" t="str">
        <x:v>Retained baseline assessment. Retained with recorded qualifications</x:v>
      </x:c>
      <x:c r="J572" s="18" t="d">
        <x:v>2026-10-23T00:00:00.000Z</x:v>
      </x:c>
      <x:c r="K572" s="21" t="str">
        <x:f>IFERROR(HYPERLINK("https://radiouno.pe/noticias/259803/migrantes-bloquean-frontera-peru-y-chile/","Radio Uno"),"Radio Uno")</x:f>
        <x:v>Radio Uno</x:v>
      </x:c>
      <x:c r="L572" s="21" t="str">
        <x:f>IFERROR(HYPERLINK("https://radiouno.pe/noticias/259824/migrantes-abren-y-cierran-frontera-entre-peru-y-chile/","Radio Uno"),"Radio Uno")</x:f>
        <x:v>Radio Uno</x:v>
      </x:c>
      <x:c r="M572" s="21" t="str">
        <x:f>IFERROR(HYPERLINK("https://www.t13.cl/noticia/nacional/extranjera-carabineros-por-bloqueo-frontera-entre-chile-peru-28-11-2025","T13"),"T13")</x:f>
        <x:v>T13</x:v>
      </x:c>
      <x:c r="N572" s="4" t="str">
        <x:v>https://radiouno.pe/noticias/259803/migrantes-bloquean-frontera-peru-y-chile/
https://radiouno.pe/noticias/259824/migrantes-abren-y-cierran-frontera-entre-peru-y-chile/
https://www.t13.cl/noticia/nacional/extranjera-carabineros-por-bloqueo-frontera-entre-chile-peru-28-11-2025
https://www.biobiochile.cl/noticias/nacional/region-de-arica-y-parinacota/2025/11/30/crisis-en-el-norte-autoridades-descartan-variaciones-en-flujos-migratorios-en-la-zona.shtml
https://cooperativa.cl/noticias/pais/poblacion/inmigrantes/gobierno-descarta-que-en-la-frontera-con-peru-exista-un-escenario/2025-11-29/181849.html
https://diariocorreo.pe/peru/migrantes-sin-documentos-bloquean-el-paso-tacnaarica-y-paralizan-el-transito-fronterizo-noticia/
https://panamericana.pe/24horas/nacionales/459857-tacna-liberan-via-internacional-peru-chile-bloqueo-migrantes</x:v>
      </x:c>
      <x:c r="O572" s="4" t="str">
        <x:v>Source 1: full
Source 2: full
Source 3: indexed excerpt; full</x:v>
      </x:c>
      <x:c r="P572" s="20" t="n">
        <x:v>1</x:v>
      </x:c>
      <x:c r="Q572" s="4" t="str">
        <x:v>Americas</x:v>
      </x:c>
      <x:c r="R572" s="4" t="str">
        <x:v>Included</x:v>
      </x:c>
    </x:row>
    <x:row r="573" ht="258" hidden="0" customHeight="1">
      <x:c r="A573" s="16" t="str">
        <x:v>R6-SC-001</x:v>
      </x:c>
      <x:c r="B573" s="4" t="str">
        <x:v>Kyrgyzstan China-frontier COVID closure order and phased cargo restoration</x:v>
      </x:c>
      <x:c r="C573" s="4" t="str">
        <x:v>Kyrgyzstan; China</x:v>
      </x:c>
      <x:c r="D573" s="4" t="str">
        <x:v>Irkeshtam; Torugart
Land frontier with China; Torugart and Irkeshtam</x:v>
      </x:c>
      <x:c r="E573" s="4" t="str">
        <x:v>China-frontier travellers and road freight, subject to exceptions and staged restoration
Direction: Both directions, with nationality/category exceptions
Exceptions: February 3 summary includes diplomats, returning citizens and specified freight drivers; April restoration cargo-only. Official April 2 guidance specifically exempts humanitarian cargo at the China frontier.</x:v>
      </x:c>
      <x:c r="F573" s="4" t="str">
        <x:v>R6-SC-001-REV1 — Formal policy
Kyrgyz order 27-р restriction on non-exempt persons at Irkeshtam-road and Torugart-road; distinct from cargo operating status
Start: 2020-02-03.
Last confirmed: 2020-05-07. Reopening is not established.
Formal policy: confirmed through 2020-05-07; at least 94 calendar-day difference; reopening unknown</x:v>
      </x:c>
      <x:c r="G573" s="4" t="str">
        <x:v>Health and biosecurity / Human disease control
Attributed official justification
Applies to: Recorded episode; exact overlap not separately established
The recorded rationale and claim assessment support the selected subcategories. All applicable broad categories are retained together; no primary rationale is imposed.</x:v>
      </x:c>
      <x:c r="H573" s="4" t="str">
        <x:v>R6-SC-001-REV1: Modern legal segment, not original holiday closure or all-passenger/all-cargo operational ban. May 7 is a dated substantive report, not reopening. January 2022 repeal instrument is identified but its operative text/effective date remains uninspected.
later legal endpoint: Repeal instrument is identified but operative effective-date text remains unavailable.</x:v>
      </x:c>
      <x:c r="I573" s="4" t="str">
        <x:v>Retained baseline assessment. Retained with recorded qualifications</x:v>
      </x:c>
      <x:c r="J573" s="18" t="d">
        <x:v>2026-10-23T00:00:00.000Z</x:v>
      </x:c>
      <x:c r="K573" s="21" t="str">
        <x:f>IFERROR(HYPERLINK("https://www.wcoomd.org/-/media/wco/public/ru/pdf/topics/facilitation/activities-and-programmes/covid_19/kyrgyzstan_ru.pdf?la=fr","wcoomd.org"),"wcoomd.org")</x:f>
        <x:v>wcoomd.org</x:v>
      </x:c>
      <x:c r="L573" s="21" t="str">
        <x:f>IFERROR(HYPERLINK("https://wiki.unece.org/spaces/CTRBSBC/pages/101548463/Kyrgyzstan","wiki.unece.org"),"wiki.unece.org")</x:f>
        <x:v>wiki.unece.org</x:v>
      </x:c>
      <x:c r="M573" s="21" t="str">
        <x:f>IFERROR(HYPERLINK("https://prg.kz/Document/?doc_id=35295391","prg.kz"),"prg.kz")</x:f>
        <x:v>prg.kz</x:v>
      </x:c>
      <x:c r="N573" s="4" t="str">
        <x:v>https://www.wcoomd.org/-/media/wco/public/ru/pdf/topics/facilitation/activities-and-programmes/covid_19/kyrgyzstan_ru.pdf?la=fr
https://wiki.unece.org/spaces/CTRBSBC/pages/101548463/Kyrgyzstan
https://prg.kz/Document/?doc_id=35295391
https://interfax.com/newsroom/top-stories/68427/
https://kaktus.media/doc/411290_kyrgyzsko_kitayskaia_granica_na_irkeshtam_otkryta._no_s_15_aprelia_proehali_sem_gryzovikov.html
https://mineconom.gov.kg/froala/uploads/file/f4243e5a969fe6acf7500002426c1b3cf2a74ba6.pdf
https://www.gov.kg/ru/post/s/punkty-propuska-na-granitse-s-kitaem-vremenno-zakryty-priostanovleno-vozdushnoe-soobshchenie
https://cbd.minjust.gov.kg/57-18220/edition/1122227/ru
https://en.archive.kabar.kg/news/irkeshtam-checkpoint-at-kyrgyz-chinese-border-resumes-its-work/
https://24.kg/english/154720_Kyrgyzstan_and_China_agree_to_resume_work_of_Torugart_checkpoint/
https://mtd.gov.kg/informatsiya-po-propusku-gruzovyh-ats-cherez-gosudarstvennuyu-granitsu-kr/
https://mineconom.gov.kg/froala/uploads/file/5e6e277bea1f977fd4bed0f439b0edf02b3d6438.pdf
https://mtd.gov.kg/informatsiya-dlya-predprinimatelej-i-voditelej-gruzovyh-avtotransportnyh-sredstv-osushhestvlyayushhuyu-vneshneekonomicheskuyu-deyatelnost-i-perevozku-tovarov-v-usloviyah-pandemii/
https://prg.kz/Document/?doc_id=34227194</x:v>
      </x:c>
      <x:c r="O573" s="4" t="str">
        <x:v>Source 1: full
Source 2: indexed excerpt; failed
Source 3: indexed excerpt</x:v>
      </x:c>
      <x:c r="P573" s="20" t="n">
        <x:v>1</x:v>
      </x:c>
      <x:c r="Q573" s="4" t="str">
        <x:v>Central Asia and Caucasus</x:v>
      </x:c>
      <x:c r="R573" s="4" t="str">
        <x:v>Included</x:v>
      </x:c>
    </x:row>
    <x:row r="574" ht="114" hidden="0" customHeight="1">
      <x:c r="A574" s="16" t="str">
        <x:v>R6-SC-003</x:v>
      </x:c>
      <x:c r="B574" s="4" t="str">
        <x:v>Sarakhs Iran–Turkmenistan rail-freight COVID suspension</x:v>
      </x:c>
      <x:c r="C574" s="4" t="str">
        <x:v>Iran; Turkmenistan</x:v>
      </x:c>
      <x:c r="D574" s="4" t="str">
        <x:v>Sarakhs–Serakhs rail
Sarakhs international railway crossing</x:v>
      </x:c>
      <x:c r="E574" s="4" t="str">
        <x:v>Rail freight, including export and transit wagons
Direction: Both directions
Exceptions: No rail exception identified in reviewed accounts; no assertion about air or other routes.</x:v>
      </x:c>
      <x:c r="F574" s="4" t="str">
        <x:v>R6-SC-003-D1 — Observed operation
Sarakhs railway cargo crossing between Iran and Turkmenistan.
Start: 2020-04-01 to 2020-04-02.
Observed scoped reopening: 2020-06-18.
77–78 calendar-day difference; scoped endpoint only</x:v>
      </x:c>
      <x:c r="G57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74" s="4" t="str">
        <x:v>R6-SC-003-D1: IRICA/Mehr-derived reports share an official reporting origin. Road freight and other crossings are not included.</x:v>
      </x:c>
      <x:c r="I574" s="4" t="str">
        <x:v>Targeted source review (REC50-R29); accepted qualification; evidence limits retained.</x:v>
      </x:c>
      <x:c r="J574" s="18" t="d">
        <x:v>2026-10-25T00:00:00.000Z</x:v>
      </x:c>
      <x:c r="K574" s="21" t="str">
        <x:f>IFERROR(HYPERLINK("https://iranpress.com/content/20273/sarakhs-railway-border-temporarily-closed","Iran Press"),"Iran Press")</x:f>
        <x:v>Iran Press</x:v>
      </x:c>
      <x:c r="L574" s="21" t="str">
        <x:f>IFERROR(HYPERLINK("https://iranpress.com/content/23142/iran-railway-border-with-turkmenistan-reopens","Iran Press"),"Iran Press")</x:f>
        <x:v>Iran Press</x:v>
      </x:c>
      <x:c r="M574" s="21" t="str">
        <x:f>IFERROR(HYPERLINK("https://irannewsdaily.com/2020/06/incheh-borun-border-with-turkmenistan-reopens/","Iran News Daily"),"Iran News Daily")</x:f>
        <x:v>Iran News Daily</x:v>
      </x:c>
      <x:c r="N574" s="4" t="str">
        <x:v>https://iranpress.com/content/20273/sarakhs-railway-border-temporarily-closed
https://iranpress.com/content/23142/iran-railway-border-with-turkmenistan-reopens
https://irannewsdaily.com/2020/06/incheh-borun-border-with-turkmenistan-reopens/
https://iranpress.com/content/21492/sarakhs-turkmenistan-railway-border-ready-reopen
https://ticaret.gov.tr/blog/ulkelerden-ticari-haberler/turkmenistan/turkmenistan-iran-kargosunun-sinirdan-girmesine-izin-veriyor
https://www.trend.az/business/economy/3226013.html
https://www.tehrantimes.com/news/449181/Incheboroun-railway-crossing-with-Turkmenistan-reopens</x:v>
      </x:c>
      <x:c r="O574" s="4" t="str">
        <x:v>Source 1: full page
Source 2: substantive indexed article; repeated direct access 502
Source 3: full page</x:v>
      </x:c>
      <x:c r="P574" s="20" t="n">
        <x:v>1</x:v>
      </x:c>
      <x:c r="Q574" s="4" t="str">
        <x:v>Central Asia and Caucasus</x:v>
      </x:c>
      <x:c r="R574" s="4" t="str">
        <x:v>Included</x:v>
      </x:c>
    </x:row>
    <x:row r="575" ht="114" hidden="0" customHeight="1">
      <x:c r="A575" s="16" t="str">
        <x:v>R6-SC-002</x:v>
      </x:c>
      <x:c r="B575" s="4" t="str">
        <x:v>Kulma–Karasu renewed freight closure in late 2020</x:v>
      </x:c>
      <x:c r="C575" s="4" t="str">
        <x:v>Tajikistan; China</x:v>
      </x:c>
      <x:c r="D575" s="4" t="str">
        <x:v>Kulma–Karasu
Kulma–Karasu land cargo gateway</x:v>
      </x:c>
      <x:c r="E575" s="4" t="str">
        <x:v>Cross-border goods movements and transport businesses
Direction: Both-direction checkpoint traffic as reported; directional volumes not verified
Exceptions: Post-reopening transshipment still separated national truck operations; passenger access is not established.</x:v>
      </x:c>
      <x:c r="F575" s="4" t="str">
        <x:v>R6-SC-002-D1 — Observed operation
Freight handling through Kulma–Karasu during the renewed suspension
Start: 2020-10-01 to 2020-10-31.
Observed scoped reopening: 2021-04-01 to 2021-04-21.
152–202 calendar-day difference; scoped endpoint only</x:v>
      </x:c>
      <x:c r="G575" s="4" t="str">
        <x:v>Health and biosecurity / Human disease control
Reported reason
Applies to: Recorded episode; exact overlap not separately established
COVID justification remains attributed. The unverified trader allegation of protectionism is not promoted to an established trade rationale.</x:v>
      </x:c>
      <x:c r="H575" s="4" t="str">
        <x:v>R6-SC-002-D1: Month-level bounds, not exact daily observation. All reports are Asia-Plus and recurring chronology may be reused; testimony differs but is not multiple independent outlets. Restored transshipment does not mean Tajik trucks or passengers were admitted.</x:v>
      </x:c>
      <x:c r="I575" s="4" t="str">
        <x:v>Retained baseline assessment. Retained with recorded qualifications</x:v>
      </x:c>
      <x:c r="J575" s="18" t="d">
        <x:v>2026-10-23T00:00:00.000Z</x:v>
      </x:c>
      <x:c r="K575" s="21" t="str">
        <x:f>IFERROR(HYPERLINK("https://asiaplus.news/en/2021/01/25/kulma-bcp-along-tajikistan-china-border-closed-for-traffic-entrepreneurs-suffer-losses/","Asia-Plus"),"Asia-Plus")</x:f>
        <x:v>Asia-Plus</x:v>
      </x:c>
      <x:c r="L575" s="21" t="str">
        <x:f>IFERROR(HYPERLINK("https://asiaplus.news/en/2021/03/11/tajikistan-and-china-to-take-joint-measures-to-reopen-kulma-bcp-on-the-tajik-chinese-border-in-gbao/","Asia-Plus"),"Asia-Plus")</x:f>
        <x:v>Asia-Plus</x:v>
      </x:c>
      <x:c r="M575" s="21" t="str">
        <x:f>IFERROR(HYPERLINK("https://asiaplus.news/en/2021/04/21/traffic-via-kulma-bcp-along-tajikistan-china-border-restored/","Asia-Plus"),"Asia-Plus")</x:f>
        <x:v>Asia-Plus</x:v>
      </x:c>
      <x:c r="N575" s="4" t="str">
        <x:v>https://asiaplus.news/en/2021/01/25/kulma-bcp-along-tajikistan-china-border-closed-for-traffic-entrepreneurs-suffer-losses/
https://asiaplus.news/en/2021/03/11/tajikistan-and-china-to-take-joint-measures-to-reopen-kulma-bcp-on-the-tajik-chinese-border-in-gbao/
https://asiaplus.news/en/2021/04/21/traffic-via-kulma-bcp-along-tajikistan-china-border-restored/
https://asiaplus.news/en/2023/01/31/tajik-trucks-cross-the-chinese-border-for-the-first-time-after-a-three-year-ban/
https://asiaplus.news/en/2021/10/22/tajikistan-china-discuss-problems-of-transporting-goods-across-the-common-border/</x:v>
      </x:c>
      <x:c r="O575" s="4" t="str">
        <x:v>Source 1: full page
Source 2: full page
Source 3: full page</x:v>
      </x:c>
      <x:c r="P575" s="20" t="n">
        <x:v>1</x:v>
      </x:c>
      <x:c r="Q575" s="4" t="str">
        <x:v>Central Asia and Caucasus</x:v>
      </x:c>
      <x:c r="R575" s="4" t="str">
        <x:v>Included</x:v>
      </x:c>
    </x:row>
    <x:row r="576" ht="78" hidden="0" customHeight="1">
      <x:c r="A576" s="16" t="str">
        <x:v>R6-SC-004</x:v>
      </x:c>
      <x:c r="B576" s="4" t="str">
        <x:v>Milak–Zaranj August 2021 security closure and phased freight restoration</x:v>
      </x:c>
      <x:c r="C576" s="4" t="str">
        <x:v>Iran; Afghanistan</x:v>
      </x:c>
      <x:c r="D576" s="4" t="str">
        <x:v>Milak–Zaranj
Milak–Zaranj road terminal</x:v>
      </x:c>
      <x:c r="E576" s="4" t="str">
        <x:v>Milak passengers and goods transit, including Chabahar-linked cargo
Direction: Crossing traffic both directions; detailed direction-specific prohibitions not established
Exceptions: Passengers reportedly restored August 10; August 11 plan covered already-stranded trucks. Dogharoun and Mahiroud trade continued.</x:v>
      </x:c>
      <x:c r="F576" s="4" t="str">
        <x:v>R6-SC-004-D1 — Observed operation
New ordinary freight consignments at Milak–Zaranj, excluding already-stranded trucks
Start: 2021-08-05 to 2021-08-06.
Observed scoped reopening: 2021-08-15.
9–10 calendar-day difference; scoped endpoint only</x:v>
      </x:c>
      <x:c r="G576"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576" s="4" t="str">
        <x:v>R6-SC-004-D1: Scoped freight phase only. Passenger restoration August 10 and proposed stranded-truck processing are separate; Dogharoun/Mahiroud trade continued. Endpoint is an attributed Mehr/port-official operational assertion, not independent field observation.</x:v>
      </x:c>
      <x:c r="I576" s="4" t="str">
        <x:v>Retained baseline assessment. Retained with recorded qualifications</x:v>
      </x:c>
      <x:c r="J576" s="18" t="d">
        <x:v>2026-10-23T00:00:00.000Z</x:v>
      </x:c>
      <x:c r="K576" s="21" t="str">
        <x:f>IFERROR(HYPERLINK("https://iranpress.com/content/45124/milak-border-crossing-between-iran-afghanistan-reopens","Iran Press"),"Iran Press")</x:f>
        <x:v>Iran Press</x:v>
      </x:c>
      <x:c r="L576" s="21" t="str">
        <x:f>IFERROR(HYPERLINK("https://goodnewsagency.ir/17825/good-news-iran-transit-of-goods-from-chabahar-to-afghanistan-resumed/","Good News Agency"),"Good News Agency")</x:f>
        <x:v>Good News Agency</x:v>
      </x:c>
      <x:c r="M576" s="21" t="str">
        <x:f>IFERROR(HYPERLINK("https://iranpress.ir/content/45124/milak-border-crossing-between-iran-afghanistan-reopens","iranpress.ir"),"iranpress.ir")</x:f>
        <x:v>iranpress.ir</x:v>
      </x:c>
      <x:c r="N576" s="4" t="str">
        <x:v>https://iranpress.com/content/45124/milak-border-crossing-between-iran-afghanistan-reopens
https://goodnewsagency.ir/17825/good-news-iran-transit-of-goods-from-chabahar-to-afghanistan-resumed/
https://iranpress.ir/content/45124/milak-border-crossing-between-iran-afghanistan-reopens
https://ifpnews.com/all-iran-afghanistan-border-crossings-open-customs-administration/</x:v>
      </x:c>
      <x:c r="O576" s="4" t="str">
        <x:v>Source 1: substantive indexed article; direct access 502
Source 2: full page
Source 3: access detail is retained in the source catalogue.</x:v>
      </x:c>
      <x:c r="P576" s="20" t="n">
        <x:v>1</x:v>
      </x:c>
      <x:c r="Q576" s="4" t="str">
        <x:v>Central Asia and Caucasus</x:v>
      </x:c>
      <x:c r="R576" s="4" t="str">
        <x:v>Included</x:v>
      </x:c>
    </x:row>
    <x:row r="577" ht="186" hidden="0" customHeight="1">
      <x:c r="A577" s="16" t="str">
        <x:v>R6-EA-007</x:v>
      </x:c>
      <x:c r="B577" s="4" t="str">
        <x:v>Myanmar–Laos Friendship Bridge COVID restriction with May 2022 cargo permission</x:v>
      </x:c>
      <x:c r="C577" s="4" t="str">
        <x:v>Myanmar; Laos</x:v>
      </x:c>
      <x:c r="D577" s="4" t="str">
        <x:v>Myanmar–Laos Friendship Bridge
Kenglat/Kyainglap–Xieng Kok Friendship Bridge</x:v>
      </x:c>
      <x:c r="E577" s="4" t="str">
        <x:v>Bridge movement; ordinary passenger prohibition remained after controlled cargo permission.
Direction: Bilateral bridge movement; cargo protocol described for both parties.
Exceptions: Only driver and conductor at designated loading places under vaccination/test conditions; ordinary passengers still barred.</x:v>
      </x:c>
      <x:c r="F577" s="4" t="str">
        <x:v>R6-EA-007-FU1 — Formal policy
Myanmar–Laos Friendship Bridge at Kenglat/Tachileik–Laos
Start: unknown.
Policy endpoint: 2022-05-13.
Formal policy: dated evidence; numeric duration withheld; see qualification</x:v>
      </x:c>
      <x:c r="G577" s="4" t="str">
        <x:v>Health and biosecurity / Human disease control
Attributed official justification
Applies to: Recorded episode; exact overlap not separately established
The recorded rationale and claim assessment support the selected subcategories. All applicable broad categories are retained together; no primary rationale is imposed.</x:v>
      </x:c>
      <x:c r="H577" s="4" t="str">
        <x:v>R6-EA-007-FU1: Endpoint-only transition from cargo closure to conditional cargo permission on May 13, 2022. The ongoing permitted cargo protocol begins at this endpoint; it is not a restriction ending that day. Passenger prohibition remains separately in force. Two-years-ago retrospective timing gives no exact onset or uninterrupted closure; ceremony is not first observed freight passage.
duration: Add an endpoint-only formal partial cargo reopening May 13, with unknown onset and continuity. Preserve ordinary-passenger restriction and do not label the bridge fully reopened.
Current onset finding: Fresh MITV full text reports the May 13, 2022 reopening ceremony, and the indexed GNLM May 14 account identifies cargo permission while ordinary passengers remain barred. Driver vaccination/testing and controlled movement apply. Initial COVID closure remains undated and actual first commercial cargo movement is not independently established.
Current continuity finding: Fresh MITV full text reports the May 13, 2022 reopening ceremony, and the indexed GNLM May 14 account identifies cargo permission while ordinary passengers remain barred. Driver vaccination/testing and controlled movement apply. Initial COVID closure remains undated and actual first commercial cargo movement is not independently established.</x:v>
      </x:c>
      <x:c r="I577" s="4" t="str">
        <x:v>Retained baseline assessment. Correction pass: amended with stated qualifications</x:v>
      </x:c>
      <x:c r="J577" s="18" t="d">
        <x:v>2026-10-23T00:00:00.000Z</x:v>
      </x:c>
      <x:c r="K577" s="21" t="str">
        <x:f>IFERROR(HYPERLINK("https://www.gnlm.com.mm/myanmar-laos-friendship-bridge-reopens/","Global New Light of Myanmar"),"Global New Light of Myanmar")</x:f>
        <x:v>Global New Light of Myanmar</x:v>
      </x:c>
      <x:c r="L577" s="21" t="str">
        <x:f>IFERROR(HYPERLINK("https://www.myanmaritv.com/news/transport-sector-myanmar-laos-friendship-bridge-reopened","Myanmar International TV"),"Myanmar International TV")</x:f>
        <x:v>Myanmar International TV</x:v>
      </x:c>
      <x:c r="M577" s="21" t="str">
        <x:f>IFERROR(HYPERLINK("https://cnimyanmar.com/index.php/english-edition/20064-myanmar-laos-friendship-bridge-reopens","CNI"),"CNI")</x:f>
        <x:v>CNI</x:v>
      </x:c>
      <x:c r="N577" s="4" t="str">
        <x:v>https://www.gnlm.com.mm/myanmar-laos-friendship-bridge-reopens/
https://www.myanmaritv.com/news/transport-sector-myanmar-laos-friendship-bridge-reopened
https://cnimyanmar.com/index.php/english-edition/20064-myanmar-laos-friendship-bridge-reopens
https://www.myanmaritv.com/news/friendly-relations-opening-ceremony-myanmar-laos-friendship-bridge</x:v>
      </x:c>
      <x:c r="O577" s="4" t="str">
        <x:v>Source 1: indexed excerpt
Source 2: opened full text
Source 3: indexed excerpt</x:v>
      </x:c>
      <x:c r="P577" s="20" t="n">
        <x:v>1</x:v>
      </x:c>
      <x:c r="Q577" s="4" t="str">
        <x:v>East and Southeast Asia and Oceania</x:v>
      </x:c>
      <x:c r="R577" s="4" t="str">
        <x:v>Included</x:v>
      </x:c>
    </x:row>
    <x:row r="578" ht="78" hidden="0" customHeight="1">
      <x:c r="A578" s="16" t="str">
        <x:v>R6-EA-001</x:v>
      </x:c>
      <x:c r="B578" s="4" t="str">
        <x:v>Quang Tri suspends auxiliary gates and local routes on Laos frontier</x:v>
      </x:c>
      <x:c r="C578" s="4" t="str">
        <x:v>Vietnam; Laos</x:v>
      </x:c>
      <x:c r="D578" s="4" t="str">
        <x:v>Ta Rung; Cheng; Thanh; Cooc
Quang Tri land frontier with Savannakhet and Salavan; auxiliary gates, trails and river crossing points</x:v>
      </x:c>
      <x:c r="E578" s="4" t="str">
        <x:v>Border residents and other movement through auxiliary routes, initially goods as well as people.
Direction: Both directions across specified local frontier routes.
Exceptions: Goods-only exchange at four gates permitted by 12 May; ordinary passengers remained prohibited.</x:v>
      </x:c>
      <x:c r="F578" s="4" t="str">
        <x:v>R6-EA-001-D1 — Formal policy
Ordinary passenger prohibition at the four Quang Tri auxiliary gates covered by the May goods-only relaxation
Start: 2020-02-03 to 2020-02-04.
Last confirmed: 2020-05-12. Reopening is not established.
Formal policy: confirmed through 2020-05-12; at least 98 calendar-day difference; reopening unknown</x:v>
      </x:c>
      <x:c r="G57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78" s="4" t="str">
        <x:v>R6-EA-001-D1: Formal passenger restriction confirmed through May 12, not reopening or uniform daily enforcement on every trail. March field refusal supports local implementation. Undated goods permission cannot supply a passenger endpoint; no later extension is inferred.</x:v>
      </x:c>
      <x:c r="I578" s="4" t="str">
        <x:v>Retained baseline assessment. Retained with recorded qualifications</x:v>
      </x:c>
      <x:c r="J578" s="18" t="d">
        <x:v>2026-10-23T00:00:00.000Z</x:v>
      </x:c>
      <x:c r="K578" s="21" t="str">
        <x:f>IFERROR(HYPERLINK("https://ubmttqvn.quangtri.gov.vn/index.php/dan-toc-ton-giao/no-luc-phong-chong-covid-19-tren-tuyen-bien-gioi-viet-lao-3683.html","Quang Tri Fatherland Front portal"),"Quang Tri Fatherland Front portal")</x:f>
        <x:v>Quang Tri Fatherland Front portal</x:v>
      </x:c>
      <x:c r="L578" s="21" t="str">
        <x:f>IFERROR(HYPERLINK("https://baochinhphu.vn/quang-tri-mo-lai-4-cua-khau-phu-voi-lao-102272480.htm","Vietnam Government News"),"Vietnam Government News")</x:f>
        <x:v>Vietnam Government News</x:v>
      </x:c>
      <x:c r="M578" s="21" t="str">
        <x:f>IFERROR(HYPERLINK("https://tienphong.vn/dai-nang-dam-suong-ngan-dai-dich-post1262885.tpo","Tien Phong"),"Tien Phong")</x:f>
        <x:v>Tien Phong</x:v>
      </x:c>
      <x:c r="N578" s="4" t="str">
        <x:v>https://ubmttqvn.quangtri.gov.vn/index.php/dan-toc-ton-giao/no-luc-phong-chong-covid-19-tren-tuyen-bien-gioi-viet-lao-3683.html
https://baochinhphu.vn/quang-tri-mo-lai-4-cua-khau-phu-voi-lao-102272480.htm
https://tienphong.vn/dai-nang-dam-suong-ngan-dai-dich-post1262885.tpo
https://en.baochinhphu.vn/quang-tri-re-opens-four-auxiliary-border-gates-with-laos-11138194.htm</x:v>
      </x:c>
      <x:c r="O578" s="4" t="str">
        <x:v>Source 1: opened full text
Source 2: opened full text
Source 3: opened full text</x:v>
      </x:c>
      <x:c r="P578" s="20" t="n">
        <x:v>1</x:v>
      </x:c>
      <x:c r="Q578" s="4" t="str">
        <x:v>East and Southeast Asia and Oceania</x:v>
      </x:c>
      <x:c r="R578" s="4" t="str">
        <x:v>Included</x:v>
      </x:c>
    </x:row>
    <x:row r="579" ht="138" hidden="0" customHeight="1">
      <x:c r="A579" s="16" t="str">
        <x:v>R6-EA-006</x:v>
      </x:c>
      <x:c r="B579" s="4" t="str">
        <x:v>Merauke closes Sota, Kali Torasi and Bupul crossings to PNG for COVID prevention</x:v>
      </x:c>
      <x:c r="C579" s="4" t="str">
        <x:v>Indonesia; Papua New Guinea</x:v>
      </x:c>
      <x:c r="D579" s="4" t="str">
        <x:v>Sota; Kali Torasi; Bupul
Three southern Indonesia–PNG crossing points in Merauke district</x:v>
      </x:c>
      <x:c r="E579" s="4" t="str">
        <x:v>People in either direction, including traditional border crossers.
Direction: Both directions.
Exceptions: By December 2020 nearby PNG residents could shop at Sota twice weekly; relaxation date unknown. By May 2022 market access expanded from three to five weekdays.</x:v>
      </x:c>
      <x:c r="F579" s="4" t="str">
        <x:v>R6-EA-006-R1 — Observed operation
Sota, Kali Torasi and Bupul international people crossings under Merauke deputy-regent order
Start: 2020-03-17.
Last confirmed: 2020-03-19. Reopening is not established.
confirmed through 2020-03-19; at least 2 calendar-day difference; reopening unknown
R6-EA-006-REV1 — Observed operation
Sota traditional international people crossing between Merauke and Papua New Guinea
Start: 2020-03-17.
Last confirmed: 2020-10-15. Reopening is not established.
confirmed through 2020-10-15; at least 212 calendar-day difference; reopening unknown</x:v>
      </x:c>
      <x:c r="G579" s="4" t="str">
        <x:v>Health and biosecurity / Human disease control
Attributed official justification
Applies to: Recorded episode; exact overlap not separately established
The recorded rationale and claim assessment support the selected subcategories. All applicable broad categories are retained together; no primary rationale is imposed.</x:v>
      </x:c>
      <x:c r="H579" s="4" t="str">
        <x:v>R6-EA-006-R1: Last substantive observation is March 19; March 20 publication does not extend it. Not reopening, not continuity to December or 2022.
R6-EA-006-REV1: Sota only; overlaps the Sota portion of R6-EA-006-R1 and must not be added arithmetically to it. October 15 is last confirmation, not reopening. Later twice-weekly shopping entry existed by December 29; first permission date unresolved.</x:v>
      </x:c>
      <x:c r="I579" s="4" t="str">
        <x:v>Retained baseline assessment. Retained with recorded qualifications</x:v>
      </x:c>
      <x:c r="J579" s="18" t="d">
        <x:v>2026-10-23T00:00:00.000Z</x:v>
      </x:c>
      <x:c r="K579" s="21" t="str">
        <x:f>IFERROR(HYPERLINK("https://cenderawasihpos.jawapos.com/lintas-papua/merauke/20/03/2020/cegah-corona-lintas-perbatasan-negara-ditutup/","Cenderawasih Pos"),"Cenderawasih Pos")</x:f>
        <x:v>Cenderawasih Pos</x:v>
      </x:c>
      <x:c r="L579" s="21" t="str">
        <x:f>IFERROR(HYPERLINK("https://arsip.jubi.id/papua-jalur-pelintas-batas-tradisional-di-sota/","Jubi, Frans L Kobun / Ans K"),"Jubi, Frans L Kobun / Ans K")</x:f>
        <x:v>Jubi, Frans L Kobun / Ans K</x:v>
      </x:c>
      <x:c r="M579" s="21" t="str">
        <x:f>IFERROR(HYPERLINK("https://cenderawasihpos.jawapos.com/lintas-papua/merauke/30/06/2020/plbn-sota-kembali-dibuka-untuk-umum/","Cenderawasih Pos"),"Cenderawasih Pos")</x:f>
        <x:v>Cenderawasih Pos</x:v>
      </x:c>
      <x:c r="N579" s="4" t="str">
        <x:v>https://cenderawasihpos.jawapos.com/lintas-papua/merauke/20/03/2020/cegah-corona-lintas-perbatasan-negara-ditutup/
https://arsip.jubi.id/papua-jalur-pelintas-batas-tradisional-di-sota/
https://cenderawasihpos.jawapos.com/lintas-papua/merauke/30/06/2020/plbn-sota-kembali-dibuka-untuk-umum/
https://cenderawasihpos.jawapos.com/berita-utama/30/12/2020/sejak-januari-2020-akses-pintu-perbatasan-sudah-tutup/
https://arsip.jubi.id/eliminasi-covid-merauke-tutup-perbatasan-ri-png-papua/
https://www.ceposonline.com/nasional/1993201768/plbn-sota-sudah-buka-lima-hari-bagi-warga-png</x:v>
      </x:c>
      <x:c r="O579" s="4" t="str">
        <x:v>Source 1: full
Source 2: full
Source 3: indexed excerpt</x:v>
      </x:c>
      <x:c r="P579" s="20" t="n">
        <x:v>2</x:v>
      </x:c>
      <x:c r="Q579" s="4" t="str">
        <x:v>East and Southeast Asia and Oceania</x:v>
      </x:c>
      <x:c r="R579" s="4" t="str">
        <x:v>Included</x:v>
      </x:c>
    </x:row>
    <x:row r="580" ht="114" hidden="0" customHeight="1">
      <x:c r="A580" s="16" t="str">
        <x:v>R6-EA-003</x:v>
      </x:c>
      <x:c r="B580" s="4" t="str">
        <x:v>Chi Ma–Ai Diem suspends freight clearance in December 2021</x:v>
      </x:c>
      <x:c r="C580" s="4" t="str">
        <x:v>Vietnam; China</x:v>
      </x:c>
      <x:c r="D580" s="4" t="str">
        <x:v>Chi Ma–Ai Diem
Bilateral cargo clearance at Chi Ma–Ai Diem (Aidian)</x:v>
      </x:c>
      <x:c r="E580" s="4" t="str">
        <x:v>Import/export freight through this gate.
Direction: Both directions initially.
Exceptions: Restored trade was limited by commodity and transloading; this endpoint is first partial cargo movement.</x:v>
      </x:c>
      <x:c r="F580" s="4" t="str">
        <x:v>R6-EA-003-D1 — Observed operation
Chi Ma–Ai Diem freight halt to first partial cargo resumption; not all commodities.
Start: 2021-12-08.
Observed scoped reopening: 2021-12-22.
14 calendar-day difference; scoped endpoint only</x:v>
      </x:c>
      <x:c r="G58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80" s="4" t="str">
        <x:v>December 22 marks partial trade restoration, not clearance of all stranded agricultural goods. A contemporaneous commander account gives mixed public-health and technical explanations; the evidence does not isolate each factor’s contribution.
R6-EA-003-D1: The endpoint is partial. Commodity and transloading restrictions remained; combined Huu Nghi/Chi Ma vehicle totals are not attributed to Chi Ma alone. The commander also reported a customs-network malfunction alongside COVID prevention; relative contributions are unquantified.</x:v>
      </x:c>
      <x:c r="I580" s="4" t="str">
        <x:v>Retained baseline assessment. Amended after source reconciliation</x:v>
      </x:c>
      <x:c r="J580" s="18" t="d">
        <x:v>2026-10-23T00:00:00.000Z</x:v>
      </x:c>
      <x:c r="K580" s="21" t="str">
        <x:f>IFERROR(HYPERLINK("https://news.tuoitre.vn/thousands-of-fruit-carrying-trucks-stranded-at-vietnam-china-border-gates-over-sluggish-produce-clearance-10364798.htm","Tuoi Tre News"),"Tuoi Tre News")</x:f>
        <x:v>Tuoi Tre News</x:v>
      </x:c>
      <x:c r="L580" s="21" t="str">
        <x:f>IFERROR(HYPERLINK("https://tuoitre.vn/cua-khau-chi-ma-thong-quan-tro-lai-lap-them-tram-phun-khu-khuan-o-tan-thanh-20211222180125292.htm","Tuoi Tre"),"Tuoi Tre")</x:f>
        <x:v>Tuoi Tre</x:v>
      </x:c>
      <x:c r="M580" s="21" t="str">
        <x:f>IFERROR(HYPERLINK("https://tienphong.vn/cua-khau-chi-ma-mo-cua-tro-lai-chi-co-7-xe-trung-quoc-vao-viet-nam-post1403889.tpo","Tien Phong"),"Tien Phong")</x:f>
        <x:v>Tien Phong</x:v>
      </x:c>
      <x:c r="N580" s="4" t="str">
        <x:v>https://news.tuoitre.vn/thousands-of-fruit-carrying-trucks-stranded-at-vietnam-china-border-gates-over-sluggish-produce-clearance-10364798.htm
https://tuoitre.vn/cua-khau-chi-ma-thong-quan-tro-lai-lap-them-tram-phun-khu-khuan-o-tan-thanh-20211222180125292.htm
https://tienphong.vn/cua-khau-chi-ma-mo-cua-tro-lai-chi-co-7-xe-trung-quoc-vao-viet-nam-post1403889.tpo
https://vnexpress.net/doanh-nghiep-co-the-thiet-hai-4-000-ty-dong-vi-container-un-u-4407112.html
https://cafebiz.vn/hang-nghin-xe-tai-ach-tac-o-cua-khau-chi-ma-tien-thoai-luong-nan-20211217085441575.chn</x:v>
      </x:c>
      <x:c r="O580" s="4" t="str">
        <x:v>Source 1: opened full text
Source 2: opened full text
Source 3: opened full text</x:v>
      </x:c>
      <x:c r="P580" s="20" t="n">
        <x:v>1</x:v>
      </x:c>
      <x:c r="Q580" s="4" t="str">
        <x:v>East and Southeast Asia and Oceania</x:v>
      </x:c>
      <x:c r="R580" s="4" t="str">
        <x:v>Included</x:v>
      </x:c>
    </x:row>
    <x:row r="581" ht="198" hidden="0" customHeight="1">
      <x:c r="A581" s="16" t="str">
        <x:v>R6-EA-002</x:v>
      </x:c>
      <x:c r="B581" s="4" t="str">
        <x:v>Tan Thanh–Po Chai halts Vietnamese cargo exports during COVID controls</x:v>
      </x:c>
      <x:c r="C581" s="4" t="str">
        <x:v>Vietnam; China</x:v>
      </x:c>
      <x:c r="D581" s="4" t="str">
        <x:v>Tan Thanh–Po Chai
Vietnamese exports through Tan Thanh–Po Chai (Pu Zhai)</x:v>
      </x:c>
      <x:c r="E581" s="4" t="str">
        <x:v>Vietnam-to-China freight, including fresh agricultural produce.
Direction: Vietnam to China.
Exceptions: Imports into Vietnam and empty-vehicle returns were possible by December 22–23; not a total two-way border closure.</x:v>
      </x:c>
      <x:c r="F581" s="4" t="str">
        <x:v>R6-EA-002-D1 — Observed operation
Vietnamese exports through Tan Thanh–Po Chai (Pu Zhai); Vietnam-to-China freight, including fresh agricultural produce.; Vietnam to China.
Start: 2021-12-18.
Observed scoped reopening: 2022-01-25.
38 calendar-day difference; scoped endpoint only</x:v>
      </x:c>
      <x:c r="G58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81" s="4" t="str">
        <x:v>R6-EA-002-D1: Chinese reason was not initially announced to the local official; later ministry report supplies public-health attribution. Reopening remained low-capacity. Imports into Vietnam and empty-vehicle returns were possible by December 22–23; not a total two-way border closure.</x:v>
      </x:c>
      <x:c r="I581" s="4" t="str">
        <x:v>Full-record source audit (REC50-R30); retained with recorded qualifications; evidence limits retained.</x:v>
      </x:c>
      <x:c r="J581" s="18" t="d">
        <x:v>2026-10-25T00:00:00.000Z</x:v>
      </x:c>
      <x:c r="K581" s="21" t="str">
        <x:f>IFERROR(HYPERLINK("https://news.tuoitre.vn/thousands-of-fruit-carrying-trucks-stranded-at-vietnam-china-border-gates-over-sluggish-produce-clearance-10364798.htm","Tuoi Tre News"),"Tuoi Tre News")</x:f>
        <x:v>Tuoi Tre News</x:v>
      </x:c>
      <x:c r="L581" s="21" t="str">
        <x:f>IFERROR(HYPERLINK("https://moit.gov.vn/en/news/ministerial-leaders-activities/china-resumes-customs-clearance-of-goods-at-po-chai-border-gate.html","Vietnam Ministry of Industry and Trade"),"Vietnam Ministry of Industry and Trade")</x:f>
        <x:v>Vietnam Ministry of Industry and Trade</x:v>
      </x:c>
      <x:c r="M581" s="21" t="str">
        <x:f>IFERROR(HYPERLINK("https://www.vietnamplus.vn/hai-cua-khau-chi-ma-va-tan-thanh-thuc-hien-thong-quan-tro-lai/770432.vnp","VietnamPlus"),"VietnamPlus")</x:f>
        <x:v>VietnamPlus</x:v>
      </x:c>
      <x:c r="N581" s="4" t="str">
        <x:v>https://news.tuoitre.vn/thousands-of-fruit-carrying-trucks-stranded-at-vietnam-china-border-gates-over-sluggish-produce-clearance-10364798.htm
https://moit.gov.vn/en/news/ministerial-leaders-activities/china-resumes-customs-clearance-of-goods-at-po-chai-border-gate.html
https://www.vietnamplus.vn/hai-cua-khau-chi-ma-va-tan-thanh-thuc-hien-thong-quan-tro-lai/770432.vnp
https://tuoitre.vn/cua-khau-chi-ma-thong-quan-tro-lai-lap-them-tram-phun-khu-khuan-o-tan-thanh-20211222180125292.htm
https://tienphong.vn/cua-khau-chi-ma-mo-cua-tro-lai-chi-co-7-xe-trung-quoc-vao-viet-nam-post1403889.tpo
https://baochinhphu.vn/lang-son-tam-dung-tiep-nhan-xe-cho-hoa-qua-tuoi-den-cua-khau-tu-17-1-102220113133507293.htm
https://moit.gov.vn/tin-tuc/hoat-dong/trung-quoc-khoi-phuc-thong-quan-tai-po-chai.html
https://vtv.vn/kinh-te/cua-khau-tan-thanh-thong-quan-tro-lai-20220125132115225.htm
https://baotintuc.vn/kinh-te/cua-khau-chi-ma-tan-thanh-thong-quan-tro-lai-20220126174427269.htm</x:v>
      </x:c>
      <x:c r="O581" s="4" t="str">
        <x:v>Source 1: opened full text
Source 2: full text
Source 3: opened full text</x:v>
      </x:c>
      <x:c r="P581" s="20" t="n">
        <x:v>1</x:v>
      </x:c>
      <x:c r="Q581" s="4" t="str">
        <x:v>East and Southeast Asia and Oceania</x:v>
      </x:c>
      <x:c r="R581" s="4" t="str">
        <x:v>Included</x:v>
      </x:c>
    </x:row>
    <x:row r="582" ht="126" hidden="0" customHeight="1">
      <x:c r="A582" s="16" t="str">
        <x:v>R6-EA-004</x:v>
      </x:c>
      <x:c r="B582" s="4" t="str">
        <x:v>Chi Ma–Ai Diem suspends freight clearance after infected cargo worker detected</x:v>
      </x:c>
      <x:c r="C582" s="4" t="str">
        <x:v>Vietnam; China</x:v>
      </x:c>
      <x:c r="D582" s="4" t="str">
        <x:v>Chi Ma–Ai Diem
Cargo clearance through Chi Ma–Ai Diem</x:v>
      </x:c>
      <x:c r="E582" s="4" t="str">
        <x:v>Import/export freight; endpoint directly evidences Vietnamese export vehicles.
Direction: Both directions in notice; observed endpoint Vietnam to China.
Exceptions: No cargo exemptions established in closure notices; subsequent throughput remained restricted.</x:v>
      </x:c>
      <x:c r="F582" s="4" t="str">
        <x:v>R6-EA-004-D1 — Observed operation
Vietnam-to-China export freight through Chi Ma–Ai Diem to first resumed export clearance.
Start: 2022-01-17.
Observed scoped reopening: 2022-01-25.
8 calendar-day difference; scoped endpoint only</x:v>
      </x:c>
      <x:c r="G582"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82" s="4" t="str">
        <x:v>R6-EA-004-D1: Reports disagree on the start hour, not the date. The export endpoint does not establish restoration of imports or every commodity; agency republications share one origin.</x:v>
      </x:c>
      <x:c r="I582" s="4" t="str">
        <x:v>Retained baseline assessment. Retained with recorded qualifications</x:v>
      </x:c>
      <x:c r="J582" s="18" t="d">
        <x:v>2026-10-23T00:00:00.000Z</x:v>
      </x:c>
      <x:c r="K582" s="21" t="str">
        <x:f>IFERROR(HYPERLINK("https://www.vietnamplus.vn/hai-cua-khau-chi-ma-va-tan-thanh-thuc-hien-thong-quan-tro-lai/770432.vnp","VietnamPlus"),"VietnamPlus")</x:f>
        <x:v>VietnamPlus</x:v>
      </x:c>
      <x:c r="L582" s="21" t="str">
        <x:f>IFERROR(HYPERLINK("https://english.haiquanonline.com.vn/china-suspends-customs-clearance-at-chi-ma-border-gate-21290.html","Customs News"),"Customs News")</x:f>
        <x:v>Customs News</x:v>
      </x:c>
      <x:c r="M582" s="21" t="str">
        <x:f>IFERROR(HYPERLINK("https://baolangson.vn/tam-dung-thuc-hien-thong-quan-hang-hoa-qua-cua-khau-chi-ma-1475667.html","Lang Son newspaper"),"Lang Son newspaper")</x:f>
        <x:v>Lang Son newspaper</x:v>
      </x:c>
      <x:c r="N582" s="4" t="str">
        <x:v>https://www.vietnamplus.vn/hai-cua-khau-chi-ma-va-tan-thanh-thuc-hien-thong-quan-tro-lai/770432.vnp
https://english.haiquanonline.com.vn/china-suspends-customs-clearance-at-chi-ma-border-gate-21290.html
https://baolangson.vn/tam-dung-thuc-hien-thong-quan-hang-hoa-qua-cua-khau-chi-ma-1475667.html
https://baochinhphu.vn/lang-son-tam-dung-thong-quan-hang-hoa-qua-cua-khau-chi-ma-102220120111052071.htm
https://baotintuc.vn/kinh-te/cua-khau-chi-ma-tan-thanh-thong-quan-tro-lai-20220126174427269.htm</x:v>
      </x:c>
      <x:c r="O582" s="4" t="str">
        <x:v>Source 1: opened full text
Source 2: substantive indexed text; direct open unavailable
Source 3: substantive indexed text; direct open returned 410</x:v>
      </x:c>
      <x:c r="P582" s="20" t="n">
        <x:v>1</x:v>
      </x:c>
      <x:c r="Q582" s="4" t="str">
        <x:v>East and Southeast Asia and Oceania</x:v>
      </x:c>
      <x:c r="R582" s="4" t="str">
        <x:v>Included</x:v>
      </x:c>
    </x:row>
    <x:row r="583" ht="354" hidden="0" customHeight="1">
      <x:c r="A583" s="16" t="str">
        <x:v>R6-EA-005</x:v>
      </x:c>
      <x:c r="B583" s="4" t="str">
        <x:v>Chi Ma–Ai Diem halts freight clearance during March–April 2022 outbreak</x:v>
      </x:c>
      <x:c r="C583" s="4" t="str">
        <x:v>Vietnam; China</x:v>
      </x:c>
      <x:c r="D583" s="4" t="str">
        <x:v>Chi Ma–Ai Diem
Cargo clearance through Chi Ma–Ai Diem</x:v>
      </x:c>
      <x:c r="E583" s="4" t="str">
        <x:v>Bilateral freight. Provincial daily reporting records one import and no exports on 20 April; the later ministry table records no imports. First complete restoration remains unresolved.
Direction: Both freight directions were reported suspended; the provincial daily report describes an inbound China-to-Vietnam shipment on 20 April, disputed by later ministry figures.
Exceptions: New container-transfer protocol from April 21; first inbound shipment is not full reopening.</x:v>
      </x:c>
      <x:c r="F583" s="4" t="str">
        <x:v>R6-EA-005-FU1 — Observed operation
Chi Ma–Ai Diem bilateral freight clearance
Start: unknown.
Last confirmed: 2022-03-15. Reopening is not established.
dated evidence; numeric duration withheld; see qualification</x:v>
      </x:c>
      <x:c r="G58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83" s="4" t="str">
        <x:v>R6-EA-005-FU1: March 15 closure is corroborated by Dân Việt’s report of the official exchange. The provincial April 20 report records one inbound truck; April 21 describes a new transfer protocol, so these dates concern different events. Later Finance Ministry letter 4612 conflicts on onset (March 15 in prose, April 15 in table) and records zero April 20 imports. Exact onset, restored cohort and continuous duration remain unresolved; no duration is calculated.
start/end and duration: Add only a March 15 confirmed freight suspension with unknown exact onset; fresh primary April 20 evidence distinguishes actual import from April 21 procedure permission, but the packet’s ministry-date conflict still blocks an unqualified continuous interval.
Current onset finding: Dan Viet reports the March 14 closure notice and March 15 official call confirming clearance still impossible; possible March 17/18 restart was conditional. This supports the March 15 state observation while precise onset and April endpoint remain unresolved.
Current continuity finding: Dan Viet reports the March 14 closure notice and March 15 official call confirming clearance still impossible; possible March 17/18 restart was conditional. This supports the March 15 state observation while precise onset and April endpoint remain unresolved.
duration: Add only a March 15 confirmed freight suspension with unknown exact onset; fresh primary April 20 evidence distinguishes actual import from April 21 procedure permission, but the packet’s ministry-date conflict still blocks an unqualified continuous interval.
Current onset finding: Dan Viet reports the March 14 closure notice and March 15 official call confirming clearance still impossible; possible March 17/18 restart was conditional. This supports the March 15 state observation while precise onset and April endpoint remain unresolved.
Current continuity finding: Dan Viet reports the March 14 closure notice and March 15 official call confirming clearance still impossible; possible March 17/18 restart was conditional. This supports the March 15 state observation while precise onset and April endpoint remain unresolved.</x:v>
      </x:c>
      <x:c r="I583" s="4" t="str">
        <x:v>Full-record source audit (REC50-R20); accepted corrections; evidence limits retained.</x:v>
      </x:c>
      <x:c r="J583" s="18" t="d">
        <x:v>2026-10-25T00:00:00.000Z</x:v>
      </x:c>
      <x:c r="K583" s="21" t="str">
        <x:f>IFERROR(HYPERLINK("https://www.vietnamplus.vn/lang-son-nang-luc-thong-quan-hang-hoa-qua-cac-cua-khau-van-rat-cham-post778236.vnp","VietnamPlus / VNA"),"VietnamPlus / VNA")</x:f>
        <x:v>VietnamPlus / VNA</x:v>
      </x:c>
      <x:c r="L583" s="21" t="str">
        <x:f>IFERROR(HYPERLINK("https://danviet.vn/lang-son-cua-khau-chi-ma-tam-dung-thong-quan-20220316153043089-d1007384.html","Dân Việt"),"Dân Việt")</x:f>
        <x:v>Dân Việt</x:v>
      </x:c>
      <x:c r="M583" s="21" t="str">
        <x:f>IFERROR(HYPERLINK("https://vanphong.langson.gov.vn/upload/105364/20231214/c81ccef33cecaa01667df6e7800c86e0BC_20tinh_20hinh_20XNK_20ngay_2020.4.2022.pdf","Lạng Sơn provincial government"),"Lạng Sơn provincial government")</x:f>
        <x:v>Lạng Sơn provincial government</x:v>
      </x:c>
      <x:c r="N583" s="4" t="str">
        <x:v>https://www.vietnamplus.vn/lang-son-nang-luc-thong-quan-hang-hoa-qua-cac-cua-khau-van-rat-cham-post778236.vnp
https://danviet.vn/lang-son-cua-khau-chi-ma-tam-dung-thong-quan-20220316153043089-d1007384.html
https://vanphong.langson.gov.vn/upload/105364/20231214/c81ccef33cecaa01667df6e7800c86e0BC_20tinh_20hinh_20XNK_20ngay_2020.4.2022.pdf
https://thuvienphapluat.vn/cong-van/Xuat-nhap-khau/Cong-van-4612-BTC-TCHQ-2022-nang-cao-nang-luc-van-chuyen-hang-hoa-xuat-nhap-khau-bang-duong-sat-516891.aspx?tab=2
https://bnews.vn/thong-quan-hang-hoa-tai-lang-son-van-rat-cham/236716.html
https://vinacas.com.vn/khoi-phuc-thong-quan-hang-hoa-tai-nhieu-cua-khau-o-lang-son-bv2910.htm
https://hethongphapluat.com/cong-van-4612-btc-tchq-nam-2022-ve-nang-cao-nang-luc-hieu-qua-van-chuyen-hang-hoa-xuat-khau-nhap-khau-bang-duong-sat-do-bo-tai-chinh-ban-hanh.html
https://vbpl.ts24.com.vn/support/solutions/articles/16000136657-c%C3%B4ng-v%C4%83n-4612-btc-tchq-ng%C3%A0y-23-05-2022-n%C3%A2ng-cao-n%C4%83ng-l%E1%BB%B1c-hi%E1%BB%87u-qu%E1%BA%A3-v%E1%BA%ADn-chuy%E1%BB%83n-h%C3%A0ng-h%C3%B3a-xu%E1%BA%A5t-kh%E1%BA%A9u-nh%E1%BA%AD
https://vneconomy.vn/cua-khau-huu-nghi-tan-thanh-chi-ma-van-thong-quan-hang-hoa-nhung-so-luong-han-che
https://24hmoney.vn/news/tam-dung-thong-quan-hang-qua-cap-cua-khau-song-phuong-chi-ma--ai-diem-den-het-17-3-c27a1386552.html
https://vneconomy.vn/tam-dung-thong-quan-hang-qua-cap-cua-khau-song-phuong-chi-ma-ai-diem-den-het-17-3.htm
https://baochinhphu.vn/nhieu-cua-khau-voi-trung-quoc-khoi-phuc-thong-quan-hang-hoa-102220425132452852.htm
https://www.vinacas.com.vn/khoi-phuc-thong-quan-hang-hoa-tai-nhieu-cua-khau-o-lang-son-bv2910.htm
https://baolangson.vn/cua-khau-song-phuong-chi-ma-viet-nam-ai-diem-trung-quoc-thuc-hien-thong-quan-tro-lai-1494907.html</x:v>
      </x:c>
      <x:c r="O583" s="4" t="str">
        <x:v>Source 1: full text
Source 2: full text
Source 3: indexed excerpt; failed; indexed extract</x:v>
      </x:c>
      <x:c r="P583" s="20" t="n">
        <x:v>1</x:v>
      </x:c>
      <x:c r="Q583" s="4" t="str">
        <x:v>East and Southeast Asia and Oceania</x:v>
      </x:c>
      <x:c r="R583" s="4" t="str">
        <x:v>Included</x:v>
      </x:c>
    </x:row>
    <x:row r="584" ht="174" hidden="0" customHeight="1">
      <x:c r="A584" s="16" t="str">
        <x:v>R6-EU-005</x:v>
      </x:c>
      <x:c r="B584" s="4" t="str">
        <x:v>Kastanies–Pazarkule gate closure following February 2020 migration confrontation</x:v>
      </x:c>
      <x:c r="C584" s="4" t="str">
        <x:v>Greece; Türkiye</x:v>
      </x:c>
      <x:c r="D584" s="4" t="str">
        <x:v>Kastanies (Greece)–Pazarkule (Turkey)
Specific road/pedestrian crossing, later subject to pandemic admission restrictions</x:v>
      </x:c>
      <x:c r="E584" s="4" t="str">
        <x:v>Users of the named gate; no national Greece–Turkey total freight closure inferred.
Direction: Gate service affected; initial stated concern was entry into Greece.
Exceptions: Other crossings and exceptional admission remained possible; July 2021 resumption retained eligibility/health limits.</x:v>
      </x:c>
      <x:c r="F584" s="4" t="str">
        <x:v>R6-EU-005-R1 — Observed operation
Kastanies–Pazarkule gate unavailable for ordinary authorized civilian passenger crossings, ending with restricted passenger operation
Start: 2020-02-28 to 2020-03-01.
Observed scoped reopening: 2021-07-03.
489–491 calendar-day difference; scoped endpoint only</x:v>
      </x:c>
      <x:c r="G584" s="4" t="str">
        <x:v>Migration / Entry and asylum control
Analytical interpretation of reported context
Applies to: Initial migration confrontation
The recorded rationale and claim assessment support the selected subcategories. All applicable broad categories are retained together; no primary rationale is imposed.
Health and biosecurity / Human disease control
Analytical interpretation of reported context
Applies to: Subsequent pandemic phase; transition date unresolved
The recorded rationale and claim assessment support the selected subcategories. All applicable broad categories are retained together; no primary rationale is imposed.</x:v>
      </x:c>
      <x:c r="H584" s="4" t="str">
        <x:v>R6-EU-005-R1: Onset bounded February 28–March 1 from conflicting explicit reports, not rounded duration subtraction. Migration and pandemic rationales changed. Reopening did not admit all nationalities; irregular river crossings and Ipsala are excluded.</x:v>
      </x:c>
      <x:c r="I584" s="4" t="str">
        <x:v>Targeted source review (REC50-R14); retained with recorded qualifications; evidence limits retained.</x:v>
      </x:c>
      <x:c r="J584" s="18" t="d">
        <x:v>2026-10-25T00:00:00.000Z</x:v>
      </x:c>
      <x:c r="K584" s="21" t="str">
        <x:f>IFERROR(HYPERLINK("https://www.newsbomb.gr/en/story/1058466/kastanies-customs-post-closed-after-large-numbers-of-people-seek-to-enter-greece-from-turkey","Newsbomb"),"Newsbomb")</x:f>
        <x:v>Newsbomb</x:v>
      </x:c>
      <x:c r="L584" s="21" t="str">
        <x:f>IFERROR(HYPERLINK("https://www.gunhaber.com.tr/haber/Yunanistan-1-Temmuz-da-acilacagini-duyurdugu-sinir-kapilari-acmadi/457086","DHA via Gün Haber"),"DHA via Gün Haber")</x:f>
        <x:v>DHA via Gün Haber</x:v>
      </x:c>
      <x:c r="M584" s="21" t="str">
        <x:f>IFERROR(HYPERLINK("https://atina-be.mfa.gov.tr/Mission/ShowAnnouncement/375288","Turkish Embassy in Athens"),"Turkish Embassy in Athens")</x:f>
        <x:v>Turkish Embassy in Athens</x:v>
      </x:c>
      <x:c r="N584" s="4" t="str">
        <x:v>https://www.newsbomb.gr/en/story/1058466/kastanies-customs-post-closed-after-large-numbers-of-people-seek-to-enter-greece-from-turkey
https://www.gunhaber.com.tr/haber/Yunanistan-1-Temmuz-da-acilacagini-duyurdugu-sinir-kapilari-acmadi/457086
https://atina-be.mfa.gov.tr/Mission/ShowAnnouncement/375288
https://www.trthaber.com/haber/turkiye/pazarkule-sinir-kapisi-yeniden-acildi-593089.html
https://www.sozcu.com.tr/pazarkule-sinir-kapisi-16-ay-sonra-hizmet-vermeye-basladi-wp6519961
https://mobile.aa.com.tr/tr/dunya/yunanistan-komsu-ulkelere-sinirlarini-acma-karari-aldi/1893805
https://www.ekathimerini.com/opinion/1164082/reopen-the-greek-turkish-borders-why-it-makes-sense-now/
https://www.news.ro/politic-extern/mae-frontiera-terestra-dintre-republica-elena-si-turcia-in-zona-kastanies-regiunea-evros-inchisa-circulatiei-tuturor-categoriilor-de-persoane-si-marfuri-1922404329532020021119284512
https://insete.gr/wp-content/uploads/2021/12/Bulletin_EN_2102-1.pdf</x:v>
      </x:c>
      <x:c r="O584" s="4" t="str">
        <x:v>Source 1: full
Source 2: indexed excerpt; full; full text
Source 3: full; full text</x:v>
      </x:c>
      <x:c r="P584" s="20" t="n">
        <x:v>1</x:v>
      </x:c>
      <x:c r="Q584" s="4" t="str">
        <x:v>Europe</x:v>
      </x:c>
      <x:c r="R584" s="4" t="str">
        <x:v>Included</x:v>
      </x:c>
    </x:row>
    <x:row r="585" ht="126" hidden="0" customHeight="1">
      <x:c r="A585" s="16" t="str">
        <x:v>R6-EU-001</x:v>
      </x:c>
      <x:c r="B585" s="4" t="str">
        <x:v>Finland restricts non-exempt land entry and closes secondary routes in the first COVID wave</x:v>
      </x:c>
      <x:c r="C585" s="4" t="str">
        <x:v>Finland; Norway; Sweden; Russia</x:v>
      </x:c>
      <x:c r="D585" s="4" t="str">
        <x:v>Designated Norway/Sweden gates; Russian frontier; Vainikkala passenger rail
National land-entry regime, with frontier-specific exceptions and partial easing</x:v>
      </x:c>
      <x:c r="E585" s="4" t="str">
        <x:v>Non-exempt passenger entry and use of secondary land routes.
Direction: Entry restriction; designated-route restrictions in both directions.
Exceptions: Return rights, goods, necessary travel and evolving work exceptions; outward travel advice did not abolish constitutional exit rights.</x:v>
      </x:c>
      <x:c r="F585" s="4" t="str">
        <x:v>R6-EU-001-D1 — Formal policy
Finland's non-exempt ordinary entry restriction at its Norwegian land frontier
Start: 2020-03-19.
Policy endpoint: 2020-06-15.
Formal policy: 88 calendar-day difference; operational continuity not established</x:v>
      </x:c>
      <x:c r="G58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85" s="4" t="str">
        <x:v>R6-EU-001-D1: Policy only, not first refusal or every post's enforcement. Return, goods, necessary/work exceptions evolved; constitutional exit rights remained. Excludes Sweden/Russia, where restrictions continued, and does not treat outward advice as a legal exit ban.</x:v>
      </x:c>
      <x:c r="I585" s="4" t="str">
        <x:v>Retained baseline assessment. Retained with recorded qualifications</x:v>
      </x:c>
      <x:c r="J585" s="18" t="d">
        <x:v>2026-10-23T00:00:00.000Z</x:v>
      </x:c>
      <x:c r="K585" s="21" t="str">
        <x:f>IFERROR(HYPERLINK("https://valtioneuvosto.fi/en/-/1410869/suomen-rajaliikennetta-aletaan-rajoittaa-elakkeella-olevia-rajavartijoita-ja-poliiseja-voidaan-kutsua-toihin","Finnish Ministry of the Interior"),"Finnish Ministry of the Interior")</x:f>
        <x:v>Finnish Ministry of the Interior</x:v>
      </x:c>
      <x:c r="L585" s="21" t="str">
        <x:f>IFERROR(HYPERLINK("https://valtioneuvosto.fi/en/-/1410869/valtioneuvoston-paatos-rajaliikenteen-rajoituksista-15-6-alkaen","Finnish Ministry of the Interior"),"Finnish Ministry of the Interior")</x:f>
        <x:v>Finnish Ministry of the Interior</x:v>
      </x:c>
      <x:c r="M585" s="21" t="str">
        <x:f>IFERROR(HYPERLINK("https://um.fi/current-affairs/-/asset_publisher/gc654PySnjTX/content/coronavirus-pandemic-is-a-global-threat-continue-to-avoid-travelling","Finnish Ministry for Foreign Affairs"),"Finnish Ministry for Foreign Affairs")</x:f>
        <x:v>Finnish Ministry for Foreign Affairs</x:v>
      </x:c>
      <x:c r="N585" s="4" t="str">
        <x:v>https://valtioneuvosto.fi/en/-/1410869/suomen-rajaliikennetta-aletaan-rajoittaa-elakkeella-olevia-rajavartijoita-ja-poliiseja-voidaan-kutsua-toihin
https://valtioneuvosto.fi/en/-/1410869/valtioneuvoston-paatos-rajaliikenteen-rajoituksista-15-6-alkaen
https://um.fi/current-affairs/-/asset_publisher/gc654PySnjTX/content/coronavirus-pandemic-is-a-global-threat-continue-to-avoid-travelling
https://returnticket.fi/en/news/restrictions-on-border-traffic-starting-from-15-jun
https://um.fi/documents/385072/0/Border%2BGuard%2Binstructions%2Bfor%2Bborder%2Btraffic%2Bas%2Bfrom%2B150620.pdf/86f675a9-37cc-b0c8-ff67-6e5ce91733d5?t=1592288486066
https://wiki.unece.org/pages/viewpage.action?navigatingVersions=true&amp;pageId=136446140</x:v>
      </x:c>
      <x:c r="O585" s="4" t="str">
        <x:v>Source 1: full page
Source 2: substantive indexed full article; direct open blocked
Source 3: full page</x:v>
      </x:c>
      <x:c r="P585" s="20" t="n">
        <x:v>1</x:v>
      </x:c>
      <x:c r="Q585" s="4" t="str">
        <x:v>Europe</x:v>
      </x:c>
      <x:c r="R585" s="4" t="str">
        <x:v>Included</x:v>
      </x:c>
    </x:row>
    <x:row r="586" ht="210" hidden="0" customHeight="1">
      <x:c r="A586" s="16" t="str">
        <x:v>R6-EU-007</x:v>
      </x:c>
      <x:c r="B586" s="4" t="str">
        <x:v>San Marino physically closes secondary roads at its Italian border during COVID-19</x:v>
      </x:c>
      <x:c r="C586" s="4" t="str">
        <x:v>San Marino; Italy</x:v>
      </x:c>
      <x:c r="D586" s="4" t="str">
        <x:v>Minor roads along Italian frontier; initially Dogana, Gualdicciolo, Faetano, Cerbaiola and Chiesanuova retained; Rovereta later added with limits
Secondary border roads physically blocked; main controlled routes preserved</x:v>
      </x:c>
      <x:c r="E586" s="4" t="str">
        <x:v>Users of secondary roads; no complete isolation of San Marino.
Direction: Both directions on blocked roads.
Exceptions: Main routes remained; Rovereta later admitted heavy vehicles and health staff under time limits.</x:v>
      </x:c>
      <x:c r="F586" s="4" t="str">
        <x:v>R6-EU-007-R1 — Formal policy
San Marino road-access closure under Ordinance 17 excluding Dogana, Gualdicciolo, Faetano, Cerbaiola, Chiesanuova and Rovereta–Barrina main routes, with police-authorized temporary or timed openings
Start: 2020-05-05.
Policy endpoint: 2020-05-19.
Formal policy: 14 calendar-day difference; operational continuity not established</x:v>
      </x:c>
      <x:c r="G586"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86" s="4" t="str">
        <x:v>R6-EU-007-R1: Legal validity only. Ordinance 19 orders immediate reopening on May 19, with no hour or verified time of barrier removal. Ordinance 17 permits police-authorized additional temporary/timed openings for traffic or public-order needs. No property-access exemption appears in the inspected order or its attached sign. The earlier March 21/23–May 3 physical accounts remain separate.</x:v>
      </x:c>
      <x:c r="I586" s="4" t="str">
        <x:v>Retained baseline assessment. Retained with recorded qualifications</x:v>
      </x:c>
      <x:c r="J586" s="18" t="d">
        <x:v>2026-10-23T00:00:00.000Z</x:v>
      </x:c>
      <x:c r="K586" s="21" t="str">
        <x:f>IFERROR(HYPERLINK("https://www.interni.sm/pub1/InterniSM/dam/jcr:749ca0c3-75cc-446e-9b2b-bb3abfcfd6a9/25118250Ordinanzan.17Cov.pdf","San Marino Secretary of State for Internal Affairs"),"San Marino Secretary of State for Internal Affairs")</x:f>
        <x:v>San Marino Secretary of State for Internal Affairs</x:v>
      </x:c>
      <x:c r="L586" s="21" t="str">
        <x:f>IFERROR(HYPERLINK("https://www.interni.sm/pub1/InterniSM/dam/jcr:485bcc36-e47a-48de-b740-8535d22398a2/2511717219-riaperturaCOV.pdf","San Marino Secretary of State for Internal Affairs"),"San Marino Secretary of State for Internal Affairs")</x:f>
        <x:v>San Marino Secretary of State for Internal Affairs</x:v>
      </x:c>
      <x:c r="M586" s="21" t="str">
        <x:f>IFERROR(HYPERLINK("https://www.garanteprivacy.sm/pub2/InterniSM/dam/jcr:749ca0c3-75cc-446e-9b2b-bb3abfcfd6a9/25118250Ordinanzan.17Cov.pdf","San Marino Secretary of State for Internal Affairs"),"San Marino Secretary of State for Internal Affairs")</x:f>
        <x:v>San Marino Secretary of State for Internal Affairs</x:v>
      </x:c>
      <x:c r="N586" s="4" t="str">
        <x:v>https://www.interni.sm/pub1/InterniSM/dam/jcr:749ca0c3-75cc-446e-9b2b-bb3abfcfd6a9/25118250Ordinanzan.17Cov.pdf
https://www.interni.sm/pub1/InterniSM/dam/jcr:485bcc36-e47a-48de-b740-8535d22398a2/2511717219-riaperturaCOV.pdf
https://www.garanteprivacy.sm/pub2/InterniSM/dam/jcr:749ca0c3-75cc-446e-9b2b-bb3abfcfd6a9/25118250Ordinanzan.17Cov.pdf
https://www.settesere.it/it/notizie-romagna-san-marino.-resoconto-delloperativit-della-gendarmeria-nellanno-2020-n27421.php
https://ambsanmarino.esteri.it/it/news/dall_ambasciata/2020/03/congresso-di-stato-della-repubblica/
https://giornalesm.com/san-marino-aperti-solo-5-varchi-di-accesso-alla-repubblica/
https://www.interni.sm/pub1/InterniSM/Ordinanze/Ordinanze2020.html
https://giornalesm.com/san-marino-aperti-tutti-i-varchi-di-frontiera/
https://www.interni.sm/pub1/InterniSM/dam/jcr%3A749ca0c3-75cc-446e-9b2b-bb3abfcfd6a9/25118250Ordinanzan.17Cov.pdf
https://www.interni.sm/pub1/InterniSM/dam/jcr%3A485bcc36-e47a-48de-b740-8535d22398a2/2511717219-riaperturaCOV.pdf</x:v>
      </x:c>
      <x:c r="O586" s="4" t="str">
        <x:v>Source 1: full; failed
Source 2: full
Source 3: full</x:v>
      </x:c>
      <x:c r="P586" s="20" t="n">
        <x:v>1</x:v>
      </x:c>
      <x:c r="Q586" s="4" t="str">
        <x:v>Europe</x:v>
      </x:c>
      <x:c r="R586" s="4" t="str">
        <x:v>Included</x:v>
      </x:c>
    </x:row>
    <x:row r="587" ht="138" hidden="0" customHeight="1">
      <x:c r="A587" s="16" t="str">
        <x:v>R6-EU-003</x:v>
      </x:c>
      <x:c r="B587" s="4" t="str">
        <x:v>Latvia prohibits nonessential European-origin entry through passenger carriers and for non-exempt private travellers in February 2021</x:v>
      </x:c>
      <x:c r="C587" s="4" t="str">
        <x:v>Latvia; Estonia; Lithuania</x:v>
      </x:c>
      <x:c r="D587" s="4" t="str">
        <x:v>Latvian land-entry routes, including Estonia and Lithuania
European-origin admission prohibition, including cross-border bus/rail passengers; important private-vehicle nationality/residence exception</x:v>
      </x:c>
      <x:c r="E587" s="4" t="str">
        <x:v>Nonessential passengers using international carriers and private-vehicle users outside the express nationality/residence exemption.
Direction: Inbound.
Exceptions: Essential purposes and commercial transport staff; from onset, non-commercial-vehicle entry by EU (including Latvian), EEA, Swiss and UK nationals, and EU permanent residents holding a Latvian residence permit, was not restricted under this provision.</x:v>
      </x:c>
      <x:c r="F587" s="4" t="str">
        <x:v>R6-EU-003-D1 — Formal policy
Latvian essential-purpose entry rule for non-exempt European-origin passenger-carrier users, including cross-border bus/rail
Start: 2021-02-11.
Policy endpoint: 2021-06-16.
Formal policy: 125 calendar-day difference; operational continuity not established</x:v>
      </x:c>
      <x:c r="G58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87" s="4" t="str">
        <x:v>R6-EU-003-D1: Not a blanket private-car or all-border ban: specified European nationals/residents in non-commercial vehicles were exempt from onset. Testing/isolation and very-high-risk rules persisted; intermediate amendments and actual first passenger crossing are not fully reconstructed.</x:v>
      </x:c>
      <x:c r="I587" s="4" t="str">
        <x:v>Retained baseline assessment. Retained with recorded qualifications</x:v>
      </x:c>
      <x:c r="J587" s="18" t="d">
        <x:v>2026-10-23T00:00:00.000Z</x:v>
      </x:c>
      <x:c r="K587" s="21" t="str">
        <x:f>IFERROR(HYPERLINK("https://www.rs.gov.lv/en/article/until-end-emergency-situation-only-essential-travel-latvia-permitted","Latvian State Border Guard"),"Latvian State Border Guard")</x:f>
        <x:v>Latvian State Border Guard</x:v>
      </x:c>
      <x:c r="L587" s="21" t="str">
        <x:f>IFERROR(HYPERLINK("https://www.em.gov.lv/en/article/june-16-requirements-entering-latvia-abroad-will-be-eased","Latvian Ministry of Economics"),"Latvian Ministry of Economics")</x:f>
        <x:v>Latvian Ministry of Economics</x:v>
      </x:c>
      <x:c r="M587" s="21" t="str">
        <x:f>IFERROR(HYPERLINK("https://www.sam.gov.lv/en/article/june-16-requirements-entering-latvia-abroad-will-be-eased","Latvian Ministry of Transport"),"Latvian Ministry of Transport")</x:f>
        <x:v>Latvian Ministry of Transport</x:v>
      </x:c>
      <x:c r="N587" s="4" t="str">
        <x:v>https://www.rs.gov.lv/en/article/until-end-emergency-situation-only-essential-travel-latvia-permitted
https://www.em.gov.lv/en/article/june-16-requirements-entering-latvia-abroad-will-be-eased
https://www.sam.gov.lv/en/article/june-16-requirements-entering-latvia-abroad-will-be-eased
https://www.mk.gov.lv/en/regarding-declaration-emergency-situation
https://www.mfa.gov.lv/en/article/11-25-february-only-essential-travel-latvia-permitted
https://www.riga-airport.com/en/news/until-end-state-emergency-it-will-still-be-allowed-enter-latvia-important-and-urgent-reasons
https://covid19.gov.lv/en/aktualites/june-16-requirements-entering-latvia-abroad-will-be-eased
https://www.caa.gov.lv/en/article/11-25-february-only-essential-travel-latvia-permitted
https://www.sam.gov.lv/en/article/11-25-february-only-essential-travel-latvia-permitted
https://www.riga-airport.com/en/news/june-16-requirements-entering-latvia-abroad-will-be-eased</x:v>
      </x:c>
      <x:c r="O587" s="4" t="str">
        <x:v>Source 1: full article; includes later emergency-period updates
Source 2: full page initially; later retrieval timed out
Source 3: page opened; substantive indexed text retrieved through official mirrors</x:v>
      </x:c>
      <x:c r="P587" s="20" t="n">
        <x:v>1</x:v>
      </x:c>
      <x:c r="Q587" s="4" t="str">
        <x:v>Europe</x:v>
      </x:c>
      <x:c r="R587" s="4" t="str">
        <x:v>Included</x:v>
      </x:c>
    </x:row>
    <x:row r="588" ht="102" hidden="0" customHeight="1">
      <x:c r="A588" s="16" t="str">
        <x:v>R6-EU-002</x:v>
      </x:c>
      <x:c r="B588" s="4" t="str">
        <x:v>Slovenia prohibits non-exempt residents’ travel to red-listed countries until judicial stay</x:v>
      </x:c>
      <x:c r="C588" s="4" t="str">
        <x:v>Slovenia; Austria; Italy; Croatia; Hungary</x:v>
      </x:c>
      <x:c r="D588" s="4" t="str">
        <x:v>National land departures to listed countries/regions; not a closure of every gate
Outbound red-list travel prohibition, including land departures</x:v>
      </x:c>
      <x:c r="E588" s="4" t="str">
        <x:v>Residents undertaking non-exempt trips to red-listed destinations.
Direction: Outbound.
Exceptions: Vaccinated/recovered people and specified work, education, transport, transit, landholding and urgent categories subject to conditions.</x:v>
      </x:c>
      <x:c r="F588" s="4" t="str">
        <x:v>R6-EU-002-D1 — Formal policy
Non-exempt Slovenian citizens’ and residents’ outbound travel to red-listed countries.
Start: 2021-03-29.
Policy endpoint: 2021-04-08.
Formal policy: 10 calendar-day difference; operational continuity not established</x:v>
      </x:c>
      <x:c r="G588"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88" s="4" t="str">
        <x:v>R6-EU-002-D1: Formal policy dates only. Vaccinated/recovered and specified essential travellers had exceptions. The stay does not end inbound testing or quarantine, or establish the time of physical barrier removal.</x:v>
      </x:c>
      <x:c r="I588" s="4" t="str">
        <x:v>Retained baseline assessment. Retained with recorded qualifications</x:v>
      </x:c>
      <x:c r="J588" s="18" t="d">
        <x:v>2026-10-23T00:00:00.000Z</x:v>
      </x:c>
      <x:c r="K588" s="21" t="str">
        <x:f>IFERROR(HYPERLINK("https://www.gov.si/en/news/2021-03-28-slovenia-in-lockdown-from-1-april-to-11-april-2021/","Government of Slovenia"),"Government of Slovenia")</x:f>
        <x:v>Government of Slovenia</x:v>
      </x:c>
      <x:c r="L588" s="21" t="str">
        <x:f>IFERROR(HYPERLINK("https://www.uradni-list.si/glasilo-uradni-list-rs/vsebina/2021-01-1045/sklep-o-zacasnem-zadrzanju-izvrsevanja-11--clena-odloka-o-dolocitvi-pogojev-vstopa-v-republiko-slovenijo-zaradi-zajezitve-in-obvladovanja-nalezljive-bolezni-covid-19","Uradni list Republike Slovenije"),"Uradni list Republike Slovenije")</x:f>
        <x:v>Uradni list Republike Slovenije</x:v>
      </x:c>
      <x:c r="M588" s="21" t="str">
        <x:f>IFERROR(HYPERLINK("https://www.metropolitan.si/novice/ustavno-sodisce-zacasno-zadrzalo-dolocbo-vladnega-odloka-ki-omejuje-potovanja-v-drzave-na-rdecem-seznamu/","Metropolitan.si"),"Metropolitan.si")</x:f>
        <x:v>Metropolitan.si</x:v>
      </x:c>
      <x:c r="N588" s="4" t="str">
        <x:v>https://www.gov.si/en/news/2021-03-28-slovenia-in-lockdown-from-1-april-to-11-april-2021/
https://www.uradni-list.si/glasilo-uradni-list-rs/vsebina/2021-01-1045/sklep-o-zacasnem-zadrzanju-izvrsevanja-11--clena-odloka-o-dolocitvi-pogojev-vstopa-v-republiko-slovenijo-zaradi-zajezitve-in-obvladovanja-nalezljive-bolezni-covid-19
https://www.metropolitan.si/novice/ustavno-sodisce-zacasno-zadrzalo-dolocbo-vladnega-odloka-ki-omejuje-potovanja-v-drzave-na-rdecem-seznamu/
https://www.24ur.com/novice/korona/ustavno-sodisce-zadrzalo-dolocbo-ki-omejuje-potovanja-v-rdece-drzave.html</x:v>
      </x:c>
      <x:c r="O588" s="4" t="str">
        <x:v>Source 1: full page
Source 2: full official text
Source 3: full article</x:v>
      </x:c>
      <x:c r="P588" s="20" t="n">
        <x:v>1</x:v>
      </x:c>
      <x:c r="Q588" s="4" t="str">
        <x:v>Europe</x:v>
      </x:c>
      <x:c r="R588" s="4" t="str">
        <x:v>Included</x:v>
      </x:c>
    </x:row>
    <x:row r="589" ht="90" hidden="0" customHeight="1">
      <x:c r="A589" s="16" t="str">
        <x:v>R6-EU-004</x:v>
      </x:c>
      <x:c r="B589" s="4" t="str">
        <x:v>England’s explicit non-excused overseas-departure prohibition, including Channel Tunnel travel</x:v>
      </x:c>
      <x:c r="C589" s="4" t="str">
        <x:v>United Kingdom; France</x:v>
      </x:c>
      <x:c r="D589" s="4" t="str">
        <x:v>International rail/tunnel departures from England, including Folkestone and international passenger rail terminals
England-only outbound legal prohibition; rail/tunnel component retained in this land-focused register</x:v>
      </x:c>
      <x:c r="E589" s="4" t="str">
        <x:v>Persons leaving England for overseas destinations without a reasonable excuse.
Direction: Outbound.
Exceptions: Reasonable excuses including work and other listed needs; specified hauliers, tunnel workers and other transport/diplomatic categories exempt.</x:v>
      </x:c>
      <x:c r="F589" s="4" t="str">
        <x:v>R6-EU-004-D1 — Formal policy
England’s explicit prohibition on overseas departure without reasonable excuse, including Channel Tunnel travel.
Start: 2021-03-29.
Policy endpoint: 2021-05-17.
Formal policy: 49 calendar-day difference; operational continuity not established</x:v>
      </x:c>
      <x:c r="G589"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89" s="4" t="str">
        <x:v>R6-EU-004-D1: Formal policy dates only. Reasonable-excuse and transport-worker exemptions continued as applicable. No first leisure-train movement is established. This England provision is not extrapolated to other UK jurisdictions or the Northern Ireland land border.</x:v>
      </x:c>
      <x:c r="I589" s="4" t="str">
        <x:v>Retained baseline assessment. Retained with recorded qualifications</x:v>
      </x:c>
      <x:c r="J589" s="18" t="d">
        <x:v>2026-10-23T00:00:00.000Z</x:v>
      </x:c>
      <x:c r="K589" s="21" t="str">
        <x:f>IFERROR(HYPERLINK("https://www.legislation.gov.uk/uksi/2021/364/pdfs/uksi_20210364_en.pdf","legislation.gov.uk"),"legislation.gov.uk")</x:f>
        <x:v>legislation.gov.uk</x:v>
      </x:c>
      <x:c r="L589" s="21" t="str">
        <x:f>IFERROR(HYPERLINK("https://www.legislation.gov.uk/uksi/2021/585/pdfs/uksi_20210585_en.pdf","legislation.gov.uk"),"legislation.gov.uk")</x:f>
        <x:v>legislation.gov.uk</x:v>
      </x:c>
      <x:c r="M589" s="21" t="str">
        <x:f>IFERROR(HYPERLINK("https://www.cps.gov.uk/cy/node/14109","Crown Prosecution Service"),"Crown Prosecution Service")</x:f>
        <x:v>Crown Prosecution Service</x:v>
      </x:c>
      <x:c r="N589" s="4" t="str">
        <x:v>https://www.legislation.gov.uk/uksi/2021/364/pdfs/uksi_20210364_en.pdf
https://www.legislation.gov.uk/uksi/2021/585/pdfs/uksi_20210585_en.pdf
https://www.cps.gov.uk/cy/node/14109
https://www.cps.gov.uk/prosecution-guidance/coronavirus-health-protection-coronavirus-restrictions-steps-england
https://www.gov.uk/government/news/government-confirms-traffic-light-list-ahead-of-cautious-return-to-international-travel</x:v>
      </x:c>
      <x:c r="O589" s="4" t="str">
        <x:v>Source 1: full official PDF text; corrected publication version
Source 2: full official PDF text
Source 3: full guidance updated through 2022</x:v>
      </x:c>
      <x:c r="P589" s="20" t="n">
        <x:v>1</x:v>
      </x:c>
      <x:c r="Q589" s="4" t="str">
        <x:v>Europe</x:v>
      </x:c>
      <x:c r="R589" s="4" t="str">
        <x:v>Included</x:v>
      </x:c>
    </x:row>
    <x:row r="590" ht="198" hidden="0" customHeight="1">
      <x:c r="A590" s="16" t="str">
        <x:v>R6-EU-006</x:v>
      </x:c>
      <x:c r="B590" s="4" t="str">
        <x:v>Coordinated farmer blockades on Spain–France and Spain–Andorra frontier roads, June 2024</x:v>
      </x:c>
      <x:c r="C590" s="4" t="str">
        <x:v>Spain; France; Andorra</x:v>
      </x:c>
      <x:c r="D590" s="4" t="str">
        <x:v>La Jonquera/AP-7–A9; Biriatou/Irún; Somport; Portalet; Bòssost; Puigcerdà; Coll d’Ares; La Seu d’Urgell–Andorra route
Coordinated blockade episode at selected frontier road approaches; movement restrictions varied by post</x:v>
      </x:c>
      <x:c r="E590" s="4" t="str">
        <x:v>Road freight and passenger vehicles, with movement-specific exceptions.
Direction: Both directions at some approaches; Biriatou restrictions especially affected freight towards France.
Exceptions: Light vehicles admitted selectively at some points; overnight passage and alternating flows differed by site.</x:v>
      </x:c>
      <x:c r="F590" s="4" t="str">
        <x:v>R6-EU-006-D1 — Observed operation
France-bound freight obstruction at Biriatou during the coordinated farmer action
Start: 2024-06-03.
Observed scoped reopening: 2024-06-04.
1 calendar-day difference; scoped endpoint only</x:v>
      </x:c>
      <x:c r="G590"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
Policy and socioeconomic demands / Jobs, services and livelihoods
Reported reason
Applies to: Recorded episode; exact overlap not separately established
The recorded rationale and claim assessment support the selected subcategories. All applicable broad categories are retained together; no primary rationale is imposed.</x:v>
      </x:c>
      <x:c r="H590" s="4" t="str">
        <x:v>R6-EU-006-D1: Selected freight approach only, not a common interval across all coordinated posts. Somport/Portalet reopened overnight and reblocked; those interruptions are excluded. Tractor departure elsewhere is not used as traffic restoration, and light vehicles could pass selectively.</x:v>
      </x:c>
      <x:c r="I590" s="4" t="str">
        <x:v>Retained baseline assessment. Retained with recorded qualifications</x:v>
      </x:c>
      <x:c r="J590" s="18" t="d">
        <x:v>2026-10-23T00:00:00.000Z</x:v>
      </x:c>
      <x:c r="K590" s="21" t="str">
        <x:f>IFERROR(HYPERLINK("https://efe.com/economia/2024-06-03/caravanas-agricultores-frontera-jornada-protestas/","EFE"),"EFE")</x:f>
        <x:v>EFE</x:v>
      </x:c>
      <x:c r="L590" s="21" t="str">
        <x:f>IFERROR(HYPERLINK("https://cadenaser.com/aragon/2024/06/04/normalidad-en-el-trafico-fronterizo-tras-la-protesta-agricola-radio-jaca-ser-pirineos/","Cadena SER / Radio Jaca"),"Cadena SER / Radio Jaca")</x:f>
        <x:v>Cadena SER / Radio Jaca</x:v>
      </x:c>
      <x:c r="M590" s="21" t="str">
        <x:f>IFERROR(HYPERLINK("https://www.rtve.es/noticias/20240604/agricultores-levantan-bloqueos-fronterizos-tras-protesta-24-horas/16132364.shtml","RTVE"),"RTVE")</x:f>
        <x:v>RTVE</x:v>
      </x:c>
      <x:c r="N590" s="4" t="str">
        <x:v>https://efe.com/economia/2024-06-03/caravanas-agricultores-frontera-jornada-protestas/
https://cadenaser.com/aragon/2024/06/04/normalidad-en-el-trafico-fronterizo-tras-la-protesta-agricola-radio-jaca-ser-pirineos/
https://www.rtve.es/noticias/20240604/agricultores-levantan-bloqueos-fronterizos-tras-protesta-24-horas/16132364.shtml
https://efe.com/economia/2024-06-04/agricultores-levantan-bloqueo-ap-7-pasos-fronterizos/
https://www.europapress.es/epagro/noticia-restablecidos-cinco-cortes-agricultores-frontera-catalana-francia-20240604103500.html
https://www.reuters.com/world/europe/spanish-french-farmers-block-border-days-before-eu-election-2024-06-03/
https://www.noticiasdenavarra.com/economia/2024/06/03/baserritarras-vuelven-protestas-cortaran-hoy-8310975.html
https://www.europapress.es/euskadi/noticia-recupera-normalidad-carreteras-guipuzcoanas-protesta-agricultores-franceses-20240604214954.html
https://www.irekia.euskadi.eus/amp/es/news/93937-afecciones-trafico-este-lunes-biriatou-por-una-nueva-concentracion-tractores</x:v>
      </x:c>
      <x:c r="O590" s="4" t="str">
        <x:v>Source 1: full article
Source 2: full article
Source 3: full article</x:v>
      </x:c>
      <x:c r="P590" s="20" t="n">
        <x:v>1</x:v>
      </x:c>
      <x:c r="Q590" s="4" t="str">
        <x:v>Europe</x:v>
      </x:c>
      <x:c r="R590" s="4" t="str">
        <x:v>Included</x:v>
      </x:c>
    </x:row>
    <x:row r="591" ht="78" hidden="0" customHeight="1">
      <x:c r="A591" s="16" t="str">
        <x:v>R6-AES-001</x:v>
      </x:c>
      <x:c r="B591" s="4" t="str">
        <x:v>Somaliland COVID land-border closure order March 2020</x:v>
      </x:c>
      <x:c r="C591" s="4" t="str">
        <x:v>Somaliland (de facto polity); Ethiopia; Djibouti; Somalia</x:v>
      </x:c>
      <x:c r="D591" s="4" t="str">
        <x:v>Land frontiers with Ethiopia and Djibouti and the explicitly disputed/de facto boundary with Somalia</x:v>
      </x:c>
      <x:c r="E591" s="4" t="str">
        <x:v>Regional land travel
Direction: Regional entry and exit; June statement expressly describes both.
Exceptions: Essential food, fuel, water, medicines and health goods.</x:v>
      </x:c>
      <x:c r="F591" s="4" t="str">
        <x:v>R6-AES-001-R1 — Announced window
Somaliland authorities’ initial land movement order at Ethiopia/Djibouti frontiers and de facto boundary with Somalia
Start: 2020-03-26.
Scheduled endpoint: 2020-04-16.
Ordered window: 21 calendar-day difference; actual end not established</x:v>
      </x:c>
      <x:c r="G59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91" s="4" t="str">
        <x:v>R6-AES-001-R1: Initial scheduled term is 26 March 18:00 to 16 April 18:00, computed from three weeks; endpoint is a partial calendar day and must not be represented as a full closed day. No actual April reopening, sovereign recognition, uniform enforcement or uninterrupted renewal to June 30 asserted.</x:v>
      </x:c>
      <x:c r="I591" s="4" t="str">
        <x:v>Retained baseline assessment. Retained with recorded qualifications</x:v>
      </x:c>
      <x:c r="J591" s="18" t="d">
        <x:v>2026-10-23T00:00:00.000Z</x:v>
      </x:c>
      <x:c r="K591" s="21" t="str">
        <x:f>IFERROR(HYPERLINK("https://www.somalilandcurrent.com/somaliland-government-announces-the-closure-of-territorial-borders/","Somaliland Current"),"Somaliland Current")</x:f>
        <x:v>Somaliland Current</x:v>
      </x:c>
      <x:c r="L591" s="21" t="str">
        <x:f>IFERROR(HYPERLINK("https://somalilandstandard.com/re-assessment-of-national-emergency-measures-introduced-to-combat-and-prevent-the-spread-of-the-covid-19-pandemic-in-somaliland/","Somaliland Standard"),"Somaliland Standard")</x:f>
        <x:v>Somaliland Standard</x:v>
      </x:c>
      <x:c r="M591" s="21" t="str">
        <x:f>IFERROR(HYPERLINK("https://www.somtribune.net/2020/03/25/somaliland-closes-borders-with-ethiopia-somalia-djibouti-relieves-most-civil-servants-of-active-duty/","SomTribune"),"SomTribune")</x:f>
        <x:v>SomTribune</x:v>
      </x:c>
      <x:c r="N591" s="4" t="str">
        <x:v>https://www.somalilandcurrent.com/somaliland-government-announces-the-closure-of-territorial-borders/
https://somalilandstandard.com/re-assessment-of-national-emergency-measures-introduced-to-combat-and-prevent-the-spread-of-the-covid-19-pandemic-in-somaliland/
https://www.somtribune.net/2020/03/25/somaliland-closes-borders-with-ethiopia-somalia-djibouti-relieves-most-civil-servants-of-active-duty/</x:v>
      </x:c>
      <x:c r="O591" s="4" t="str">
        <x:v>Source 1: full
Source 2: full
Source 3: indexed excerpt</x:v>
      </x:c>
      <x:c r="P591" s="20" t="n">
        <x:v>1</x:v>
      </x:c>
      <x:c r="Q591" s="4" t="str">
        <x:v>Horn of Africa</x:v>
      </x:c>
      <x:c r="R591" s="4" t="str">
        <x:v>Included</x:v>
      </x:c>
    </x:row>
    <x:row r="592" ht="78" hidden="0" customHeight="1">
      <x:c r="A592" s="16" t="str">
        <x:v>R6-ME-001</x:v>
      </x:c>
      <x:c r="B592" s="4" t="str">
        <x:v>Taba Israeli-citizen outbound security prohibition April 2017</x:v>
      </x:c>
      <x:c r="C592" s="4" t="str">
        <x:v>Israel; Egypt</x:v>
      </x:c>
      <x:c r="D592" s="4" t="str">
        <x:v>Taba / Menachem Begin crossing</x:v>
      </x:c>
      <x:c r="E592" s="4" t="str">
        <x:v>Israeli citizens seeking to leave for Sinai
Direction: Israel to Egypt for Israeli citizens
Exceptions: Israeli returnees; foreign travellers according to extension report.</x:v>
      </x:c>
      <x:c r="F592" s="4" t="str">
        <x:v>R6-ME-001-D1 — Formal policy
Israeli-citizen outbound travel through Taba to Sinai under the April 2017 security prohibition.
Start: 2017-04-10.
Policy endpoint: 2017-04-21.
Formal policy: 11 calendar-day difference; operational continuity not established</x:v>
      </x:c>
      <x:c r="G592" s="4" t="str">
        <x:v>Security / Armed attacks and terrorism
Attributed official justification
Applies to: Recorded episode; exact overlap not separately established
The recorded rationale and claim assessment support the selected subcategories. All applicable broad categories are retained together; no primary rationale is imposed.</x:v>
      </x:c>
      <x:c r="H592" s="4" t="str">
        <x:v>R6-ME-001-D1: Formal policy dates only. Israeli returnees and foreign travellers were allowed. First actual outbound passage is not independently observed, and headline duration counts are not substituted for date arithmetic.</x:v>
      </x:c>
      <x:c r="I592" s="4" t="str">
        <x:v>Retained baseline assessment. Retained with recorded qualifications</x:v>
      </x:c>
      <x:c r="J592" s="18" t="d">
        <x:v>2026-10-23T00:00:00.000Z</x:v>
      </x:c>
      <x:c r="K592" s="21" t="str">
        <x:f>IFERROR(HYPERLINK("https://www.timesofisrael.com/expecting-is-attack-israel-closes-taba-crossing-into-egypt/amp/","The Times of Israel"),"The Times of Israel")</x:f>
        <x:v>The Times of Israel</x:v>
      </x:c>
      <x:c r="L592" s="21" t="str">
        <x:f>IFERROR(HYPERLINK("https://www.timesofisrael.com/taba-crossing-into-egypt-to-remain-closed-indefinitely/","The Times of Israel"),"The Times of Israel")</x:f>
        <x:v>The Times of Israel</x:v>
      </x:c>
      <x:c r="M592" s="21" t="str">
        <x:f>IFERROR(HYPERLINK("https://www.timesofisrael.com/israel-reopens-border-crossing-into-egypt-after-11-day-closure/amp/","The Times of Israel"),"The Times of Israel")</x:f>
        <x:v>The Times of Israel</x:v>
      </x:c>
      <x:c r="N592" s="4" t="str">
        <x:v>https://www.timesofisrael.com/expecting-is-attack-israel-closes-taba-crossing-into-egypt/amp/
https://www.timesofisrael.com/taba-crossing-into-egypt-to-remain-closed-indefinitely/
https://www.timesofisrael.com/israel-reopens-border-crossing-into-egypt-after-11-day-closure/amp/
https://www.egypttoday.com/Article/1/4147/Israel-opens-Taba-border-crossing-after-12-day-closure</x:v>
      </x:c>
      <x:c r="O592" s="4" t="str">
        <x:v>Source 1: full article
Source 2: full article
Source 3: full article</x:v>
      </x:c>
      <x:c r="P592" s="20" t="n">
        <x:v>1</x:v>
      </x:c>
      <x:c r="Q592" s="4" t="str">
        <x:v>Middle East</x:v>
      </x:c>
      <x:c r="R592" s="4" t="str">
        <x:v>Included</x:v>
      </x:c>
    </x:row>
    <x:row r="593" ht="114" hidden="0" customHeight="1">
      <x:c r="A593" s="16" t="str">
        <x:v>R6-ME-004</x:v>
      </x:c>
      <x:c r="B593" s="4" t="str">
        <x:v>Saudi selective passenger land-entry prohibition from Kuwait and UAE March 2020</x:v>
      </x:c>
      <x:c r="C593" s="4" t="str">
        <x:v>Saudi Arabia; Kuwait; United Arab Emirates</x:v>
      </x:c>
      <x:c r="D593" s="4" t="str">
        <x:v>Saudi land ports with Kuwait and UAE; Bahrain component already ME038</x:v>
      </x:c>
      <x:c r="E593" s="4" t="str">
        <x:v>Passenger land entry, including Saudi citizens and residents
Direction: Into Saudi Arabia
Exceptions: Commercial trucks subject to health measures; approved humanitarian/social cases; later citizens with family/domestic staff.</x:v>
      </x:c>
      <x:c r="F593" s="4" t="str">
        <x:v>R6-ME-004-D1 — Formal policy
Saudi restriction on ordinary citizen/family return without prior authorisation through Kuwait/UAE land ports
Start: 2020-03-07.
Policy endpoint: 2020-07-23.
Formal policy: 138 calendar-day difference; operational continuity not established</x:v>
      </x:c>
      <x:c r="G593"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93" s="4" t="str">
        <x:v>R6-ME-004-D1: Formal selected-category phase, not all passenger entry or complete sealing. Approved humanitarian/social cases occurred earlier and trucks were exempt. Earlier immediate rule for other entrants, Bahrain's separate record and erroneous Oman geography are not merged.</x:v>
      </x:c>
      <x:c r="I593" s="4" t="str">
        <x:v>Retained baseline assessment. Retained with recorded qualifications</x:v>
      </x:c>
      <x:c r="J593" s="18" t="d">
        <x:v>2026-10-23T00:00:00.000Z</x:v>
      </x:c>
      <x:c r="K593" s="21" t="str">
        <x:f>IFERROR(HYPERLINK("https://e.gov.kw/sites/kgoenglish/Pages/ApplicationPages/NewsDetail.aspx?nid=285040","Kuwait Government Online"),"Kuwait Government Online")</x:f>
        <x:v>Kuwait Government Online</x:v>
      </x:c>
      <x:c r="L593" s="21" t="str">
        <x:f>IFERROR(HYPERLINK("https://www.arabnews.com/saudi-arabia/saudi-citizens-allowed-to-enter-kingdom-by-land-from-uae-bahrain-and-kuwait-1708951","Arab News"),"Arab News")</x:f>
        <x:v>Arab News</x:v>
      </x:c>
      <x:c r="M593" s="21" t="str">
        <x:f>IFERROR(HYPERLINK("https://saudigazette.com.sa/article/595865/SAUDI-ARABIA/Saudi-Arabia-opens-land-entry-points-with-Kuwait-and-Bahrain-for-return-of-citizens","Saudi Gazette"),"Saudi Gazette")</x:f>
        <x:v>Saudi Gazette</x:v>
      </x:c>
      <x:c r="N593" s="4" t="str">
        <x:v>https://e.gov.kw/sites/kgoenglish/Pages/ApplicationPages/NewsDetail.aspx?nid=285040
https://www.arabnews.com/saudi-arabia/saudi-citizens-allowed-to-enter-kingdom-by-land-from-uae-bahrain-and-kuwait-1708951
https://saudigazette.com.sa/article/595865/SAUDI-ARABIA/Saudi-Arabia-opens-land-entry-points-with-Kuwait-and-Bahrain-for-return-of-citizens
https://www.arabtimesonline.com/news/saudi-arabia-restricts-entry-into-country/
https://www.arabnews.com/saudi-arabia/saudi-arabia-limits-entry-by-land-from-uae-kuwait-bahrain-amid-coronavirus-threat-1637971
https://www.bahrainmirror.com/en/news/57290.html</x:v>
      </x:c>
      <x:c r="O593" s="4" t="str">
        <x:v>Source 1: full official news page
Source 2: full article
Source 3: substantive indexed article</x:v>
      </x:c>
      <x:c r="P593" s="20" t="n">
        <x:v>1</x:v>
      </x:c>
      <x:c r="Q593" s="4" t="str">
        <x:v>Middle East</x:v>
      </x:c>
      <x:c r="R593" s="4" t="str">
        <x:v>Included</x:v>
      </x:c>
    </x:row>
    <x:row r="594" ht="150" hidden="0" customHeight="1">
      <x:c r="A594" s="16" t="str">
        <x:v>R6-ME-002</x:v>
      </x:c>
      <x:c r="B594" s="4" t="str">
        <x:v>Taba prohibits Israeli outbound travel for COVID prevention, March 2020–March 2021</x:v>
      </x:c>
      <x:c r="C594" s="4" t="str">
        <x:v>Israel; Egypt</x:v>
      </x:c>
      <x:c r="D594" s="4" t="str">
        <x:v>Taba/Begin crossing
Israeli departures through Taba/Begin crossing to Egypt; earlier foreign-entry prohibition is a separate precursor</x:v>
      </x:c>
      <x:c r="E594" s="4" t="str">
        <x:v>Israeli citizens seeking to leave for Sinai; March 2021 permission restored a limited vaccinated/recovered pedestrian category
Direction: Israel to Egypt for Israeli citizens
Exceptions: Israeli entry was allowed under the 2020 arrangement; that is outside this outbound category. Later inbound restrictions and returnee windows had separate dates. Full earlier outbound exemption practice remains unresolved.</x:v>
      </x:c>
      <x:c r="F594" s="4" t="str">
        <x:v>R6-ME-002-D1 — Observed operation
Ordinary Israeli-citizen outbound pedestrian travel through Taba to Egypt
Start: 2020-03-18.
Observed scoped reopening: 2021-03-30.
377 calendar-day difference; scoped endpoint only</x:v>
      </x:c>
      <x:c r="G594" s="4" t="str">
        <x:v>Health and biosecurity / Human disease control
Attributed official justification
Applies to: Recorded episode; exact overlap not separately established
The recorded rationale and claim assessment support the selected subcategories. All applicable broad categories are retained together; no primary rationale is imposed.</x:v>
      </x:c>
      <x:c r="H594" s="4" t="str">
        <x:v>R6-ME-002-D1: No claim about inbound returnees or all exemptions; full renewal/exemption chronology remains incomplete. March 21 regulatory/logistical account is not first passage. Endpoint is quota-limited vaccinated/recovered pedestrians with tests, not vehicles or unrestricted travel.</x:v>
      </x:c>
      <x:c r="I594" s="4" t="str">
        <x:v>Retained baseline assessment. Retained with recorded qualifications</x:v>
      </x:c>
      <x:c r="J594" s="18" t="d">
        <x:v>2026-10-23T00:00:00.000Z</x:v>
      </x:c>
      <x:c r="K594" s="21" t="str">
        <x:f>IFERROR(HYPERLINK("https://al-ain.com/article/1584544109","Al-Ain News"),"Al-Ain News")</x:f>
        <x:v>Al-Ain News</x:v>
      </x:c>
      <x:c r="L594" s="21" t="str">
        <x:f>IFERROR(HYPERLINK("https://www.timesofisrael.com/israels-border-crossing-to-egypt-reopens-for-first-time-since-covid-19-outbreak/amp/","The Times of Israel"),"The Times of Israel")</x:f>
        <x:v>The Times of Israel</x:v>
      </x:c>
      <x:c r="M594" s="21" t="str">
        <x:f>IFERROR(HYPERLINK("https://www.jpost.com/breaking-news/knesset-approves-new-regulations-for-airport-cancels-entry-quotas-662640","Jerusalem Post"),"Jerusalem Post")</x:f>
        <x:v>Jerusalem Post</x:v>
      </x:c>
      <x:c r="N594" s="4" t="str">
        <x:v>https://al-ain.com/article/1584544109
https://www.timesofisrael.com/israels-border-crossing-to-egypt-reopens-for-first-time-since-covid-19-outbreak/amp/
https://www.jpost.com/breaking-news/knesset-approves-new-regulations-for-airport-cancels-entry-quotas-662640
https://0404.co.il/article/558040
https://www.globes.co.il/news/article.aspx?did=1001338957
https://www.jns.org/israel-news/taba-crossing-to-sinai-reopens-after-year-of-covid-19-closure
https://www.timesofisrael.com/passover-in-sinai-government-to-formulate-tourism-plan-within-a-week/
https://www.timesofisrael.com/israel-closes-borders-to-all-foreigners-amid-coronavirus-outbreak/amp/</x:v>
      </x:c>
      <x:c r="O594" s="4" t="str">
        <x:v>Source 1: full article
Source 2: full article
Source 3: substantive indexed article</x:v>
      </x:c>
      <x:c r="P594" s="20" t="n">
        <x:v>1</x:v>
      </x:c>
      <x:c r="Q594" s="4" t="str">
        <x:v>Middle East</x:v>
      </x:c>
      <x:c r="R594" s="4" t="str">
        <x:v>Included</x:v>
      </x:c>
    </x:row>
    <x:row r="595" ht="234" hidden="0" customHeight="1">
      <x:c r="A595" s="16" t="str">
        <x:v>R6-ME-003</x:v>
      </x:c>
      <x:c r="B595" s="4" t="str">
        <x:v>Kuwait February 2021 foreign land-entry prohibition and later vaccinated permission</x:v>
      </x:c>
      <x:c r="C595" s="4" t="str">
        <x:v>Kuwait; Saudi Arabia; Iraq</x:v>
      </x:c>
      <x:c r="D595" s="4" t="str">
        <x:v>Kuwaiti international land ports; maritime portion excluded</x:v>
      </x:c>
      <x:c r="E595" s="4" t="str">
        <x:v>Foreign passengers entering by land
Direction: Into Kuwait; later permission also addresses departures and returns
Exceptions: Citizen returns with close family/domestic helpers; shipping and neutral-zone workers.</x:v>
      </x:c>
      <x:c r="F595" s="4" t="str">
        <x:v>R6-ME-003-R1 — Announced window
Kuwait land entry by non-exempt foreign travellers under initial Cabinet term
Start: 2021-02-24.
Scheduled endpoint: 2021-03-20.
Ordered window: 24 calendar-day difference; actual end not established
R6-ME-003-C7P1 — Formal policy
Endpoint-only legal evidence of Kuwait land-border permission for accredited fully vaccinated travellers
Start: unknown.
Policy endpoint: 2021-08-01.
Formal policy: dated evidence; numeric duration withheld; see qualification</x:v>
      </x:c>
      <x:c r="G59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95" s="4" t="str">
        <x:v>R6-ME-003-R1: March 20 is scheduled expiry, not reopening. Citizenship and vaccinated-entry later phases are not merged; initial broader foreign restriction may predate this land order.
R6-ME-003-C7P1: Land component only. Missing onset and intervening foreign-entry rules remain unknown; no February 24–August 1 continuous closure or witnessed August 1 land traffic is inferred. Other residency, documentary and health conditions may apply.</x:v>
      </x:c>
      <x:c r="I595" s="4" t="str">
        <x:v>Retained baseline assessment. Correction pass: amended with stated qualifications</x:v>
      </x:c>
      <x:c r="J595" s="18" t="d">
        <x:v>2026-10-23T00:00:00.000Z</x:v>
      </x:c>
      <x:c r="K595" s="21" t="str">
        <x:f>IFERROR(HYPERLINK("https://kuwaittimes.com/cabinet-imposes-new-curbs-but-no-lockdown-or-curfew/","Kuwait Times"),"Kuwait Times")</x:f>
        <x:v>Kuwait Times</x:v>
      </x:c>
      <x:c r="L595" s="21" t="str">
        <x:f>IFERROR(HYPERLINK("https://saudigazette.com.sa/article/603762/World/Mena/Kuwait-to-close-sea-land-borders-halt-dine-services-for-over-3-weeks","Saudi Gazette"),"Saudi Gazette")</x:f>
        <x:v>Saudi Gazette</x:v>
      </x:c>
      <x:c r="M595" s="21" t="str">
        <x:f>IFERROR(HYPERLINK("https://kuwaittimes.com/uploads/imported_images/pdf/2021/jun/29/kt.pdf","Kuwait Times"),"Kuwait Times")</x:f>
        <x:v>Kuwait Times</x:v>
      </x:c>
      <x:c r="N595" s="4" t="str">
        <x:v>https://kuwaittimes.com/cabinet-imposes-new-curbs-but-no-lockdown-or-curfew/
https://saudigazette.com.sa/article/603762/World/Mena/Kuwait-to-close-sea-land-borders-halt-dine-services-for-over-3-weeks
https://lawskw.com/section/%D8%AA%D8%B9%D9%84%D9%8A%D9%85%D8%A7%D8%AA-%D8%AC%D9%85%D8%B1%D9%83%D9%8A%D8%A9-%D8%B1%D9%82%D9%85-70-%D9%84%D8%B3%D9%86%D8%A9-2021-%D8%A8%D8%B4%D8%A3%D9%86-%D8%A7%D9%84%D8%A5%D8%AC%D8%B1%D8%A7%D8%A1%D8%A7%D8%AA-%D8%A7%D9%84%D8%AE%D8%A7%D8%B5%D8%A9-%D8%A8%D8%A7%D9%84%D9%85%D8%B3%D8%A7%D9%81%D8%B1%D9%8A%D9%86-%D8%A7%D9%84%D9%85%D8%BA%D8%A7%D8%AF%D8%B1%D9%8A%D9%86-%D9%88%D8%A7%D9%84%D8%B9%D8%A7%D8%A6%D8%AF%D9%8A%D9%86-%D9%84%D9%84%D8%A8%D9%84%D8%A7%D8%AF-%D8%B9%D9%86-%D8%B7%D8%B1%D9%8A%D9%82-%D8%A7%D9%84%D9%85%D9%86%D8%A7%D9%81%D8%B0-%D8%A7%D9%84%D8%AD%D8%AF%D9%88%D8%AF%D9%8A%D8%A9-%D8%A7%D9%84%D8%A8%D8%B1%D9%8A%D8%A9-%D9%88%D8%A7%D9%84%D8%A8%D8%AD%D8%B1%D9%8A%D8%A9
https://kuwaittimes.com/uploads/imported_images/pdf/2021/jun/29/kt.pdf
https://www.moi.gov.kw/main/News/Index/79410
https://lawskw.com/section/تعليمات-جمركية-رقم-70-لسنة-2021-بشأن-الإجراءات-الخاصة-بالمسافرين-المغادرين-والعائدين-للبلاد-عن-طريق-المنافذ-الحدودية-البرية-والبحرية</x:v>
      </x:c>
      <x:c r="O595" s="4" t="str">
        <x:v>Source 1: full
Source 2: indexed excerpt
Source 3: full PDF text</x:v>
      </x:c>
      <x:c r="P595" s="20" t="n">
        <x:v>2</x:v>
      </x:c>
      <x:c r="Q595" s="4" t="str">
        <x:v>Middle East</x:v>
      </x:c>
      <x:c r="R595" s="4" t="str">
        <x:v>Included</x:v>
      </x:c>
    </x:row>
    <x:row r="596" ht="138" hidden="0" customHeight="1">
      <x:c r="A596" s="16" t="str">
        <x:v>R6-AWN-005</x:v>
      </x:c>
      <x:c r="B596" s="4" t="str">
        <x:v>Ras Jedir January 2018 armed-conflict interruption and Tunisian outbound closure</x:v>
      </x:c>
      <x:c r="C596" s="4" t="str">
        <x:v>Tunisia; Libya</x:v>
      </x:c>
      <x:c r="D596" s="4" t="str">
        <x:v>Ras Jedir
Ras Jedir crossing</x:v>
      </x:c>
      <x:c r="E596" s="4" t="str">
        <x:v>Outbound travellers toward Libya; broader transit disrupted.
Direction: Explicit Tunisian outbound prohibition; Libyan-side disruption.
Exceptions: Tunisians returning from Libya admitted; some Libyan arrivals also reported.</x:v>
      </x:c>
      <x:c r="F596" s="4" t="str">
        <x:v>R6-AWN-005-D1 — Observed operation
Tunisian outbound departures toward Libya at Ras Jedir
Start: 2018-01-05.
Observed scoped reopening: 2018-01-06 to 2018-01-07.
1–2 calendar-day difference; scoped endpoint only</x:v>
      </x:c>
      <x:c r="G596" s="4" t="str">
        <x:v>Security / Armed conflict and military confrontation
Analytical interpretation of reported context
Applies to: Recorded episode; exact overlap not separately established
The recorded armed contest concerned control of the crossing, supporting a contextual contested-authority subtype alongside conflict.
Power and regime politics / Contested governing authority
Analytical interpretation of reported context
Applies to: Recorded episode; exact overlap not separately established
The recorded armed contest concerned control of the crossing, supporting a contextual contested-authority subtype alongside conflict.</x:v>
      </x:c>
      <x:c r="H596" s="4" t="str">
        <x:v>Libya Herald's January 6 contemporary report says the crossing reopened that afternoon; TAP reports resumed activity Sunday January 7. January 6 movement/direction is unspecified, so the Tunisian outbound endpoint is bounded January 6–7. TAP republications share one origin; no universal two-way closure or exact hourly duration is asserted.
R6-AWN-005-D1: Tunisian returnees and some Libyan arrivals continued. Endpoint bound preserves conflicting reports and unspecified January 6 direction; not an exact-hour or universal two-way closure. TAP republications share one origin.
precise outbound endpoint: January 6 reopening is not direction-specific; TAP says January 7.</x:v>
      </x:c>
      <x:c r="I596" s="4" t="str">
        <x:v>Retained baseline assessment. Amended after source reconciliation</x:v>
      </x:c>
      <x:c r="J596" s="18" t="d">
        <x:v>2026-10-23T00:00:00.000Z</x:v>
      </x:c>
      <x:c r="K596" s="21" t="str">
        <x:f>IFERROR(HYPERLINK("https://www.mosaiquefm.net/fr/actualite-regional-tunisie/265768/un-groupe-arme-prend-d-assaut-le-poste-frontalier-de-ras-jedir-libye","Mosaïque FM"),"Mosaïque FM")</x:f>
        <x:v>Mosaïque FM</x:v>
      </x:c>
      <x:c r="L596" s="21" t="str">
        <x:f>IFERROR(HYPERLINK("https://radioalgerie.dz/news/fr/article/20180107/130473.html","Radio Algérienne"),"Radio Algérienne")</x:f>
        <x:v>Radio Algérienne</x:v>
      </x:c>
      <x:c r="M596" s="21" t="str">
        <x:f>IFERROR(HYPERLINK("https://www.webdo.tn/fr/actualite/national/retour-a-normale-poste-frontalier-de-ras-jedir/156723/","Webdo"),"Webdo")</x:f>
        <x:v>Webdo</x:v>
      </x:c>
      <x:c r="N596" s="4" t="str">
        <x:v>https://www.mosaiquefm.net/fr/actualite-regional-tunisie/265768/un-groupe-arme-prend-d-assaut-le-poste-frontalier-de-ras-jedir-libye
https://radioalgerie.dz/news/fr/article/20180107/130473.html
https://www.webdo.tn/fr/actualite/national/retour-a-normale-poste-frontalier-de-ras-jedir/156723/
https://libyaherald.com/2018/01/ceasefire-declared-in-ras-jedir-area</x:v>
      </x:c>
      <x:c r="O596" s="4" t="str">
        <x:v>Source 1: search extract; two direct-open timeouts
Source 2: opened full text
Source 3: opened full text</x:v>
      </x:c>
      <x:c r="P596" s="20" t="n">
        <x:v>1</x:v>
      </x:c>
      <x:c r="Q596" s="4" t="str">
        <x:v>North Africa</x:v>
      </x:c>
      <x:c r="R596" s="4" t="str">
        <x:v>Included</x:v>
      </x:c>
    </x:row>
    <x:row r="597" ht="78" hidden="0" customHeight="1">
      <x:c r="A597" s="16" t="str">
        <x:v>R6-SC-006</x:v>
      </x:c>
      <x:c r="B597" s="4" t="str">
        <x:v>India suspends Kartarpur corridor pilgrimage for COVID-19</x:v>
      </x:c>
      <x:c r="C597" s="4" t="str">
        <x:v>India; Pakistan</x:v>
      </x:c>
      <x:c r="D597" s="4" t="str">
        <x:v>Dera Baba Nanak–Kartarpur corridor
Kartarpur visa-free pilgrimage corridor</x:v>
      </x:c>
      <x:c r="E597" s="4" t="str">
        <x:v>Pilgrims travelling from India through Kartarpur corridor
Direction: Pilgrim journeys India to Pakistan and return
Exceptions: Other pilgrimage routes and Pakistani domestic access to shrine are outside this record.</x:v>
      </x:c>
      <x:c r="F597" s="4" t="str">
        <x:v>R6-SC-006-D1 — Observed operation
Kartarpur visa-free pilgrimage corridor; Pilgrims travelling from India through Kartarpur corridor; Pilgrim journeys India to Pakistan and return
Start: 2020-03-16.
Observed scoped reopening: 2021-11-17.
611 calendar-day difference; scoped endpoint only</x:v>
      </x:c>
      <x:c r="G597"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597" s="4" t="str">
        <x:v>R6-SC-006-D1: Exact interval concerns India-side pilgrimage suspension, not a claim that both governments continuously closed every movement. Newspaper June-year wording differs from Pakistan’s official 2020 statement, so no bilateral reopening chronology inferred. Other pilgrimage routes and Pakistani domestic access to shrine are outside this record.</x:v>
      </x:c>
      <x:c r="I597" s="4" t="str">
        <x:v>Retained baseline assessment. Retained with recorded qualifications</x:v>
      </x:c>
      <x:c r="J597" s="18" t="d">
        <x:v>2026-10-23T00:00:00.000Z</x:v>
      </x:c>
      <x:c r="K597" s="21" t="str">
        <x:f>IFERROR(HYPERLINK("https://www.pib.gov.in/PressReleasePage.aspx?PRID=1609253&amp;lang=2&amp;reg=48","India Press Information Bureau"),"India Press Information Bureau")</x:f>
        <x:v>India Press Information Bureau</x:v>
      </x:c>
      <x:c r="L597" s="21" t="str">
        <x:f>IFERROR(HYPERLINK("https://www.pib.gov.in/Pressreleaseshare.aspx?PRID=1772262&amp;lang=2&amp;reg=48","India Press Information Bureau"),"India Press Information Bureau")</x:f>
        <x:v>India Press Information Bureau</x:v>
      </x:c>
      <x:c r="M597" s="21" t="str">
        <x:f>IFERROR(HYPERLINK("https://indianexpress.com/article/cities/amritsar/28-sikh-pilgrims-arrive-in-pakistan-kartarpur-corridor-on-1st-day-of-reopening-7627912/","Indian Express"),"Indian Express")</x:f>
        <x:v>Indian Express</x:v>
      </x:c>
      <x:c r="N597" s="4" t="str">
        <x:v>https://www.pib.gov.in/PressReleasePage.aspx?PRID=1609253&amp;lang=2&amp;reg=48
https://www.pib.gov.in/Pressreleaseshare.aspx?PRID=1772262&amp;lang=2&amp;reg=48
https://indianexpress.com/article/cities/amritsar/28-sikh-pilgrims-arrive-in-pakistan-kartarpur-corridor-on-1st-day-of-reopening-7627912/
https://pid.gov.pk/site/press_detail/18359
https://mofa.gov.pk/press-releases/first-anniversary-of-the-opening-of-kartarpur-corridor</x:v>
      </x:c>
      <x:c r="O597" s="4" t="str">
        <x:v>Source 1: full page
Source 2: full page
Source 3: full page</x:v>
      </x:c>
      <x:c r="P597" s="20" t="n">
        <x:v>1</x:v>
      </x:c>
      <x:c r="Q597" s="4" t="str">
        <x:v>South Asia</x:v>
      </x:c>
      <x:c r="R597" s="4" t="str">
        <x:v>Included</x:v>
      </x:c>
    </x:row>
    <x:row r="598" ht="78" hidden="0" customHeight="1">
      <x:c r="A598" s="16" t="str">
        <x:v>R6-SC-005</x:v>
      </x:c>
      <x:c r="B598" s="4" t="str">
        <x:v>Kharlachi closure during September 2024 Kurram tribal clashes</x:v>
      </x:c>
      <x:c r="C598" s="4" t="str">
        <x:v>Pakistan; Afghanistan</x:v>
      </x:c>
      <x:c r="D598" s="4" t="str">
        <x:v>Kharlachi
Kharlachi international road crossing, Kurram</x:v>
      </x:c>
      <x:c r="E598" s="4" t="str">
        <x:v>Road trade and vehicles at Kharlachi
Direction: Both directions for vehicles
Exceptions: Not established; no inference of frontier-wide Pakistan–Afghanistan closure.</x:v>
      </x:c>
      <x:c r="F598" s="4" t="str">
        <x:v>R6-SC-005-D1 — Observed operation
Vehicle passage at Kharlachi during the September clash-related suspension
Start: 2024-09-01 to 2024-09-30.
Observed scoped reopening: 2024-10-01.
1–30 calendar-day difference; scoped endpoint only</x:v>
      </x:c>
      <x:c r="G598"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598" s="4" t="str">
        <x:v>R6-SC-005-D1: Whole-month onset bounds retain the unresolved contradiction; no exact nine-day duration. Geo/The News share a reporter and are one lineage. Not an entire Pakistan–Afghanistan frontier closure; regional shortages are not attributed solely to this post.
exact onset: September 9/21 and nine-day descriptions remain inconsistent.</x:v>
      </x:c>
      <x:c r="I598" s="4" t="str">
        <x:v>Retained baseline assessment. Retained with recorded qualifications</x:v>
      </x:c>
      <x:c r="J598" s="18" t="d">
        <x:v>2026-10-23T00:00:00.000Z</x:v>
      </x:c>
      <x:c r="K598" s="21" t="str">
        <x:f>IFERROR(HYPERLINK("https://www.app.com.pk/domestic/kharlachi-border-reopens-after-nine-days-closure/","Associated Press of Pakistan"),"Associated Press of Pakistan")</x:f>
        <x:v>Associated Press of Pakistan</x:v>
      </x:c>
      <x:c r="L598" s="21" t="str">
        <x:f>IFERROR(HYPERLINK("https://www.geo.tv/latest/566788-pak-afghan-kharlachi-border-reopens-as-clashes-between-parachinar-tribes-stop","Geo News"),"Geo News")</x:f>
        <x:v>Geo News</x:v>
      </x:c>
      <x:c r="M598" s="21" t="str">
        <x:f>IFERROR(HYPERLINK("https://www.thenews.com.pk/print/1235871-pak-afghan-kharlachi-border-point-reopens-for-trade","The News International"),"The News International")</x:f>
        <x:v>The News International</x:v>
      </x:c>
      <x:c r="N598" s="4" t="str">
        <x:v>https://www.app.com.pk/domestic/kharlachi-border-reopens-after-nine-days-closure/
https://www.geo.tv/latest/566788-pak-afghan-kharlachi-border-reopens-as-clashes-between-parachinar-tribes-stop
https://www.thenews.com.pk/print/1235871-pak-afghan-kharlachi-border-point-reopens-for-trade
https://pajhwok.com/2024/10/02/kharlachi-crossing-reopens-for-af-pak-trade/</x:v>
      </x:c>
      <x:c r="O598" s="4" t="str">
        <x:v>Source 1: full page
Source 2: full page
Source 3: full page</x:v>
      </x:c>
      <x:c r="P598" s="20" t="n">
        <x:v>1</x:v>
      </x:c>
      <x:c r="Q598" s="4" t="str">
        <x:v>South Asia</x:v>
      </x:c>
      <x:c r="R598" s="4" t="str">
        <x:v>Included</x:v>
      </x:c>
    </x:row>
    <x:row r="599" ht="102" hidden="0" customHeight="1">
      <x:c r="A599" s="16" t="str">
        <x:v>R6-AES-002</x:v>
      </x:c>
      <x:c r="B599" s="4" t="str">
        <x:v>Vioolsdrift staff protest closes cargo crossing May 2020</x:v>
      </x:c>
      <x:c r="C599" s="4" t="str">
        <x:v>South Africa; Namibia</x:v>
      </x:c>
      <x:c r="D599" s="4" t="str">
        <x:v>Vioolsdrift; Noordoewer
Vioolsdrift–Noordoewer cargo crossing</x:v>
      </x:c>
      <x:c r="E599" s="4" t="str">
        <x:v>Cross-border cargo
Direction: Both directions reportedly queued.
Exceptions: Alternative route via Ariamsvlei remained available.</x:v>
      </x:c>
      <x:c r="F599" s="4" t="str">
        <x:v>R6-AES-002-D1 — Observed operation
Vioolsdrift cargo interruption on 13 May 2020.
Start: 2020-05-13.
Observed scoped reopening: 2020-05-13.
Same-day episode; no whole-day duration inferred</x:v>
      </x:c>
      <x:c r="G599" s="4" t="str">
        <x:v>Policy and socioeconomic demands / Jobs, services and livelihoods
Reported reason
Applies to: May 13 staff work stoppage
Clearing-agent and police reporting attributes intentional staff action to lack of water for drinking, sanitation and handwashing; not a state border-policy rationale.</x:v>
      </x:c>
      <x:c r="H599" s="4" t="str">
        <x:v>Beginning approximately noon May 13; reopening by 22:00. New Era's secondary rendering says Tuesday evening, contrary to its TimesLive source and the Namibian Sun police account of a Wednesday closure; prefer those direct accounts. No unrestricted passenger travel claim.
R6-AES-002-D1: Episode on May 13, not a whole-day closure; approximately noon to by 22:00 per direct accounts. New Era's TimesLive-derived Tuesday-evening wording conflicts with the original and Wednesday police account; it is not independent onset evidence. Concurrent passenger COVID restrictions remain separate.</x:v>
      </x:c>
      <x:c r="I599" s="4" t="str">
        <x:v>Full-record source audit (REC50-R50); accepted corrections; evidence limits retained.</x:v>
      </x:c>
      <x:c r="J599" s="18" t="d">
        <x:v>2026-10-25T00:00:00.000Z</x:v>
      </x:c>
      <x:c r="K599" s="21" t="str">
        <x:f>IFERROR(HYPERLINK("https://www.timeslive.co.za/news/south-africa/2020-05-13-officials-close-sa-namibia-border-post-over-lack-of-water/","TimesLIVE"),"TimesLIVE")</x:f>
        <x:v>TimesLIVE</x:v>
      </x:c>
      <x:c r="L599" s="21" t="str">
        <x:f>IFERROR(HYPERLINK("https://fliphtml5.com/jxto/gpgi","Namibian Sun / Network Media Hub"),"Namibian Sun / Network Media Hub")</x:f>
        <x:v>Namibian Sun / Network Media Hub</x:v>
      </x:c>
      <x:c r="M599" s="21" t="str">
        <x:f>IFERROR(HYPERLINK("https://neweralive.na/vioolsdrift-border-post-reopens/","New Era"),"New Era")</x:f>
        <x:v>New Era</x:v>
      </x:c>
      <x:c r="N599" s="4" t="str">
        <x:v>https://www.timeslive.co.za/news/south-africa/2020-05-13-officials-close-sa-namibia-border-post-over-lack-of-water/
https://fliphtml5.com/jxto/gpgi
https://neweralive.na/vioolsdrift-border-post-reopens/
https://namibian21.rssing.com/chan-44586264/article24629.html</x:v>
      </x:c>
      <x:c r="O599" s="4" t="str">
        <x:v>Source 1: full text
Source 2: full text
Source 3: indexed extract</x:v>
      </x:c>
      <x:c r="P599" s="20" t="n">
        <x:v>1</x:v>
      </x:c>
      <x:c r="Q599" s="4" t="str">
        <x:v>Southern and Central Africa</x:v>
      </x:c>
      <x:c r="R599" s="4" t="str">
        <x:v>Included</x:v>
      </x:c>
    </x:row>
    <x:row r="600" ht="78" hidden="0" customHeight="1">
      <x:c r="A600" s="16" t="str">
        <x:v>R6-AES-004</x:v>
      </x:c>
      <x:c r="B600" s="4" t="str">
        <x:v>South African Beitbridge cargo admission suspension for COVID disinfection July 2020</x:v>
      </x:c>
      <x:c r="C600" s="4" t="str">
        <x:v>South Africa; Zimbabwe</x:v>
      </x:c>
      <x:c r="D600" s="4" t="str">
        <x:v>Beitbridge
South African customs admission at Beitbridge</x:v>
      </x:c>
      <x:c r="E600" s="4" t="str">
        <x:v>New commercial trucks from both sides
Direction: Both directions for new cargo admission.
Exceptions: Trucks already inside could be processed out; wider passenger restrictions remained.</x:v>
      </x:c>
      <x:c r="F600" s="4" t="str">
        <x:v>R6-AES-004-D1 — Observed operation
Admission of new cargo trucks to the South African customs yard at Beitbridge
Start: 2020-07-07 to 2020-07-08.
Observed scoped reopening: 2020-07-10.
2–3 calendar-day difference; scoped endpoint only</x:v>
      </x:c>
      <x:c r="G600"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600" s="4" t="str">
        <x:v>R6-AES-004-D1: Onset remains bounded because report-date wording conflicts. Only new customs-yard cargo admissions were suspended; vehicles already inside could be processed. Calendar bounds are not exact hours; the reports share a reporter/publisher lineage.</x:v>
      </x:c>
      <x:c r="I600" s="4" t="str">
        <x:v>Retained baseline assessment. Retained with recorded qualifications</x:v>
      </x:c>
      <x:c r="J600" s="18" t="d">
        <x:v>2026-10-23T00:00:00.000Z</x:v>
      </x:c>
      <x:c r="K600" s="21" t="str">
        <x:f>IFERROR(HYPERLINK("https://satrucker.co.za/sars-beitbridge-temporarily-closed-over-a-positive-covid-19-case/amp/","SA Trucker"),"SA Trucker")</x:f>
        <x:v>SA Trucker</x:v>
      </x:c>
      <x:c r="L600" s="21" t="str">
        <x:f>IFERROR(HYPERLINK("https://www.heraldonline.co.zw/zimbabwe-sa-border-re-opens/","Chronicle / Herald Online"),"Chronicle / Herald Online")</x:f>
        <x:v>Chronicle / Herald Online</x:v>
      </x:c>
      <x:c r="M600" s="21" t="str">
        <x:f>IFERROR(HYPERLINK("https://www.heraldonline.co.zw/sa-to-reopen-border-post-within-24-hours/","Herald Online"),"Herald Online")</x:f>
        <x:v>Herald Online</x:v>
      </x:c>
      <x:c r="N600" s="4" t="str">
        <x:v>https://satrucker.co.za/sars-beitbridge-temporarily-closed-over-a-positive-covid-19-case/amp/
https://www.heraldonline.co.zw/zimbabwe-sa-border-re-opens/
https://www.heraldonline.co.zw/sa-to-reopen-border-post-within-24-hours/
https://www.heraldonline.co.zw/covid-19-sa-closes-border-after-customs-officer-tests-postive/</x:v>
      </x:c>
      <x:c r="O600" s="4" t="str">
        <x:v>Source 1: full text opened
Source 2: full text opened
Source 3: substantive indexed text; chronology checked against later full report</x:v>
      </x:c>
      <x:c r="P600" s="20" t="n">
        <x:v>1</x:v>
      </x:c>
      <x:c r="Q600" s="4" t="str">
        <x:v>Southern and Central Africa</x:v>
      </x:c>
      <x:c r="R600" s="4" t="str">
        <x:v>Included</x:v>
      </x:c>
    </x:row>
    <x:row r="601" ht="102" hidden="0" customHeight="1">
      <x:c r="A601" s="16" t="str">
        <x:v>R6-AES-003</x:v>
      </x:c>
      <x:c r="B601" s="4" t="str">
        <x:v>Zimbabwe renewed land-passenger COVID restriction January 2021</x:v>
      </x:c>
      <x:c r="C601" s="4" t="str">
        <x:v>Zimbabwe; South Africa; Botswana; Zambia; Mozambique</x:v>
      </x:c>
      <x:c r="D601" s="4" t="str">
        <x:v>Victoria Falls; Kazungula
Zimbabwe land ports; subsequent limited relaxation at Victoria Falls and Kazungula</x:v>
      </x:c>
      <x:c r="E601" s="4" t="str">
        <x:v>Ordinary land-passenger travel
Direction: General travel in both directions restricted; stated exceptions qualify.
Exceptions: Cargo, returning citizens and departing foreigners reported exempt; July relaxation for fully vaccinated travellers at two posts.</x:v>
      </x:c>
      <x:c r="F601" s="4" t="str">
        <x:v>R6-AES-003-R1 — Formal policy
Zimbabwe nonessential tourist admission restriction at Victoria Falls and Kazungula, ending only for fully vaccinated tourists
Start: 2021-01-02.
Policy endpoint: 2021-07-27 to 2021-07-30.
Formal policy: 206–209 calendar-day difference; operational continuity not established</x:v>
      </x:c>
      <x:c r="G601"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601" s="4" t="str">
        <x:v>R6-AES-003-R1: Formal onset derives from January 2 immediate land-entry instruction. July 27 approval to July 30 destination-sector report bounds the relaxation; no clock time or independently observed first passenger is established. Only fully vaccinated tourist admission at Victoria Falls and Kazungula is ended; other categories and ports remain outside this endpoint.</x:v>
      </x:c>
      <x:c r="I601" s="4" t="str">
        <x:v>Retained baseline assessment. Retained with recorded qualifications</x:v>
      </x:c>
      <x:c r="J601" s="18" t="d">
        <x:v>2026-10-23T00:00:00.000Z</x:v>
      </x:c>
      <x:c r="K601" s="21" t="str">
        <x:f>IFERROR(HYPERLINK("https://www.techzim.co.zw/2021/01/full-text-vice-president-announces-additional-lockdown-measures/","Techzim"),"Techzim")</x:f>
        <x:v>Techzim</x:v>
      </x:c>
      <x:c r="L601" s="21" t="str">
        <x:f>IFERROR(HYPERLINK("https://www.zimlive.com/zimbabwe-re-opens-victoria-falls-land-borders-to-fully-vaccinated-tourists/","ZimLive"),"ZimLive")</x:f>
        <x:v>ZimLive</x:v>
      </x:c>
      <x:c r="M601" s="21" t="str">
        <x:f>IFERROR(HYPERLINK("https://wearevictoriafalls.com/kazangula-and-victoria-falls-border-posts-reopen-to-vaccinated-travellers","We Are Victoria Falls"),"We Are Victoria Falls")</x:f>
        <x:v>We Are Victoria Falls</x:v>
      </x:c>
      <x:c r="N601" s="4" t="str">
        <x:v>https://www.techzim.co.zw/2021/01/full-text-vice-president-announces-additional-lockdown-measures/
https://www.zimlive.com/zimbabwe-re-opens-victoria-falls-land-borders-to-fully-vaccinated-tourists/
https://wearevictoriafalls.com/kazangula-and-victoria-falls-border-posts-reopen-to-vaccinated-travellers
https://www.heraldonline.co.zw/health-authorities-tighten-border-control/
https://www.click2houston.com/news/world/2021/01/03/zimbabwe-returns-to-restrictions-amid-rise-in-virus-cases/</x:v>
      </x:c>
      <x:c r="O601" s="4" t="str">
        <x:v>Source 1: full
Source 2: full
Source 3: indexed excerpt; full</x:v>
      </x:c>
      <x:c r="P601" s="20" t="n">
        <x:v>1</x:v>
      </x:c>
      <x:c r="Q601" s="4" t="str">
        <x:v>Southern and Central Africa</x:v>
      </x:c>
      <x:c r="R601" s="4" t="str">
        <x:v>Included</x:v>
      </x:c>
    </x:row>
    <x:row r="602" ht="162" hidden="0" customHeight="1">
      <x:c r="A602" s="16" t="str">
        <x:v>R6-AES-005</x:v>
      </x:c>
      <x:c r="B602" s="4" t="str">
        <x:v>DRC Musosa–Kaputa retaliatory frontier closure August 2025</x:v>
      </x:c>
      <x:c r="C602" s="4" t="str">
        <x:v>Democratic Republic of the Congo; Zambia</x:v>
      </x:c>
      <x:c r="D602" s="4" t="str">
        <x:v>Musosa; Kaputa
Musosa frontier sector in Moba territory facing Kaputa</x:v>
      </x:c>
      <x:c r="E602" s="4" t="str">
        <x:v>Local cross-border movement; categories not separately enumerated
Direction: Closure imposed on the Congolese side; directional exemptions unknown.</x:v>
      </x:c>
      <x:c r="F602" s="4" t="str">
        <x:v>R6-AES-005-D1 — Observed operation
Musosa official crossing between DR Congo and Zambia.
Start: 2025-08-27.
Observed scoped reopening: 2025-09-03.
7 calendar-day difference; scoped endpoint only</x:v>
      </x:c>
      <x:c r="G602" s="4" t="str">
        <x:v>Security / Unspecified security
Analytical interpretation of reported context
Applies to: Recorded episode; exact overlap not separately established
The reported demand to release detained soldiers supports an attributed coercive-pressure interpretation as well as the existing security classification.
Interstate disputes and pressure / Sanctions and coercive pressure
Analytical interpretation of reported context
Applies to: Recorded episode; exact overlap not separately established
The reported demand to release detained soldiers supports an attributed coercive-pressure interpretation as well as the existing security classification.</x:v>
      </x:c>
      <x:c r="H602" s="4" t="str">
        <x:v>R6-AES-005-D1: The report’s headline says eight days, while its stated closure and reopening dates differ by seven calendar days. Informal paths are outside this scope; one reporting lineage. The publisher’s counting method is not established.</x:v>
      </x:c>
      <x:c r="I602" s="4" t="str">
        <x:v>Targeted source review (REC50-R34); accepted qualification; evidence limits retained.</x:v>
      </x:c>
      <x:c r="J602" s="18" t="d">
        <x:v>2026-10-25T00:00:00.000Z</x:v>
      </x:c>
      <x:c r="K602" s="21" t="str">
        <x:f>IFERROR(HYPERLINK("https://www.radiookapi.net/2025/09/05/actualite/societe/reouverture-de-la-frontiere-rdc-zambie-au-village-musosa-apres-8-jours","Radio Okapi"),"Radio Okapi")</x:f>
        <x:v>Radio Okapi</x:v>
      </x:c>
      <x:c r="L602" s="21"/>
      <x:c r="M602" s="21"/>
      <x:c r="N602" s="4" t="str">
        <x:v>https://www.radiookapi.net/2025/09/05/actualite/societe/reouverture-de-la-frontiere-rdc-zambie-au-village-musosa-apres-8-jours</x:v>
      </x:c>
      <x:c r="O602" s="4" t="str">
        <x:v>Source 1: full text</x:v>
      </x:c>
      <x:c r="P602" s="20" t="n">
        <x:v>1</x:v>
      </x:c>
      <x:c r="Q602" s="4" t="str">
        <x:v>Southern and Central Africa</x:v>
      </x:c>
      <x:c r="R602" s="4" t="str">
        <x:v>Included</x:v>
      </x:c>
    </x:row>
    <x:row r="603" ht="162" hidden="0" customHeight="1">
      <x:c r="A603" s="16" t="str">
        <x:v>R6-AWN-001</x:v>
      </x:c>
      <x:c r="B603" s="4" t="str">
        <x:v>Banki–Amchidé inherited security closure and May 2019 formal commercial reopening</x:v>
      </x:c>
      <x:c r="C603" s="4" t="str">
        <x:v>Nigeria; Cameroon</x:v>
      </x:c>
      <x:c r="D603" s="4" t="str">
        <x:v>Banki–Amchidé
Banki–Amchidé commercial crossing and approach corridor</x:v>
      </x:c>
      <x:c r="E603" s="4" t="str">
        <x:v>Cross-border commercial movement.
Direction: Bilateral commercial corridor; authority-specific directions unresolved.
Exceptions: Earlier exceptional or humanitarian passage not reconstructed.</x:v>
      </x:c>
      <x:c r="F603" s="4" t="str">
        <x:v>R6-AWN-001-R1 — Formal policy
Formal Banki–Amchidé commercial crossing closure
Start: 2014-01-01 to 2014-12-31.
Policy endpoint: 2019-05-15.
Formal policy: 1596–1960 calendar-day difference; operational continuity not established</x:v>
      </x:c>
      <x:c r="G603"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
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x:v>
      </x:c>
      <x:c r="H603" s="4" t="str">
        <x:v>R6-AWN-001-R1: Onset uses the expressly reported year, not back-calculation from five years. May endpoint is the official commercial reopening ceremony; no exhaustive actual-passage record. Maiduguri–Banki road reopening in 2018 is an internal road phase.</x:v>
      </x:c>
      <x:c r="I603" s="4" t="str">
        <x:v>Full-record source audit (REC50-R50); retained with recorded qualifications; evidence limits retained.</x:v>
      </x:c>
      <x:c r="J603" s="18" t="d">
        <x:v>2026-10-25T00:00:00.000Z</x:v>
      </x:c>
      <x:c r="K603" s="21" t="str">
        <x:f>IFERROR(HYPERLINK("https://www.aa.com.tr/fr/afrique/cameroun-nig%C3%A9ria-r%C3%A9ouverture-de-laxe-amchid%C3%A9-banki-/1480065","Anadolu Agency"),"Anadolu Agency")</x:f>
        <x:v>Anadolu Agency</x:v>
      </x:c>
      <x:c r="L603" s="21" t="str">
        <x:f>IFERROR(HYPERLINK("https://issafrica.org/fr/iss-today/concilier-economie-et-securite-a-la-frontiere-nigeria-cameroun","Institute for Security Studies"),"Institute for Security Studies")</x:f>
        <x:v>Institute for Security Studies</x:v>
      </x:c>
      <x:c r="M603" s="21" t="str">
        <x:f>IFERROR(HYPERLINK("https://www.businessincameroon.com/cooperation/1512-6771-road-traffic-between-cameroon-and-nigeria-reopened-after-several-months-of-interruption-dye-to-boko-haram","Business in Cameroon"),"Business in Cameroon")</x:f>
        <x:v>Business in Cameroon</x:v>
      </x:c>
      <x:c r="N603" s="4" t="str">
        <x:v>https://www.aa.com.tr/fr/afrique/cameroun-nig%C3%A9ria-r%C3%A9ouverture-de-laxe-amchid%C3%A9-banki-/1480065
https://issafrica.org/fr/iss-today/concilier-economie-et-securite-a-la-frontiere-nigeria-cameroun
https://www.businessincameroon.com/cooperation/1512-6771-road-traffic-between-cameroon-and-nigeria-reopened-after-several-months-of-interruption-dye-to-boko-haram
https://actucameroun.com/2019/05/16/cameroun-nigeria-la-frontiere-amchide-banki-rouverte-au-trafic/
https://issafrica.org/iss-today/balancing-economics-and-security-on-the-nigeria-cameroon-border
https://www.businessincameroon.com/index.php/transport/1705-9138-cameroon-nigeria-border-in-the-town-of-amchide-officially-reopened-on-may-15-5-years-after-boko-haram-caused-closing</x:v>
      </x:c>
      <x:c r="O603" s="4" t="str">
        <x:v>Source 1: full; full text
Source 2: full; full text
Source 3: indexed excerpt; indexed extract</x:v>
      </x:c>
      <x:c r="P603" s="20" t="n">
        <x:v>1</x:v>
      </x:c>
      <x:c r="Q603" s="4" t="str">
        <x:v>West Africa and Sahel</x:v>
      </x:c>
      <x:c r="R603" s="4" t="str">
        <x:v>Included</x:v>
      </x:c>
    </x:row>
    <x:row r="604" ht="138" hidden="0" customHeight="1">
      <x:c r="A604" s="16" t="str">
        <x:v>R6-AWN-004</x:v>
      </x:c>
      <x:c r="B604" s="4" t="str">
        <x:v>Mauritania–Mali bilateral COVID passenger restriction from March 24 2020</x:v>
      </x:c>
      <x:c r="C604" s="4" t="str">
        <x:v>Mauritania; Mali</x:v>
      </x:c>
      <x:c r="D604" s="4" t="str">
        <x:v>Gogui Zemal; Douinkara / Fassala-Nere; Other frontier posts
Mauritania–Mali land frontier</x:v>
      </x:c>
      <x:c r="E604" s="4" t="str">
        <x:v>Cross-border travellers.
Direction: Bilateral person movement restriction.
Exceptions: Goods trucks; later exceptional entry arrangements not fully reconstructed.</x:v>
      </x:c>
      <x:c r="F604" s="4" t="str">
        <x:v>R6-AWN-004-FU1 — Formal policy
Bilateral Mauritania–Mali COVID border restriction; passenger movement
Start: 2020-03-24.
Last confirmed: 2020-03-24. Reopening is not established.
Formal policy: dated evidence; numeric duration withheld; see qualification</x:v>
      </x:c>
      <x:c r="G604"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604" s="4" t="str">
        <x:v>R6-AWN-004-FU1: Formal dated order only. Conditional passenger entry existed before June 2022 but its commencement remains unknown; June 20 removal of special authorisation is a later stage, not first reopening.
end: Fresh official and embassy reporting supports March 24 order observation while leaving the transition to special-authorisation entry unresolved. Do not equate June 2022 removal with original closure endpoint.
duration: Fresh official and embassy reporting supports March 24 order observation while leaving the transition to special-authorisation entry unresolved. Do not equate June 2022 removal with original closure endpoint.</x:v>
      </x:c>
      <x:c r="I604" s="4" t="str">
        <x:v>Retained baseline assessment. Follow-up adjudicated; amend</x:v>
      </x:c>
      <x:c r="J604" s="18" t="d">
        <x:v>2026-10-23T00:00:00.000Z</x:v>
      </x:c>
      <x:c r="K604" s="21" t="str">
        <x:f>IFERROR(HYPERLINK("https://oldfr.ami.mr/Depeche-52989.html","oldfr.ami.mr"),"oldfr.ami.mr")</x:f>
        <x:v>oldfr.ami.mr</x:v>
      </x:c>
      <x:c r="L604" s="21" t="str">
        <x:f>IFERROR(HYPERLINK("https://ami.mr/fr/Depeche-52989.html","AMI"),"AMI")</x:f>
        <x:v>AMI</x:v>
      </x:c>
      <x:c r="M604" s="21" t="str">
        <x:f>IFERROR(HYPERLINK("https://dtm.iom.int/sites/g/files/tmzbdl1461/files/reports/Dashboard%20COVID%20MRC_Decembre_2021_FINAL.pdf","IOM"),"IOM")</x:f>
        <x:v>IOM</x:v>
      </x:c>
      <x:c r="N604" s="4" t="str">
        <x:v>https://oldfr.ami.mr/Depeche-52989.html
https://ami.mr/fr/Depeche-52989.html
https://dtm.iom.int/sites/g/files/tmzbdl1461/files/reports/Dashboard%20COVID%20MRC_Decembre_2021_FINAL.pdf
https://cridem.org/C_Info.php?article=757483
https://maliactu.net/consolidation-des-liens-entre-le-mali-et-la-mauritanie/
https://aqlame.com/node/32496
https://www.cridem.org/imprimable.php?article=733826
https://sgg-mali.ml/JO/2020/mali-jo-2020-20.pdf
https://www.cridem.org/C_Info.php?article=734154
https://fr.saharamedias.net/fermeture-de-la-frontiere-mauritano-malienne/</x:v>
      </x:c>
      <x:c r="O604" s="4" t="str">
        <x:v>Source 1: access detail is retained in the source catalogue.
Source 2: full; failed
Source 3: failed</x:v>
      </x:c>
      <x:c r="P604" s="20" t="n">
        <x:v>1</x:v>
      </x:c>
      <x:c r="Q604" s="4" t="str">
        <x:v>West Africa and Sahel</x:v>
      </x:c>
      <x:c r="R604" s="4" t="str">
        <x:v>Included</x:v>
      </x:c>
    </x:row>
    <x:row r="605" ht="186" hidden="0" customHeight="1">
      <x:c r="A605" s="16" t="str">
        <x:v>R6-AWN-003</x:v>
      </x:c>
      <x:c r="B605" s="4" t="str">
        <x:v>Guinea national COVID land-passenger closure ordered March 2020</x:v>
      </x:c>
      <x:c r="C605" s="4" t="str">
        <x:v>Guinea; Guinea-Bissau; Senegal; Mali; Côte d’Ivoire; Liberia; Sierra Leone</x:v>
      </x:c>
      <x:c r="D605" s="4" t="str">
        <x:v>Guinean side of all international land frontiers</x:v>
      </x:c>
      <x:c r="E605" s="4" t="str">
        <x:v>Land travellers entering or leaving Guinea.
Direction: Entry and exit.
Exceptions: Freight; one driver and up to two assistants, subject to monitoring.</x:v>
      </x:c>
      <x:c r="F605" s="4" t="str">
        <x:v>R6-AWN-003-R1 — Announced window
Initial 30-day strengthened Guinea land-passenger order
Start: 2020-03-27.
Scheduled endpoint: 2020-04-26.
Ordered window: 30 calendar-day difference; actual end not established</x:v>
      </x:c>
      <x:c r="G605" s="4" t="str">
        <x:v>Health and biosecurity / Human disease control
Reported reason
Applies to: Recorded episode; exact overlap not separately established
The recorded rationale and claim assessment support the selected subcategories. All applicable broad categories are retained together; no primary rationale is imposed.</x:v>
      </x:c>
      <x:c r="H605" s="4" t="str">
        <x:v>R6-AWN-003-R1: Initial 30-day ordered term only; April 26 is a calculated scheduled boundary, not physical reopening. Subsequent renewals may overlap or supersede the initial term. The Health Ministry project text dates land-border surveillance expansion, not land closure, to March 21; its March 21 closure statement concerns air/sea. July air reopening cannot supply a land endpoint.</x:v>
      </x:c>
      <x:c r="I605" s="4" t="str">
        <x:v>Retained baseline assessment. Retained with recorded qualifications</x:v>
      </x:c>
      <x:c r="J605" s="18" t="d">
        <x:v>2026-10-23T00:00:00.000Z</x:v>
      </x:c>
      <x:c r="K605" s="21" t="str">
        <x:f>IFERROR(HYPERLINK("https://www.africaguinee.com/guinee-alpha-conde-decrete-l-etat-d-urgence/","Africa Guinee"),"Africa Guinee")</x:f>
        <x:v>Africa Guinee</x:v>
      </x:c>
      <x:c r="L605" s="21" t="str">
        <x:f>IFERROR(HYPERLINK("https://guineelive.com/2020/03/30/fermeture-des-frontieres-terrestres-le-gouvernement-decrete-30-jours-covid-19/","GuineeLive"),"GuineeLive")</x:f>
        <x:v>GuineeLive</x:v>
      </x:c>
      <x:c r="M605" s="21" t="str">
        <x:f>IFERROR(HYPERLINK("https://www.guinee360.com/15/07/2020/exclusif-guinee-letat-durgence-proroge-de-30-jours-et-la-reouverture-des-frontieres-a-partir-de/","Guinee360"),"Guinee360")</x:f>
        <x:v>Guinee360</x:v>
      </x:c>
      <x:c r="N605" s="4" t="str">
        <x:v>https://www.africaguinee.com/guinee-alpha-conde-decrete-l-etat-d-urgence/
https://guineelive.com/2020/03/30/fermeture-des-frontieres-terrestres-le-gouvernement-decrete-30-jours-covid-19/
https://www.guinee360.com/15/07/2020/exclusif-guinee-letat-durgence-proroge-de-30-jours-et-la-reouverture-des-frontieres-a-partir-de/
https://www.ugp-passp-ms.org.gn/2022/04/26/plan-de-mobilisation-des-parties-prenantes-pmpp-du-projet/
https://assembleenationale.gov.gn/archive.assemblee/www.assemblee.gov.gn/l20200001an-portant-autorisation-de-prorogation-de-letat-durgence-sanitaire-en-republique-de-guinee.html
https://mosaiqueguinee.com/2020/07/etat-durgence-les-transporteurs-terrestres-plaident-pour-la-reouverture-des-frontieres/
https://french.people.com.cn/Afrique/n3/2020/0320/c96852-9670358.html
https://french.xinhuanet.com/afrique/2020-03/27/c_138921995.htm
https://mediaguinee.com/2020/03/coronavirus-quiconque-facilite-la-communication-dune-maladie-contagieuse-sexpose-a-des-poursuites-judiciaires-gouvernement/</x:v>
      </x:c>
      <x:c r="O605" s="4" t="str">
        <x:v>Source 1: full
Source 2: full
Source 3: indexed excerpt; full</x:v>
      </x:c>
      <x:c r="P605" s="20" t="n">
        <x:v>1</x:v>
      </x:c>
      <x:c r="Q605" s="4" t="str">
        <x:v>West Africa and Sahel</x:v>
      </x:c>
      <x:c r="R605" s="4" t="str">
        <x:v>Included</x:v>
      </x:c>
    </x:row>
    <x:row r="606" ht="186" hidden="0" customHeight="1">
      <x:c r="A606" s="16" t="str">
        <x:v>R6-AWN-002</x:v>
      </x:c>
      <x:c r="B606" s="4" t="str">
        <x:v>Fotokol–Gambaru inherited security closure with limited goods reopening in 2016</x:v>
      </x:c>
      <x:c r="C606" s="4" t="str">
        <x:v>Cameroon; Nigeria</x:v>
      </x:c>
      <x:c r="D606" s="4" t="str">
        <x:v>Fotokol–Gambaru / El Beïd bridge
El Beïd bridge at Fotokol–Gambaru</x:v>
      </x:c>
      <x:c r="E606" s="4" t="str">
        <x:v>Ordinary cross-border trade; loaded freight vehicles.
Direction: Goods transferred both ways under the partial regime.
Exceptions: Late 2016: goods transferred on foot, bicycles or carts on Mondays, Wednesdays and Saturdays; no loaded trucks.</x:v>
      </x:c>
      <x:c r="F606" s="4" t="str">
        <x:v>R6-AWN-002-C7P1 — Observed operation
Limited Fotokol–Gambaru passage of goods and people by December12,2016
Start: unknown.
Observed scoped reopening: by 2016-12-12; earliest bound unknown.
dated evidence; numeric duration withheld; see qualification</x:v>
      </x:c>
      <x:c r="G606" s="4" t="str">
        <x:v>Security / Armed attacks and terrorism
Reported reason
Applies to: Recorded episode; exact overlap not separately established
The recorded rationale and claim assessment support the selected subcategories. All applicable broad categories are retained together; no primary rationale is imposed.
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x:v>
      </x:c>
      <x:c r="H606" s="4" t="str">
        <x:v>R6-AWN-002-C7P1: Endpoint upper bound only; original onset and first reopening day are unknown. Separate reporting describes restricted trading days and cargo transshipment, so no full loaded-truck or all-traffic reopening is inferred. Later2017/2021 milestones are not merged.
chronology: Fresh full reprints recover specific three-days-per-week goods-only scope and later truck permission, but exact originals are still undated. Do not derive a continuous closure or a January–June restriction from an opening account. Retain unresolved chronology and no new phase.
duration: Fresh full reprints recover specific three-days-per-week goods-only scope and later truck permission, but exact originals are still undated. Do not derive a continuous closure or a January–June restriction from an opening account. Retain unresolved chronology and no new phase.
onset: No exact original closure day was recovered.
continuity: Limited2016 movement and later2017/2021 milestones cannot be a single uninterrupted closure.</x:v>
      </x:c>
      <x:c r="I606" s="4" t="str">
        <x:v>Retained baseline assessment. Correction pass: amended with stated qualifications</x:v>
      </x:c>
      <x:c r="J606" s="18" t="d">
        <x:v>2026-10-23T00:00:00.000Z</x:v>
      </x:c>
      <x:c r="K606" s="21" t="str">
        <x:f>IFERROR(HYPERLINK("https://www.businessincameroon.com/cooperation/1512-6771-road-traffic-between-cameroon-and-nigeria-reopened-after-several-months-of-interruption-dye-to-boko-haram","Business in Cameroon"),"Business in Cameroon")</x:f>
        <x:v>Business in Cameroon</x:v>
      </x:c>
      <x:c r="L606" s="21" t="str">
        <x:f>IFERROR(HYPERLINK("https://cameroun24.net/article/36368-Fronti_C3_A8re_Cameroun__E2_80_93_Nigeria__3A_Fotokol_revit.html?lang=fr&amp;pr=50261","Cameroun24 / Cameroon Tribune"),"Cameroun24 / Cameroon Tribune")</x:f>
        <x:v>Cameroun24 / Cameroon Tribune</x:v>
      </x:c>
      <x:c r="M606" s="21" t="str">
        <x:f>IFERROR(HYPERLINK("https://cameroun24.net/article-amp/37589-cameroun-fermeture-de-la-frontiere-avec-le-nigeria-a-fotokol-apres-une-attaque-islamiste-a-gambaru.html","Cameroun24 / Xinhua"),"Cameroun24 / Xinhua")</x:f>
        <x:v>Cameroun24 / Xinhua</x:v>
      </x:c>
      <x:c r="N606" s="4" t="str">
        <x:v>https://www.businessincameroon.com/cooperation/1512-6771-road-traffic-between-cameroon-and-nigeria-reopened-after-several-months-of-interruption-dye-to-boko-haram
https://cameroun24.net/article/36368-Fronti_C3_A8re_Cameroun__E2_80_93_Nigeria__3A_Fotokol_revit.html?lang=fr&amp;pr=50261
https://cameroun24.net/article-amp/37589-cameroun-fermeture-de-la-frontiere-avec-le-nigeria-a-fotokol-apres-une-attaque-islamiste-a-gambaru.html
https://crisisgroup-staging.sbx.so/fr/brf/africa/cameroon/b133-extreme-nord-du-cameroun-le-casse-tete-de-la-reconstruction-en-periode-de-conflit
https://issafrica.org/fr/iss-today/concilier-economie-et-securite-a-la-frontiere-nigeria-cameroun
https://issafrica.org/iss-today/balancing-economics-and-security-on-the-nigeria-cameroon-border</x:v>
      </x:c>
      <x:c r="O606" s="4" t="str">
        <x:v>Source 1: search extract; direct open 403
Source 2: full
Source 3: full</x:v>
      </x:c>
      <x:c r="P606" s="20" t="n">
        <x:v>1</x:v>
      </x:c>
      <x:c r="Q606" s="4" t="str">
        <x:v>West Africa and Sahel</x:v>
      </x:c>
      <x:c r="R606" s="4" t="str">
        <x:v>Included</x:v>
      </x:c>
    </x:row>
    <x:row r="607" ht="102" hidden="0" customHeight="1">
      <x:c r="A607" s="16" t="str">
        <x:v>R7-EUAM-002</x:v>
      </x:c>
      <x:c r="B607" s="4" t="str">
        <x:v>Posadas–Encarnación mototaxi vehicle blockade, June 13, 2017</x:v>
      </x:c>
      <x:c r="C607" s="4" t="str">
        <x:v>Argentina; Paraguay</x:v>
      </x:c>
      <x:c r="D607" s="4" t="str">
        <x:v>San Roque González de Santa Cruz / Posadas–Encarnación
Paraguayan bridgehead of San Roque González de Santa Cruz international bridge</x:v>
      </x:c>
      <x:c r="E607" s="4" t="str">
        <x:v>Vehicles using the international bridge.
Direction: Vehicle passage at Paraguayan bridgehead obstructed; directional detail incomplete.
Exceptions: Pedestrian passage and exceptional vehicles not established.</x:v>
      </x:c>
      <x:c r="F607" s="4" t="str">
        <x:v>R7-EUAM-002-D1 — Observed operation
Posadas mototaxi episode on Tuesday 13 June 2017; Monday is not joined into a continuous period.
Start: 2017-06-13.
Observed scoped reopening: 2017-06-13.
Same-day episode; no whole-day duration inferred</x:v>
      </x:c>
      <x:c r="G607"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607" s="4" t="str">
        <x:v>R7-EUAM-002-D1: Shown as an episode occurring on this date, not a whole-day closure. Clock times vary and source independence is not fully established. Monday’s earlier action is not merged into Tuesday.</x:v>
      </x:c>
      <x:c r="I607" s="4" t="str">
        <x:v>Retained baseline assessment. Retained with recorded qualifications</x:v>
      </x:c>
      <x:c r="J607" s="18" t="d">
        <x:v>2026-10-23T00:00:00.000Z</x:v>
      </x:c>
      <x:c r="K607" s="21" t="str">
        <x:f>IFERROR(HYPERLINK("https://misionesonline.net/2017/06/13/se-levanto-corte-puente-posadas-encarnacion-realizaban-los-mototaxistas-paraguayos-protestaban-controles-del-lado-argentino/","MisionesOnline"),"MisionesOnline")</x:f>
        <x:v>MisionesOnline</x:v>
      </x:c>
      <x:c r="L607" s="21" t="str">
        <x:f>IFERROR(HYPERLINK("https://www.primeraedicion.com.ar/nota/248830/por-segundo-dia-mototaxistas-cortaron-el-puente-posadas-encarnacion/","Primera Edición"),"Primera Edición")</x:f>
        <x:v>Primera Edición</x:v>
      </x:c>
      <x:c r="M607" s="21" t="str">
        <x:f>IFERROR(HYPERLINK("https://www.elterritorio.com.ar/noticias/2017/06/13/533703-habilitaron-el-transito-en-el-puente-internacional-san-roque-gonzalez","elterritorio.com.ar"),"elterritorio.com.ar")</x:f>
        <x:v>elterritorio.com.ar</x:v>
      </x:c>
      <x:c r="N607" s="4" t="str">
        <x:v>https://misionesonline.net/2017/06/13/se-levanto-corte-puente-posadas-encarnacion-realizaban-los-mototaxistas-paraguayos-protestaban-controles-del-lado-argentino/
https://www.primeraedicion.com.ar/nota/248830/por-segundo-dia-mototaxistas-cortaron-el-puente-posadas-encarnacion/
https://www.elterritorio.com.ar/noticias/2017/06/13/533703-habilitaron-el-transito-en-el-puente-internacional-san-roque-gonzalez
https://misionesonline.net/2017/06/15/normal-circulacion-largas-filas-vehiculos-puente-internacional-posadas-encarnacion/</x:v>
      </x:c>
      <x:c r="O607" s="4" t="str">
        <x:v>Source 1: full article opened
Source 2: full article opened
Source 3: access detail is retained in the source catalogue.</x:v>
      </x:c>
      <x:c r="P607" s="20" t="n">
        <x:v>1</x:v>
      </x:c>
      <x:c r="Q607" s="4" t="str">
        <x:v>Americas</x:v>
      </x:c>
      <x:c r="R607" s="4" t="str">
        <x:v>Included</x:v>
      </x:c>
    </x:row>
    <x:row r="608" ht="162" hidden="0" customHeight="1">
      <x:c r="A608" s="16" t="str">
        <x:v>R7-EUAM-003</x:v>
      </x:c>
      <x:c r="B608" s="4" t="str">
        <x:v>Bermejo–Aguas Blancas bridge blockade over Argentine import rules, April 5, 2019</x:v>
      </x:c>
      <x:c r="C608" s="4" t="str">
        <x:v>Bolivia; Argentina</x:v>
      </x:c>
      <x:c r="D608" s="4" t="str">
        <x:v>Bermejo–Aguas Blancas international bridge
International road bridge between Bermejo and Aguas Blancas</x:v>
      </x:c>
      <x:c r="E608" s="4" t="str">
        <x:v>Road vehicles across the bridge.
Direction: Entry and exit traffic affected.
Exceptions: Pedestrian and emergency passage not established.</x:v>
      </x:c>
      <x:c r="F608" s="4" t="str">
        <x:v>R7-EUAM-003-D1 — Observed operation
Initial April 5 vehicle bridge blockade at Bermejo–Aguas Blancas to the negotiated late-afternoon pause
Start: 2019-04-05.
Observed scoped reopening: 2019-04-05.
Same-day episode; no whole-day duration inferred</x:v>
      </x:c>
      <x:c r="G608"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
Policy and socioeconomic demands / Jobs, services and livelihoods
Reported reason
Applies to: Recorded episode; exact overlap not separately established
The recorded rationale and claim assessment support the selected subcategories. All applicable broad categories are retained together; no primary rationale is imposed.</x:v>
      </x:c>
      <x:c r="H608" s="4" t="str">
        <x:v>R7-EUAM-003-D1: Sub-day segment only, not final settlement or exact uninterrupted hours. Pedestrian/emergency scope is unknown. Fides/El Pais republications share lineage; separate Chalanas high-water outage is excluded.</x:v>
      </x:c>
      <x:c r="I608" s="4" t="str">
        <x:v>Retained baseline assessment. Retained with recorded qualifications</x:v>
      </x:c>
      <x:c r="J608" s="18" t="d">
        <x:v>2026-10-23T00:00:00.000Z</x:v>
      </x:c>
      <x:c r="K608" s="21" t="str">
        <x:f>IFERROR(HYPERLINK("https://elpais.bo/tarija/20190405_bagayeros-bloquean-ingreso-a-bermejo.html","El País Tarija"),"El País Tarija")</x:f>
        <x:v>El País Tarija</x:v>
      </x:c>
      <x:c r="L608" s="21" t="str">
        <x:f>IFERROR(HYPERLINK("https://www.noticiasfides.com/nacional/sociedad/bagayeros-bloquearon-puente-internacional-en-localidad-fronteriza-en-bermejo-y-carretera-exigen-fuentes-de-empleo-si-las-autoridades-no-resuelven-conflicto-de-internacion-de-productos-de-contrabando-396465","Agencia de Noticias Fides"),"Agencia de Noticias Fides")</x:f>
        <x:v>Agencia de Noticias Fides</x:v>
      </x:c>
      <x:c r="M608" s="21" t="str">
        <x:f>IFERROR(HYPERLINK("https://fmalba.com.ar/internacionales-bagayeros-levantan-bloqueo-en-bermejo-e-ingresan-a-cuarto-intermedio/","FM Alba"),"FM Alba")</x:f>
        <x:v>FM Alba</x:v>
      </x:c>
      <x:c r="N608" s="4" t="str">
        <x:v>https://elpais.bo/tarija/20190405_bagayeros-bloquean-ingreso-a-bermejo.html
https://www.noticiasfides.com/nacional/sociedad/bagayeros-bloquearon-puente-internacional-en-localidad-fronteriza-en-bermejo-y-carretera-exigen-fuentes-de-empleo-si-las-autoridades-no-resuelven-conflicto-de-internacion-de-productos-de-contrabando-396465
https://fmalba.com.ar/internacionales-bagayeros-levantan-bloqueo-en-bermejo-e-ingresan-a-cuarto-intermedio/
https://fmalba.com.ar/oran-bagayeros-bloquean-el-paso-internacional-en-aguas-blancas-y-puerto-chalanas-en-bermejo/</x:v>
      </x:c>
      <x:c r="O608" s="4" t="str">
        <x:v>Source 1: full article opened
Source 2: full article opened
Source 3: full article opened</x:v>
      </x:c>
      <x:c r="P608" s="20" t="n">
        <x:v>1</x:v>
      </x:c>
      <x:c r="Q608" s="4" t="str">
        <x:v>Americas</x:v>
      </x:c>
      <x:c r="R608" s="4" t="str">
        <x:v>Included</x:v>
      </x:c>
    </x:row>
    <x:row r="609" ht="162" hidden="0" customHeight="1">
      <x:c r="A609" s="16" t="str">
        <x:v>R7-EUAM-001</x:v>
      </x:c>
      <x:c r="B609" s="4" t="str">
        <x:v>Kulata–Promachonas Greek farmers’ brief vehicle blockade, January 31, 2017</x:v>
      </x:c>
      <x:c r="C609" s="4" t="str">
        <x:v>Bulgaria; Greece</x:v>
      </x:c>
      <x:c r="D609" s="4" t="str">
        <x:v>Kulata–Promachonas
Greek approach to Kulata–Promachonas road crossing</x:v>
      </x:c>
      <x:c r="E609" s="4" t="str">
        <x:v>Road vehicles, including lorries and cars.
Direction: Road movement affected; trucks reported passing both directions after clearance.
Exceptions: Other frontier crossings remained available; pedestrian scope unknown.</x:v>
      </x:c>
      <x:c r="F609" s="4" t="str">
        <x:v>R7-EUAM-001-D1 — Observed operation
Kulata episode on 31 January 2017.
Start: 2017-01-31.
Observed scoped reopening: 2017-01-31.
Same-day episode; no whole-day duration inferred</x:v>
      </x:c>
      <x:c r="G609" s="4" t="str">
        <x:v>Policy and socioeconomic demands / Jobs, services and livelihoods
Reported reason
Applies to: January 31, 2017 blockade
Reporting explicitly identifies opposition to tax and social-security contribution reforms and demands for higher agricultural subsidies.</x:v>
      </x:c>
      <x:c r="H609" s="4" t="str">
        <x:v>R7-EUAM-001-D1: Shown as an episode occurring on this date, not a whole-day closure. Minute-level accounts differ; official reopening statement available via attributed mirror, original retrieval failed.</x:v>
      </x:c>
      <x:c r="I609" s="4" t="str">
        <x:v>Targeted source review (REC50-R42); retained with recorded qualifications; evidence limits retained.</x:v>
      </x:c>
      <x:c r="J609" s="18" t="d">
        <x:v>2026-10-25T00:00:00.000Z</x:v>
      </x:c>
      <x:c r="K609" s="21" t="str">
        <x:f>IFERROR(HYPERLINK("https://presscenters.com/News/97925/vuzstanoveno-e-normalnoto-preminavane-prez-gkpp-kulata--promahon","PressCenters.com"),"PressCenters.com")</x:f>
        <x:v>PressCenters.com</x:v>
      </x:c>
      <x:c r="L609" s="21" t="str">
        <x:f>IFERROR(HYPERLINK("https://dariknews.bg/novini/bylgariia/gryckite-fermeri-blokiraha-za-chas-granicata-ni-pri-promahon-2000285","DarikNews"),"DarikNews")</x:f>
        <x:v>DarikNews</x:v>
      </x:c>
      <x:c r="M609" s="21" t="str">
        <x:f>IFERROR(HYPERLINK("https://nova.bg/news/view/2017/01/31/172528/гръцките-фермери-блокираха-за-кратко-границата-с-българия-видеоснимки/","NOVA"),"NOVA")</x:f>
        <x:v>NOVA</x:v>
      </x:c>
      <x:c r="N609" s="4" t="str">
        <x:v>https://presscenters.com/News/97925/vuzstanoveno-e-normalnoto-preminavane-prez-gkpp-kulata--promahon
https://dariknews.bg/novini/bylgariia/gryckite-fermeri-blokiraha-za-chas-granicata-ni-pri-promahon-2000285
https://nova.bg/news/view/2017/01/31/172528/гръцките-фермери-блокираха-за-кратко-границата-с-българия-видеоснимки/
https://sofiaglobe.com/2017/01/31/bulgaria-advises-motorists-to-avoid-kulata-border-checkpoint-after-hour-long-blockade-by-greek-farmers/
https://sofiaglobe.com/2017/01/28/greek-farmers-block-border-checkpoint-with-bulgaria/
https://bntnews.bg/news/protest-by-greek-farmers-blocked-kulata-border-crossing-for-an-hour-1314554news.html
https://old-news.bnr.bg/en/post/100790504/traffic-of-motor-vehicles-via-kulata-promachon-resumes-update</x:v>
      </x:c>
      <x:c r="O609" s="4" t="str">
        <x:v>Source 1: full mirror article opened; original click failed
Source 2: full article opened
Source 3: full article opened</x:v>
      </x:c>
      <x:c r="P609" s="20" t="n">
        <x:v>1</x:v>
      </x:c>
      <x:c r="Q609" s="4" t="str">
        <x:v>Europe</x:v>
      </x:c>
      <x:c r="R609" s="4" t="str">
        <x:v>Included</x:v>
      </x:c>
    </x:row>
    <x:row r="610" ht="162" hidden="0" customHeight="1">
      <x:c r="A610" s="16" t="str">
        <x:v>R7-PV-001</x:v>
      </x:c>
      <x:c r="B610" s="4" t="str">
        <x:v>Gallabat–Metema May 2022 closure after border killings and local truck obstruction</x:v>
      </x:c>
      <x:c r="C610" s="4" t="str">
        <x:v>Sudan; Ethiopia</x:v>
      </x:c>
      <x:c r="D610" s="4" t="str">
        <x:v>Gallabat–Metema
Gallabat–Metema road crossing</x:v>
      </x:c>
      <x:c r="E610" s="4" t="str">
        <x:v>People and goods through the formal post; agricultural workers and commerce specifically discussed in reopening agreement.
Direction: Crossing movement reported stopped; individual direction-specific exceptions unknown
Exceptions: Not established</x:v>
      </x:c>
      <x:c r="F610" s="4" t="str">
        <x:v>R7-PV-001-R1 — Observed operation
Reported state closure at Gallabat–Metema in Dabanga’s second-day account
Start: 2022-05-21.
Last confirmed: 2022-05-22. Reopening is not established.
confirmed through 2022-05-22; at least 1 calendar-day difference; reopening unknown</x:v>
      </x:c>
      <x:c r="G610" s="4" t="str">
        <x:v>Security / Crime and law enforcement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Armed attacks and terrorism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610" s="4" t="str">
        <x:v>R7-PV-001-R1: Single operational reporting origin, qualified against May 21 agreement. May 20 residents’ obstruction excluded from start. No extension to July reopening.
continuity: Dabanga's second-day account supports state closure May 21–22, 2022, while Sudan Tribune reports a May 21 agreement to reopen and a preceding civilian truck blockade. Agreement is not implementation; keep these conflicting observations and do not borrow July reopening.</x:v>
      </x:c>
      <x:c r="I610" s="4" t="str">
        <x:v>Retained baseline assessment. Correction pass: reviewed; see attribute findings</x:v>
      </x:c>
      <x:c r="J610" s="18" t="d">
        <x:v>2026-10-23T00:00:00.000Z</x:v>
      </x:c>
      <x:c r="K610" s="21" t="str">
        <x:f>IFERROR(HYPERLINK("https://www.dabangasudan.org/en/all-news/article/sudan-ethiopia-border-crossing-between-galabat-and-metema-remains-closed-after-shifta-killings","Radio Dabanga"),"Radio Dabanga")</x:f>
        <x:v>Radio Dabanga</x:v>
      </x:c>
      <x:c r="L610" s="21" t="str">
        <x:f>IFERROR(HYPERLINK("https://sudantribune.net/article/259059","Sudan Tribune"),"Sudan Tribune")</x:f>
        <x:v>Sudan Tribune</x:v>
      </x:c>
      <x:c r="M610" s="21" t="str">
        <x:f>IFERROR(HYPERLINK("https://sudantribune.net/article/259012","Sudan Tribune"),"Sudan Tribune")</x:f>
        <x:v>Sudan Tribune</x:v>
      </x:c>
      <x:c r="N610" s="4" t="str">
        <x:v>https://www.dabangasudan.org/en/all-news/article/sudan-ethiopia-border-crossing-between-galabat-and-metema-remains-closed-after-shifta-killings
https://sudantribune.net/article/259059
https://sudantribune.net/article/259012
https://sudantribune.com/article/261620
https://zehabesha.com/sudan-ethiopia-border-crossing-between-galabat-and-metema-remains-closed-after-shifta-killings/
https://www.dabangasudan.org/en/all-news/article/sudan-timeline-april-june-2022-popular-resistance-to-junta-escalates-banditry-and-intercommunal-strife-in-darfur-and-across-sudan-as-15-million-face-hunger
https://www.radiotamazuj.org/en/news/article/sudan-reopens-border-crossing-with-ethiopia</x:v>
      </x:c>
      <x:c r="O610" s="4" t="str">
        <x:v>Source 1: full
Source 2: full
Source 3: full</x:v>
      </x:c>
      <x:c r="P610" s="20" t="n">
        <x:v>1</x:v>
      </x:c>
      <x:c r="Q610" s="4" t="str">
        <x:v>Horn of Africa</x:v>
      </x:c>
      <x:c r="R610" s="4" t="str">
        <x:v>Included</x:v>
      </x:c>
    </x:row>
    <x:row r="611" ht="78" hidden="0" customHeight="1">
      <x:c r="A611" s="16" t="str">
        <x:v>R7-AF-001</x:v>
      </x:c>
      <x:c r="B611" s="4" t="str">
        <x:v>Angola Luvo electoral border and market closure August–September 2017</x:v>
      </x:c>
      <x:c r="C611" s="4" t="str">
        <x:v>Angola; Democratic Republic of the Congo</x:v>
      </x:c>
      <x:c r="D611" s="4" t="str">
        <x:v>Luvo/Luvu
Luvo/Luvu border post and associated cross-border market, Zaire province</x:v>
      </x:c>
      <x:c r="E611" s="4" t="str">
        <x:v>Market traders and goods; wider passenger/freight categories incompletely enumerated.
Direction: Congolese traders entering Angola were observed when passage resumed; closure-direction exceptions unknown.</x:v>
      </x:c>
      <x:c r="F611" s="4" t="str">
        <x:v>R7-AF-001-D1 — Observed operation
Congolese traders' ordinary access through Luvo/Luvu to the associated Angolan market
Start: 2017-08-01 to 2017-08-31.
Observed scoped reopening: 2017-09-02.
2–32 calendar-day difference; scoped endpoint only</x:v>
      </x:c>
      <x:c r="G611"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x:v>
      </x:c>
      <x:c r="H611" s="4" t="str">
        <x:v>R7-AF-001-D1: Onset remains month precision; twenty-day retrospective wording is not used to invent a start. The endpoint is observed trader access, not every category/direction. Independence of repeated retrospective duration claims is unknown and exceptions are not reconstructed.</x:v>
      </x:c>
      <x:c r="I611" s="4" t="str">
        <x:v>Retained baseline assessment. Retained with recorded qualifications</x:v>
      </x:c>
      <x:c r="J611" s="18" t="d">
        <x:v>2026-10-23T00:00:00.000Z</x:v>
      </x:c>
      <x:c r="K611" s="21" t="str">
        <x:f>IFERROR(HYPERLINK("https://www.novojornal.co.ao/internacional/detalhe/fronteira-e-mercado-transfronteirico-do-luvo-reabrem-depois-de-20-dias-encerrados-por-causa-das-eleicoes-14125.html","Novo Jornal"),"Novo Jornal")</x:f>
        <x:v>Novo Jornal</x:v>
      </x:c>
      <x:c r="L611" s="21" t="str">
        <x:f>IFERROR(HYPERLINK("https://valoreconomico.co.ao/artigo/fuga-ao-fisco-domina-comercio","Valor Económico"),"Valor Económico")</x:f>
        <x:v>Valor Económico</x:v>
      </x:c>
      <x:c r="M611" s="21" t="str">
        <x:f>IFERROR(HYPERLINK("https://novojornal.co.ao/internacional/detalhe/fronteira-e-mercado-transfronteirico-do-luvo-reabrem-depois-de-20-dias-encerrados-por-causa-das-eleicoes-14125.html","novojornal.co.ao"),"novojornal.co.ao")</x:f>
        <x:v>novojornal.co.ao</x:v>
      </x:c>
      <x:c r="N611" s="4" t="str">
        <x:v>https://www.novojornal.co.ao/internacional/detalhe/fronteira-e-mercado-transfronteirico-do-luvo-reabrem-depois-de-20-dias-encerrados-por-causa-das-eleicoes-14125.html
https://valoreconomico.co.ao/artigo/fuga-ao-fisco-domina-comercio
https://novojornal.co.ao/internacional/detalhe/fronteira-e-mercado-transfronteirico-do-luvo-reabrem-depois-de-20-dias-encerrados-por-causa-das-eleicoes-14125.html</x:v>
      </x:c>
      <x:c r="O611" s="4" t="str">
        <x:v>Source 1: full relevant page
Source 2: full relevant page
Source 3: access detail is retained in the source catalogue.</x:v>
      </x:c>
      <x:c r="P611" s="20" t="n">
        <x:v>1</x:v>
      </x:c>
      <x:c r="Q611" s="4" t="str">
        <x:v>Southern and Central Africa</x:v>
      </x:c>
      <x:c r="R611" s="4" t="str">
        <x:v>Included</x:v>
      </x:c>
    </x:row>
    <x:row r="612" ht="126" hidden="0" customHeight="1">
      <x:c r="A612" s="16" t="str">
        <x:v>R8-AF-001</x:v>
      </x:c>
      <x:c r="B612" s="4" t="str">
        <x:v>Armed obstruction of Tigrayan civilian exit to Sudan, 2020–2021</x:v>
      </x:c>
      <x:c r="C612" s="4" t="str">
        <x:v>Ethiopia; Sudan</x:v>
      </x:c>
      <x:c r="D612" s="4" t="str">
        <x:v>Dima / Hamdayet; Tekeze River border
Western Tigray exit routes to Sudan, including Dima–Hamdayet river crossings</x:v>
      </x:c>
      <x:c r="E612" s="4" t="str">
        <x:v>Tigrayan civilians seeking refuge in Sudan
Direction: Exit from Ethiopia into Sudan.</x:v>
      </x:c>
      <x:c r="F612" s="4" t="str">
        <x:v>R8-AF-001-R1 — Intermittent regime
Repeated selective armed obstruction of Tigrayan civilian exit routes toward Sudan, including Dima–Hamdayet
Start: 2020-11-01 to 2020-11-30.
Last confirmed: 2021-03-22. Reopening is not established.
Intermittent regime envelope; total closed days unknown</x:v>
      </x:c>
      <x:c r="G612" s="4" t="str">
        <x:v>Uncoded / Unresolved rationale
Not assigned
Applies to: Not assigned
No additional motive inferred</x:v>
      </x:c>
      <x:c r="H612" s="4" t="str">
        <x:v>R8-AF-001-R1: Analytical linkage of repeated pattern, not continuous route-complete closure. March 22 is report status, not cessation. Successful crossings, changing actors and witness/access limitations retained.
rationale: Retain uncoded rationale. The NGO’s explicitly tentative normality interpretation is useful context, but it does not safely map to a shared military, migration or political-purpose code for every actor in this intermittent regime.
continuity: AP, HRW and OCHA describe repeated obstruction of Tigrayan civilian exit while many refugees also crossed. The November 2020–March 2021 envelope is a selective intermittent pattern, not a route-complete continuous seal; last report date cannot be cessation.</x:v>
      </x:c>
      <x:c r="I612" s="4" t="str">
        <x:v>Full-record source audit (REC50-R20); retained with recorded qualifications; evidence limits retained.</x:v>
      </x:c>
      <x:c r="J612" s="18" t="d">
        <x:v>2026-10-25T00:00:00.000Z</x:v>
      </x:c>
      <x:c r="K612" s="21" t="str">
        <x:f>IFERROR(HYPERLINK("https://www.hrw.org/report/2022/04/06/we-will-erase-you-land/crimes-against-humanity-and-ethnic-cleansing-ethiopias","Human Rights Watch"),"Human Rights Watch")</x:f>
        <x:v>Human Rights Watch</x:v>
      </x:c>
      <x:c r="L612" s="21" t="str">
        <x:f>IFERROR(HYPERLINK("https://www.euronews.com/2020/12/03/ethiopian-forces-blocking-refugees-from-embattled-tigray-region-from-entering-sudan","Euronews / AP"),"Euronews / AP")</x:f>
        <x:v>Euronews / AP</x:v>
      </x:c>
      <x:c r="M612" s="21" t="str">
        <x:f>IFERROR(HYPERLINK("https://www.ecoi.net/en/file/local/2047658/Situation%2BReport%2B-%2BEthiopia%2B-%2BTigray%2BRegion%2BHumanitarian%2BUpdate%2B-%2B22%2BMar%2B2021.pdf","UN OCHA / ecoi.net"),"UN OCHA / ecoi.net")</x:f>
        <x:v>UN OCHA / ecoi.net</x:v>
      </x:c>
      <x:c r="N612" s="4" t="str">
        <x:v>https://www.hrw.org/report/2022/04/06/we-will-erase-you-land/crimes-against-humanity-and-ethnic-cleansing-ethiopias
https://www.euronews.com/2020/12/03/ethiopian-forces-blocking-refugees-from-embattled-tigray-region-from-entering-sudan
https://www.ecoi.net/en/file/local/2047658/Situation%2BReport%2B-%2BEthiopia%2B-%2BTigray%2BRegion%2BHumanitarian%2BUpdate%2B-%2B22%2BMar%2B2021.pdf
https://www.unicef.org/sudan/stories/thousands-flee-tigray-region-sudan
https://www.citinewsroom.com/2020/11/tigray-crisis-ethiopian-soldiers-accused-of-blocking-border-with-sudan/</x:v>
      </x:c>
      <x:c r="O612" s="4" t="str">
        <x:v>Source 1: indexed excerpt; full; full text
Source 2: full; full text
Source 3: full; full text</x:v>
      </x:c>
      <x:c r="P612" s="20" t="n">
        <x:v>1</x:v>
      </x:c>
      <x:c r="Q612" s="4" t="str">
        <x:v>Horn of Africa</x:v>
      </x:c>
      <x:c r="R612" s="4" t="str">
        <x:v>Included</x:v>
      </x:c>
    </x:row>
    <x:row r="613" ht="102" hidden="0" customHeight="1">
      <x:c r="A613" s="16" t="str">
        <x:v>R8-AF-002</x:v>
      </x:c>
      <x:c r="B613" s="4" t="str">
        <x:v>Gallabat–Metema protest blockade after trader kidnappings, January 2021</x:v>
      </x:c>
      <x:c r="C613" s="4" t="str">
        <x:v>Ethiopia; Sudan</x:v>
      </x:c>
      <x:c r="D613" s="4" t="str">
        <x:v>Gallabat / Metema / Basunda
Gallabat–Metema cross-border road at Basunda</x:v>
      </x:c>
      <x:c r="E613" s="4" t="str">
        <x:v>Cross-border road traffic and trade
Direction: Not separately established; see scope/evidence</x:v>
      </x:c>
      <x:c r="F613" s="4" t="str">
        <x:v>R8-AF-002-D1 — Observed operation
Gallabat–Metema road/crossing and market blockage during the kidnapping protest
Start: 2021-01-30 to 2021-01-31.
Last confirmed: 2021-02-01. Reopening is not established.
confirmed through 2021-02-01; at least 1 calendar-day difference; reopening unknown</x:v>
      </x:c>
      <x:c r="G613" s="4" t="str">
        <x:v>Security / Crime and law enforcement
Reported reason
Applies to: Recorded episode; exact overlap not separately established
The recorded rationale and claim assessment support the selected subcategories. All applicable broad categories are retained together; no primary rationale is imposed.</x:v>
      </x:c>
      <x:c r="H613" s="4" t="str">
        <x:v>R8-AF-002-D1: Confirmed only through February 1, not reopening or later persistence. Archived February account was not freshly reopened in the prior pass. Directional completeness is unknown; conflicting abductee numbers are not adopted.
continuity: Al-Ain observes the Gallabat protest road closure January 31, 2021; fresh Arabic Dabanga February 1 says the crossing and market remained shut for a second consecutive day. The broader January 30–31 onset bounds retain uncertainty from the unrecovered alternative account. Neither last confirmation nor subsequent silence establishes reopening.</x:v>
      </x:c>
      <x:c r="I613" s="4" t="str">
        <x:v>Retained baseline assessment. Correction pass: reviewed; see attribute findings</x:v>
      </x:c>
      <x:c r="J613" s="18" t="d">
        <x:v>2026-10-23T00:00:00.000Z</x:v>
      </x:c>
      <x:c r="K613" s="21" t="str">
        <x:f>IFERROR(HYPERLINK("https://www.aljazeera.net/politics/2021/1/31/السودان-إثيوبيا-التوتر-الحدود","Al Jazeera Arabic"),"Al Jazeera Arabic")</x:f>
        <x:v>Al Jazeera Arabic</x:v>
      </x:c>
      <x:c r="L613" s="21" t="str">
        <x:f>IFERROR(HYPERLINK("https://al-ain.com/article/closure-main-crossing-between-sudan-ethiopia","Al Ain"),"Al Ain")</x:f>
        <x:v>Al Ain</x:v>
      </x:c>
      <x:c r="M613" s="21" t="str">
        <x:f>IFERROR(HYPERLINK("https://www.dabangasudan.org/ar/all-news/article/اختطاف-3-تجار-يغلق-سوق-القلابات","Radio Dabanga Arabic"),"Radio Dabanga Arabic")</x:f>
        <x:v>Radio Dabanga Arabic</x:v>
      </x:c>
      <x:c r="N613" s="4" t="str">
        <x:v>https://www.aljazeera.net/politics/2021/1/31/السودان-إثيوبيا-التوتر-الحدود
https://al-ain.com/article/closure-main-crossing-between-sudan-ethiopia
https://www.dabangasudan.org/ar/all-news/article/اختطاف-3-تجار-يغلق-سوق-القلابات
https://www.middleeastmonitor.com/20210201-demonstrators-close-crossing-between-sudan-ethiopia/</x:v>
      </x:c>
      <x:c r="O613" s="4" t="str">
        <x:v>Source 1: full page
Source 2: full page
Source 3: full page</x:v>
      </x:c>
      <x:c r="P613" s="20" t="n">
        <x:v>1</x:v>
      </x:c>
      <x:c r="Q613" s="4" t="str">
        <x:v>Horn of Africa</x:v>
      </x:c>
      <x:c r="R613" s="4" t="str">
        <x:v>Included</x:v>
      </x:c>
    </x:row>
    <x:row r="614" ht="126" hidden="0" customHeight="1">
      <x:c r="A614" s="16" t="str">
        <x:v>R8-AS-001</x:v>
      </x:c>
      <x:c r="B614" s="4" t="str">
        <x:v>Rishtan–Kaytpas inherited closure partially lifted in September 2017</x:v>
      </x:c>
      <x:c r="C614" s="4" t="str">
        <x:v>Kyrgyzstan; Uzbekistan</x:v>
      </x:c>
      <x:c r="D614" s="4" t="str">
        <x:v>Rishtan / Rishton–Kaytpas / Kайтпас
Rishtan–Kaytpas checkpoint; partial restoration for Kyrgyz and Uzbek citizens</x:v>
      </x:c>
      <x:c r="E614" s="4" t="str">
        <x:v>People, vehicles and goods in the 2013 closure statement; 2017 restoration explicitly concerns Kyrgyz and Uzbek citizens.
Direction: Citizen crossing between Uzbekistan and Kyrgyzstan in both directions.
Exceptions: 2017 citizen passage limited to 07:00–19:00; freight and third-country eligibility not established.</x:v>
      </x:c>
      <x:c r="F614" s="4" t="str">
        <x:v>R8-AS-001-FU1 — Observed operation
Rishtan–Kaytpas crossing after intermediate opening and reclosure; excludes Apkan as a separate gate
Start: unknown.
Last confirmed: 2017-09-19. Reopening is not established.
confirmed through 2017-09-19; reopening unknown</x:v>
      </x:c>
      <x:c r="G614"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614" s="4" t="str">
        <x:v>R8-AS-001-FU1: September 19 reporting confirms renewed closure after an intermediate opening; exact reclosure date and uninterrupted link to September 25 citizen reopening are not established.
duration: Add a September 19 confirmed reclosed state at Kaytpas with unknown onset; do not carry the 2013 closure uninterrupted to 2017 or conflate Kaytpas citizen movement with the complete Sokh route.
Current onset finding: September 19 Uzbek reporting explicitly describes Kaytpas reopening briefly then closing because Apkan remained shut. Unknown onset/end and a single confirmed state correctly avoid inventing one uninterrupted 2013–2017 closure or a complete Sokh corridor opening.
Current continuity finding: No evidence establishes uninterrupted enforcement between the dated observations or actual lifting of an announced order.</x:v>
      </x:c>
      <x:c r="I614" s="4" t="str">
        <x:v>Retained baseline assessment. Correction pass: amended with stated qualifications</x:v>
      </x:c>
      <x:c r="J614" s="18" t="d">
        <x:v>2026-10-23T00:00:00.000Z</x:v>
      </x:c>
      <x:c r="K614" s="21" t="str">
        <x:f>IFERROR(HYPERLINK("https://www.ozodlik.org/a/sokh-rishton-chegara-fargona-botken/28744649.html","RFE/RL Ozodlik"),"RFE/RL Ozodlik")</x:f>
        <x:v>RFE/RL Ozodlik</x:v>
      </x:c>
      <x:c r="L614" s="21" t="str">
        <x:f>IFERROR(HYPERLINK("https://www.azattyqasia.org/a/24819372.html","RFE/RL Azattyq"),"RFE/RL Azattyq")</x:f>
        <x:v>RFE/RL Azattyq</x:v>
      </x:c>
      <x:c r="M614" s="21" t="str">
        <x:f>IFERROR(HYPERLINK("https://www.ozodlik.org/a/rishton-sox-sux-sokh-cegara-vodil/28760623.html","RFE/RL Ozodlik"),"RFE/RL Ozodlik")</x:f>
        <x:v>RFE/RL Ozodlik</x:v>
      </x:c>
      <x:c r="N614" s="4" t="str">
        <x:v>https://www.ozodlik.org/a/sokh-rishton-chegara-fargona-botken/28744649.html
https://www.azattyqasia.org/a/24819372.html
https://www.ozodlik.org/a/rishton-sox-sux-sokh-cegara-vodil/28760623.html
https://www.azattyk.org/a/kyrgyz-uzbek-border-stations-are-opened/31181768.html
https://for.kg/news-695129-en.html
https://kun.uz/en/news/2021/04/02/road-connecting-rishtan-and-sokh-opened</x:v>
      </x:c>
      <x:c r="O614" s="4" t="str">
        <x:v>Source 1: full
Source 2: full
Source 3: full</x:v>
      </x:c>
      <x:c r="P614" s="20" t="n">
        <x:v>1</x:v>
      </x:c>
      <x:c r="Q614" s="4" t="str">
        <x:v>Central Asia and Caucasus</x:v>
      </x:c>
      <x:c r="R614" s="4" t="str">
        <x:v>Included</x:v>
      </x:c>
    </x:row>
    <x:row r="615" ht="114" hidden="0" customHeight="1">
      <x:c r="A615" s="16" t="str">
        <x:v>R10-WA-001</x:v>
      </x:c>
      <x:c r="B615" s="4" t="str">
        <x:v>Gbalamuya temporary closure during disputed deportation handover</x:v>
      </x:c>
      <x:c r="C615" s="4" t="str">
        <x:v>Guinea; Sierra Leone</x:v>
      </x:c>
      <x:c r="D615" s="4" t="str">
        <x:v>Gbalamuya, Kambia District, Sierra Leone–Guinea frontier
Named international land crossing</x:v>
      </x:c>
      <x:c r="E615" s="4" t="str">
        <x:v>Deported people presumed Sierra Leonean; broader categories affected by crossing closure not individually established
Direction: Documented refusal Guinea to Sierra Leone; full closure direction not separately established
Exceptions: Not established</x:v>
      </x:c>
      <x:c r="F615" s="4" t="str">
        <x:v>R10-WA-001-D1 — Observed operation
Reported temporary Gbalamuya crossing suspension during the deportation-handover standoff
Start: 2024-12-11.
Observed scoped reopening: 2024-12-11 to 2024-12-13.
0–2 calendar-day difference; scoped endpoint only</x:v>
      </x:c>
      <x:c r="G615" s="4" t="str">
        <x:v>Migration / Admission and document disputes
Reported reason
Applies to: Recorded episode; exact overlap not separately established
The recorded rationale and claim assessment support the selected subcategories. All applicable broad categories are retained together; no primary rationale is imposed.</x:v>
      </x:c>
      <x:c r="H615" s="4" t="str">
        <x:v>R10-WA-001-D1: Zero-to-two calendar-day boundary range, not precise hours. Tuesday references describe tensions/arrival rather than overriding the explicit Wednesday closure notice. One police-notice lineage; full direction/category coverage is unknown and Guinea disputes the notification account.</x:v>
      </x:c>
      <x:c r="I615" s="4" t="str">
        <x:v>Targeted source review (REC50-R19); retained with recorded qualifications; evidence limits retained.</x:v>
      </x:c>
      <x:c r="J615" s="18" t="d">
        <x:v>2026-10-25T00:00:00.000Z</x:v>
      </x:c>
      <x:c r="K615" s="21" t="str">
        <x:f>IFERROR(HYPERLINK("https://sierraloaded.sl/news/police-deportation-sierra-leoneans-guinea/","Sierraloaded"),"Sierraloaded")</x:f>
        <x:v>Sierraloaded</x:v>
      </x:c>
      <x:c r="L615" s="21" t="str">
        <x:f>IFERROR(HYPERLINK("https://www.guinee360.com/13/12/2024/rapatriement-des-etrangers-la-guinee-et-la-sierra-leone-frolent-un-incident-diplomatique/","Guinee360"),"Guinee360")</x:f>
        <x:v>Guinee360</x:v>
      </x:c>
      <x:c r="M615" s="21" t="str">
        <x:f>IFERROR(HYPERLINK("https://www.africaguinee.com/expulsion-detrangers-freetown-fulmine-face-a-la-methode-employee-par-conakry/","Africa Guinee"),"Africa Guinee")</x:f>
        <x:v>Africa Guinee</x:v>
      </x:c>
      <x:c r="N615" s="4" t="str">
        <x:v>https://sierraloaded.sl/news/police-deportation-sierra-leoneans-guinea/
https://www.guinee360.com/13/12/2024/rapatriement-des-etrangers-la-guinee-et-la-sierra-leone-frolent-un-incident-diplomatique/
https://www.africaguinee.com/expulsion-detrangers-freetown-fulmine-face-a-la-methode-employee-par-conakry/
https://guineenews.org/2024/12/14/expulsion-des-leonais-des-guineens-en-sierra-leone-ont-peur-des-represailles-julien-yombouno-2/
https://awokonewspapersl.com/disruption-at-guinea-sierra-leone-border-following-unlawful-deportations/</x:v>
      </x:c>
      <x:c r="O615" s="4" t="str">
        <x:v>Source 1: full text
Source 2: full text
Source 3: full page</x:v>
      </x:c>
      <x:c r="P615" s="20" t="n">
        <x:v>1</x:v>
      </x:c>
      <x:c r="Q615" s="4" t="str">
        <x:v>West Africa and Sahel</x:v>
      </x:c>
      <x:c r="R615" s="4" t="str">
        <x:v>Included</x:v>
      </x:c>
    </x:row>
    <x:row r="616" ht="150" hidden="0" customHeight="1">
      <x:c r="A616" s="16" t="str">
        <x:v>R10-EU-001</x:v>
      </x:c>
      <x:c r="B616" s="4" t="str">
        <x:v>Sweden conditional COVID admission prohibition at Øresund, late2021–early2022 phase</x:v>
      </x:c>
      <x:c r="C616" s="4" t="str">
        <x:v>Denmark; Sweden</x:v>
      </x:c>
      <x:c r="D616" s="4" t="str">
        <x:v>Øresund / Öresundsbron; Lernacken road control; rail legal route scope
Denmark-to-Sweden Øresund international road/rail link; route component of wider EEA entry policy</x:v>
      </x:c>
      <x:c r="E616" s="4" t="str">
        <x:v>Foreign passengers lacking required health evidence or status exemption; goods transport personnel exempt
Direction: Denmark to Sweden
Exceptions: Swedish citizens outside foreign-national rule; residents, freight/transport staff and other status exemptions. Later phase exempts under18s and permits vaccination/recovery/72hourtest certificates. Earlier exact exception list preserved in frozen legal-reference record.</x:v>
      </x:c>
      <x:c r="F616" s="4" t="str">
        <x:v>R10-EU-001-D1 — Formal policy
Selected Swedish negative-test-only 48-hour admission phase for non-exempt EEA/Nordic arrivals, including Oresund
Start: 2021-12-28.
Policy endpoint: 2022-01-21.
Formal policy: 24 calendar-day difference; operational continuity not established</x:v>
      </x:c>
      <x:c r="G616" s="4" t="str">
        <x:v>Health and biosecurity / Human disease control
Attributed official justification
Applies to: Recorded episode; exact overlap not separately established
The recorded rationale and claim assessment support the selected subcategories. All applicable broad categories are retained together; no primary rationale is imposed.</x:v>
      </x:c>
      <x:c r="H616" s="4" t="str">
        <x:v>R10-EU-001-D1: Selected conditional-admission phase, not a total closure or duration through February 9 repeal. Citizens/residents/transport and other exemptions remained. Original early PDF was archived by the prior researcher but repeat access failed; final consolidated law is not applied retroactively.</x:v>
      </x:c>
      <x:c r="I616" s="4" t="str">
        <x:v>Retained baseline assessment. Retained with recorded qualifications</x:v>
      </x:c>
      <x:c r="J616" s="18" t="d">
        <x:v>2026-10-23T00:00:00.000Z</x:v>
      </x:c>
      <x:c r="K616" s="21" t="str">
        <x:f>IFERROR(HYPERLINK("https://www.svenskforfattningssamling.se/sites/default/files/sfs/2021-12/SFS2021-1311.pdf","Swedish Code of Statutes"),"Swedish Code of Statutes")</x:f>
        <x:v>Swedish Code of Statutes</x:v>
      </x:c>
      <x:c r="L616" s="21" t="str">
        <x:f>IFERROR(HYPERLINK("https://rkrattsbaser.gov.se/sfst?bet=2020%3A1258","Swedish Government legal database"),"Swedish Government legal database")</x:f>
        <x:v>Swedish Government legal database</x:v>
      </x:c>
      <x:c r="M616" s="21" t="str">
        <x:f>IFERROR(HYPERLINK("https://www.government.se/articles/2022/01/several-new-measures-against-covid-19-introduced-in-january-2022/","Swedish Government"),"Swedish Government")</x:f>
        <x:v>Swedish Government</x:v>
      </x:c>
      <x:c r="N616" s="4" t="str">
        <x:v>https://www.svenskforfattningssamling.se/sites/default/files/sfs/2021-12/SFS2021-1311.pdf
https://rkrattsbaser.gov.se/sfst?bet=2020%3A1258
https://www.government.se/articles/2022/01/several-new-measures-against-covid-19-introduced-in-january-2022/
https://www.newsoresund.se/koer-vid-inresa-till-sverige-trots-att-97-procent-av-passagerarna-over-oresundsbron-har-korrekta-handlingar/
https://www.sverigesradio.se/artikel/600-har-fatt-vanda-vid-gransen-manga-som-inte-vet-vad-som-kravs
https://www.swedenabroad.se/en/embassies/ukraine-kyiv/about-us/camera-surveillance-at-the-embassy/news/new-entry-rules-to-sweden-as-of-28-december-2021/
https://www.swedenabroad.se/en/embassies/albania-tirana/current/news/amendments-to-the-entry-ban-for-people-who-travel-to-sweden/</x:v>
      </x:c>
      <x:c r="O616" s="4" t="str">
        <x:v>Source 1: full PDF by blinded worker; root and peer direct retries failed
Source 2: full page
Source 3: full page</x:v>
      </x:c>
      <x:c r="P616" s="20" t="n">
        <x:v>1</x:v>
      </x:c>
      <x:c r="Q616" s="4" t="str">
        <x:v>Europe</x:v>
      </x:c>
      <x:c r="R616" s="4" t="str">
        <x:v>Included</x:v>
      </x:c>
    </x:row>
    <x:row r="617" ht="78" hidden="0" customHeight="1">
      <x:c r="A617" s="16" t="str">
        <x:v>R11-AS-001</x:v>
      </x:c>
      <x:c r="B617" s="4" t="str">
        <x:v>Poipet fish-vendor blockade of international Friendship Bridge</x:v>
      </x:c>
      <x:c r="C617" s="4" t="str">
        <x:v>Cambodia; Thailand</x:v>
      </x:c>
      <x:c r="D617" s="4" t="str">
        <x:v>Poipet–Klong Luek (Aranyaprathet), Friendship Bridge
Friendship Bridge, Cambodian side of Poipet–Klong Luek/Aranyaprathet international land crossing</x:v>
      </x:c>
      <x:c r="E617" s="4" t="str">
        <x:v>Vehicle passage, particularly Cambodia-bound cargo; pedestrian extent unestablished.
Direction: Vehicle movement across bridge; documented queue on Thai approach.
Exceptions: Not established.</x:v>
      </x:c>
      <x:c r="F617" s="4" t="str">
        <x:v>R11-AS-001-D1 — Observed operation
Poipet fish-vendor episode on 23 February 2017.
Start: 2017-02-23.
Observed scoped reopening: 2017-02-23.
Same-day episode; no whole-day duration inferred</x:v>
      </x:c>
      <x:c r="G617"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617" s="4" t="str">
        <x:v>R11-AS-001-D1: Shown as an episode occurring on this date, not a whole-day closure. CambodiaDaily and Matichon agree on day and vehicle blockade but differ on end time12:15 versus12:30, charge units/amounts and negotiation outcome. English/Khmer CambodiaDaily editions are one lineage; Thai report offers distinct named-side accounts, not assumed fully independent observation. No exact-hour duration. CambodiaDaily reports an agreement to reduce the charge before dispersal; Matichon reports Thai officials withheld negotiations until passage resumed. Neither resolution account is treated as settled.</x:v>
      </x:c>
      <x:c r="I617" s="4" t="str">
        <x:v>Retained baseline assessment. Retained with recorded qualifications</x:v>
      </x:c>
      <x:c r="J617" s="18" t="d">
        <x:v>2026-10-23T00:00:00.000Z</x:v>
      </x:c>
      <x:c r="K617" s="21" t="str">
        <x:f>IFERROR(HYPERLINK("https://english.cambodiadaily.com/2017/02/24/wall-of-fresh-fish-blocks-poipet-border/","The Cambodia Daily"),"The Cambodia Daily")</x:f>
        <x:v>The Cambodia Daily</x:v>
      </x:c>
      <x:c r="L617" s="21" t="str">
        <x:f>IFERROR(HYPERLINK("https://www.matichon.co.th/region/news_473852","Matichon"),"Matichon")</x:f>
        <x:v>Matichon</x:v>
      </x:c>
      <x:c r="M617" s="21" t="str">
        <x:f>IFERROR(HYPERLINK("https://www.cambodiadaily.com/2017/02/24/09/37/36650/","The Cambodia Daily Khmer"),"The Cambodia Daily Khmer")</x:f>
        <x:v>The Cambodia Daily Khmer</x:v>
      </x:c>
      <x:c r="N617" s="4" t="str">
        <x:v>https://english.cambodiadaily.com/2017/02/24/wall-of-fresh-fish-blocks-poipet-border/
https://www.matichon.co.th/region/news_473852
https://www.cambodiadaily.com/2017/02/24/09/37/36650/</x:v>
      </x:c>
      <x:c r="O617" s="4" t="str">
        <x:v>Source 1: full relevant article text
Source 2: full relevant article text
Source 3: full relevant article text</x:v>
      </x:c>
      <x:c r="P617" s="20" t="n">
        <x:v>1</x:v>
      </x:c>
      <x:c r="Q617" s="4" t="str">
        <x:v>East and Southeast Asia and Oceania</x:v>
      </x:c>
      <x:c r="R617" s="4" t="str">
        <x:v>Included</x:v>
      </x:c>
    </x:row>
    <x:row r="618" ht="78" hidden="0" customHeight="1">
      <x:c r="A618" s="16" t="str">
        <x:v>R11-AS-002</x:v>
      </x:c>
      <x:c r="B618" s="4" t="str">
        <x:v>Poipet vegetable-vendor blockade over private shipping documentation fees</x:v>
      </x:c>
      <x:c r="C618" s="4" t="str">
        <x:v>Cambodia; Thailand</x:v>
      </x:c>
      <x:c r="D618" s="4" t="str">
        <x:v>Poipet–Klong Luek (Aranyaprathet), Friendship Bridge
Friendship Bridge, Cambodian side of Poipet–Klong Luek/Aranyaprathet international land crossing</x:v>
      </x:c>
      <x:c r="E618" s="4" t="str">
        <x:v>Vehicle passage, particularly Cambodia-bound cargo; pedestrian extent unestablished.
Direction: Vehicle movement across bridge; documented queue on Thai approach.
Exceptions: Not established.</x:v>
      </x:c>
      <x:c r="F618" s="4" t="str">
        <x:v>R11-AS-002-D1 — Observed operation
Poipet vegetable-vendor episode on 29 March 2017, to dispersal; subsequent traffic speed is not measured.
Start: 2017-03-29.
Observed scoped reopening: 2017-03-29.
Same-day episode; no whole-day duration inferred</x:v>
      </x:c>
      <x:c r="G618"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618" s="4" t="str">
        <x:v>R11-AS-002-D1: Shown as an episode occurring on this date, not a whole-day closure. Single opened reporting lineage. Alleged customs tax rise was denied by named customs chief; report attributes increased charges to private shipping employees. Do not encode a government tax increase or state border closure. Dissolution reported10am; uniform traffic normalization not observed.</x:v>
      </x:c>
      <x:c r="I618" s="4" t="str">
        <x:v>Retained baseline assessment. Retained with recorded qualifications</x:v>
      </x:c>
      <x:c r="J618" s="18" t="d">
        <x:v>2026-10-23T00:00:00.000Z</x:v>
      </x:c>
      <x:c r="K618" s="21" t="str">
        <x:f>IFERROR(HYPERLINK("https://www.nationthailand.com/in-focus/30310668","The Nation"),"The Nation")</x:f>
        <x:v>The Nation</x:v>
      </x:c>
      <x:c r="L618" s="21"/>
      <x:c r="M618" s="21"/>
      <x:c r="N618" s="4" t="str">
        <x:v>https://www.nationthailand.com/in-focus/30310668</x:v>
      </x:c>
      <x:c r="O618" s="4" t="str">
        <x:v>Source 1: full relevant article text</x:v>
      </x:c>
      <x:c r="P618" s="20" t="n">
        <x:v>1</x:v>
      </x:c>
      <x:c r="Q618" s="4" t="str">
        <x:v>East and Southeast Asia and Oceania</x:v>
      </x:c>
      <x:c r="R618" s="4" t="str">
        <x:v>Included</x:v>
      </x:c>
    </x:row>
    <x:row r="619" ht="114" hidden="0" customHeight="1">
      <x:c r="A619" s="16" t="str">
        <x:v>R11-AM-001</x:v>
      </x:c>
      <x:c r="B619" s="4" t="str">
        <x:v>La Hachadura–Pedro de Alvarado truckers blockade, May2019</x:v>
      </x:c>
      <x:c r="C619" s="4" t="str">
        <x:v>El Salvador; Guatemala</x:v>
      </x:c>
      <x:c r="D619" s="4" t="str">
        <x:v>La Hachadura–Pedro de Alvarado / Puente Arce</x:v>
      </x:c>
      <x:c r="E619" s="4" t="str">
        <x:v>Cross-border freight; pedestrian and all-lane coverage unestablished.
Direction: Guatemala-to-El Salvador freight expressly affected.
Exceptions: Unestablished.</x:v>
      </x:c>
      <x:c r="F619" s="4" t="str">
        <x:v>R11-AM-001-FU1 — Observed operation
La Hachadura–Pedro de Alvarado freight crossing
Start: 2019-05-07.
Last confirmed: 2019-05-07. Reopening is not established.
dated evidence; numeric duration withheld; see qualification</x:v>
      </x:c>
      <x:c r="G619"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619" s="4" t="str">
        <x:v>R11-AM-001-FU1: Started during May 7 night. Last confirmed date here is the onset; May 8 reports conflict about clearance and continuing obstruction.
duration: Add May 7 night obstruction onset only; no full closure-day assumption. May 8 partial passage and conflicting posts do not supply an unqualified endpoint.
continuity: The conflicting May 8 accounts remain unreconciled. Later reports of improved customs flow include different crossings and cannot be assigned as an exact La Hachadura blockade endpoint.</x:v>
      </x:c>
      <x:c r="I619" s="4" t="str">
        <x:v>Targeted source review (REC50-R09); completed with unresolved evidence; evidence limits retained.</x:v>
      </x:c>
      <x:c r="J619" s="18" t="d">
        <x:v>2026-10-25T00:00:00.000Z</x:v>
      </x:c>
      <x:c r="K619" s="21" t="str">
        <x:f>IFERROR(HYPERLINK("https://diario.elmundo.sv/economia/reportan-250000-en-perdidas-por-caida-de-sistema-en-aduanas","Diario El Mundo"),"Diario El Mundo")</x:f>
        <x:v>Diario El Mundo</x:v>
      </x:c>
      <x:c r="L619" s="21" t="str">
        <x:f>IFERROR(HYPERLINK("https://www.laprensagrafica.com/amp/elsalvador/Se-normaliza-el-paso-de-camiones-en-la-frontera-20190509-0558.html","La Prensa Grafica"),"La Prensa Grafica")</x:f>
        <x:v>La Prensa Grafica</x:v>
      </x:c>
      <x:c r="M619" s="21" t="str">
        <x:f>IFERROR(HYPERLINK("https://www.laprensagrafica.com/elsalvador/Se-normaliza-el-paso-de-camiones-en-la-frontera-20190509-0558.html","La Prensa Grafica"),"La Prensa Grafica")</x:f>
        <x:v>La Prensa Grafica</x:v>
      </x:c>
      <x:c r="N619" s="4" t="str">
        <x:v>https://diario.elmundo.sv/economia/reportan-250000-en-perdidas-por-caida-de-sistema-en-aduanas
https://www.laprensagrafica.com/amp/elsalvador/Se-normaliza-el-paso-de-camiones-en-la-frontera-20190509-0558.html
https://www.laprensagrafica.com/elsalvador/Se-normaliza-el-paso-de-camiones-en-la-frontera-20190509-0558.html
https://www.eleconomista.net/actualidad/Habilitan-frontera-entre-Guatemala-y-El-Salvador-para-transporte-sin-carga-20190528-0014.html
https://diario.elmundo.sv/economia/fisco-no-recibio-200-millones-por-fallas-en-la-duca</x:v>
      </x:c>
      <x:c r="O619" s="4" t="str">
        <x:v>Source 1: full; full text
Source 2: indexed excerpt; failed; indexed extract
Source 3: failed; unavailable</x:v>
      </x:c>
      <x:c r="P619" s="20" t="n">
        <x:v>1</x:v>
      </x:c>
      <x:c r="Q619" s="4" t="str">
        <x:v>Americas</x:v>
      </x:c>
      <x:c r="R619" s="4" t="str">
        <x:v>Included</x:v>
      </x:c>
    </x:row>
    <x:row r="620" ht="78" hidden="0" customHeight="1">
      <x:c r="A620" s="16" t="str">
        <x:v>R11-AM-002</x:v>
      </x:c>
      <x:c r="B620" s="4" t="str">
        <x:v>El Jobo / Las Chinamas–Valle Nuevo truckers blockade, May2019</x:v>
      </x:c>
      <x:c r="C620" s="4" t="str">
        <x:v>El Salvador; Guatemala</x:v>
      </x:c>
      <x:c r="D620" s="4" t="str">
        <x:v>Las Chinamas–Valle Nuevo / El Jobo bridge</x:v>
      </x:c>
      <x:c r="E620" s="4" t="str">
        <x:v>Cross-border freight; pedestrian and all-lane coverage unestablished.
Direction: Guatemala-to-El Salvador freight expressly affected.
Exceptions: Unestablished.</x:v>
      </x:c>
      <x:c r="F620" s="4" t="str">
        <x:v>R11-AM-002-D1 — Observed operation
Initial Guatemala-to-El Salvador freight blockage at El Jobo/Las Chinamas–Valle Nuevo, to first demonstrated renewed truck access
Start: 2019-05-08.
Observed scoped reopening: 2019-05-08 to 2019-05-09.
0–1 calendar-day difference; scoped endpoint only</x:v>
      </x:c>
      <x:c r="G620"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620" s="4" t="str">
        <x:v>R11-AM-002-D1: Zero-to-one calendar-day boundary range, not precise clearing time or continuous final normalisation. The later truck observation establishes access by May 9, not that blockage lasted until then. Other lanes/pedestrians and La Hachadura's separate episode are excluded.</x:v>
      </x:c>
      <x:c r="I620" s="4" t="str">
        <x:v>Full-record source audit (REC50-R20); accepted corrections; evidence limits retained.</x:v>
      </x:c>
      <x:c r="J620" s="18" t="d">
        <x:v>2026-10-25T00:00:00.000Z</x:v>
      </x:c>
      <x:c r="K620" s="21" t="str">
        <x:f>IFERROR(HYPERLINK("https://www.laprensagrafica.com/amp/elsalvador/Se-normaliza-el-paso-de-camiones-en-la-frontera-20190509-0558.html","La Prensa Gráfica"),"La Prensa Gráfica")</x:f>
        <x:v>La Prensa Gráfica</x:v>
      </x:c>
      <x:c r="L620" s="21"/>
      <x:c r="M620" s="21"/>
      <x:c r="N620" s="4" t="str">
        <x:v>https://www.laprensagrafica.com/amp/elsalvador/Se-normaliza-el-paso-de-camiones-en-la-frontera-20190509-0558.html</x:v>
      </x:c>
      <x:c r="O620" s="4" t="str">
        <x:v>Source 1: indexed extract</x:v>
      </x:c>
      <x:c r="P620" s="20" t="n">
        <x:v>1</x:v>
      </x:c>
      <x:c r="Q620" s="4" t="str">
        <x:v>Americas</x:v>
      </x:c>
      <x:c r="R620" s="4" t="str">
        <x:v>Included</x:v>
      </x:c>
    </x:row>
    <x:row r="621" ht="78" hidden="0" customHeight="1">
      <x:c r="A621" s="16" t="str">
        <x:v>R12-AS-001</x:v>
      </x:c>
      <x:c r="B621" s="4" t="str">
        <x:v>Ban Khao Din Cambodian trader blockade of international bridge</x:v>
      </x:c>
      <x:c r="C621" s="4" t="str">
        <x:v>Cambodia; Thailand</x:v>
      </x:c>
      <x:c r="D621" s="4" t="str">
        <x:v>Ban Khao Din, Khlong Hat district, Sa Kaeo / Sampov Loun, Battambang
Cambodian side of friendship bridge at Ban Khao Din–Sampov Loun crossing</x:v>
      </x:c>
      <x:c r="E621" s="4" t="str">
        <x:v>Trader passage across bridge; exact vehicle and passenger categories not established.
Direction: Cambodian-side bridge obstruction affecting traders heading to Thai market.
Exceptions: Not established; Thai side expressly denied closing its own checkpoint.</x:v>
      </x:c>
      <x:c r="F621" s="4" t="str">
        <x:v>R12-AS-001-D1 — Observed operation
Ban Khao Din episode on 15 October 2017.
Start: 2017-10-15.
Observed scoped reopening: 2017-10-15.
Same-day episode; no whole-day duration inferred</x:v>
      </x:c>
      <x:c r="G621"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621" s="4" t="str">
        <x:v>R12-AS-001-D1: Shown as an episode occurring on this date, not a whole-day closure. Reports agree on date and10:00normal trader crossing, differ on06:00versus06:30onset. Similar named accounts form a shared lineage. No exact-hour duration or universal Thai gate closure inferred. Requests forwarded does not establish permanent import-rule change.</x:v>
      </x:c>
      <x:c r="I621" s="4" t="str">
        <x:v>Retained baseline assessment. Retained with recorded qualifications</x:v>
      </x:c>
      <x:c r="J621" s="18" t="d">
        <x:v>2026-10-23T00:00:00.000Z</x:v>
      </x:c>
      <x:c r="K621" s="21" t="str">
        <x:f>IFERROR(HYPERLINK("https://www.matichon.co.th/region/news_696820","Matichon"),"Matichon")</x:f>
        <x:v>Matichon</x:v>
      </x:c>
      <x:c r="L621" s="21" t="str">
        <x:f>IFERROR(HYPERLINK("https://www.thairath.co.th/news/local/central/1099302","Thairath"),"Thairath")</x:f>
        <x:v>Thairath</x:v>
      </x:c>
      <x:c r="M621" s="21"/>
      <x:c r="N621" s="4" t="str">
        <x:v>https://www.matichon.co.th/region/news_696820
https://www.thairath.co.th/news/local/central/1099302</x:v>
      </x:c>
      <x:c r="O621" s="4" t="str">
        <x:v>Source 1: full relevant article text
Source 2: full relevant article text</x:v>
      </x:c>
      <x:c r="P621" s="20" t="n">
        <x:v>1</x:v>
      </x:c>
      <x:c r="Q621" s="4" t="str">
        <x:v>East and Southeast Asia and Oceania</x:v>
      </x:c>
      <x:c r="R621" s="4" t="str">
        <x:v>Included</x:v>
      </x:c>
    </x:row>
    <x:row r="622" ht="258" hidden="0" customHeight="1">
      <x:c r="A622" s="16" t="str">
        <x:v>R12-AS-002</x:v>
      </x:c>
      <x:c r="B622" s="4" t="str">
        <x:v>Cambodia closes informal Thailand frontier routes during migrant-worker crackdown</x:v>
      </x:c>
      <x:c r="C622" s="4" t="str">
        <x:v>Cambodia; Thailand</x:v>
      </x:c>
      <x:c r="D622" s="4" t="str">
        <x:v>Multiple informal routes; RFA names Tumnup Dach with unresolved locality description
Informal land crossings on Cambodia–Thailand frontier; reported in Banteay Meanchey and Battambang, not every official international gate</x:v>
      </x:c>
      <x:c r="E622" s="4" t="str">
        <x:v>Informal-route users including daily workers and market traders; some outbound local trips explicitly barred.
Direction: Documented outbound restrictions from Cambodia; full direction-by-route implementation not known.
Exceptions: Returnees permitted; July4 instructions supported lawful worker passage. No universal official-gate prohibition inferred.</x:v>
      </x:c>
      <x:c r="F622" s="4" t="str">
        <x:v>R12-AS-002-REV1 — Formal policy
Reported Banteay Meanchey restriction at 43 unofficial crossings
Start: 2017-07-01.
Last confirmed: 2017-07-03. Reopening is not established.
Formal policy: confirmed through 2017-07-03; at least 2 calendar-day difference; reopening unknown</x:v>
      </x:c>
      <x:c r="G622" s="4" t="str">
        <x:v>Migration / Exit control
Reported reason
Applies to: Cambodian informal-route restriction, July 2017
Named Cambodian officials expressly say the restriction prevents workers departing irregularly for Thailand; migrant return to Cambodia remains permitted.
Security / Smuggling and illicit trafficking
Reported reason
Applies to: July 2017 informal-route closure; precise overlap by route unresolved
VOA's named border official also cites preventing untaxed goods crossing; this is an attributed purpose, not a finding of individual criminal conduct.
Trade and protectionism / Customs and transport rules
Reported reason
Applies to: July 2017 informal-route closure; precise overlap by route unresolved
VOA's official account explicitly links restriction to tax-evading imports and loss of state revenue.</x:v>
      </x:c>
      <x:c r="H622" s="4" t="str">
        <x:v>R12-AS-002-REV1: Indexed official-attributed account. Route names unavailable; RFA indicates implementation variation. Does not include international gates, returnees or Battambang. July 3 is confirmation, not lifting.</x:v>
      </x:c>
      <x:c r="I622" s="4" t="str">
        <x:v>Targeted source review (REC50-R24); retained with recorded qualifications; evidence limits retained.</x:v>
      </x:c>
      <x:c r="J622" s="18" t="d">
        <x:v>2026-10-25T00:00:00.000Z</x:v>
      </x:c>
      <x:c r="K622" s="21" t="str">
        <x:f>IFERROR(HYPERLINK("https://m.phnompenhpost.com/national/unofficial-crossings-thailand-closed","Phnom Penh Post"),"Phnom Penh Post")</x:f>
        <x:v>Phnom Penh Post</x:v>
      </x:c>
      <x:c r="L622" s="21" t="str">
        <x:f>IFERROR(HYPERLINK("https://www.rfa.org/english/news/cambodia/border-07032017131400.html","Radio Free Asia"),"Radio Free Asia")</x:f>
        <x:v>Radio Free Asia</x:v>
      </x:c>
      <x:c r="M622" s="21" t="str">
        <x:f>IFERROR(HYPERLINK("https://khmer.voanews.com/a/after-Thai-crackdown-interior-ministry-calls-for-assistance-of-repatriated-migrant-workers/3929813.html","VOA Khmer"),"VOA Khmer")</x:f>
        <x:v>VOA Khmer</x:v>
      </x:c>
      <x:c r="N622" s="4" t="str">
        <x:v>https://m.phnompenhpost.com/national/unofficial-crossings-thailand-closed
https://www.rfa.org/english/news/cambodia/border-07032017131400.html
https://khmer.voanews.com/a/after-Thai-crackdown-interior-ministry-calls-for-assistance-of-repatriated-migrant-workers/3929813.html
https://english.cambodiadaily.com/2017/07/12/migrant-workers-overwhelm-passport-center/
https://khmer.voanews.com/a/cambodia-announced-campaign-to-close-all-illegal-border-crosses-after-thailand-implement--new-regulations-on-illegal-labors/3927900.html
https://sahrika20.rssing.com/chan-51953285/all_p34.html</x:v>
      </x:c>
      <x:c r="O622" s="4" t="str">
        <x:v>Source 1: indexed excerpt; failed
Source 2: indexed excerpt; full; full text
Source 3: full</x:v>
      </x:c>
      <x:c r="P622" s="20" t="n">
        <x:v>1</x:v>
      </x:c>
      <x:c r="Q622" s="4" t="str">
        <x:v>East and Southeast Asia and Oceania</x:v>
      </x:c>
      <x:c r="R622" s="4" t="str">
        <x:v>Included</x:v>
      </x:c>
    </x:row>
    <x:row r="623" ht="162" hidden="0" customHeight="1">
      <x:c r="A623" s="16" t="str">
        <x:v>R12-AM-001</x:v>
      </x:c>
      <x:c r="B623" s="4" t="str">
        <x:v>Venezuela election closure at Santa Elena–Pacaraima, May 2018</x:v>
      </x:c>
      <x:c r="C623" s="4" t="str">
        <x:v>Venezuela; Brazil</x:v>
      </x:c>
      <x:c r="D623" s="4" t="str">
        <x:v>Santa Elena de Uairén–Pacaraima
Santa Elena–Pacaraima crossing</x:v>
      </x:c>
      <x:c r="E623" s="4" t="str">
        <x:v>Vehicles and pedestrians at the official Santa Elena–Pacaraima crossing; informal routes remained usable.
Direction: Official crossing movement between Venezuela and Brazil; full nationwide or all-crossing scope not established.
Exceptions: Informal crossing routes reportedly continued; lawful exemptions not established.</x:v>
      </x:c>
      <x:c r="F623" s="4" t="str">
        <x:v>R12-AM-001-D1 — Observed operation
Ordinary vehicle passage at Santa Elena–Pacaraima during Venezuela's election closure
Start: 2018-05-18 to 2018-05-19.
Observed scoped reopening: 2018-05-21.
2–3 calendar-day difference; scoped endpoint only</x:v>
      </x:c>
      <x:c r="G623" s="4" t="str">
        <x:v>Electoral politics / Election administration and security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623" s="4" t="str">
        <x:v>R12-AM-001-D1: Vehicle scope avoids the later May 19 pedestrian phase. No exact 06:00 observed first passage, all-frontier closure or hermetic border is claimed; informal routes continued. G1-derived republication is one lineage and the rejected Brazilian closure request is not contrary to Venezuelan-side action.</x:v>
      </x:c>
      <x:c r="I623" s="4" t="str">
        <x:v>Retained baseline assessment. Retained with recorded qualifications</x:v>
      </x:c>
      <x:c r="J623" s="18" t="d">
        <x:v>2026-10-23T00:00:00.000Z</x:v>
      </x:c>
      <x:c r="K623" s="21" t="str">
        <x:f>IFERROR(HYPERLINK("https://exame.com/mundo/venezuela-fecha-fronteira-com-o-brasil-na-vespera-da-eleicao/","Exame"),"Exame")</x:f>
        <x:v>Exame</x:v>
      </x:c>
      <x:c r="L623" s="21" t="str">
        <x:f>IFERROR(HYPERLINK("https://www.folhabv.com.br/cotidiano/fronteira-sera-reaberta-na-segunda/","Folha BV"),"Folha BV")</x:f>
        <x:v>Folha BV</x:v>
      </x:c>
      <x:c r="M623" s="21" t="str">
        <x:f>IFERROR(HYPERLINK("https://portalamazonia.com/internacional/venezuela-reabre-fronteira-com-o-brasil-em-roraima/","Portal Amazônia"),"Portal Amazônia")</x:f>
        <x:v>Portal Amazônia</x:v>
      </x:c>
      <x:c r="N623" s="4" t="str">
        <x:v>https://exame.com/mundo/venezuela-fecha-fronteira-com-o-brasil-na-vespera-da-eleicao/
https://www.folhabv.com.br/cotidiano/fronteira-sera-reaberta-na-segunda/
https://portalamazonia.com/internacional/venezuela-reabre-fronteira-com-o-brasil-em-roraima/
https://exame.com/brasil/agu-diz-que-governo-nao-vai-fechar-fronteira-com-a-venezuela/
https://www.alcinopolisnews.com.br/com-fronteira-fechada-venezuelanos-usam-rotas-clandestinas-para-comprar-mantimentos-no-brasil/
https://noticias.uol.com.br/ultimas-noticias/afp/2016/12/20/venezuela-reabre-fronteira-com-brasil.htm
https://amp.dw.com/en/venezuela-maduro-closes-border-with-brazil-as-self-imposed-blockade-tightens/a-47623234
https://data.unhcr.org/fr/documents/download/70509</x:v>
      </x:c>
      <x:c r="O623" s="4" t="str">
        <x:v>Source 1: full relevant article body opened
Source 2: full relevant article body opened
Source 3: full relevant article body opened</x:v>
      </x:c>
      <x:c r="P623" s="20" t="n">
        <x:v>1</x:v>
      </x:c>
      <x:c r="Q623" s="4" t="str">
        <x:v>Americas</x:v>
      </x:c>
      <x:c r="R623" s="4" t="str">
        <x:v>Included</x:v>
      </x:c>
    </x:row>
    <x:row r="624" ht="258" hidden="0" customHeight="1">
      <x:c r="A624" s="16" t="str">
        <x:v>R12-BL-001</x:v>
      </x:c>
      <x:c r="B624" s="4" t="str">
        <x:v>Zambia prohibits South African livestock and meat imports through Kazungula</x:v>
      </x:c>
      <x:c r="C624" s="4" t="str">
        <x:v>Botswana; Zambia</x:v>
      </x:c>
      <x:c r="D624" s="4" t="str">
        <x:v>Kazungula international river-ferry frontier; source also names Livingstone and Chirundu
Zambian admission prohibition on South African-origin livestock and meat, with Kazungula checkpoint explicitly named; one national policy also reported at other Zambian checkpoints</x:v>
      </x:c>
      <x:c r="E624" s="4" t="str">
        <x:v>South African-origin livestock and meat products; named Kazungula enforcement concerns transit via Botswana, not a ban on Botswana-origin cargo.
Direction: Botswana to Zambia, affecting South African-origin livestock and meat products in transit
Exceptions: Not established.</x:v>
      </x:c>
      <x:c r="F624" s="4" t="str">
        <x:v>R12-BL-001-FU1 — Observed operation
Kazungula checkpoint enforcing Zambian prohibition of South African livestock and meat products
Start: unknown.
Last confirmed: 2019-01-22. Reopening is not established.
dated evidence; numeric duration withheld; see qualification</x:v>
      </x:c>
      <x:c r="G624" s="4" t="str">
        <x:v>Health and biosecurity / Animal and plant disease control
Reported reason
Applies to: Recorded episode; exact overlap not separately established
Animal disease control now fits the broadened Health and biosecurity heading. No human-health risk or protectionist purpose is inferred.</x:v>
      </x:c>
      <x:c r="H624" s="4" t="str">
        <x:v>R12-BL-001-FU1: Dated implementation confirmation, not original onset. National January ban and later policies are not precise Kazungula start/end; cargo-category restriction only, not general border closure.
duration: Fresh full local and USDA sources support a January 22 Kazungula enforcement observation. Exact start/end remain unknown; reject 2018 listeria and May 2019 general livestock-policy lifting as automatic endpoints.
Current onset finding: The January22 veterinary interview confirms enforcement then but gives no first Kazungula enforcement date.</x:v>
      </x:c>
      <x:c r="I624" s="4" t="str">
        <x:v>Targeted source review (REC50-R46); accepted qualification; evidence limits retained.</x:v>
      </x:c>
      <x:c r="J624" s="18" t="d">
        <x:v>2026-10-25T00:00:00.000Z</x:v>
      </x:c>
      <x:c r="K624" s="21" t="str">
        <x:f>IFERROR(HYPERLINK("https://www.lusakatimes.com/2019/01/22/zambia-bans-the-importation-of-meat-products-from-south-africa/","Lusaka Times / National Agricultural Information Services"),"Lusaka Times / National Agricultural Information Services")</x:f>
        <x:v>Lusaka Times / National Agricultural Information Services</x:v>
      </x:c>
      <x:c r="L624" s="21" t="str">
        <x:f>IFERROR(HYPERLINK("https://www.gov.za/news/media-statements/agriculture-forestry-and-fisheries-releases-joint-statement-foot-and-mouth","South African Department of Agriculture, Forestry and Fisheries"),"South African Department of Agriculture, Forestry and Fisheries")</x:f>
        <x:v>South African Department of Agriculture, Forestry and Fisheries</x:v>
      </x:c>
      <x:c r="M624" s="21" t="str">
        <x:f>IFERROR(HYPERLINK("https://www.harvestfm.co.ls/article?h=Countries-neighbouring-South-Africa-ban-the-importation-of-red-meat-because-of-foodandmouth-diseas&amp;id=10754","Harvest FM"),"Harvest FM")</x:f>
        <x:v>Harvest FM</x:v>
      </x:c>
      <x:c r="N624" s="4" t="str">
        <x:v>https://www.lusakatimes.com/2019/01/22/zambia-bans-the-importation-of-meat-products-from-south-africa/
https://www.gov.za/news/media-statements/agriculture-forestry-and-fisheries-releases-joint-statement-foot-and-mouth
https://www.harvestfm.co.ls/article?h=Countries-neighbouring-South-Africa-ban-the-importation-of-red-meat-because-of-foodandmouth-diseas&amp;id=10754
https://www.gov.za/news/media-statements/agriculture-forestry-and-fisheries-gives-update-foot-and-mouth-disease-28-may
https://zambianbusinesstimes.com/government-u-turns-again-lifts-ban-on-import-of-livestock/
https://www.newsghana.com.gh/jan-13-major-zambia-media-outlets/
https://www.zambianews.net/news/279225206/zambia-partially-lifts-suspension-on-livestock-imports-from-south-africa
https://www.news24.com/sas-neighbours-slap-import-bans-over-foot-and-mouth-disease-20190114
https://apps.fas.usda.gov/newgainapi/api/report/downloadreportbyfilename?filename=FMD+Outbreak+Leads+to+Bans+on+Imports+of+Red+Meat+from+South+Africa_Pretoria_South+Africa+-+Republic+of_3-12-2019.pdf
https://meetingofmindsuk.uk/realreads/zambian-cross-border-traders-affected-by-covid-19-restrictions/
https://knowledgehub.southernafricatrust.org/site/assets/files/2095/the_impact_of_the_covid-19_pandemic_on_women_informal_cross_border_traders_in_zambia.pdf</x:v>
      </x:c>
      <x:c r="O624" s="4" t="str">
        <x:v>Source 1: full; full text
Source 2: indexed excerpt; full
Source 3: indexed excerpt</x:v>
      </x:c>
      <x:c r="P624" s="20" t="n">
        <x:v>1</x:v>
      </x:c>
      <x:c r="Q624" s="4" t="str">
        <x:v>Southern and Central Africa</x:v>
      </x:c>
      <x:c r="R624" s="4" t="str">
        <x:v>Included</x:v>
      </x:c>
    </x:row>
    <x:row r="625" ht="174" hidden="0" customHeight="1">
      <x:c r="A625" s="16" t="str">
        <x:v>R13-ME-001</x:v>
      </x:c>
      <x:c r="B625" s="4" t="str">
        <x:v>King Fahd Causeway precautionary vehicle suspension, first April 7 2026 phase</x:v>
      </x:c>
      <x:c r="C625" s="4" t="str">
        <x:v>Bahrain; Saudi Arabia</x:v>
      </x:c>
      <x:c r="D625" s="4" t="str">
        <x:v>King Fahd Causeway / جسر الملك فهد
Vehicle movement across the international King Fahd Causeway road link</x:v>
      </x:c>
      <x:c r="E625" s="4" t="str">
        <x:v>Vehicles; passenger/freight exemptions and detailed categories not established.
Direction: Vehicle movement across the link; direction-specific implementation not separately verified.
Exceptions: Not established.</x:v>
      </x:c>
      <x:c r="F625" s="4" t="str">
        <x:v>R13-ME-001-D1 — Observed operation
King Fahd Causeway first phase on 7 April 2026; reports share an authority announcement lineage.
Start: 2026-04-07.
Observed scoped reopening: 2026-04-07.
Same-day episode; no whole-day duration inferred</x:v>
      </x:c>
      <x:c r="G625"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625" s="4" t="str">
        <x:v>R13-ME-001-D1: Shown as an episode occurring on this date, not a whole-day closure. Reported morning closure and same-day reopening. Morning versus afternoon reopening language differs between reports. All decisive operation claims ultimately rely on the causeway authority; no primary X post successfully opened. Later renewed suspension is a separate linked phase.</x:v>
      </x:c>
      <x:c r="I625" s="4" t="str">
        <x:v>Targeted source review (REC50-R39); accepted qualification; evidence limits retained.</x:v>
      </x:c>
      <x:c r="J625" s="18" t="d">
        <x:v>2026-10-25T00:00:00.000Z</x:v>
      </x:c>
      <x:c r="K625" s="21" t="str">
        <x:f>IFERROR(HYPERLINK("https://www.aa.com.tr/en/middle-east/saudi-arabia-suspends-traffic-on-king-fahd-causeway-to-bahrain/3895647","Anadolu Agency"),"Anadolu Agency")</x:f>
        <x:v>Anadolu Agency</x:v>
      </x:c>
      <x:c r="L625" s="21" t="str">
        <x:f>IFERROR(HYPERLINK("https://www.aa.com.tr/ar/الدول-العربية/استئناف-الحركة-على-جسر-الملك-فهد-بين-السعودية-والبحرين/3895717","Anadolu Agency"),"Anadolu Agency")</x:f>
        <x:v>Anadolu Agency</x:v>
      </x:c>
      <x:c r="M625" s="21" t="str">
        <x:f>IFERROR(HYPERLINK("https://whatsonsaudiarabia.com/2026/04/the-king-fahd-causeway-has-reopened/","What's On Saudi Arabia"),"What's On Saudi Arabia")</x:f>
        <x:v>What's On Saudi Arabia</x:v>
      </x:c>
      <x:c r="N625" s="4" t="str">
        <x:v>https://www.aa.com.tr/en/middle-east/saudi-arabia-suspends-traffic-on-king-fahd-causeway-to-bahrain/3895647
https://www.aa.com.tr/ar/الدول-العربية/استئناف-الحركة-على-جسر-الملك-فهد-بين-السعودية-والبحرين/3895717
https://whatsonsaudiarabia.com/2026/04/the-king-fahd-causeway-has-reopened/
https://gulfnews.com/world/gulf/saudi/bridge-connecting-saudi-arabia-bahrain-temporarily-closed-authorities-1.500498556
https://english.news.cn/20260408/9539b992fafb4ad48f9f7c60c62f704d/c.html
https://m.aa.com.tr/en/middle-east/saudi-arabia-suspends-traffic-on-king-fahd-causeway-to-bahrain/3895647
https://gulfnews.com/world/gulf/saudi/king-fahd-causeway-closed-amid-heightened-security-alerts-1.500499405
https://www.ndtvprofit.com/world/us-israel-iran-war-ceasefire-live-news-updates-trump-araghchi-talks-pakistan-middle-east-tensions-gulf-news-11325972?pfrom=home-business_trending</x:v>
      </x:c>
      <x:c r="O625" s="4" t="str">
        <x:v>Source 1: relevant article body opened and inspected
Source 2: full text
Source 3: relevant article body opened and inspected</x:v>
      </x:c>
      <x:c r="P625" s="20" t="n">
        <x:v>1</x:v>
      </x:c>
      <x:c r="Q625" s="4" t="str">
        <x:v>Middle East</x:v>
      </x:c>
      <x:c r="R625" s="4" t="str">
        <x:v>Included</x:v>
      </x:c>
    </x:row>
    <x:row r="626" ht="162" hidden="0" customHeight="1">
      <x:c r="A626" s="16" t="str">
        <x:v>R13-ME-002</x:v>
      </x:c>
      <x:c r="B626" s="4" t="str">
        <x:v>King Fahd Causeway renewed precautionary vehicle suspension, April 7–8 2026</x:v>
      </x:c>
      <x:c r="C626" s="4" t="str">
        <x:v>Bahrain; Saudi Arabia</x:v>
      </x:c>
      <x:c r="D626" s="4" t="str">
        <x:v>King Fahd Causeway / جسر الملك فهد
Vehicle movement across the international King Fahd Causeway road link</x:v>
      </x:c>
      <x:c r="E626" s="4" t="str">
        <x:v>Vehicles; passenger/freight exemptions and detailed categories not established.
Direction: Vehicle movement across the link; direction-specific implementation not separately verified.
Exceptions: Not established.</x:v>
      </x:c>
      <x:c r="F626" s="4" t="str">
        <x:v>R13-ME-002-D1 — Observed operation
Renewed precautionary vehicle suspension on King Fahd Causeway in the April 7–8 phase
Start: 2026-04-07.
Observed scoped reopening: 2026-04-08.
1 calendar-day difference; scoped endpoint only</x:v>
      </x:c>
      <x:c r="G626" s="4" t="str">
        <x:v>Security / Armed conflict and military confrontation
Reported reason
Applies to: Recorded episode; exact overlap not separately established
The recorded rationale and claim assessment support the selected subcategories. All applicable broad categories are retained together; no primary rationale is imposed.
Security / Public order and immediate safety
Reported reason
Applies to: Recorded episode; exact overlap not separately established
The recorded rationale and claim assessment support the selected subcategories. All applicable broad categories are retained together; no primary rationale is imposed.</x:v>
      </x:c>
      <x:c r="H626" s="4" t="str">
        <x:v>R13-ME-002-D1: Attributed authority/operational reporting, not independent observation of every direction. Exact hours and exemptions are unknown; April 8 wire publication is not onset. Direct authority post returned 403, and the liveblog entry has no established AP credit. Earlier phase is not merged. Overlap with the first phase on the calendar date April 7 does not mean continuous closure: the intervening reported resumption and explicit renewed suspension distinguish the two spells.</x:v>
      </x:c>
      <x:c r="I626" s="4" t="str">
        <x:v>Targeted source review (REC50-R39); accepted qualification; evidence limits retained.</x:v>
      </x:c>
      <x:c r="J626" s="18" t="d">
        <x:v>2026-10-25T00:00:00.000Z</x:v>
      </x:c>
      <x:c r="K626" s="21" t="str">
        <x:f>IFERROR(HYPERLINK("https://english.news.cn/20260408/9539b992fafb4ad48f9f7c60c62f704d/c.html","Xinhua"),"Xinhua")</x:f>
        <x:v>Xinhua</x:v>
      </x:c>
      <x:c r="L626" s="21" t="str">
        <x:f>IFERROR(HYPERLINK("https://www.shorouknews.com/news/view.aspx?cdate=07042026&amp;id=ce4cffdf-a7cb-4077-904d-e4a1866f0b0d","Shorouk"),"Shorouk")</x:f>
        <x:v>Shorouk</x:v>
      </x:c>
      <x:c r="M626" s="21" t="str">
        <x:f>IFERROR(HYPERLINK("https://www.ndtvprofit.com/world/us-israel-iran-war-ceasefire-live-news-updates-trump-araghchi-talks-pakistan-middle-east-tensions-gulf-news-11325972?pfrom=home-business_trending","NDTV Profit"),"NDTV Profit")</x:f>
        <x:v>NDTV Profit</x:v>
      </x:c>
      <x:c r="N626" s="4" t="str">
        <x:v>https://english.news.cn/20260408/9539b992fafb4ad48f9f7c60c62f704d/c.html
https://www.shorouknews.com/news/view.aspx?cdate=07042026&amp;id=ce4cffdf-a7cb-4077-904d-e4a1866f0b0d
https://www.ndtvprofit.com/world/us-israel-iran-war-ceasefire-live-news-updates-trump-araghchi-talks-pakistan-middle-east-tensions-gulf-news-11325972?pfrom=home-business_trending
https://www.aa.com.tr/ar/الدول-العربية/استئناف-الحركة-على-جسر-الملك-فهد-بين-السعودية-والبحرين/3895717
https://m.aa.com.tr/en/middle-east/saudi-arabia-suspends-traffic-on-king-fahd-causeway-to-bahrain/3895647
https://gulfnews.com/world/gulf/saudi/king-fahd-causeway-closed-amid-heightened-security-alerts-1.500499405
https://jehat.net/?act=artc&amp;id=135111</x:v>
      </x:c>
      <x:c r="O626" s="4" t="str">
        <x:v>Source 1: full text
Source 2: relevant article body opened and inspected
Source 3: full text</x:v>
      </x:c>
      <x:c r="P626" s="20" t="n">
        <x:v>1</x:v>
      </x:c>
      <x:c r="Q626" s="4" t="str">
        <x:v>Middle East</x:v>
      </x:c>
      <x:c r="R626" s="4" t="str">
        <x:v>Included</x:v>
      </x:c>
    </x:row>
    <x:row r="627" ht="78" hidden="0" customHeight="1">
      <x:c r="A627" s="16" t="str">
        <x:v>R13-AS-001</x:v>
      </x:c>
      <x:c r="B627" s="4" t="str">
        <x:v>Ban Khao Din–Sampov Loun January2017 trader blockade of international crossing</x:v>
      </x:c>
      <x:c r="C627" s="4" t="str">
        <x:v>Cambodia; Thailand</x:v>
      </x:c>
      <x:c r="D627" s="4" t="str">
        <x:v>Ban Khao Din, Khlong Hat, Sa Kaeo / Sampov Loun, Battambang
Ban Khao Din–Sampov Loun international bridge/crossing obstructed by Cambodian vendors</x:v>
      </x:c>
      <x:c r="E627" s="4" t="str">
        <x:v>People and goods attempting passage at the bridge/crossing; precise traffic counts unverified.
Direction: Obstruction of cross-border movement; vendors sought access from Cambodia to collect goods in Thailand.
Exceptions: No blockade exemptions established. Ordinary Thai and Cambodian gate opening is reported before the obstruction.</x:v>
      </x:c>
      <x:c r="F627" s="4" t="str">
        <x:v>R13-AS-001-D1 — Observed operation
Ban Khao Din episode on 5 January 2017.
Start: 2017-01-05.
Observed scoped reopening: 2017-01-05.
Same-day episode; no whole-day duration inferred</x:v>
      </x:c>
      <x:c r="G627"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627" s="4" t="str">
        <x:v>R13-AS-001-D1: Shown as an episode occurring on this date, not a whole-day closure. Accounts share named sources and are not treated as independent confirmations. Crowd estimates differ and are omitted. Around06:00 onset and around08:00 dispersal are reported clock times, not a measured duration. Temporary trading accommodation is not proof of a lasting hours policy.</x:v>
      </x:c>
      <x:c r="I627" s="4" t="str">
        <x:v>Retained baseline assessment. Retained with recorded qualifications</x:v>
      </x:c>
      <x:c r="J627" s="18" t="d">
        <x:v>2026-10-23T00:00:00.000Z</x:v>
      </x:c>
      <x:c r="K627" s="21" t="str">
        <x:f>IFERROR(HYPERLINK("https://www.matichon.co.th/local/news_417140","Matichon"),"Matichon")</x:f>
        <x:v>Matichon</x:v>
      </x:c>
      <x:c r="L627" s="21" t="str">
        <x:f>IFERROR(HYPERLINK("https://mgronline.com/local/detail/9600000001277","MGR Online"),"MGR Online")</x:f>
        <x:v>MGR Online</x:v>
      </x:c>
      <x:c r="M627" s="21"/>
      <x:c r="N627" s="4" t="str">
        <x:v>https://www.matichon.co.th/local/news_417140
https://mgronline.com/local/detail/9600000001277</x:v>
      </x:c>
      <x:c r="O627" s="4" t="str">
        <x:v>Source 1: full relevant article text
Source 2: full relevant article text</x:v>
      </x:c>
      <x:c r="P627" s="20" t="n">
        <x:v>1</x:v>
      </x:c>
      <x:c r="Q627" s="4" t="str">
        <x:v>East and Southeast Asia and Oceania</x:v>
      </x:c>
      <x:c r="R627" s="4" t="str">
        <x:v>Included</x:v>
      </x:c>
    </x:row>
    <x:row r="628" ht="258" hidden="0" customHeight="1">
      <x:c r="A628" s="16" t="str">
        <x:v>R14-AM-001</x:v>
      </x:c>
      <x:c r="B628" s="4" t="str">
        <x:v>Pacaraima anti-migrant protest blockade of international crossing, August2018</x:v>
      </x:c>
      <x:c r="C628" s="4" t="str">
        <x:v>Brazil; Venezuela</x:v>
      </x:c>
      <x:c r="D628" s="4" t="str">
        <x:v>Pacaraima–Santa Elena de Uairén; BR174
Deliberate protest blockade at named international crossing/BR174; selective and intermittent movement not quantified.</x:v>
      </x:c>
      <x:c r="E628" s="4" t="str">
        <x:v>Venezuelan migrants targeted; effects on goods and other nationalities unresolved.
Direction: Anti-migrant obstruction; detailed direction contested between expulsion accounts and parliamentary wording about preventing return.
Exceptions: Venezuelans fleeing Brazil crossed during the episode; cannot infer total two-way closure.</x:v>
      </x:c>
      <x:c r="F628" s="4" t="str">
        <x:v>R14-AM-001-FU1 — Observed operation
BR-174 international crossing approach at Pacaraima–Santa Elena
Start: 2018-08-18.
Scoped endpoint: 2018-08-18 to 2018-08-19.
Last confirmed observation: 2018-08-18.
dated evidence; numeric duration withheld; see qualification</x:v>
      </x:c>
      <x:c r="G628" s="4" t="str">
        <x:v>Migration / Entry and asylum control
Analytical interpretation of reported context
Applies to: Recorded episode; exact overlap not separately established
This is a non-state demand to exclude migrants. The alleged robbery is a disputed trigger, not a separately established crime-control purpose.</x:v>
      </x:c>
      <x:c r="H628" s="4" t="str">
        <x:v>R14-AM-001-FU1: Obstruction occurred August 18 and was cleared by Sunday morning August 19. Preserve these event bounds, but withhold numeric duration: direction and affected movement category remain disputed and some migrants crossed during the violence. The bounds are not proof of continuous total or category-specific denial.
duration: The dated road-obstruction account and normal-by reporting narrow the episode window to August 18–19. Direction, affected category and continuity remain unresolved, so no 0–1-day duration statistic is admissible.
Current continuity finding: Existing August 18–19 bound remains. A reception-post reopening with exact hours is a different operational object and does not resolve BR174 blockade timing or direction.</x:v>
      </x:c>
      <x:c r="I628" s="4" t="str">
        <x:v>Full-record source audit (REC50-R15); retained with recorded qualifications; evidence limits retained.</x:v>
      </x:c>
      <x:c r="J628" s="18" t="d">
        <x:v>2026-10-25T00:00:00.000Z</x:v>
      </x:c>
      <x:c r="K628" s="21" t="str">
        <x:f>IFERROR(HYPERLINK("https://www2.camara.leg.br/atividade-legislativa/comissoes/comissoes-permanentes/cdhm/noticias/cdhm-pede-informacoes-ao-ministerio-da-defesa-sobre-a-situacao-dos-venezuelanos-em-pacaraima","Brazilian Chamber of Deputies CDHM"),"Brazilian Chamber of Deputies CDHM")</x:f>
        <x:v>Brazilian Chamber of Deputies CDHM</x:v>
      </x:c>
      <x:c r="L628" s="21" t="str">
        <x:f>IFERROR(HYPERLINK("https://www.eluniverso.com/noticias/2018/08/20/nota/6915368/disminuye-flujo-venezolanos-hacia-brasil-tras-tension-frontera/","El Universo / AFP"),"El Universo / AFP")</x:f>
        <x:v>El Universo / AFP</x:v>
      </x:c>
      <x:c r="M628" s="21" t="str">
        <x:f>IFERROR(HYPERLINK("https://noticias.uol.com.br/ultimas-noticias/agencia-estado/2018/08/19/1200-venezuelanos-deixam-o-brasil-apos-tumulto-em-roraima.htm","UOL"),"UOL")</x:f>
        <x:v>UOL</x:v>
      </x:c>
      <x:c r="N628" s="4" t="str">
        <x:v>https://www2.camara.leg.br/atividade-legislativa/comissoes/comissoes-permanentes/cdhm/noticias/cdhm-pede-informacoes-ao-ministerio-da-defesa-sobre-a-situacao-dos-venezuelanos-em-pacaraima
https://www.eluniverso.com/noticias/2018/08/20/nota/6915368/disminuye-flujo-venezolanos-hacia-brasil-tras-tension-frontera/
https://noticias.uol.com.br/ultimas-noticias/agencia-estado/2018/08/19/1200-venezuelanos-deixam-o-brasil-apos-tumulto-em-roraima.htm
https://racismoambiental.net.br/2018/08/18/venezuelanos-sao-atacados-e-tem-seus-bens-queimados-em-pacaraima-rr/
https://exame.com/brasil/1-200-venezuelanos-deixam-o-brasil-apos-tumulto-em-roraima/
https://www.terra.com.br/noticias/brasil/moradores-de-pacaraima-expulsam-imigrantes-venezuelanos%2Cb21d8438498a77f41f1f0dc96553115fxmdg8n2f.html
https://www.terra.com.br/noticias/brasil/moradores-de-pacaraima-expulsam-imigrantes-venezuelanos,b21d8438498a77f41f1f0dc96553115fxmdg8n2f.html
https://www.stabroeknews.com/2018/08/19/news/regional/brazilian-border-town-residents-drive-out-venezuelan-immigrants/
https://www.unhcr.org/news/briefing-notes/unhcr-welcomes-reopening-brazil-venezuela-border-after-brief-closure
https://ompv.eceme.eb.mil.br/areas-tematicas/movimentos-migratorios-e-seguranca-na-faixa-de-fronteira/artigos/algumas-reflexoes-sobre-a-situacao-na-fronteira-brasil-venezuela-e-os-episodios-de-seu-fechamento</x:v>
      </x:c>
      <x:c r="O628" s="4" t="str">
        <x:v>Source 1: full; full text
Source 2: full text
Source 3: indexed excerpt</x:v>
      </x:c>
      <x:c r="P628" s="20" t="n">
        <x:v>1</x:v>
      </x:c>
      <x:c r="Q628" s="4" t="str">
        <x:v>Americas</x:v>
      </x:c>
      <x:c r="R628" s="4" t="str">
        <x:v>Included</x:v>
      </x:c>
    </x:row>
    <x:row r="629" ht="78" hidden="0" customHeight="1">
      <x:c r="A629" s="16" t="str">
        <x:v>R14-AM-002</x:v>
      </x:c>
      <x:c r="B629" s="4" t="str">
        <x:v>Amatal deliberate vehicle-access blockade on San Cristóbal frontier route, November2019</x:v>
      </x:c>
      <x:c r="C629" s="4" t="str">
        <x:v>Guatemala; El Salvador</x:v>
      </x:c>
      <x:c r="D629" s="4" t="str">
        <x:v>Amatal bridge, km165.5, route to San Cristóbal crossing
Specified vehicular approach to San Cristóbal frontier; cross-border vehicles prevented from reaching customs. Not an assertion that every access route or border admission category closed.</x:v>
      </x:c>
      <x:c r="E629" s="4" t="str">
        <x:v>Cargo and other vehicles on named approach; perishable goods and Salvadoran traders affected.
Direction: Vehicles using Guatemalan approach to/from San Cristóbal; complete direction-specific admission scope unresolved.
Exceptions: Pedestrians permitted; alternate routes advised. Customs legal operations not shown suspended.</x:v>
      </x:c>
      <x:c r="F629" s="4" t="str">
        <x:v>R14-AM-002-D1 — Observed operation
Vehicle access on the deliberately obstructed Amatal approach to San Cristobal customs
Start: 2019-11-04.
Observed scoped reopening: 2019-11-08.
4 calendar-day difference; scoped endpoint only</x:v>
      </x:c>
      <x:c r="G629" s="4" t="str">
        <x:v>Policy and socioeconomic demands / Jobs, services and livelihoods
Reported reason
Applies to: Amatal vehicle-access blockade, November 4–8, 2019
Residents demanded reconstruction of the poor road; this supports the public-services/livelihood demand code. It is the protesters' stated demand, not a government closure rationale.</x:v>
      </x:c>
      <x:c r="H629" s="4" t="str">
        <x:v>R14-AM-002-D1: Road-access interval, not closure of customs legal operations or all frontier routes. Pedestrians and alternatives remained. Rendered publication hours and distance descriptions differ; neither changes the explicit calendar dates, and no exact clock duration is claimed. Later AmCham concern may be stale, not a demonstrated renewed blockage.</x:v>
      </x:c>
      <x:c r="I629" s="4" t="str">
        <x:v>Full-record source audit (REC50-R15); accepted corrections; evidence limits retained.</x:v>
      </x:c>
      <x:c r="J629" s="18" t="d">
        <x:v>2026-10-25T00:00:00.000Z</x:v>
      </x:c>
      <x:c r="K629" s="21" t="str">
        <x:f>IFERROR(HYPERLINK("https://diario.elmundo.sv/Nacionales/bloqueo-en-carretera-a-frontera-san-cristobal-llega-a-su-cuarto-dia","Diario El Mundo"),"Diario El Mundo")</x:f>
        <x:v>Diario El Mundo</x:v>
      </x:c>
      <x:c r="L629" s="21" t="str">
        <x:f>IFERROR(HYPERLINK("https://www.prensalibre.com/ciudades/jutiapa/por-cuarto-dia-consecutivo-pobladores-bloquean-el-paso-hacia-la-frontera-con-el-salvador/","Prensa Libre"),"Prensa Libre")</x:f>
        <x:v>Prensa Libre</x:v>
      </x:c>
      <x:c r="M629" s="21" t="str">
        <x:f>IFERROR(HYPERLINK("https://diario.elmundo.sv/Nacionales/habilitan-paso-vehicular-en-carretera-a-frontera-san-cristobal","Diario El Mundo"),"Diario El Mundo")</x:f>
        <x:v>Diario El Mundo</x:v>
      </x:c>
      <x:c r="N629" s="4" t="str">
        <x:v>https://diario.elmundo.sv/Nacionales/bloqueo-en-carretera-a-frontera-san-cristobal-llega-a-su-cuarto-dia
https://www.prensalibre.com/ciudades/jutiapa/por-cuarto-dia-consecutivo-pobladores-bloquean-el-paso-hacia-la-frontera-con-el-salvador/
https://diario.elmundo.sv/Nacionales/habilitan-paso-vehicular-en-carretera-a-frontera-san-cristobal
https://emisorasunidas.com/2019/11/08/amcham-bloqueo-frontera-guatemala-el-salvador/</x:v>
      </x:c>
      <x:c r="O629" s="4" t="str">
        <x:v>Source 1: full text
Source 2: full text
Source 3: full text</x:v>
      </x:c>
      <x:c r="P629" s="20" t="n">
        <x:v>1</x:v>
      </x:c>
      <x:c r="Q629" s="4" t="str">
        <x:v>Americas</x:v>
      </x:c>
      <x:c r="R629" s="4" t="str">
        <x:v>Included</x:v>
      </x:c>
    </x:row>
    <x:row r="630" ht="90" hidden="0" customHeight="1">
      <x:c r="A630" s="16" t="str">
        <x:v>R14-BL-001</x:v>
      </x:c>
      <x:c r="B630" s="4" t="str">
        <x:v>Rodolfo Robles selective physical gate blockade during migrant caravan, October2018</x:v>
      </x:c>
      <x:c r="C630" s="4" t="str">
        <x:v>Guatemala; Mexico</x:v>
      </x:c>
      <x:c r="D630" s="4" t="str">
        <x:v>Rodolfo Robles bridge; Tecún Umán–Ciudad Hidalgo
Rodolfo Robles bridge entry into Mexico for caravan participants; no bilateral frontier-wide prohibition.</x:v>
      </x:c>
      <x:c r="E630" s="4" t="str">
        <x:v>Caravan participants seeking entry without migration documents; selected applicants admitted. Later vehicle restriction separately described but its onset/end unknown.
Direction: Guatemala into Mexico
Exceptions: Morning asylum applicants admitted; children and adults admitted in groups after afternoon closure. River crossings occurred. No all-person prohibition asserted.</x:v>
      </x:c>
      <x:c r="F630" s="4" t="str">
        <x:v>R14-BL-001-D1 — Observed operation
Initial afternoon physical gate stoppage at Rodolfo Robles for caravan participants, to resumed selected-group admission
Start: 2018-10-19.
Observed scoped reopening: 2018-10-19.
Same-day episode; no whole-day duration inferred</x:v>
      </x:c>
      <x:c r="G630" s="4" t="str">
        <x:v>Migration / Entry and asylum control
Reported reason
Applies to: Recorded episode; exact overlap not separately established
The recorded rationale and claim assessment support the selected subcategories. All applicable broad categories are retained together; no primary rationale is imposed.</x:v>
      </x:c>
      <x:c r="H630" s="4" t="str">
        <x:v>R14-BL-001-D1: Only the initial sub-day stoppage to partial admissions, not final unrestricted opening or a twenty-day all-person closure. Morning asylum admissions/official denial precede the confrontation; river crossings and later pedestrian/vehicle phases remain separate. Exact uninterrupted hours are unknown.</x:v>
      </x:c>
      <x:c r="I630" s="4" t="str">
        <x:v>Retained baseline assessment. Retained with recorded qualifications</x:v>
      </x:c>
      <x:c r="J630" s="18" t="d">
        <x:v>2026-10-23T00:00:00.000Z</x:v>
      </x:c>
      <x:c r="K630" s="21" t="str">
        <x:f>IFERROR(HYPERLINK("https://www.jornada.com.mx/2018/10/20/politica/002n1pol","La Jornada"),"La Jornada")</x:f>
        <x:v>La Jornada</x:v>
      </x:c>
      <x:c r="L630" s="21" t="str">
        <x:f>IFERROR(HYPERLINK("https://www.globalmedia.mx/articles/Ingresan-los-primeros-100-hondure-os-a-M%C3%A9xico","GlobalMedia"),"GlobalMedia")</x:f>
        <x:v>GlobalMedia</x:v>
      </x:c>
      <x:c r="M630" s="21" t="str">
        <x:f>IFERROR(HYPERLINK("https://www.cuartopoder.mx/chiapas/reabren-paso-en-puente-internacional/264681","Cuarto Poder"),"Cuarto Poder")</x:f>
        <x:v>Cuarto Poder</x:v>
      </x:c>
      <x:c r="N630" s="4" t="str">
        <x:v>https://www.jornada.com.mx/2018/10/20/politica/002n1pol
https://www.globalmedia.mx/articles/Ingresan-los-primeros-100-hondure-os-a-M%C3%A9xico
https://www.cuartopoder.mx/chiapas/reabren-paso-en-puente-internacional/264681
https://www.publinews.gt/gt/noticias/2018/10/19/dramaticas-imagenes-la-llegada-emigrantes-hondurenos-mexico.html</x:v>
      </x:c>
      <x:c r="O630" s="4" t="str">
        <x:v>Source 1: relevant returned article body opened and inspected
Source 2: relevant returned article body opened and inspected
Source 3: relevant returned article body opened and inspected</x:v>
      </x:c>
      <x:c r="P630" s="20" t="n">
        <x:v>1</x:v>
      </x:c>
      <x:c r="Q630" s="4" t="str">
        <x:v>Americas</x:v>
      </x:c>
      <x:c r="R630" s="4" t="str">
        <x:v>Included</x:v>
      </x:c>
    </x:row>
    <x:row r="631" ht="198" hidden="0" customHeight="1">
      <x:c r="A631" s="16" t="str">
        <x:v>R15-AN-001</x:v>
      </x:c>
      <x:c r="B631" s="4" t="str">
        <x:v>Togolese-authority temporary Ghana frontier closure near Mango during 2017 unrest</x:v>
      </x:c>
      <x:c r="C631" s="4" t="str">
        <x:v>Togo; Ghana</x:v>
      </x:c>
      <x:c r="D631" s="4" t="str">
        <x:v>Mango vicinity opposite Chereponi; individual official post not named
Northern Ghana–Togo frontier near Mango; not a national or Aflao-wide closure</x:v>
      </x:c>
      <x:c r="E631" s="4" t="str">
        <x:v>Reported frontier users in Mango vicinity; goods, nationality and vehicle categories unspecified
Direction: Not separately established for the closure; refugee flight was Togo into Ghana
Exceptions: Not established; refugees and women used unofficial paths, so not a universal physical seal</x:v>
      </x:c>
      <x:c r="F631" s="4" t="str">
        <x:v>R15-AN-001-NP1 — Observed operation
Northern Togo–Ghana frontier near Mango/Chereponi
Start: unknown.
Observed scoped reopening: 2017-11-12.
dated evidence; numeric duration withheld; see qualification</x:v>
      </x:c>
      <x:c r="G631" s="4" t="str">
        <x:v>Uncoded / Unresolved rationale
Not assigned
Applies to: Not assigned
No additional motive inferred</x:v>
      </x:c>
      <x:c r="H631" s="4" t="str">
        <x:v>R15-AN-001-NP1: November12 is an explicitly documented relative-date normalization, not a numeral printed in the report. Original closure onset, named gate, affected category and official motive remain unresolved; no numeric closure duration is calculated.
start/end/rationale: Original report date or crossing log needed; reprint supplies only an upper endpoint bound.
Current onset finding: Original closure onset remains absent.
duration: Original report date or crossing log needed; reprint supplies only an upper endpoint bound.
Current onset finding: Original closure onset remains absent.
rationale: Original report date or crossing log needed; reprint supplies only an upper endpoint bound.
Current finding: Unrest and coercion are context; the authority's specific border-closure justification remains absent.
continuity: The now normalized Sunday reopening date does not establish an earlier continuous interval.</x:v>
      </x:c>
      <x:c r="I631" s="4" t="str">
        <x:v>Retained baseline assessment. Correction pass: amended with stated qualifications</x:v>
      </x:c>
      <x:c r="J631" s="18" t="d">
        <x:v>2026-10-23T00:00:00.000Z</x:v>
      </x:c>
      <x:c r="K631" s="21" t="str">
        <x:f>IFERROR(HYPERLINK("https://togoactualite.com/togolais-fuient-ghana-repression-regime-de-faure-gnassingbe/","Togo Actualité"),"Togo Actualité")</x:f>
        <x:v>Togo Actualité</x:v>
      </x:c>
      <x:c r="L631" s="21" t="str">
        <x:f>IFERROR(HYPERLINK("https://www.lemonde.fr/archives-du-monde/17-11-2017/2/","Le Monde"),"Le Monde")</x:f>
        <x:v>Le Monde</x:v>
      </x:c>
      <x:c r="M631" s="21" t="str">
        <x:f>IFERROR(HYPERLINK("https://www.republiquetogolaise.tg/politique/0108-890-libre-circulation-des-biens-et-des-personnes-le-ghana-et-le-togo-montrent-la-voie-dans-l-espace-cedeao","Togo official portal"),"Togo official portal")</x:f>
        <x:v>Togo official portal</x:v>
      </x:c>
      <x:c r="N631" s="4" t="str">
        <x:v>https://togoactualite.com/togolais-fuient-ghana-repression-regime-de-faure-gnassingbe/
https://www.lemonde.fr/archives-du-monde/17-11-2017/2/
https://www.republiquetogolaise.tg/politique/0108-890-libre-circulation-des-biens-et-des-personnes-le-ghana-et-le-togo-montrent-la-voie-dans-l-espace-cedeao
https://information.tv5monde.com/afrique/reportage-au-ghana-chereponi-le-village-des-exiles-de-la-crise-togolaise-27727
https://archive.presidence.gouv.tg/2017/08/08/togo-ghana-lintegration-en-marche/
https://www.modernghana.com/news/797827/ghanaians-cautioned-against-travelling-to-togo-on-friday.html
https://www.unhcr.org/au/news/briefing-notes/over-500-togolese-seek-refuge-ghana-unhcr</x:v>
      </x:c>
      <x:c r="O631" s="4" t="str">
        <x:v>Source 1: full
Source 2: full
Source 3: indexed excerpt</x:v>
      </x:c>
      <x:c r="P631" s="20" t="n">
        <x:v>1</x:v>
      </x:c>
      <x:c r="Q631" s="4" t="str">
        <x:v>West Africa</x:v>
      </x:c>
      <x:c r="R631" s="4" t="str">
        <x:v>Included</x:v>
      </x:c>
    </x:row>
    <x:row r="632" ht="90" hidden="0" customHeight="1">
      <x:c r="A632" s="16" t="str">
        <x:v>R15-AS-001</x:v>
      </x:c>
      <x:c r="B632" s="4" t="str">
        <x:v>Beitbridge inbound commercial cargo blockade during duty protest, June–July 2018</x:v>
      </x:c>
      <x:c r="C632" s="4" t="str">
        <x:v>Zimbabwe; South Africa</x:v>
      </x:c>
      <x:c r="D632" s="4" t="str">
        <x:v>Beitbridge
Inbound commercial cargo entering the Beitbridge border area from South Africa toward Zimbabwe</x:v>
      </x:c>
      <x:c r="E632" s="4" t="str">
        <x:v>Commercial cargo vehicles entering from South Africa; report does not establish total prohibition of all persons or vehicles.
Direction: South Africa to Zimbabwe</x:v>
      </x:c>
      <x:c r="F632" s="4" t="str">
        <x:v>R15-AS-001-NP1 — Observed operation
Beitbridge inbound commercial cargo protest obstruction
Start: 2018-06-30.
Last confirmed: 2018-06-30. Reopening is not established.
dated evidence; numeric duration withheld; see qualification</x:v>
      </x:c>
      <x:c r="G632"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632" s="4" t="str">
        <x:v>R15-AS-001-NP1: The report describes mixed chaos from 09:00 on Saturday to 03:00 on Sunday. Those times and midnight vehicle clearance do not isolate removal of the deliberate cargo obstruction. Retain dated occurrence on 30 June; reopening and continuous duration remain unknown.
end/continuity: June 30–July 1 evidence envelope added; exact blockade ending remains unresolved.
duration: June 30–July 1 evidence envelope added; exact blockade ending remains unresolved.</x:v>
      </x:c>
      <x:c r="I632" s="4" t="str">
        <x:v>Full-record source audit (REC50-R05); accepted corrections; evidence limits retained.</x:v>
      </x:c>
      <x:c r="J632" s="18" t="d">
        <x:v>2026-10-25T00:00:00.000Z</x:v>
      </x:c>
      <x:c r="K632" s="21" t="str">
        <x:f>IFERROR(HYPERLINK("https://www.heraldonline.co.zw/just-in-chaos-at-beitbridge-as-zimra-enforces-duty-compliance/","The Herald"),"The Herald")</x:f>
        <x:v>The Herald</x:v>
      </x:c>
      <x:c r="L632" s="21" t="str">
        <x:f>IFERROR(HYPERLINK("https://www.newsdzezimbabwe.co.uk/2018/07/chaos-reigns-in-beitbridge.html","NewsdzeZimbabwe"),"NewsdzeZimbabwe")</x:f>
        <x:v>NewsdzeZimbabwe</x:v>
      </x:c>
      <x:c r="M632" s="21" t="str">
        <x:f>IFERROR(HYPERLINK("https://au-pida.org/events/wp-content/uploads/2024/11/One-Stop-Border-Post-OSBP-Status-Report.pdf","AU-PIDA"),"AU-PIDA")</x:f>
        <x:v>AU-PIDA</x:v>
      </x:c>
      <x:c r="N632" s="4" t="str">
        <x:v>https://www.heraldonline.co.zw/just-in-chaos-at-beitbridge-as-zimra-enforces-duty-compliance/
https://www.newsdzezimbabwe.co.uk/2018/07/chaos-reigns-in-beitbridge.html
https://au-pida.org/events/wp-content/uploads/2024/11/One-Stop-Border-Post-OSBP-Status-Report.pdf</x:v>
      </x:c>
      <x:c r="O632" s="4" t="str">
        <x:v>Source 1: full; full text
Source 2: full; full text
Source 3: unavailable</x:v>
      </x:c>
      <x:c r="P632" s="20" t="n">
        <x:v>1</x:v>
      </x:c>
      <x:c r="Q632" s="4" t="str">
        <x:v>Southern Africa</x:v>
      </x:c>
      <x:c r="R632" s="4" t="str">
        <x:v>Included</x:v>
      </x:c>
    </x:row>
    <x:row r="633" ht="246" hidden="0" customHeight="1">
      <x:c r="A633" s="16" t="str">
        <x:v>R15-AM-001</x:v>
      </x:c>
      <x:c r="B633" s="4" t="str">
        <x:v>Pino Hachado and Icalma reported closure during Chilean customs strike, May 2017</x:v>
      </x:c>
      <x:c r="C633" s="4" t="str">
        <x:v>Argentina; Chile</x:v>
      </x:c>
      <x:c r="D633" s="4" t="str">
        <x:v>Pino Hachado; Icalma
Named international land crossings Pino Hachado and Icalma; not the whole Argentina–Chile frontier</x:v>
      </x:c>
      <x:c r="E633" s="4" t="str">
        <x:v>Pino Hachado motorists reported turned back; Icalma described unavailable. Full nationality, passenger/freight and directional categories not established.
Direction: Motorists on Argentine approach at Pino Hachado were reportedly told to return. Bilateral scope and Icalma direction unresolved.
Exceptions: ANFACH stated exceptional emergency shifts continued nationally. Customs reported priority cargo contingency; local exemptions at these two posts not established.</x:v>
      </x:c>
      <x:c r="F633" s="4" t="str">
        <x:v>R15-AM-001-FU1 — Observed operation
Pino Hachado customs passage; not regional roads or Samoré
Start: unknown.
Last confirmed: 2017-05-24. Reopening is not established.
confirmed through 2017-05-24; reopening unknown</x:v>
      </x:c>
      <x:c r="G633" s="4" t="str">
        <x:v>Policy and socioeconomic demands / Jobs, services and livelihoods
Reported reason
Applies to: Chilean customs strike underlying reported May 24 local interruptions
ANFACH cited unfulfilled worker career-reclassification/staffing commitments. This supports the labour and livelihood demand code; trade disruption alone does not establish a protectionist purpose.</x:v>
      </x:c>
      <x:c r="H633" s="4" t="str">
        <x:v>R15-AM-001-FU1: Refusal reported for May 24; strike-wide start/end and road-open status do not establish customs-closure duration. Icalma requires separate matched processing evidence.
local end/continuity: Add only the documented May 24 Pino Hachado motorist-refusal state, avoiding combined Pino/Icalma continuity. Contradictory road-open and total-strike accounts remain unresolved.
Current continuity finding: Pino Hachado strike effects are supported for the dated May 24 observation; nationwide strike reports do not prove continuous closure at this post or a local endpoint.
duration: Add only the documented May 24 Pino Hachado motorist-refusal state, avoiding combined Pino/Icalma continuity. Contradictory road-open and total-strike accounts remain unresolved.
Current continuity finding: Pino Hachado strike effects are supported for the dated May 24 observation; nationwide strike reports do not prove continuous closure at this post or a local endpoint.</x:v>
      </x:c>
      <x:c r="I633" s="4" t="str">
        <x:v>Targeted source review (REC50-R09); completed with unresolved evidence; evidence limits retained.</x:v>
      </x:c>
      <x:c r="J633" s="18" t="d">
        <x:v>2026-10-25T00:00:00.000Z</x:v>
      </x:c>
      <x:c r="K633" s="21" t="str">
        <x:f>IFERROR(HYPERLINK("https://www.lmneuquen.com/paro-la-aduana-chile-complica-cruzar-la-cordillera-n552063","LM Neuquen"),"LM Neuquen")</x:f>
        <x:v>LM Neuquen</x:v>
      </x:c>
      <x:c r="L633" s="21" t="str">
        <x:f>IFERROR(HYPERLINK("https://www.rionegro.com.ar/pasos-internacionales-abiertos-pero-continua-el-paro-en-aduanas-de-chile-BM2860399/","Rio Negro"),"Rio Negro")</x:f>
        <x:v>Rio Negro</x:v>
      </x:c>
      <x:c r="M633" s="21" t="str">
        <x:f>IFERROR(HYPERLINK("https://www.diarioandino.com.ar/noticias/2017/05/24/207065-medida-de-fuerza-de-la-aduana-chilena-genera-demoras-de-hasta-4-horas-en-el-paso-samore","DiarioAndino"),"DiarioAndino")</x:f>
        <x:v>DiarioAndino</x:v>
      </x:c>
      <x:c r="N633" s="4" t="str">
        <x:v>https://www.lmneuquen.com/paro-la-aduana-chile-complica-cruzar-la-cordillera-n552063
https://www.rionegro.com.ar/pasos-internacionales-abiertos-pero-continua-el-paro-en-aduanas-de-chile-BM2860399/
https://www.diarioandino.com.ar/noticias/2017/05/24/207065-medida-de-fuerza-de-la-aduana-chilena-genera-demoras-de-hasta-4-horas-en-el-paso-samore
https://www.diarioandino.com.ar/noticias/2017/05/25/207078-continua-el-paro-de-actividades-en-las-aduanas-chilenas
https://www.lmneuquen.com/complicaciones-los-pasos-fronterizos-un-paro-la-aduana-chilena-n552013
https://www.rionegro.com.ar/demoras-y-pasos-cerrados-por-paro-de-aduaneros-de-chile-IM2853912/
https://www.24horas.cl/nacional/paro-de-aduanas-se-mantiene-tras-arranque-con-mas-del-90-de-adhesion-2394570
https://www.latercera.com/noticia/paro-aduana-sigue-plan-contingencia-asegurar-transito-mercancias-personas/
https://www.seatrade-maritime.com/ports-logistics/customs-strike-ends-in-chile
https://www.diarioeldia.cl/noticias/2017/06/02/41066-deponen-paro-nacional-de-aduanas-tras-10-dias-de-movilizacion
https://www.24horas.cl/nacional/funcionarios-de-aduana-anuncia-fin-al-paro-indefinido-para-negociar-con-el-gobierno-2404176</x:v>
      </x:c>
      <x:c r="O633" s="4" t="str">
        <x:v>Source 1: indexed excerpt; full; full text
Source 2: full; full text
Source 3: full</x:v>
      </x:c>
      <x:c r="P633" s="20" t="n">
        <x:v>1</x:v>
      </x:c>
      <x:c r="Q633" s="4" t="str">
        <x:v>Americas</x:v>
      </x:c>
      <x:c r="R633" s="4" t="str">
        <x:v>Included</x:v>
      </x:c>
    </x:row>
    <x:row r="634" ht="210" hidden="0" customHeight="1">
      <x:c r="A634" s="16" t="str">
        <x:v>R15-SM-001</x:v>
      </x:c>
      <x:c r="B634" s="4" t="str">
        <x:v>Petrapole–Benapole customs-pass strike and freight interruption, late January 2018</x:v>
      </x:c>
      <x:c r="C634" s="4" t="str">
        <x:v>Bangladesh; India</x:v>
      </x:c>
      <x:c r="D634" s="4" t="str">
        <x:v>Petrapole–Benapole
Freight through Petrapole–Benapole; directional onset differs. No passenger or whole-frontier prohibition established.</x:v>
      </x:c>
      <x:c r="E634" s="4" t="str">
        <x:v>Cross-border cargo trucks and trade; citizenship categories not established.
Direction: India to Bangladesh, later Bangladesh to India; not one identical two-way start
Exceptions: Port-internal loading/unloading continued; passenger status not established.</x:v>
      </x:c>
      <x:c r="F634" s="4" t="str">
        <x:v>R15-SM-001-D1 — Observed operation
India-to-Bangladesh freight at Petrapole–Benapole during the late-January customs-pass dispute
Start: 2018-01-24 to 2018-01-25.
Observed scoped reopening: 2018-01-29 to 2018-01-30.
4–6 calendar-day difference; scoped endpoint only</x:v>
      </x:c>
      <x:c r="G634"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634" s="4" t="str">
        <x:v>R15-SM-001-D1: Only the earlier India-to-Bangladesh flow; reverse-direction interruption began January 29 and must not share this start. Internal handling continued, passenger restriction is not established and January 8 is separate. No exact hours or uniform two-way spell.</x:v>
      </x:c>
      <x:c r="I634" s="4" t="str">
        <x:v>Targeted source review (REC50-R12); retained with recorded qualifications; evidence limits retained.</x:v>
      </x:c>
      <x:c r="J634" s="18" t="d">
        <x:v>2026-10-25T00:00:00.000Z</x:v>
      </x:c>
      <x:c r="K634" s="21" t="str">
        <x:f>IFERROR(HYPERLINK("https://www.dhakatribune.com/bangladesh/nation/136789/import-export-thru-benapole-port-halted-for-4-days","Dhaka Tribune"),"Dhaka Tribune")</x:f>
        <x:v>Dhaka Tribune</x:v>
      </x:c>
      <x:c r="L634" s="21" t="str">
        <x:f>IFERROR(HYPERLINK("https://rtvonline.com/country/32631","RTV Online"),"RTV Online")</x:f>
        <x:v>RTV Online</x:v>
      </x:c>
      <x:c r="M634" s="21" t="str">
        <x:f>IFERROR(HYPERLINK("https://today.thefinancialexpress.com.bd/first-page/six-day-halt-at-benapole-port-causes-tk-600m-revenue-loss-1517421362?date=01-02-2018","The Financial Express"),"The Financial Express")</x:f>
        <x:v>The Financial Express</x:v>
      </x:c>
      <x:c r="N634" s="4" t="str">
        <x:v>https://www.dhakatribune.com/bangladesh/nation/136789/import-export-thru-benapole-port-halted-for-4-days
https://www.ittefaq.com.bd/456068/%E0%A6%AC%E0%A7%87%E0%A6%A8%E0%A6%BE%E0%A6%AA%E0%A7%8B%E0%A6%B2%E0%A7%87-%E0%A7%AB-%E0%A6%A6%E0%A6%BF%E0%A6%A8-%E0%A6%A7%E0%A6%B0%E0%A7%87-%E0%A6%86%E0%A6%AE%E0%A6%A6%E0%A6%BE%E0%A6%A8%E0%A6%BF-%E0%A6%B0%E0%A6%AB%E0%A6%A4%E0%A6%BE%E0%A6%A8%E0%A6%BF-%E0%A6%AC%E0%A6%A8%E0%A7%8D%E0%A6%A7-%E0%A6%85%E0%A6%A8%E0%A7%9C
https://rtvonline.com/country/32631
https://today.thefinancialexpress.com.bd/first-page/six-day-halt-at-benapole-port-causes-tk-600m-revenue-loss-1517421362?date=01-02-2018
https://www.thedailystar.net/backpage/deadlock-ends-benapole-1527526
https://m.dailyinqilab.com/article/115083/%E0%A7%AC-%E0%A6%A6%E0%A6%BF%E0%A6%A8-%E0%A6%AA%E0%A6%B0-%E0%A6%B8%E0%A6%9A%E0%A6%B2-%E0%A6%AC%E0%A7%87%E0%A6%A8%E0%A6%BE%E0%A6%AA%E0%A7%8B%E0%A6%B2-%E0%A6%AA%E0%A7%87%E0%A6%9F%E0%A7%8D%E0%A6%B0%E0%A6%BE%E0%A6%AA%E0%A7%8B%E0%A6%B2-%E0%A6%AC%E0%A6%A8%E0%A7%8D%E0%A6%A6%E0%A6%B0</x:v>
      </x:c>
      <x:c r="O634" s="4" t="str">
        <x:v>Source 1: full text
Source 2: full; full text
Source 3: full; full text</x:v>
      </x:c>
      <x:c r="P634" s="20" t="n">
        <x:v>1</x:v>
      </x:c>
      <x:c r="Q634" s="4" t="str">
        <x:v>South Asia, Central Asia and Caucasus</x:v>
      </x:c>
      <x:c r="R634" s="4" t="str">
        <x:v>Included</x:v>
      </x:c>
    </x:row>
    <x:row r="635" ht="78" hidden="0" customHeight="1">
      <x:c r="A635" s="16" t="str">
        <x:v>R15-SM-002</x:v>
      </x:c>
      <x:c r="B635" s="4" t="str">
        <x:v>Petrapole–Benapole freight strike over truck and handling demands, June 2018</x:v>
      </x:c>
      <x:c r="C635" s="4" t="str">
        <x:v>Bangladesh; India</x:v>
      </x:c>
      <x:c r="D635" s="4" t="str">
        <x:v>Petrapole–Benapole
Freight trade through Petrapole–Benapole; no passenger suspension established.</x:v>
      </x:c>
      <x:c r="E635" s="4" t="str">
        <x:v>Commercial cargo traffic through the named land port.
Direction: Cross-border freight between India and Bangladesh; report does not disaggregate each direction
Exceptions: Passenger and category-specific exemptions not established.</x:v>
      </x:c>
      <x:c r="F635" s="4" t="str">
        <x:v>R15-SM-002-D1 — Observed operation
Petrapole–Benapole trade interruption until actual trade resumed the following morning.
Start: 2018-06-26.
Observed scoped reopening: 2018-06-27.
1 calendar-day difference; scoped endpoint only</x:v>
      </x:c>
      <x:c r="G635"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635" s="4" t="str">
        <x:v>R15-SM-002-D1: One calendar-date difference, not exactly 24 elapsed hours. Dhaka Tribune reports actual resumption on Wednesday morning; the fresh Sangbad Pratidin report says Wednesday midday. Both agree on June 27, later than withdrawal of the strike on June 26 evening.</x:v>
      </x:c>
      <x:c r="I635" s="4" t="str">
        <x:v>Retained baseline assessment. Retained with recorded qualifications</x:v>
      </x:c>
      <x:c r="J635" s="18" t="d">
        <x:v>2026-10-23T00:00:00.000Z</x:v>
      </x:c>
      <x:c r="K635" s="21" t="str">
        <x:f>IFERROR(HYPERLINK("https://www.dhakatribune.com/business/commerce/149023/petrapole-committee-withdraws-strike","dhakatribune.com"),"dhakatribune.com")</x:f>
        <x:v>dhakatribune.com</x:v>
      </x:c>
      <x:c r="L635" s="21" t="str">
        <x:f>IFERROR(HYPERLINK("https://www.sangbadpratidin.in/bengal/after-the-24-hour-strike-petrapole-benapole-border-reopen/pid/150091/","sangbadpratidin.in"),"sangbadpratidin.in")</x:f>
        <x:v>sangbadpratidin.in</x:v>
      </x:c>
      <x:c r="M635" s="21"/>
      <x:c r="N635" s="4" t="str">
        <x:v>https://www.dhakatribune.com/business/commerce/149023/petrapole-committee-withdraws-strike
https://www.sangbadpratidin.in/bengal/after-the-24-hour-strike-petrapole-benapole-border-reopen/pid/150091/</x:v>
      </x:c>
      <x:c r="O635" s="4" t="str">
        <x:v>Source 1: full
Source 2: full</x:v>
      </x:c>
      <x:c r="P635" s="20" t="n">
        <x:v>1</x:v>
      </x:c>
      <x:c r="Q635" s="4" t="str">
        <x:v>South Asia, Central Asia and Caucasus</x:v>
      </x:c>
      <x:c r="R635" s="4" t="str">
        <x:v>Included</x:v>
      </x:c>
    </x:row>
    <x:row r="636" ht="409" hidden="0" customHeight="1">
      <x:c r="A636" s="16" t="str">
        <x:v>R15-SM-003</x:v>
      </x:c>
      <x:c r="B636" s="4" t="str">
        <x:v>Hili zero-line truck blockades with an intervening opening, July 2018</x:v>
      </x:c>
      <x:c r="C636" s="4" t="str">
        <x:v>Bangladesh; India</x:v>
      </x:c>
      <x:c r="D636" s="4" t="str">
        <x:v>Hili land port zero-line road
Incoming cargo trucks from India into Bangladesh at Hili; no all-person or whole-frontier closure claimed.</x:v>
      </x:c>
      <x:c r="E636" s="4" t="str">
        <x:v>Incoming goods-laden trucks; stranded drivers and rice cargo provide context.
Direction: India into Bangladesh
Exceptions: Ten cargo trucks entered July3 before renewed blockade. Passenger restrictions not established.</x:v>
      </x:c>
      <x:c r="F636" s="4" t="str">
        <x:v>R15-SM-003-D1 — Observed operation
Renewed India-to-Bangladesh incoming cargo blockade at Hili from July 3
Start: 2018-07-03.
Observed scoped reopening: 2018-07-05.
2 calendar-day difference; scoped endpoint only</x:v>
      </x:c>
      <x:c r="G636"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636" s="4" t="str">
        <x:v>R15-SM-003-D1: Excludes the July 2 initial action, which was lifted. Not an uninterrupted July 2–5 period or a passenger closure; calendar boundaries do not claim two full 24-hour days. Informant independence across reports is not assumed.</x:v>
      </x:c>
      <x:c r="I636" s="4" t="str">
        <x:v>Retained baseline assessment. Retained with recorded qualifications</x:v>
      </x:c>
      <x:c r="J636" s="18" t="d">
        <x:v>2026-10-23T00:00:00.000Z</x:v>
      </x:c>
      <x:c r="K636" s="21" t="str">
        <x:f>IFERROR(HYPERLINK("https://www.thedailystar.net/backpage/hili-land-port-indian-drivers-block-road-unloading-183-trucks-1599019","thedailystar.net"),"thedailystar.net")</x:f>
        <x:v>thedailystar.net</x:v>
      </x:c>
      <x:c r="L636" s="21" t="str">
        <x:f>IFERROR(HYPERLINK("https://www.thedailystar.net/historical/country?archive=2014-02-07&amp;page=927","thedailystar.net"),"thedailystar.net")</x:f>
        <x:v>thedailystar.net</x:v>
      </x:c>
      <x:c r="M636" s="21" t="str">
        <x:f>IFERROR(HYPERLINK("https://www.banglatribune.com/amp/country/339063/ভারতীয়-ট্রাক-চালক-ও-হেলপারদের-বাধায়-হিলিতে","banglatribune.com"),"banglatribune.com")</x:f>
        <x:v>banglatribune.com</x:v>
      </x:c>
      <x:c r="N636" s="4" t="str">
        <x:v>https://www.banglatribune.com/amp/country/339063/%E0%A6%AD%E0%A6%BE%E0%A6%B0%E0%A6%A4%E0%A7%80%E0%A7%9F-%E0%A6%9F%E0%A7%8D%E0%A6%B0%E0%A6%BE%E0%A6%95-%E0%A6%9A%E0%A6%BE%E0%A6%B2%E0%A6%95-%E0%A6%93-%E0%A6%B9%E0%A7%87%E0%A6%B2%E0%A6%AA%E0%A6%BE%E0%A6%B0%E0%A6%A6%E0%A7%87%E0%A6%B0-%E0%A6%AC%E0%A6%BE%E0%A6%A7%E0%A6%BE%E0%A7%9F-%E0%A6%B9%E0%A6%BF%E0%A6%B2%E0%A6%BF%E0%A6%A4%E0%A7%87
https://www.banglatribune.com/amp/country/339875/%E0%A6%B9%E0%A6%BF%E0%A6%B2%E0%A6%BF%E0%A6%A4%E0%A7%87-%E0%A6%86%E0%A6%AE%E0%A6%A6%E0%A6%BE%E0%A6%A8%E0%A6%BF-%E0%A6%B0%E0%A6%AB%E0%A6%A4%E0%A6%BE%E0%A6%A8%E0%A6%BF-%E0%A6%95%E0%A6%BE%E0%A6%B0%E0%A7%8D%E0%A6%AF%E0%A6%95%E0%A7%8D%E0%A6%B0%E0%A6%AE-%E0%A6%AB%E0%A7%87%E0%A6%B0-%E0%A6%B6%E0%A7%81%E0%A6%B0%E0%A7%81
https://www.itvbd.com/country/32955/%E0%A6%B9%E0%A6%BF%E0%A6%B2%E0%A6%BF-%E0%A6%B8%E0%A7%8D%E0%A6%A5%E0%A6%B2%E0%A6%AC%E0%A6%A8%E0%A7%8D%E0%A6%A6%E0%A6%B0%E0%A7%87-%E0%A6%86%E0%A7%9C%E0%A6%BE%E0%A6%87%E0%A6%B6-%E0%A6%9A%E0%A6%BE%E0%A6%B2%E0%A6%AC%E0%A6%BE%E0%A6%B9%E0%A7%80-%E0%A6%9F%E0%A7%8D%E0%A6%B0%E0%A6%BE%E0%A6%95-%E0%A6%86%E0%A6%9F%E0%A6%95%E0%A6%BE
https://www.itvbd.com/amp/economy/33129/%E0%A6%B9%E0%A6%BF%E0%A6%B2%E0%A6%BF-%E0%A6%B8%E0%A7%8D%E0%A6%A5%E0%A6%B2%E0%A6%AC%E0%A6%A8%E0%A7%8D%E0%A6%A6%E0%A6%B0%E0%A7%87-%E0%A6%86%E0%A6%AE%E0%A6%A6%E0%A6%BE%E0%A6%A8%E0%A6%BF-%E0%A6%B6%E0%A7%81%E0%A6%B0%E0%A7%81-%E0%A6%B9%E0%A6%93%E0%A7%9F%E0%A6%BE%E0%A7%9F-%E0%A6%AA%E0%A7%87%E0%A6%81%E0%A7%9F%E0%A6%BE%E0%A6%9C%E0%A7%87%E0%A6%B0-%E0%A6%A6%E0%A6%BE%E0%A6%AE
https://www.banglatribune.com/country/rangpur/338729/%E0%A6%85%E0%A6%AC%E0%A6%B0%E0%A7%8B%E0%A6%A7%E0%A7%87%E0%A6%B0-%E0%A6%95%E0%A6%BE%E0%A6%B0%E0%A6%A3%E0%A7%87-%E0%A6%B9%E0%A6%BF%E0%A6%B2%E0%A6%BF-%E0%A6%B8%E0%A7%8D%E0%A6%A5%E0%A6%B2%E0%A6%AC%E0%A6%A8%E0%A7%8D%E0%A6%A6%E0%A6%B0-%E0%A6%A6%E0%A6%BF%E0%A7%9F%E0%A7%87-%E0%A6%86%E0%A6%AE%E0%A6%A6%E0%A6%BE%E0%A6%A8%E0%A6%BF-%E0%A6%B0%E0%A6%AB%E0%A6%A4%E0%A6%BE%E0%A6%A8%E0%A6%BF
https://www.thedailystar.net/backpage/hili-land-port-indian-drivers-block-road-unloading-183-trucks-1599019
https://www.thedailystar.net/historical/country?archive=2014-02-07&amp;page=927
https://www.banglatribune.com/amp/country/339063/ভারতীয়-ট্রাক-চালক-ও-হেলপারদের-বাধায়-হিলিতে
https://www.banglatribune.com/amp/country/339875/হিলিতে-আমদানি-রফতানি-কার্যক্রম-ফের-শুরু</x:v>
      </x:c>
      <x:c r="O636" s="4" t="str">
        <x:v>Source 1: access detail is retained in the source catalogue.
Source 2: access detail is retained in the source catalogue.
Source 3: access detail is retained in the source catalogue.</x:v>
      </x:c>
      <x:c r="P636" s="20" t="n">
        <x:v>1</x:v>
      </x:c>
      <x:c r="Q636" s="4" t="str">
        <x:v>South Asia, Central Asia and Caucasus</x:v>
      </x:c>
      <x:c r="R636" s="4" t="str">
        <x:v>Included</x:v>
      </x:c>
    </x:row>
    <x:row r="637" ht="162" hidden="0" customHeight="1">
      <x:c r="A637" s="16" t="str">
        <x:v>R15-EU-001</x:v>
      </x:c>
      <x:c r="B637" s="4" t="str">
        <x:v>Orlivka–Isaccea ferry crossing suspended after attack, 26 September 2023</x:v>
      </x:c>
      <x:c r="C637" s="4" t="str">
        <x:v>Romania; Ukraine</x:v>
      </x:c>
      <x:c r="D637" s="4" t="str">
        <x:v>Orlivka (Orlovka)–Isaccea
Orlivka–Isaccea international Danube river ferry checkpoint only</x:v>
      </x:c>
      <x:c r="E637" s="4" t="str">
        <x:v>People and vehicle traffic using this ferry crossing; whole Romania–Ukraine frontier was not closed.
Direction: Both directions at the named ferry checkpoint
Exceptions: Romanian notice permitted processing of inward vehicles already inside the checkpoint at suspension.</x:v>
      </x:c>
      <x:c r="F637" s="4" t="str">
        <x:v>R15-EU-001-D1 — Observed operation
Orlivka episode on 26 September 2023; operational restart precedes its announcement.
Start: 2023-09-26.
Observed scoped reopening: 2023-09-26.
Same-day episode; no whole-day duration inferred</x:v>
      </x:c>
      <x:c r="G637"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637" s="4" t="str">
        <x:v>R15-EU-001-D1: Shown as an episode occurring on this date, not a whole-day closure. Exact start hour is unestablished. The 18:20 operational restart in Romanian notice differs from the Ukrainian announcement time 18:40; these are different timestamps. The separate contribution of security precautions and physical clearance/repair is unresolved. Deliberate Russian intent to sever this international crossing is not independently verified. The September notice explicitly kept processing inbound vehicles already inside the checkpoint. Its same-day restart separates this episode from the new October 6 suspension.</x:v>
      </x:c>
      <x:c r="I637" s="4" t="str">
        <x:v>Targeted source review (REC50-R39); accepted qualification; evidence limits retained.</x:v>
      </x:c>
      <x:c r="J637" s="18" t="d">
        <x:v>2026-10-25T00:00:00.000Z</x:v>
      </x:c>
      <x:c r="K637" s="21" t="str">
        <x:f>IFERROR(HYPERLINK("https://www.politiadefrontiera.ro/ro/garda-de-coasta/i-update--trafic-reluat-prin-ptf-isaccea-informare-trafic-intrerupt-prin-ptf-isaccea-34879.html","Romanian Border Police / Coast Guard"),"Romanian Border Police / Coast Guard")</x:f>
        <x:v>Romanian Border Police / Coast Guard</x:v>
      </x:c>
      <x:c r="L637" s="21" t="str">
        <x:f>IFERROR(HYPERLINK("https://www.pravda.com.ua/eng/news/2023/09/26/7421525/","Ukrainska Pravda"),"Ukrainska Pravda")</x:f>
        <x:v>Ukrainska Pravda</x:v>
      </x:c>
      <x:c r="M637" s="21" t="str">
        <x:f>IFERROR(HYPERLINK("https://www.politiadefrontiera.ro/ro/main/i-informare-de-presa--garda-de-coasta-34964.html","Romanian Border Police / Coast Guard"),"Romanian Border Police / Coast Guard")</x:f>
        <x:v>Romanian Border Police / Coast Guard</x:v>
      </x:c>
      <x:c r="N637" s="4" t="str">
        <x:v>https://www.politiadefrontiera.ro/ro/garda-de-coasta/i-update--trafic-reluat-prin-ptf-isaccea-informare-trafic-intrerupt-prin-ptf-isaccea-34879.html
https://www.pravda.com.ua/eng/news/2023/09/26/7421525/
https://www.politiadefrontiera.ro/ro/main/i-informare-de-presa--garda-de-coasta-34964.html</x:v>
      </x:c>
      <x:c r="O637" s="4" t="str">
        <x:v>Source 1: full text
Source 2: opened body
Source 3: full text</x:v>
      </x:c>
      <x:c r="P637" s="20" t="n">
        <x:v>1</x:v>
      </x:c>
      <x:c r="Q637" s="4" t="str">
        <x:v>Europe</x:v>
      </x:c>
      <x:c r="R637" s="4" t="str">
        <x:v>Included</x:v>
      </x:c>
    </x:row>
    <x:row r="638" ht="162" hidden="0" customHeight="1">
      <x:c r="A638" s="16" t="str">
        <x:v>R15-EU-002</x:v>
      </x:c>
      <x:c r="B638" s="4" t="str">
        <x:v>Orlivka–Isaccea ferry admission suspended after attack, October 2023</x:v>
      </x:c>
      <x:c r="C638" s="4" t="str">
        <x:v>Romania; Ukraine</x:v>
      </x:c>
      <x:c r="D638" s="4" t="str">
        <x:v>Orlivka (Orlovka)–Isaccea
Orlivka–Isaccea international Danube river ferry checkpoint only</x:v>
      </x:c>
      <x:c r="E638" s="4" t="str">
        <x:v>People and vehicle traffic using this ferry crossing; whole Romania–Ukraine frontier was not closed.
Direction: Both directions at the named ferry checkpoint</x:v>
      </x:c>
      <x:c r="F638" s="4" t="str">
        <x:v>R15-EU-002-D1 — Observed operation
Admission of people and vehicles at Orlivka–Isaccea ferry checkpoint during the October attack-related suspension
Start: 2023-10-06.
Observed scoped reopening: 2023-10-15.
9 calendar-day difference; scoped endpoint only</x:v>
      </x:c>
      <x:c r="G638"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638" s="4" t="str">
        <x:v>R15-EU-002-D1: Endpoint is restored admission, not full timetable normalisation. November account compresses September/October episodes and earlier daytime restoration; it does not extend total closure to November. Coast Guard-based reopening reports share lineage; strategic targeting intent remains attributed, not adjudicated.</x:v>
      </x:c>
      <x:c r="I638" s="4" t="str">
        <x:v>Targeted source review (REC50-R39); accepted qualification; evidence limits retained.</x:v>
      </x:c>
      <x:c r="J638" s="18" t="d">
        <x:v>2026-10-25T00:00:00.000Z</x:v>
      </x:c>
      <x:c r="K638" s="21" t="str">
        <x:f>IFERROR(HYPERLINK("https://www.politiadefrontiera.ro/ro/main/i-informare-de-presa--garda-de-coasta-34964.html","Romanian Border Police / Coast Guard"),"Romanian Border Police / Coast Guard")</x:f>
        <x:v>Romanian Border Police / Coast Guard</x:v>
      </x:c>
      <x:c r="L638" s="21" t="str">
        <x:f>IFERROR(HYPERLINK("https://mediacenter.org.ua/trucks-caught-fire-ukraine-s-state-border-guard-service-give-details-on-orlivka-ferry-checkpoint-attack/","Media Center Ukraine"),"Media Center Ukraine")</x:f>
        <x:v>Media Center Ukraine</x:v>
      </x:c>
      <x:c r="M638" s="21" t="str">
        <x:f>IFERROR(HYPERLINK("https://www.politiadefrontiera.ro/ro/garda-de-coasta/i-informare-de-presa-35078.html","Romanian Border Police / Coast Guard"),"Romanian Border Police / Coast Guard")</x:f>
        <x:v>Romanian Border Police / Coast Guard</x:v>
      </x:c>
      <x:c r="N638" s="4" t="str">
        <x:v>https://www.politiadefrontiera.ro/ro/main/i-informare-de-presa--garda-de-coasta-34964.html
https://mediacenter.org.ua/trucks-caught-fire-ukraine-s-state-border-guard-service-give-details-on-orlivka-ferry-checkpoint-attack/
https://www.politiadefrontiera.ro/ro/garda-de-coasta/i-informare-de-presa-35078.html
https://www.g4media.ro/ucrainenii-pot-traversa-din-nou-la-isaccea-a-fost-reluat-traficul-pe-dunare-dupa-bombardamentele-rusiei-din-6-octombrie-in-vama-ucraineana.html
https://uc.od.ua/news/traffic/1253536
https://www.politiadefrontiera.ro/ro/garda-de-coasta/i-update--trafic-reluat-prin-ptf-isaccea-informare-trafic-intrerupt-prin-ptf-isaccea-34879.html</x:v>
      </x:c>
      <x:c r="O638" s="4" t="str">
        <x:v>Source 1: full text
Source 2: opened body
Source 3: full text</x:v>
      </x:c>
      <x:c r="P638" s="20" t="n">
        <x:v>1</x:v>
      </x:c>
      <x:c r="Q638" s="4" t="str">
        <x:v>Europe</x:v>
      </x:c>
      <x:c r="R638" s="4" t="str">
        <x:v>Included</x:v>
      </x:c>
    </x:row>
    <x:row r="639" ht="174" hidden="0" customHeight="1">
      <x:c r="A639" s="16" t="str">
        <x:v>R15-AN-002</x:v>
      </x:c>
      <x:c r="B639" s="4" t="str">
        <x:v>Rosso international ferry suspension during pirogue operators’ protest, 5 April 2021</x:v>
      </x:c>
      <x:c r="C639" s="4" t="str">
        <x:v>Senegal; Mauritania</x:v>
      </x:c>
      <x:c r="D639" s="4" t="str">
        <x:v>Rosso international river ferry
Rosso ferry service across the Senegal River between Mauritania and Senegal</x:v>
      </x:c>
      <x:c r="E639" s="4" t="str">
        <x:v>Users of the international ferry service; passenger, vehicle and goods composition not separately established.
Direction: Cross-river ferry service reported stopped; directional passenger/vehicle impacts not separately quantified.
Exceptions: No exemption during the temporary ferry stoppage established. Broader small-boat ban remained a separate issue.</x:v>
      </x:c>
      <x:c r="F639" s="4" t="str">
        <x:v>R15-AN-002-D1 — Observed operation
Rosso ferry episode on 5 April 2021; reported as a short interruption.
Start: 2021-04-05.
Observed scoped reopening: 2021-04-05.
Same-day episode; no whole-day duration inferred</x:v>
      </x:c>
      <x:c r="G639" s="4" t="str">
        <x:v>Policy and socioeconomic demands / Opposition to health policies
Analytical interpretation of reported context
Applies to: Protest context underlying April 5 ferry suspension
Pirogue operators protested COVID-era restrictions on their activity. This describes the protesters' grievance; the reported official ferry-pause request was to wait until that authorized protest ended, with no separate health-containment purpose established.
Policy and socioeconomic demands / Jobs, services and livelihoods
Analytical interpretation of reported context
Applies to: Protest context underlying April 5 ferry suspension
Operators sought resumption of their income-generating pirogue activity, suspended for about a year. This is protest context, not an assertion that authorities stopped the ferry to demand livelihood concessions.</x:v>
      </x:c>
      <x:c r="H639" s="4" t="str">
        <x:v>R15-AN-002-D1: Shown as an episode occurring on this date, not a whole-day closure. Exact clock times, category-level exemptions and individual implementation observations are unspecified. Reported five-hour interruption is not converted into a calculated duration.</x:v>
      </x:c>
      <x:c r="I639" s="4" t="str">
        <x:v>Retained baseline assessment. Amended after source reconciliation</x:v>
      </x:c>
      <x:c r="J639" s="18" t="d">
        <x:v>2026-10-23T00:00:00.000Z</x:v>
      </x:c>
      <x:c r="K639" s="21" t="str">
        <x:f>IFERROR(HYPERLINK("https://fr.saharamedias.net/reouverture-de-la-frontiere-mauritano-senegalaise-apres-sa-fermeture-pendant-quelques-heures/","fr.saharamedias.net"),"fr.saharamedias.net")</x:f>
        <x:v>fr.saharamedias.net</x:v>
      </x:c>
      <x:c r="L639" s="21" t="str">
        <x:f>IFERROR(HYPERLINK("https://saharamedias.net/161424/","saharamedias.net"),"saharamedias.net")</x:f>
        <x:v>saharamedias.net</x:v>
      </x:c>
      <x:c r="M639" s="21" t="str">
        <x:f>IFERROR(HYPERLINK("https://www.leral.net/Rosso-Senegal-La-reouverture-des-frontieres-exigee_a300555.html","leral.net"),"leral.net")</x:f>
        <x:v>leral.net</x:v>
      </x:c>
      <x:c r="N639" s="4" t="str">
        <x:v>https://fr.saharamedias.net/reouverture-de-la-frontiere-mauritano-senegalaise-apres-sa-fermeture-pendant-quelques-heures/
https://saharamedias.net/161424/
https://www.leral.net/Rosso-Senegal-La-reouverture-des-frontieres-exigee_a300555.html</x:v>
      </x:c>
      <x:c r="O639" s="4" t="str">
        <x:v>Source 1: full
Source 2: failed
Source 3: access detail is retained in the source catalogue.</x:v>
      </x:c>
      <x:c r="P639" s="20" t="n">
        <x:v>1</x:v>
      </x:c>
      <x:c r="Q639" s="4" t="str">
        <x:v>West Africa</x:v>
      </x:c>
      <x:c r="R639" s="4" t="str">
        <x:v>Included</x:v>
      </x:c>
    </x:row>
    <x:row r="640" ht="306" hidden="0" customHeight="1">
      <x:c r="A640" s="16" t="str">
        <x:v>R16-AN-001</x:v>
      </x:c>
      <x:c r="B640" s="4" t="str">
        <x:v>Senegal–Mauritania reciprocal freight-vehicle entry restrictions with compulsory transshipment, documented within 2018–2025</x:v>
      </x:c>
      <x:c r="C640" s="4" t="str">
        <x:v>Senegal; Mauritania</x:v>
      </x:c>
      <x:c r="D640" s="4" t="str">
        <x:v>Rosso; other posts not individually established
Cross-border through-carriage by Senegalese and Mauritanian freight vehicles; compulsory transfer to local trucks</x:v>
      </x:c>
      <x:c r="E640" s="4" t="str">
        <x:v>Senegalese freight vehicles entering Mauritania; reciprocal Mauritanian vehicles reported at Rosso.
Direction: Reciprocal in participant and retrospective accounts; institutional confirmation specifically Senegal-to-Mauritania.
Exceptions: Cargo continued after transfer; Moroccan carriers reported operating. Full exemptions not established.</x:v>
      </x:c>
      <x:c r="F640" s="4" t="str">
        <x:v>R16-AN-001-R1 — Formal policy
Documented segment of Mauritanian restriction on Senegalese through-carriage; Rosso cargo transfer
Start: 2018-03-01 to 2018-03-31.
Policy endpoint: 2025-07-11.
Formal policy: 2659–2689 calendar-day difference; operational continuity not established</x:v>
      </x:c>
      <x:c r="G640" s="4" t="str">
        <x:v>Uncoded / Unresolved rationale
Not assigned
Applies to: Not assigned
No additional motive inferred</x:v>
      </x:c>
      <x:c r="H640" s="4" t="str">
        <x:v>R16-AN-001-R1: March 2018 is a documentary segment boundary, not original onset; 2010 claim alone not adopted as original date. July formal abolition differs from November lifting in later communiqué. Cargo was not banned, and Moroccan vehicles reportedly circulated.
original onset/operational endpoint/rationale: Fresh pass reconfirms formal July 11 abolition but no first operational crossing. Historical research exposes earlier variable regimes, not a defensible original onset or motive for this record. Retain uncoded rationale and existing qualified phase.
rationale: Fresh pass reconfirms formal July 11 abolition but no first operational crossing. Historical research exposes earlier variable regimes, not a defensible original onset or motive for this record. Retain uncoded rationale and existing qualified phase.</x:v>
      </x:c>
      <x:c r="I640" s="4" t="str">
        <x:v>Retained baseline assessment. 23 October targeted review; retained with qualifications</x:v>
      </x:c>
      <x:c r="J640" s="18" t="d">
        <x:v>2026-10-23T00:00:00.000Z</x:v>
      </x:c>
      <x:c r="K640" s="21" t="str">
        <x:f>IFERROR(HYPERLINK("https://www.wto.org/english/tratop_e/tpr_e/s371_e.pdf","WTO Secretariat"),"WTO Secretariat")</x:f>
        <x:v>WTO Secretariat</x:v>
      </x:c>
      <x:c r="L640" s="21" t="str">
        <x:f>IFERROR(HYPERLINK("https://ladepeche.mr/?p=16873","La Dépêche / Le Quotidien"),"La Dépêche / Le Quotidien")</x:f>
        <x:v>La Dépêche / Le Quotidien</x:v>
      </x:c>
      <x:c r="M640" s="21" t="str">
        <x:f>IFERROR(HYPERLINK("https://ami.mr/fr/archives/275255","AMI"),"AMI")</x:f>
        <x:v>AMI</x:v>
      </x:c>
      <x:c r="N640" s="4" t="str">
        <x:v>https://www.wto.org/english/tratop_e/tpr_e/s371_e.pdf
https://ladepeche.mr/?p=16873
https://ami.mr/fr/archives/275255
https://www.rts.sn/actualite/detail/politique/senegal-mauritanie-vers-un-renforcement-structurant-de-la-cooperation-bilaterale-et-regionale
https://cridem.org/C_Info.php?article=726313
https://fr.linkedin.com/posts/ministere-des-transports-terrestres-aeriens_%F0%9D%90%93%F0%9D%90%91%F0%9D%90%80%F0%9D%90%8D%F0%9D%90%92%F0%9D%90%8F%F0%9D%90%8E%F0%9D%90%91%F0%9D%90%93-%F0%9D%90%83%F0%9D%90%84-%F0%9D%90%8F%F0%9D%90%84%F0%9D%90%91%F0%9D%90%92%F0%9D%90%8E%F0%9D%90%8D%F0%9D%90%8D%F0%9D%90%84%F0%9D%90%92-activity-7349852589280190464-SjS3
https://www.seneplus.com/article/en-attendant-le-conseil-presidentiel-constats-et-attente-pour-la-peche
https://rapideinfo.mr/dialogue-politique-visite-du-premier-ministre-mauritanien-au-senegal/
https://www.afdb.org/sites/default/files/documents/projects-and-operations/multinational_-_projet_de_construction_du_pont_de_rosso_-_p-z1-d00-020_-_eer_fevrier_2023.pdf
https://afrique.le360.ma/mauritanie-senegal/politique/2020/03/21/29894-coronavirus-mauritanie-senegal-fermeture-de-la-frontiere-terrestre-entre-les-deux/
https://fr.saharamedias.net/reouverture-de-la-frontiere-mauritano-senegalaise-apres-sa-fermeture-pendant-quelques-heures/
https://dtm.iom.int/sites/g/files/tmzbdl1461/files/reports/FMS_Dashboard_Oct-dec_2022.pdf
https://aps.sn/dakar-et-nouakchott-actent-la-levee-des-restrictions-sur-la-libre-circulation-des-personnes-et-des-biens/
https://horizon.documentation.ird.fr/exl-doc/pleins_textes/divers18-08/010064533.pdf
https://www.journaltahalil.com/archives/detail.php?categ=3&amp;id=4861</x:v>
      </x:c>
      <x:c r="O640" s="4" t="str">
        <x:v>Source 1: full
Source 2: full
Source 3: full; failed</x:v>
      </x:c>
      <x:c r="P640" s="20" t="n">
        <x:v>1</x:v>
      </x:c>
      <x:c r="Q640" s="4" t="str">
        <x:v>West Africa</x:v>
      </x:c>
      <x:c r="R640" s="4" t="str">
        <x:v>Included</x:v>
      </x:c>
    </x:row>
    <x:row r="641" ht="174" hidden="0" customHeight="1">
      <x:c r="A641" s="16" t="str">
        <x:v>R16-AN-002</x:v>
      </x:c>
      <x:c r="B641" s="4" t="str">
        <x:v>Côte d’Ivoire inherited prohibition on land exports of coffee, cocoa and cashew</x:v>
      </x:c>
      <x:c r="C641" s="4" t="str">
        <x:v>Côte d’Ivoire; Ghana; Guinea; Burkina Faso</x:v>
      </x:c>
      <x:c r="D641" s="4" t="str">
        <x:v>No exhaustive gate list; reported interceptions on Ghana/Guinea approaches and at inland Doropo
National terrestrial export routes for the three specified agricultural products; enforcement examples toward Ghana, Guinea and Burkina Faso</x:v>
      </x:c>
      <x:c r="E641" s="4" t="str">
        <x:v>Coffee, cocoa and cashew exports by land; no general traveller or unrelated-goods closure.
Direction: Outward from Côte d’Ivoire
Exceptions: The notice permits export through designated Abidjan and San-Pedro maritime offices; land exceptions not established.</x:v>
      </x:c>
      <x:c r="F641" s="4" t="str">
        <x:v>R16-AN-002-R1 — Formal policy
Documented continuing national rule prohibiting land exports of coffee, cocoa and cashew
Start: 2013-10-16.
Last confirmed: 2026-04-23. Reopening is not established.
Formal policy: confirmed through 2026-04-23; at least 4572 calendar-day difference; reopening unknown</x:v>
      </x:c>
      <x:c r="G641" s="4" t="str">
        <x:v>Trade and protectionism / Import, export and production controls
Attributed official justification
Applies to: Documented October 2017 enforcement reinforcement
The economic-protection code applies to documented October 2017 reinforcement, not an inferred motive for the original 2005 rule or every product.</x:v>
      </x:c>
      <x:c r="H641" s="4" t="str">
        <x:v>R16-AN-002-R1: 2013 is a documentary phase boundary, not initial commencement. Smuggling and variable enforcement do not establish physical closure. No status beyond April 23 2026; permitted maritime exports continue. Original 2005 document remains unverified.</x:v>
      </x:c>
      <x:c r="I641" s="4" t="str">
        <x:v>Targeted source review (REC50-R43); retained with recorded qualifications; evidence limits retained.</x:v>
      </x:c>
      <x:c r="J641" s="18" t="d">
        <x:v>2026-10-25T00:00:00.000Z</x:v>
      </x:c>
      <x:c r="K641" s="21" t="str">
        <x:f>IFERROR(HYPERLINK("https://www.douanes.ci/node/36241","Côte d’Ivoire Directorate General of Customs"),"Côte d’Ivoire Directorate General of Customs")</x:f>
        <x:v>Côte d’Ivoire Directorate General of Customs</x:v>
      </x:c>
      <x:c r="L641" s="21" t="str">
        <x:f>IFERROR(HYPERLINK("https://www.douanes.ci/info/fuite-de-cacao-les-douanes-ivoiriennes-saisissent-environ-78-tonnes-de-cacao","Côte d’Ivoire Customs"),"Côte d’Ivoire Customs")</x:f>
        <x:v>Côte d’Ivoire Customs</x:v>
      </x:c>
      <x:c r="M641" s="21" t="str">
        <x:f>IFERROR(HYPERLINK("https://www.douanes.ci/info/exportation-frauduleuse-de-produits-de-rente","Côte d’Ivoire Directorate General of Customs"),"Côte d’Ivoire Directorate General of Customs")</x:f>
        <x:v>Côte d’Ivoire Directorate General of Customs</x:v>
      </x:c>
      <x:c r="N641" s="4" t="str">
        <x:v>https://www.douanes.ci/node/36241
https://www.douanes.ci/info/fuite-de-cacao-les-douanes-ivoiriennes-saisissent-environ-78-tonnes-de-cacao
https://www.douanes.ci/info/exportation-frauduleuse-de-produits-de-rente
https://www.douanes.ci/sites/default/files/base_documentaire/2038.pdf
https://www.douanes.ci/sites/default/files/base_documentaire/169.pdf
https://www.douanes.ci/info/fraude-douaniere-la-douane-met-le-grappin-sur-une-importante-quantite-de-noix-de-cajou-de-cacao
https://bilan.gouv.ci/actualite/8253
https://www.bilan.gouv.ci/actualite/10974
https://gouv.ci/index.php/actualite/defense-et-securite-le-gouvernement-annonce-louverture-des-frontieres-terrestres-le-15-fevrier-2023-a-compter-de-minuit-2444
https://www.yeclo.com/des-immigres-clandestins-interceptes-dans-le-bounkani/
https://www.douanes.ci/info/textes-reglementaires?page=240</x:v>
      </x:c>
      <x:c r="O641" s="4" t="str">
        <x:v>Source 1: full; partial metadata
Source 2: full
Source 3: full; full text</x:v>
      </x:c>
      <x:c r="P641" s="20" t="n">
        <x:v>1</x:v>
      </x:c>
      <x:c r="Q641" s="4" t="str">
        <x:v>West Africa</x:v>
      </x:c>
      <x:c r="R641" s="4" t="str">
        <x:v>Included</x:v>
      </x:c>
    </x:row>
    <x:row r="642" ht="90" hidden="0" customHeight="1">
      <x:c r="A642" s="16" t="str">
        <x:v>R16-AS-001</x:v>
      </x:c>
      <x:c r="B642" s="4" t="str">
        <x:v>Beitbridge international-truck scanner-access blockade, June 2018</x:v>
      </x:c>
      <x:c r="C642" s="4" t="str">
        <x:v>Zimbabwe; South Africa</x:v>
      </x:c>
      <x:c r="D642" s="4" t="str">
        <x:v>Beitbridge
Beitbridge customs scanner approach for international haulage traffic</x:v>
      </x:c>
      <x:c r="E642" s="4" t="str">
        <x:v>Haulage traffic using the blocked scanner approach.
Direction: Not established</x:v>
      </x:c>
      <x:c r="F642" s="4" t="str">
        <x:v>R16-AS-001-R1 — Observed operation
International haulage scanner-access section of Beitbridge customs yard
Start: 2018-06-19.
Observed scoped reopening: 2018-06-19 to 2018-06-21.
0–2 calendar-day difference; scoped endpoint only</x:v>
      </x:c>
      <x:c r="G642" s="4" t="str">
        <x:v>Trade and protectionism / Trade and transport protests
Reported reason
Applies to: June 19, 2018 scanner-access blockade, resolved by June 21
Drivers deliberately blocked the scanner approach to demand faster customs clearance; this supports transport-protest coding. It does not establish a state protectionist motive or a whole-border closure.</x:v>
      </x:c>
      <x:c r="H642" s="4" t="str">
        <x:v>R16-AS-001-R1: Named official reports resolution, but its exact day and hour within June 19–21 are unspecified. Calendar bounds do not give exact elapsed duration. Indexed NewsDay/Southern Eye reprint is one origin; scanner-access section only, direction unknown.</x:v>
      </x:c>
      <x:c r="I642" s="4" t="str">
        <x:v>Targeted source review (REC50-R19); retained with recorded qualifications; evidence limits retained.</x:v>
      </x:c>
      <x:c r="J642" s="18" t="d">
        <x:v>2026-10-25T00:00:00.000Z</x:v>
      </x:c>
      <x:c r="K642" s="21" t="str">
        <x:f>IFERROR(HYPERLINK("https://businessdaily.co.zw/index-id-national-zk-45039.html","Business Daily News Zimbabwe"),"Business Daily News Zimbabwe")</x:f>
        <x:v>Business Daily News Zimbabwe</x:v>
      </x:c>
      <x:c r="L642" s="21" t="str">
        <x:f>IFERROR(HYPERLINK("https://www.heraldonline.co.zw/chaos-as-truckers-block-beitbridge-border-post/","The Herald"),"The Herald")</x:f>
        <x:v>The Herald</x:v>
      </x:c>
      <x:c r="M642" s="21" t="str">
        <x:f>IFERROR(HYPERLINK("https://www.businessdaily.co.zw/index-id-search-keyword-Soldiers.html","Business Daily"),"Business Daily")</x:f>
        <x:v>Business Daily</x:v>
      </x:c>
      <x:c r="N642" s="4" t="str">
        <x:v>https://businessdaily.co.zw/index-id-national-zk-45039.html
https://www.heraldonline.co.zw/chaos-as-truckers-block-beitbridge-border-post/
https://www.businessdaily.co.zw/index-id-search-keyword-Soldiers.html
https://bulawayo24.com/index-id-archive-yr-2018-mnth-6.html
https://www.newsdzezimbabwe.co.uk/2018/07/chaos-reigns-in-beitbridge.html</x:v>
      </x:c>
      <x:c r="O642" s="4" t="str">
        <x:v>Source 1: indexed excerpt; failed; indexed extract
Source 2: indexed excerpt
Source 3: Substantial indexed archive passage inspected; direct opening failed 502</x:v>
      </x:c>
      <x:c r="P642" s="20" t="n">
        <x:v>1</x:v>
      </x:c>
      <x:c r="Q642" s="4" t="str">
        <x:v>Southern Africa</x:v>
      </x:c>
      <x:c r="R642" s="4" t="str">
        <x:v>Included</x:v>
      </x:c>
    </x:row>
    <x:row r="643" ht="138" hidden="0" customHeight="1">
      <x:c r="A643" s="16" t="str">
        <x:v>R16-AM-001</x:v>
      </x:c>
      <x:c r="B643" s="4" t="str">
        <x:v>Melchor de Mencos cargo blockade, late August–2 September 2021</x:v>
      </x:c>
      <x:c r="C643" s="4" t="str">
        <x:v>Guatemala; Belize</x:v>
      </x:c>
      <x:c r="D643" s="4" t="str">
        <x:v>Melchor de Mencos / Benque Viejo Western Border
Guatemala-side road approach to the Melchor de Mencos–Benque Viejo crossing</x:v>
      </x:c>
      <x:c r="E643" s="4" t="str">
        <x:v>Incoming Guatemalan trucks, including non-corn cargo
Direction: Guatemala to Belize freight movement demonstrated; reverse and passenger effects unresolved.</x:v>
      </x:c>
      <x:c r="F643" s="4" t="str">
        <x:v>R16-AM-001-RREV1 — Intermittent regime
Guatemalan trucker protest obstructing cargo road entry to Belize at Melchor de Mencos / Western Border
Start: 2021-08-31.
Scoped endpoint: 2021-09-02.
Intermittent regime envelope; total closed days unknown</x:v>
      </x:c>
      <x:c r="G643" s="4" t="str">
        <x:v>Trade and protectionism / Trade and transport protests
Reported reason
Applies to: Recorded episode; exact overlap not separately established
Commercial charges and repeated COVID testing are concurrent protest grievances. Infection-control coding is removed.
Policy and socioeconomic demands / Opposition to health policies
Reported reason
Applies to: Recorded episode; exact overlap not separately established
Commercial charges and repeated COVID testing are concurrent protest grievances. Infection-control coding is removed.</x:v>
      </x:c>
      <x:c r="H643" s="4" t="str">
        <x:v>R16-AM-001-RREV1: Reopening was about 11:30 September 2; endpoint date is partial. August 30 in a later location-confused roundup is not preferred. Passage between blockages and all-passenger conditions remain unknown; this is not total days closed.</x:v>
      </x:c>
      <x:c r="I643" s="4" t="str">
        <x:v>Retained baseline assessment. Retained with recorded qualifications</x:v>
      </x:c>
      <x:c r="J643" s="18" t="d">
        <x:v>2026-10-23T00:00:00.000Z</x:v>
      </x:c>
      <x:c r="K643" s="21" t="str">
        <x:f>IFERROR(HYPERLINK("https://www.breakingbelizenews.com/2021/09/02/breaking-belize-customs-makes-concession-guatemalan-truck-drivers-give-up-protest-things-getting-back-to-normal-at-the-western-border/","Breaking Belize News"),"Breaking Belize News")</x:f>
        <x:v>Breaking Belize News</x:v>
      </x:c>
      <x:c r="L643" s="21" t="str">
        <x:f>IFERROR(HYPERLINK("https://amandala.com.bz/news/guat-truckers-protest-at-western-border/","Amandala"),"Amandala")</x:f>
        <x:v>Amandala</x:v>
      </x:c>
      <x:c r="M643" s="21" t="str">
        <x:f>IFERROR(HYPERLINK("https://www.7newsbelize.com/sstory.php?nid=59012","7 News Belize"),"7 News Belize")</x:f>
        <x:v>7 News Belize</x:v>
      </x:c>
      <x:c r="N643" s="4" t="str">
        <x:v>https://www.breakingbelizenews.com/2021/09/02/breaking-belize-customs-makes-concession-guatemalan-truck-drivers-give-up-protest-things-getting-back-to-normal-at-the-western-border/
https://amandala.com.bz/news/guat-truckers-protest-at-western-border/
https://www.7newsbelize.com/sstory.php?nid=59012
https://www.wsws.org/en/articles/2021/09/06/wkrs-s06.html</x:v>
      </x:c>
      <x:c r="O643" s="4" t="str">
        <x:v>Source 1: full
Source 2: indexed excerpt; failed
Source 3: full</x:v>
      </x:c>
      <x:c r="P643" s="20" t="n">
        <x:v>1</x:v>
      </x:c>
      <x:c r="Q643" s="4" t="str">
        <x:v>Americas</x:v>
      </x:c>
      <x:c r="R643" s="4" t="str">
        <x:v>Included</x:v>
      </x:c>
    </x:row>
    <x:row r="644" ht="294" hidden="0" customHeight="1">
      <x:c r="A644" s="16" t="str">
        <x:v>R16-SM-001</x:v>
      </x:c>
      <x:c r="B644" s="4" t="str">
        <x:v>Petrapole–Benapole freight protest stoppage, January 8 2018</x:v>
      </x:c>
      <x:c r="C644" s="4" t="str">
        <x:v>Bangladesh; India</x:v>
      </x:c>
      <x:c r="D644" s="4" t="str">
        <x:v>Petrapole–Benapole
Cross-border goods in both directions at named crossing; passengers exempt.</x:v>
      </x:c>
      <x:c r="E644" s="4" t="str">
        <x:v>Cross-border freight and trucks
Direction: Both directions at named crossing
Exceptions: Passport passengers and Benapole internal cargo handling continued.</x:v>
      </x:c>
      <x:c r="F644" s="4" t="str">
        <x:v>R16-SM-001-FU1 — Observed operation
Petrapole–Benapole freight interchange
Start: 2018-01-08.
Last confirmed: 2018-01-08. Reopening is not established.
dated evidence; numeric duration withheld; see qualification</x:v>
      </x:c>
      <x:c r="G644"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644" s="4" t="str">
        <x:v>R16-SM-001-FU1: Morning onset, not midnight. Later January 24–30 stoppage does not supply this episode’s endpoint.
end/continuity: The January 8 freight onset is supported, but no matched resumption or intervening continuity evidence was added. The separate later-January strike cannot answer this endpoint question.
Current continuity finding: January 8 morning freight stoppage is directly reported, with passport travelers and internal loading continuing. Same-day confirmation cannot establish a completed duration; the later January 24–30 dispute is a separate episode.
duration: Add January 8 morning freight-only stoppage onset. Keep passenger movement exempt and later January strike separate; end remains unknown.
Current continuity finding: January 8 morning freight stoppage is directly reported, with passport travelers and internal loading continuing. Same-day confirmation cannot establish a completed duration; the later January 24–30 dispute is a separate episode.</x:v>
      </x:c>
      <x:c r="I644" s="4" t="str">
        <x:v>Targeted source review (REC50-R12); completed with unresolved evidence; evidence limits retained.</x:v>
      </x:c>
      <x:c r="J644" s="18" t="d">
        <x:v>2026-10-25T00:00:00.000Z</x:v>
      </x:c>
      <x:c r="K644" s="21" t="str">
        <x:f>IFERROR(HYPERLINK("https://ournewsbd.net/পেট্রাপোলে-ধর্মঘট-বেনাপ/","Our News BD"),"Our News BD")</x:f>
        <x:v>Our News BD</x:v>
      </x:c>
      <x:c r="L644" s="21" t="str">
        <x:f>IFERROR(HYPERLINK("https://archive1.kalaroanews.com/%E0%A6%AD%E0%A6%BE%E0%A6%B0%E0%A6%A4%E0%A7%87%E0%A6%B0-%E0%A6%95%E0%A6%BE%E0%A6%B8%E0%A7%8D%E0%A6%9F%E0%A6%AE%E0%A6%B8%E0%A7%8D-%E0%A6%93-%E0%A6%B8%E0%A6%BF%E0%A6%8F%E0%A6%A8%E0%A7%8D%E0%A6%A1/","Kalaroa News"),"Kalaroa News")</x:f>
        <x:v>Kalaroa News</x:v>
      </x:c>
      <x:c r="M644" s="21" t="str">
        <x:f>IFERROR(HYPERLINK("https://ournewsbd.net/%E0%A6%AA%E0%A7%87%E0%A6%9F%E0%A7%8D%E0%A6%B0%E0%A6%BE%E0%A6%AA%E0%A7%8B%E0%A6%B2%E0%A7%87-%E0%A6%A7%E0%A6%B0%E0%A7%8D%E0%A6%AE%E0%A6%98%E0%A6%9F-%E0%A6%AC%E0%A7%87%E0%A6%A8%E0%A6%BE%E0%A6%AA/","OurNewsBD"),"OurNewsBD")</x:f>
        <x:v>OurNewsBD</x:v>
      </x:c>
      <x:c r="N644" s="4" t="str">
        <x:v>https://ournewsbd.net/পেট্রাপোলে-ধর্মঘট-বেনাপ/
https://archive1.kalaroanews.com/%E0%A6%AD%E0%A6%BE%E0%A6%B0%E0%A6%A4%E0%A7%87%E0%A6%B0-%E0%A6%95%E0%A6%BE%E0%A6%B8%E0%A7%8D%E0%A6%9F%E0%A6%AE%E0%A6%B8%E0%A7%8D-%E0%A6%93-%E0%A6%B8%E0%A6%BF%E0%A6%8F%E0%A6%A8%E0%A7%8D%E0%A6%A1/
https://ournewsbd.net/%E0%A6%AA%E0%A7%87%E0%A6%9F%E0%A7%8D%E0%A6%B0%E0%A6%BE%E0%A6%AA%E0%A7%8B%E0%A6%B2%E0%A7%87-%E0%A6%A7%E0%A6%B0%E0%A7%8D%E0%A6%AE%E0%A6%98%E0%A6%9F-%E0%A6%AC%E0%A7%87%E0%A6%A8%E0%A6%BE%E0%A6%AA/
https://today.thefinancialexpress.com.bd/first-page/six-day-halt-at-benapole-port-causes-tk-600m-revenue-loss-1517421362?date=01-02-2018
https://archive1.kalaroanews.com/2018/01/08/
https://www.dhakatribune.com/bangladesh/nation/136789/import-export-thru-benapole-port-halted-for-4-days
https://www.thedailystar.net/backpage/deadlock-ends-benapole-1527526
https://archive1.kalaroanews.com/ভারতের-কাস্টমস্-ও-সিএন্ড/
https://old.dailyinqilab.com/article/115083/%C3%A0%C2%A7%C2%AC-%C3%A0%C2%A6%C2%A6%C3%A0%C2%A6%C2%BF%C3%A0%C2%A6%C2%A8-%C3%A0%C2%A6%C2%AA%C3%A0%C2%A6%C2%B0-%C3%A0%C2%A6%C2%B8%C3%A0%C2%A6%C2%9A%C3%A0%C2%A6%C2%B2-%C3%A0%C2%A6%C2%AC%C3%A0%C2%A7%C2%87%C3%A0%C2%A6%C2%A8%C3%A0%C2%A6%C2%BE%C3%A0%C2%A6%C2%AA%C3%A0%C2%A7%C2%8B%C3%A0%C2%A6%C2%B2-%C3%A0%C2%A6%C2%AA%C3%A0%C2%A7%C2%87%C3%A0%C2%A6%C2%9F%C3%A0%C2%A7%C2%8D%C3%A0%C2%A6%C2%B0%C3%A0%C2%A6%C2%BE%C3%A0%C2%A6%C2%AA%C3%A0%C2%A7%25</x:v>
      </x:c>
      <x:c r="O644" s="4" t="str">
        <x:v>Source 1: full text
Source 2: full
Source 3: full</x:v>
      </x:c>
      <x:c r="P644" s="20" t="n">
        <x:v>1</x:v>
      </x:c>
      <x:c r="Q644" s="4" t="str">
        <x:v>South Asia, Central Asia and Caucasus</x:v>
      </x:c>
      <x:c r="R644" s="4" t="str">
        <x:v>Included</x:v>
      </x:c>
    </x:row>
    <x:row r="645" ht="174" hidden="0" customHeight="1">
      <x:c r="A645" s="16" t="str">
        <x:v>R16-SM-005</x:v>
      </x:c>
      <x:c r="B645" s="4" t="str">
        <x:v>Sarfait security closure following armed confrontation, July 2025</x:v>
      </x:c>
      <x:c r="C645" s="4" t="str">
        <x:v>Oman; Yemen</x:v>
      </x:c>
      <x:c r="D645" s="4" t="str">
        <x:v>Sarfait / Sarfit / Surfeet
Closure of Sarfait crossing by Yemeni local authorities; reportedly complete but category/direction exceptions unitemised.</x:v>
      </x:c>
      <x:c r="E645" s="4" t="str">
        <x:v>Crossing users; precise goods/passenger categories unknown
Direction: Not itemised; crossing closure reported</x:v>
      </x:c>
      <x:c r="F645" s="4" t="str">
        <x:v>R16-SM-005-D1 — Observed operation
Reported Sarfait crossing-service suspension after the armed confrontation
Start: 2025-07-07 to 2025-07-08.
Observed scoped reopening: 2025-07-08 to 2025-07-09.
0–2 calendar-day difference; scoped endpoint only</x:v>
      </x:c>
      <x:c r="G645" s="4" t="str">
        <x:v>Security / Armed conflict and military confrontation
Reported reason
Applies to: July 2025 Sarfait closure after armed confrontation
Local and military-source reporting links the precautionary closure to armed confrontation; disputed affiliations and alleged offences remain attributed.
Security / Smuggling and illicit trafficking
Attributed official justification
Applies to: July 8 local-authority explanation of the Sarfait closure
Ain Al Mahrah attributes to an unnamed local-authority official the purpose of protecting border security and preventing possible infiltration or smuggling. This records a stated preventive justification, not established trafficking or an independently obtained order.</x:v>
      </x:c>
      <x:c r="H645" s="4" t="str">
        <x:v>R16-SM-005-D1: Reported operational bounds, not exact reopening on publication day. Detailed direction/category exceptions remain unitemised and all-category implementation is not independently verified. July 7 detention is not itself the closure date; no extension to cutoff or exact hours is claimed.</x:v>
      </x:c>
      <x:c r="I645" s="4" t="str">
        <x:v>Retained baseline assessment. Amended after source reconciliation</x:v>
      </x:c>
      <x:c r="J645" s="18" t="d">
        <x:v>2026-10-23T00:00:00.000Z</x:v>
      </x:c>
      <x:c r="K645" s="21" t="str">
        <x:f>IFERROR(HYPERLINK("https://www.alaraby.co.uk/politics/القبض-على-القيادي-الحوثي-محمد-الزايدي-في-منفذ-صرفيت-شرقي-اليمن","Al Araby Al Jadeed"),"Al Araby Al Jadeed")</x:f>
        <x:v>Al Araby Al Jadeed</x:v>
      </x:c>
      <x:c r="L645" s="21" t="str">
        <x:f>IFERROR(HYPERLINK("https://ainalmahrah.com/news36278.html","Ain Al Mahrah"),"Ain Al Mahrah")</x:f>
        <x:v>Ain Al Mahrah</x:v>
      </x:c>
      <x:c r="M645" s="21" t="str">
        <x:f>IFERROR(HYPERLINK("https://almmarsa.com/report/إغلاق-منفذ-صرفيت-بعد-اعتقال-قيادي-حوثي/","Al Marsa"),"Al Marsa")</x:f>
        <x:v>Al Marsa</x:v>
      </x:c>
      <x:c r="N645" s="4" t="str">
        <x:v>https://www.alaraby.co.uk/politics/القبض-على-القيادي-الحوثي-محمد-الزايدي-في-منفذ-صرفيت-شرقي-اليمن
https://ainalmahrah.com/news36278.html
https://almmarsa.com/report/إغلاق-منفذ-صرفيت-بعد-اعتقال-قيادي-حوثي/
https://nabd.com/s/157750512-0f3cf0/%D8%B9%D8%A7%D8%AC%D9%84-%D9%85%D8%B5%D8%A7%D8%AF%D8%B1-%D9%85%D8%AD%D9%84%D9%8A%D8%A9-%D8%A5%D8%B9%D8%A7%D8%AF%D8%A9-%D9%81%D8%AA%D8%AD-%D9%85%D9%86%D9%81%D8%B0-%D8%B5%D8%B1%D9%81%D9%8A%D8%AA-%D8%A7%D9%84%D8%AD%D8%AF%D9%88%D8%AF%D9%8A-%D9%85%D8%B9-%D8%B3%D9%84%D8%B7%D9%86%D8%A9-%D8%B9%D9%8F%D9%85%D8%A7%D9%86
https://barran.press/news/10175
https://www.yemenmonitor.com/en/Details/ArtMID/908/ArticleID/144765
https://nabd.com/s/157750512-0f3cf0/عاجل-مصادر-محلية-إعادة-فتح-منفذ-صرفيت-الحدودي-مع-سلطنة-عُمان</x:v>
      </x:c>
      <x:c r="O645" s="4" t="str">
        <x:v>Source 1: Relevant returned article body opened and inspected
Source 2: Relevant returned article body opened and inspected
Source 3: Relevant returned article body opened and inspected</x:v>
      </x:c>
      <x:c r="P645" s="20" t="n">
        <x:v>1</x:v>
      </x:c>
      <x:c r="Q645" s="4" t="str">
        <x:v>Middle East</x:v>
      </x:c>
      <x:c r="R645" s="4" t="str">
        <x:v>Included</x:v>
      </x:c>
    </x:row>
    <x:row r="646" ht="126" hidden="0" customHeight="1">
      <x:c r="A646" s="16" t="str">
        <x:v>R16-EU-001</x:v>
      </x:c>
      <x:c r="B646" s="4" t="str">
        <x:v>Inherited Finland–Norway restriction on ordinary cross-border reindeer husbandry</x:v>
      </x:c>
      <x:c r="C646" s="4" t="str">
        <x:v>Finland; Norway</x:v>
      </x:c>
      <x:c r="D646" s="4" t="str">
        <x:v>Frontier grazing areas; not general passenger checkpoints
Finland–Norway land-frontier husbandry/grazing regime; treaty fence line is the operative divide where specified, with the international boundary operative between Angeli and boundary cairn 343.</x:v>
      </x:c>
      <x:c r="E646" s="4" t="str">
        <x:v>Reindeer crossing the treaty-defined divide for ordinary husbandry/grazing, subject to designated-route and lawful slaughter-import exceptions.
Direction: Reciprocal Finland–Norway
Exceptions: Articles 7–11 regulate recovery/return of strays. Article 19 permits commission-designated migration routes across the other state, without grazing during that movement, and excludes lawfully imported slaughter reindeer under secure guarding. Fence deviations mean the operative grazing divide is not everywhere the international line. No general passenger or all-livestock trade ban asserted.</x:v>
      </x:c>
      <x:c r="F646" s="4" t="str">
        <x:v>R16-EU-001-R1 — Formal policy
Renewed Norway–Finland ordinary cross-border reindeer husbandry restriction under the convention effective January 1, 2017, preserving its exceptions and subsequent fence-alignment amendment.
Start: 2017-01-01.
Last confirmed: 2026-04-30. Reopening is not established.
Formal policy: confirmed through 2026-04-30; at least 3406 calendar-day difference; reopening unknown</x:v>
      </x:c>
      <x:c r="G646" s="4" t="str">
        <x:v>Environment and resource management / Herd and grazing management
Attributed official justification
Applies to: Only the closure or restriction described by the cited source; no added temporal overlap claim
The bilateral arrangements require guarding and fencing to prevent reindeer crossing and define responsibility for straying herds. This is husbandry control, not demonstrated disease prevention. No additional motive is inferred.</x:v>
      </x:c>
      <x:c r="H646" s="4" t="str">
        <x:v>R16-EU-001-R1: A modern formal policy phase, not historic onset or a physical fence-completion interval. Preserve stray recovery, designated migration routes without grazing, and lawful guarded slaughter imports. March 2023 change concerns fence alignment. April 30, 2026 is substantive confirmation, not reopening or research-cutoff extrapolation.</x:v>
      </x:c>
      <x:c r="I646" s="4" t="str">
        <x:v>Retained baseline assessment. 23 October amendments; remaining qualifications retained</x:v>
      </x:c>
      <x:c r="J646" s="18" t="d">
        <x:v>2026-10-23T00:00:00.000Z</x:v>
      </x:c>
      <x:c r="K646" s="21" t="str">
        <x:f>IFERROR(HYPERLINK("https://www.regjeringen.no/no/dokumenter/meld.-st.-32-20162017/id2547907/?ch=10","Norwegian Ministry of Agriculture and Food"),"Norwegian Ministry of Agriculture and Food")</x:f>
        <x:v>Norwegian Ministry of Agriculture and Food</x:v>
      </x:c>
      <x:c r="L646" s="21" t="str">
        <x:f>IFERROR(HYPERLINK("https://www.regjeringen.no/no/dokumenter/meld.-st.-32-20162017/id2547907/","Norwegian Ministry of Agriculture and Food"),"Norwegian Ministry of Agriculture and Food")</x:f>
        <x:v>Norwegian Ministry of Agriculture and Food</x:v>
      </x:c>
      <x:c r="M646" s="21" t="str">
        <x:f>IFERROR(HYPERLINK("https://www.regjeringen.no/no/dokumenter/prop.-49-s-20152016/id2471317/?ch=9","Norwegian government"),"Norwegian government")</x:f>
        <x:v>Norwegian government</x:v>
      </x:c>
      <x:c r="N646" s="4" t="str">
        <x:v>https://www.regjeringen.no/no/dokumenter/meld.-st.-32-20162017/id2547907/?ch=10
https://www.regjeringen.no/no/dokumenter/meld.-st.-32-20162017/id2547907/
https://www.regjeringen.no/no/dokumenter/prop.-49-s-20152016/id2471317/?ch=9
https://www.regjeringen.no/no/aktuelt/enighet-om-endring-i-reingjerdekonvensjonen-av-9.-desember-2014-mellom-norge-og-finland/id2970759/
https://www.regjeringen.no/no/dokumenter/prop.-92-s-20252026/id3157656/?ch=5
https://www.regjeringen.no/no/dokumenter/prop.-92-s-20252026/id3157656/
https://www.landbruksdirektoratet.no/nb/reindrift/reinkonvensjoner
https://paliskunnat.fi/reindeer-herders-association/organisation/reindeer-fences/finland-norway/
https://www.regjeringen.no/no/dokumenter/prop.-49-s-20152016/id2471317/?ch=2</x:v>
      </x:c>
      <x:c r="O646" s="4" t="str">
        <x:v>Source 1: full
Source 2: full
Source 3: full</x:v>
      </x:c>
      <x:c r="P646" s="20" t="n">
        <x:v>1</x:v>
      </x:c>
      <x:c r="Q646" s="4" t="str">
        <x:v>Europe</x:v>
      </x:c>
      <x:c r="R646" s="4" t="str">
        <x:v>Included</x:v>
      </x:c>
    </x:row>
    <x:row r="647" ht="90" hidden="0" customHeight="1">
      <x:c r="A647" s="16" t="str">
        <x:v>R16-EU-002</x:v>
      </x:c>
      <x:c r="B647" s="4" t="str">
        <x:v>Siret frontier approach blocked during farmers’ protest, 7 April 2023</x:v>
      </x:c>
      <x:c r="C647" s="4" t="str">
        <x:v>Romania; Ukraine</x:v>
      </x:c>
      <x:c r="D647" s="4" t="str">
        <x:v>Siret–Porubne
Siret–Porubne road crossing and immediate Romanian approach</x:v>
      </x:c>
      <x:c r="E647" s="4" t="str">
        <x:v>Frontier road traffic; vehicle categories not separately resolved
Direction: Directions unspecified in local blockade account
Exceptions: Category exemptions not established; later traffic and snow-related congestion must not be read as continuous total closure.</x:v>
      </x:c>
      <x:c r="F647" s="4" t="str">
        <x:v>R16-EU-002-D1 — Observed operation
Siret episode on 7 April 2023; reported as a short interruption.
Start: 2023-04-07.
Observed scoped reopening: 2023-04-07.
Same-day episode; no whole-day duration inferred</x:v>
      </x:c>
      <x:c r="G647"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x:v>
      </x:c>
      <x:c r="H647" s="4" t="str">
        <x:v>R16-EU-002-D1: Shown as an episode occurring on this date, not a whole-day closure. Local report describes three-hour obstruction, without exact clock endpoints or category breakdown. Same-day endpoint reflects its bounded retrospective description; TVR documents traffic by next day, not exact reopening moment.</x:v>
      </x:c>
      <x:c r="I647" s="4" t="str">
        <x:v>Full-record source audit (REC50-R45); accepted corrections; evidence limits retained.</x:v>
      </x:c>
      <x:c r="J647" s="18" t="d">
        <x:v>2026-10-25T00:00:00.000Z</x:v>
      </x:c>
      <x:c r="K647" s="21" t="str">
        <x:f>IFERROR(HYPERLINK("https://www.desteptarea.ro/fermierii-din-bacau-au-protestat-la-vama-siret/","Deșteptarea"),"Deșteptarea")</x:f>
        <x:v>Deșteptarea</x:v>
      </x:c>
      <x:c r="L647" s="21" t="str">
        <x:f>IFERROR(HYPERLINK("https://tvrinfo.ro/sute-de-tiruri-blocate-la-vama-siret-restric-iile-de-circula-ie-impuse-din-cauza-vremii-i-protestul-fermierilor-printre-cauze_928703/","TVR Info"),"TVR Info")</x:f>
        <x:v>TVR Info</x:v>
      </x:c>
      <x:c r="M647" s="21" t="str">
        <x:f>IFERROR(HYPERLINK("https://www.voanews.com/amp/romanian-farmers-block-borders-in-protest-over-ukrainian-grain-imports-/7040902.html","VOA / Reuters"),"VOA / Reuters")</x:f>
        <x:v>VOA / Reuters</x:v>
      </x:c>
      <x:c r="N647" s="4" t="str">
        <x:v>https://www.desteptarea.ro/fermierii-din-bacau-au-protestat-la-vama-siret/
https://tvrinfo.ro/sute-de-tiruri-blocate-la-vama-siret-restric-iile-de-circula-ie-impuse-din-cauza-vremii-i-protestul-fermierilor-printre-cauze_928703/
https://www.voanews.com/amp/romanian-farmers-block-borders-in-protest-over-ukrainian-grain-imports-/7040902.html
https://agrobiznes.ro/25453-suceava-coloana-de-700-camioane-pe-o-distanta-de-15-km-spre-vama-siret/</x:v>
      </x:c>
      <x:c r="O647" s="4" t="str">
        <x:v>Source 1: full text
Source 2: full text
Source 3: Opened relevant article/document body; inspected decisive passage</x:v>
      </x:c>
      <x:c r="P647" s="20" t="n">
        <x:v>1</x:v>
      </x:c>
      <x:c r="Q647" s="4" t="str">
        <x:v>Europe</x:v>
      </x:c>
      <x:c r="R647" s="4" t="str">
        <x:v>Included</x:v>
      </x:c>
    </x:row>
    <x:row r="648" ht="162" hidden="0" customHeight="1">
      <x:c r="A648" s="16" t="str">
        <x:v>R16-EU-003</x:v>
      </x:c>
      <x:c r="B648" s="4" t="str">
        <x:v>Siret–Porubne truck blockade, 13 January 2024</x:v>
      </x:c>
      <x:c r="C648" s="4" t="str">
        <x:v>Romania; Ukraine</x:v>
      </x:c>
      <x:c r="D648" s="4" t="str">
        <x:v>Siret–Porubne
Romanian approach to Siret–Porubne</x:v>
      </x:c>
      <x:c r="E648" s="4" t="str">
        <x:v>Freight trucks
Direction: Truck movement through Siret affected; onset source warns both directions may be disrupted, not proof of identical implementation.
Exceptions: Cars, buses and pedestrians reported processed normally.</x:v>
      </x:c>
      <x:c r="F648" s="4" t="str">
        <x:v>R16-EU-003-D1 — Observed operation
Siret same-day episode on 13 January 2024; not joined across the gap to later protests.
Start: 2024-01-13.
Observed scoped reopening: 2024-01-13.
Same-day episode; no whole-day duration inferred</x:v>
      </x:c>
      <x:c r="G648" s="4" t="str">
        <x:v>Uncoded / Unresolved rationale
Not assigned
Applies to: Not assigned
No additional motive inferred</x:v>
      </x:c>
      <x:c r="H648" s="4" t="str">
        <x:v>R16-EU-003-D1: Shown as an episode occurring on this date, not a whole-day closure. Exact onset/reopening clock times and directional uniformity unknown; same-day reopening prevents continuous January 13–20 spell. Cars, passenger buses and pedestrians continued normal processing during the truck obstruction. A next-day six-hour estimate is attributed to the border service and is not converted into exact clocks.
rationale: Retain unresolved rationale. A neighbouring-day regional farmers statement cannot silently replace the contemporaneous border-service unknown; existing same-day phase unchanged.
Current finding: Contemporaneous Border Guard-based reports confirm a truck blockade on January 13 and same-day resumed processing. Passenger vehicles, buses and pedestrians continued. The original onset account explicitly leaves the immediate motive unknown, correctly preventing a rationale imported from adjacent protests. Directional uniformity and exact hours remain uncertain; the gap before subsequent episodes must stay visible.</x:v>
      </x:c>
      <x:c r="I648" s="4" t="str">
        <x:v>Targeted source review (REC50-R39); accepted qualification; evidence limits retained.</x:v>
      </x:c>
      <x:c r="J648" s="18" t="d">
        <x:v>2026-10-25T00:00:00.000Z</x:v>
      </x:c>
      <x:c r="K648" s="21" t="str">
        <x:f>IFERROR(HYPERLINK("https://www.eurointegration.com.ua/news/2024/01/13/7177400/","European Pravda"),"European Pravda")</x:f>
        <x:v>European Pravda</x:v>
      </x:c>
      <x:c r="L648" s="21" t="str">
        <x:f>IFERROR(HYPERLINK("https://www.pravda.com.ua/news/2024/01/13/7437123/","Ukrainska Pravda"),"Ukrainska Pravda")</x:f>
        <x:v>Ukrainska Pravda</x:v>
      </x:c>
      <x:c r="M648" s="21" t="str">
        <x:f>IFERROR(HYPERLINK("https://interfax.com.ua/news/general/960451.html","Interfax-Ukraine"),"Interfax-Ukraine")</x:f>
        <x:v>Interfax-Ukraine</x:v>
      </x:c>
      <x:c r="N648" s="4" t="str">
        <x:v>https://www.eurointegration.com.ua/news/2024/01/13/7177400/
https://www.pravda.com.ua/news/2024/01/13/7437123/
https://interfax.com.ua/news/general/960451.html
https://www.pravda.com.ua/eng/news/2024/01/14/7437186/
https://www.pravda.com.ua/eng/news/2024/01/15/7437314/
https://interfax.com/newsroom/top-stories/98648/
https://www.defenseromania.ro/amp/protestele-fermierilor-au-blocat-circulatia-vehiculelor-de-transport-marfa-la-nadlac-si-siret_626427.html
https://www.monitorulsv.ro/circulatia-pe-drumul-european-85-data-peste-cap-de-amplul-protest-al-fermierilor-suceveni_598e0b/</x:v>
      </x:c>
      <x:c r="O648" s="4" t="str">
        <x:v>Source 1: full text
Source 2: full text
Source 3: full text</x:v>
      </x:c>
      <x:c r="P648" s="20" t="n">
        <x:v>1</x:v>
      </x:c>
      <x:c r="Q648" s="4" t="str">
        <x:v>Europe</x:v>
      </x:c>
      <x:c r="R648" s="4" t="str">
        <x:v>Included</x:v>
      </x:c>
    </x:row>
    <x:row r="649" ht="114" hidden="0" customHeight="1">
      <x:c r="A649" s="16" t="str">
        <x:v>R16-EU-004</x:v>
      </x:c>
      <x:c r="B649" s="4" t="str">
        <x:v>Renewed Siret–Porubne truck blockade, 14 January 2024</x:v>
      </x:c>
      <x:c r="C649" s="4" t="str">
        <x:v>Romania; Ukraine</x:v>
      </x:c>
      <x:c r="D649" s="4" t="str">
        <x:v>Siret–Porubne
Romanian approach road DN2 to Siret–Porubne</x:v>
      </x:c>
      <x:c r="E649" s="4" t="str">
        <x:v>Trucks approaching crossing; Romanian police also describe two-way approach-road obstruction
Direction: Romanian approach toward Ukraine documented; Ukrainian exit processing normal at initial report, so no universal two-way prohibition assumed.
Exceptions: Ukrainian exit processing remained normal at initial notice; prior passenger exceptions cannot be assumed at every approach-road moment.</x:v>
      </x:c>
      <x:c r="F649" s="4" t="str">
        <x:v>R16-EU-004-D1 — Observed operation
Siret same-day episode on 14 January 2024; not joined across the gap to later protests.
Start: 2024-01-14.
Observed scoped reopening: 2024-01-14.
Same-day episode; no whole-day duration inferred</x:v>
      </x:c>
      <x:c r="G649" s="4" t="str">
        <x:v>Policy and socioeconomic demands / Jobs, services and livelihoods
Reported reason
Applies to: January 14 Siret protest; broader movement demands reported with the local obstruction
AGERPRES attributes the movement to fuel excise, insurance prices and legislative changes. This supports the livelihood-demand code; it does not establish every participant's individual motive.</x:v>
      </x:c>
      <x:c r="H649" s="4" t="str">
        <x:v>R16-EU-004-D1: Shown as an episode occurring on this date, not a whole-day closure. Romanian road and Ukrainian checkpoint accounts describe different scopes; exact onset and resumption clock times unknown. The approximately 14:00 time is receipt of information. Continued Ukrainian exit processing does not establish unobstructed travel along the Romanian approach, where police reported a two-way road blockage.</x:v>
      </x:c>
      <x:c r="I649" s="4" t="str">
        <x:v>Targeted source review (REC50-R39); accepted qualification; evidence limits retained.</x:v>
      </x:c>
      <x:c r="J649" s="18" t="d">
        <x:v>2026-10-25T00:00:00.000Z</x:v>
      </x:c>
      <x:c r="K649" s="21" t="str">
        <x:f>IFERROR(HYPERLINK("https://interfax.com.ua/news/general/960451.html","Interfax-Ukraine"),"Interfax-Ukraine")</x:f>
        <x:v>Interfax-Ukraine</x:v>
      </x:c>
      <x:c r="L649" s="21" t="str">
        <x:f>IFERROR(HYPERLINK("https://agerpres.ro/social/2024/01/14/proteste-transportatori-centrul-infotrafic-dn-2-si-dn-15-blocate-in-judetele-suceava-vama-siret-si-cluj-campia-turzii-luna--1232262","AGERPRES"),"AGERPRES")</x:f>
        <x:v>AGERPRES</x:v>
      </x:c>
      <x:c r="M649" s="21" t="str">
        <x:f>IFERROR(HYPERLINK("https://www.pravda.com.ua/news/2024/01/13/7437123/","Ukrainska Pravda"),"Ukrainska Pravda")</x:f>
        <x:v>Ukrainska Pravda</x:v>
      </x:c>
      <x:c r="N649" s="4" t="str">
        <x:v>https://interfax.com.ua/news/general/960451.html
https://agerpres.ro/social/2024/01/14/proteste-transportatori-centrul-infotrafic-dn-2-si-dn-15-blocate-in-judetele-suceava-vama-siret-si-cluj-campia-turzii-luna--1232262
https://www.pravda.com.ua/news/2024/01/13/7437123/
https://www.pravda.com.ua/eng/news/2024/01/14/7437186/
https://www.pravda.com.ua/eng/news/2024/01/15/7437314/
https://interfax.com/newsroom/top-stories/98648/
https://www.digi24.ro/stiri/actualitate/fermierii-si-transportatorii-merg-azi-la-ministerul-finantelor-politia-anunta-noi-blocaje-in-trafic-2648837</x:v>
      </x:c>
      <x:c r="O649" s="4" t="str">
        <x:v>Source 1: full text
Source 2: full text
Source 3: full text</x:v>
      </x:c>
      <x:c r="P649" s="20" t="n">
        <x:v>1</x:v>
      </x:c>
      <x:c r="Q649" s="4" t="str">
        <x:v>Europe</x:v>
      </x:c>
      <x:c r="R649" s="4" t="str">
        <x:v>Included</x:v>
      </x:c>
    </x:row>
    <x:row r="650" ht="162" hidden="0" customHeight="1">
      <x:c r="A650" s="16" t="str">
        <x:v>R16-EU-005</x:v>
      </x:c>
      <x:c r="B650" s="4" t="str">
        <x:v>Siret–Porubne bidirectional truck blockade before partial reopening, January 2024</x:v>
      </x:c>
      <x:c r="C650" s="4" t="str">
        <x:v>Romania; Ukraine</x:v>
      </x:c>
      <x:c r="D650" s="4" t="str">
        <x:v>Siret–Porubne
Romanian Siret approach to Porubne, full truck-blockade phase</x:v>
      </x:c>
      <x:c r="E650" s="4" t="str">
        <x:v>Freight trucks in both directions
Direction: Both directions during initial full-blockade phase
Exceptions: Small cars used an unobstructed lane; broader passenger processing supported by Ukrainian notice.</x:v>
      </x:c>
      <x:c r="F650" s="4" t="str">
        <x:v>R16-EU-005-D1 — Observed operation
Siret truck blockage in both directions, ending when outward-from-Romania truck movement partially resumed.
Start: 2024-01-15.
Observed scoped reopening: 2024-01-17.
2 calendar-day difference; scoped endpoint only</x:v>
      </x:c>
      <x:c r="G650"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
Policy and socioeconomic demands / Jobs, services and livelihoods
Reported reason
Applies to: Recorded episode; exact overlap not separately established
The recorded rationale and claim assessment support the selected subcategories. All applicable broad categories are retained together; no primary rationale is imposed.</x:v>
      </x:c>
      <x:c r="H650" s="4" t="str">
        <x:v>R16-EU-005-D1: Passenger cars continued. The remaining inbound truck restriction is the linked R16-EU-006 phase; it must not be counted as a separate campaign.</x:v>
      </x:c>
      <x:c r="I650" s="4" t="str">
        <x:v>Retained baseline assessment. Retained with recorded qualifications</x:v>
      </x:c>
      <x:c r="J650" s="18" t="d">
        <x:v>2026-10-23T00:00:00.000Z</x:v>
      </x:c>
      <x:c r="K650" s="21" t="str">
        <x:f>IFERROR(HYPERLINK("https://v3.monitorulsv.ro/Ultima-ora-local/2024-01-15/Vama-Siret-blocata-din-nou-de-fermieri-Transportatorii-au-iesit-si-ei-cu-tirurile","Monitorul de Suceava"),"Monitorul de Suceava")</x:f>
        <x:v>Monitorul de Suceava</x:v>
      </x:c>
      <x:c r="L650" s="21" t="str">
        <x:f>IFERROR(HYPERLINK("https://agerpres.ro/social/2024/01/20/suceava-traficul-in-vama-siret-se-desfasoara-in-conditii-normale-pe-ambele-sensuri-anunta-jandarmeri--1235659","Agerpres"),"Agerpres")</x:f>
        <x:v>Agerpres</x:v>
      </x:c>
      <x:c r="M650" s="21" t="str">
        <x:f>IFERROR(HYPERLINK("https://suspilne.media/chernivtsi/661718-na-rumunskomu-kordoni-zablokuvali-ruh-vantazivok-cerez-punkti-propusku-krasnoilsk-ta-porubne-dpsu/","Suspilne Chernivtsi"),"Suspilne Chernivtsi")</x:f>
        <x:v>Suspilne Chernivtsi</x:v>
      </x:c>
      <x:c r="N650" s="4" t="str">
        <x:v>https://v3.monitorulsv.ro/Ultima-ora-local/2024-01-15/Vama-Siret-blocata-din-nou-de-fermieri-Transportatorii-au-iesit-si-ei-cu-tirurile
https://agerpres.ro/social/2024/01/20/suceava-traficul-in-vama-siret-se-desfasoara-in-conditii-normale-pe-ambele-sensuri-anunta-jandarmeri--1235659
https://suspilne.media/chernivtsi/661718-na-rumunskomu-kordoni-zablokuvali-ruh-vantazivok-cerez-punkti-propusku-krasnoilsk-ta-porubne-dpsu/
https://tvrinfo.ro/peste-150-de-camioane-au-iesit-miercuri-din-romania-prin-punctul-de-trecere-a-frontierei-siret/
https://www.pravda.com.ua/eng/news/2024/01/14/7437186/
https://www.pravda.com.ua/eng/news/2024/01/15/7437314/
https://interfax.com/newsroom/top-stories/98648/</x:v>
      </x:c>
      <x:c r="O650" s="4" t="str">
        <x:v>Source 1: Opened relevant article/document body; inspected decisive passage
Source 2: Opened relevant article/document body; inspected decisive passage
Source 3: Opened relevant article/document body; inspected decisive passage</x:v>
      </x:c>
      <x:c r="P650" s="20" t="n">
        <x:v>1</x:v>
      </x:c>
      <x:c r="Q650" s="4" t="str">
        <x:v>Europe</x:v>
      </x:c>
      <x:c r="R650" s="4" t="str">
        <x:v>Included</x:v>
      </x:c>
    </x:row>
    <x:row r="651" ht="186" hidden="0" customHeight="1">
      <x:c r="A651" s="16" t="str">
        <x:v>R16-EU-006</x:v>
      </x:c>
      <x:c r="B651" s="4" t="str">
        <x:v>Siret–Porubne inbound-Romania truck blockade after partial easing, January 2024</x:v>
      </x:c>
      <x:c r="C651" s="4" t="str">
        <x:v>Romania; Ukraine</x:v>
      </x:c>
      <x:c r="D651" s="4" t="str">
        <x:v>Siret–Porubne
Siret–Porubne remaining blocked truck direction after outbound-Romania allowance</x:v>
      </x:c>
      <x:c r="E651" s="4" t="str">
        <x:v>Trucks entering Romania from Ukraine
Direction: Ukraine to Romania remained blocked; reverse direction allowed limited passage
Exceptions: From January 17, trucks leaving Romania allowed at reported ten per hour; cars continued.</x:v>
      </x:c>
      <x:c r="F651" s="4" t="str">
        <x:v>R16-EU-006-D1 — Observed operation
Siret trucks entering Romania, after outward truck movement resumed.
Start: 2024-01-17.
Observed scoped reopening: 2024-01-19 to 2024-01-20.
2–3 calendar-day difference; scoped endpoint only</x:v>
      </x:c>
      <x:c r="G651" s="4" t="str">
        <x:v>Trade and protectionism / Trade and transport protests
Reported reason
Applies to: Recorded episode; exact overlap not separately established
The recorded rationale and claim assessment support the selected subcategories. All applicable broad categories are retained together; no primary rationale is imposed.
Policy and socioeconomic demands / Jobs, services and livelihoods
Reported reason
Applies to: Recorded episode; exact overlap not separately established
The recorded rationale and claim assessment support the selected subcategories. All applicable broad categories are retained together; no primary rationale is imposed.</x:v>
      </x:c>
      <x:c r="H651" s="4" t="str">
        <x:v>R16-EU-006-D1: A phase of the same Siret campaign as R16-EU-005. Earlier same-day protests are separate episodes and are not bridged into this interval.</x:v>
      </x:c>
      <x:c r="I651" s="4" t="str">
        <x:v>Retained baseline assessment. Retained with recorded qualifications</x:v>
      </x:c>
      <x:c r="J651" s="18" t="d">
        <x:v>2026-10-23T00:00:00.000Z</x:v>
      </x:c>
      <x:c r="K651" s="21" t="str">
        <x:f>IFERROR(HYPERLINK("https://v3.monitorulsv.ro/Ultima-ora-local/2024-01-15/Vama-Siret-blocata-din-nou-de-fermieri-Transportatorii-au-iesit-si-ei-cu-tirurile","Monitorul de Suceava"),"Monitorul de Suceava")</x:f>
        <x:v>Monitorul de Suceava</x:v>
      </x:c>
      <x:c r="L651" s="21" t="str">
        <x:f>IFERROR(HYPERLINK("https://agerpres.ro/social/2024/01/20/suceava-traficul-in-vama-siret-se-desfasoara-in-conditii-normale-pe-ambele-sensuri-anunta-jandarmeri--1235659","Agerpres"),"Agerpres")</x:f>
        <x:v>Agerpres</x:v>
      </x:c>
      <x:c r="M651" s="21" t="str">
        <x:f>IFERROR(HYPERLINK("https://customs.gov.ua/news/zagalne-20/post/trivaie-blokuvannia-rumunskimi-straikariami-rukhu-vantazhivok-pered-punktami-propusku-siret-porubne-ta-vikovu-de-sus-krasnoyilsk-1450","Ukrainian Customs"),"Ukrainian Customs")</x:f>
        <x:v>Ukrainian Customs</x:v>
      </x:c>
      <x:c r="N651" s="4" t="str">
        <x:v>https://v3.monitorulsv.ro/Ultima-ora-local/2024-01-15/Vama-Siret-blocata-din-nou-de-fermieri-Transportatorii-au-iesit-si-ei-cu-tirurile
https://agerpres.ro/social/2024/01/20/suceava-traficul-in-vama-siret-se-desfasoara-in-conditii-normale-pe-ambele-sensuri-anunta-jandarmeri--1235659
https://customs.gov.ua/news/zagalne-20/post/trivaie-blokuvannia-rumunskimi-straikariami-rukhu-vantazhivok-pered-punktami-propusku-siret-porubne-ta-vikovu-de-sus-krasnoyilsk-1450
https://www.pravda.com.ua/eng/news/2024/01/20/7438152/
https://tvrinfo.ro/peste-150-de-camioane-au-iesit-miercuri-din-romania-prin-punctul-de-trecere-a-frontierei-siret/
https://www.pravda.com.ua/eng/news/2024/01/14/7437186/
https://www.pravda.com.ua/eng/news/2024/01/15/7437314/
https://interfax.com/newsroom/top-stories/98648/
https://romania.europalibera.org/a/blocada-siret-sparta/32784612.html
https://www.digi24.ro/amphtml/stiri/actualitate/traficul-in-vama-siret-a-fost-reluat-numar-foarte-mare-de-camioane-care-asteapta-si-2-ore-sa-intre-din-ucraina-2656875</x:v>
      </x:c>
      <x:c r="O651" s="4" t="str">
        <x:v>Source 1: Opened relevant article/document body; inspected decisive passage
Source 2: Opened relevant article/document body; inspected decisive passage
Source 3: Opened relevant article/document body; inspected decisive passage</x:v>
      </x:c>
      <x:c r="P651" s="20" t="n">
        <x:v>1</x:v>
      </x:c>
      <x:c r="Q651" s="4" t="str">
        <x:v>Europe</x:v>
      </x:c>
      <x:c r="R651" s="4" t="str">
        <x:v>Included</x:v>
      </x:c>
    </x:row>
    <x:row r="652" ht="210" hidden="0" customHeight="1">
      <x:c r="A652" s="16" t="str">
        <x:v>R16-EU-007</x:v>
      </x:c>
      <x:c r="B652" s="4" t="str">
        <x:v>Vicovu de Sus–Krasnoilsk truck blockade, January 2024</x:v>
      </x:c>
      <x:c r="C652" s="4" t="str">
        <x:v>Romania; Ukraine</x:v>
      </x:c>
      <x:c r="D652" s="4" t="str">
        <x:v>Vicovu de Sus–Krasnoilsk
Vicovu de Sus–Krasnoilsk international road crossing</x:v>
      </x:c>
      <x:c r="E652" s="4" t="str">
        <x:v>Freight trucks; operating post capacity not generalized to all heavy goods categories
Direction: Initial notice specifically trucks into Ukraine; later Ukrainian-exit queues also documented, without uniform two-way denial inference.
Exceptions: Other vehicles and pedestrians processed both ways in initial notice; cars continued in January 17 notice.</x:v>
      </x:c>
      <x:c r="F652" s="4" t="str">
        <x:v>R16-EU-007-R1 — Intermittent regime
Protester obstruction of eligible empty-truck traffic at Vicovu de Sus–Krasnoilsk only
Start: 2024-01-15.
Scoped endpoint: 2024-01-19.
Intermittent regime envelope; total closed days unknown</x:v>
      </x:c>
      <x:c r="G652" s="4" t="str">
        <x:v>Trade and protectionism / Trade and transport protests
Reported reason
Applies to: Broader farmer/haulier movement during the Vicovu campaign; local individual motives not separately established
RFE/RL reports separate non-EU truck-lane demands at movement level.
Policy and socioeconomic demands / Jobs, services and livelihoods
Reported reason
Applies to: Broader farmer/haulier movement during the Vicovu campaign; local individual motives not separately established
The same RFE/RL report attributes demands for loan-repayment relief and faster subsidies to the Romanian protesters. This is movement-level attribution, not evidence of every Vicovu participant's motive.</x:v>
      </x:c>
      <x:c r="H652" s="4" t="str">
        <x:v>R16-EU-007-R1: Envelope is not total days closed. Other vehicles and pedestrians continued. Sources share Ukrainian border/customs origins; January 16 decisive detail is an indexed excerpt because direct retrieval failed. No assertion every truck was denied throughout; no Siret or Halmeu dates are transferred.</x:v>
      </x:c>
      <x:c r="I652" s="4" t="str">
        <x:v>Retained baseline assessment. Amended after source reconciliation</x:v>
      </x:c>
      <x:c r="J652" s="18" t="d">
        <x:v>2026-10-23T00:00:00.000Z</x:v>
      </x:c>
      <x:c r="K652" s="21" t="str">
        <x:f>IFERROR(HYPERLINK("https://www.ukrinform.net/rubric-economy/3813616-romanian-farmers-block-truck-traffic-through-two-checkpoints.html","Ukrinform"),"Ukrinform")</x:f>
        <x:v>Ukrinform</x:v>
      </x:c>
      <x:c r="L652" s="21" t="str">
        <x:f>IFERROR(HYPERLINK("https://www.ukrinform.net/amp/rubric-economy/3814124-romanian-farmers-continue-to-block-two-checkpoints-on-border-with-ukraine.html","Ukrinform"),"Ukrinform")</x:f>
        <x:v>Ukrinform</x:v>
      </x:c>
      <x:c r="M652" s="21" t="str">
        <x:f>IFERROR(HYPERLINK("https://www.pravda.com.ua/eng/news/2024/01/17/7437668/","Ukrainska Pravda"),"Ukrainska Pravda")</x:f>
        <x:v>Ukrainska Pravda</x:v>
      </x:c>
      <x:c r="N652" s="4" t="str">
        <x:v>https://www.ukrinform.net/rubric-economy/3813616-romanian-farmers-block-truck-traffic-through-two-checkpoints.html
https://www.ukrinform.net/amp/rubric-economy/3814124-romanian-farmers-continue-to-block-two-checkpoints-on-border-with-ukraine.html
https://www.pravda.com.ua/eng/news/2024/01/17/7437668/
https://customs.gov.ua/news/zagalne-20/post/trivaie-blokuvannia-rumunskimi-straikariami-rukhu-vantazhivok-pered-punktami-propusku-siret-porubne-ta-vikovu-de-sus-krasnoyilsk-1450
https://www.rferl.org/a/urkaine-border-romania-traffice-resumes-blocked/32783623.html
https://www.pravda.com.ua/eng/news/2024/01/19/7437958/
https://www.pravda.com.ua/eng/news/2024/01/15/7437314/
https://www.ukrinform.net/rubric-economy/3814124-romanian-farmers-continue-to-block-two-checkpoints-on-border-with-ukraine.html
https://suspilne.media/chernivtsi/661718-na-rumunskomu-kordoni-zablokuvali-ruh-vantazivok-cerez-punkti-propusku-krasnoilsk-ta-porubne-dpsu/
https://www.radiosvoboda.org/a/nwes-blokuvannya-kordon-rumuniya/32781038.html
https://www.rferl.org/a/romania-ukraine-border-protests/32781907.html
https://www.pravda.com.ua/eng/news/2024/01/20/7438152/</x:v>
      </x:c>
      <x:c r="O652" s="4" t="str">
        <x:v>Source 1: full; failed
Source 2: indexed excerpt
Source 3: full</x:v>
      </x:c>
      <x:c r="P652" s="20" t="n">
        <x:v>1</x:v>
      </x:c>
      <x:c r="Q652" s="4" t="str">
        <x:v>Europe</x:v>
      </x:c>
      <x:c r="R652" s="4" t="str">
        <x:v>Included</x:v>
      </x:c>
    </x:row>
    <x:row r="653" ht="78" hidden="0" customHeight="1">
      <x:c r="A653" s="16" t="str">
        <x:v>R16-EU-008</x:v>
      </x:c>
      <x:c r="B653" s="4" t="str">
        <x:v>Halmeu–Dyakove truck blockade and Ukrainian outward admission suspension, January 2024</x:v>
      </x:c>
      <x:c r="C653" s="4" t="str">
        <x:v>Romania; Ukraine</x:v>
      </x:c>
      <x:c r="D653" s="4" t="str">
        <x:v>Halmeu–Dyakove (Diakove)
Halmeu–Dyakove road crossing and Romanian approach</x:v>
      </x:c>
      <x:c r="E653" s="4" t="str">
        <x:v>Freight trucks
Direction: Ukraine to Romania explicitly suspended; wider approach blockade not treated as uniformly bidirectional
Exceptions: Cars and passenger buses processed normally.</x:v>
      </x:c>
      <x:c r="F653" s="4" t="str">
        <x:v>R16-EU-008-D1 — Observed operation
Ukraine-to-Romania freight admission at Dyakove–Halmeu during the truck blockade and protective Ukrainian suspension.
Start: 2024-01-18.
Observed scoped reopening: 2024-01-20.
2 calendar-day difference; scoped endpoint only</x:v>
      </x:c>
      <x:c r="G653" s="4" t="str">
        <x:v>Trade and protectionism / Trade and transport protests
Reported reason
Applies to: Recorded episode; exact overlap not separately established
Later reporting of anti-grain banners supports an attributed trade grievance; the initial border-service uncertainty remains in the evidence record.</x:v>
      </x:c>
      <x:c r="H653" s="4" t="str">
        <x:v>R16-EU-008-D1: Cars and passenger buses continued. Police notification times are not exact operational endpoints. The period does not assert uniform two-way blockage or minute-by-minute refusal.</x:v>
      </x:c>
      <x:c r="I653" s="4" t="str">
        <x:v>Retained baseline assessment. Retained with recorded qualifications</x:v>
      </x:c>
      <x:c r="J653" s="18" t="d">
        <x:v>2026-10-23T00:00:00.000Z</x:v>
      </x:c>
      <x:c r="K653" s="21" t="str">
        <x:f>IFERROR(HYPERLINK("https://www.rferl.org/a/romania-ukraine-border-protests/32781907.html","RFE/RL"),"RFE/RL")</x:f>
        <x:v>RFE/RL</x:v>
      </x:c>
      <x:c r="L653" s="21" t="str">
        <x:f>IFERROR(HYPERLINK("https://www.radiosvoboda.org/a/nwes-blokuvannya-kordon-rumuniya/32781038.html","Radio Svoboda"),"Radio Svoboda")</x:f>
        <x:v>Radio Svoboda</x:v>
      </x:c>
      <x:c r="M653" s="21" t="str">
        <x:f>IFERROR(HYPERLINK("https://www.pravda.com.ua/eng/news/2024/01/20/7438152/","Ukrainska Pravda"),"Ukrainska Pravda")</x:f>
        <x:v>Ukrainska Pravda</x:v>
      </x:c>
      <x:c r="N653" s="4" t="str">
        <x:v>https://www.rferl.org/a/romania-ukraine-border-protests/32781907.html
https://www.radiosvoboda.org/a/nwes-blokuvannya-kordon-rumuniya/32781038.html
https://www.pravda.com.ua/eng/news/2024/01/20/7438152/
https://en.interfax.com.ua/news/general/961789.html
https://en.interfax.com.ua/news/general/961325.html</x:v>
      </x:c>
      <x:c r="O653" s="4" t="str">
        <x:v>Source 1: Opened relevant article/document body; inspected decisive passage
Source 2: Opened relevant article/document body; inspected decisive passage
Source 3: Opened relevant article/document body; inspected decisive passage</x:v>
      </x:c>
      <x:c r="P653" s="20" t="n">
        <x:v>1</x:v>
      </x:c>
      <x:c r="Q653" s="4" t="str">
        <x:v>Europe</x:v>
      </x:c>
      <x:c r="R653" s="4" t="str">
        <x:v>Included</x:v>
      </x:c>
    </x:row>
    <x:row r="654" ht="222" hidden="0" customHeight="1">
      <x:c r="A654" s="16" t="str">
        <x:v>R16-EU-009</x:v>
      </x:c>
      <x:c r="B654" s="4" t="str">
        <x:v>Orlivka–Isaccea ferry admission suspended after attack, September 2026</x:v>
      </x:c>
      <x:c r="C654" s="4" t="str">
        <x:v>Romania; Ukraine</x:v>
      </x:c>
      <x:c r="D654" s="4" t="str">
        <x:v>Orlivka–Isaccea
International Danube ferry crossing Orlivka–Isaccea</x:v>
      </x:c>
      <x:c r="E654" s="4" t="str">
        <x:v>Ferry persons, goods and vehicles
Direction: Crossing service suspended; no directional exemption identified
Exceptions: Alternate routes recommended; no exemption at this ferry established.</x:v>
      </x:c>
      <x:c r="F654" s="4" t="str">
        <x:v>R16-EU-009-D1 — Observed operation
Security-related Orlivka–Isaccea ferry restrictions through staged restoration; initial full suspension followed by unquantified easing from September 2.
Start: 2026-09-01.
Observed scoped reopening: 2026-09-02 to 2026-09-03.
Contested: dated evidence; numeric duration withheld; see qualification
Held evidence: excluded from numeric duration and animation displays.</x:v>
      </x:c>
      <x:c r="G654" s="4" t="str">
        <x:v>Security / Armed conflict and military confrontation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
Security / Public order and immediate safety
Analytical interpretation of reported context
Applies to: Recorded episode; exact overlap not separately established
The recorded rationale and claim assessment support the selected subcategories. All applicable broad categories are retained together; no primary rationale is imposed.</x:v>
      </x:c>
      <x:c r="H654" s="4" t="str">
        <x:v>Ukrainian Border Guard reported normal operation September 2. Romanian Coast Guard reported staged ferry resumption from September 2 19:00 and unrestricted vehicle movement by September 3 morning, whereas Romanian Customs specified September 3 09:00 after tests. These reports establish earlier staged operation but do not resolve each category, direction or formalities phase. Current September 2–3 restoration bounds must not be read as continuous complete closure.
R16-EU-009-D1: One-to-two calendar days to reported restoration bounds, not total days of complete closure. Some service restarted September 2. The movement categories and formalities in each stage are unknown; Coast Guard and Customs statements are separate official lineages, and their hour/category discrepancy remains unresolved. No deliberate military targeting intent inferred.
end/scope/continuity: Exact category and customs-formality stages between September 2 evening and September 3 morning remain unresolved despite clear evidence some service resumed September 2.</x:v>
      </x:c>
      <x:c r="I654" s="4" t="str">
        <x:v>Retained baseline assessment. Amended after source reconciliation</x:v>
      </x:c>
      <x:c r="J654" s="18" t="d">
        <x:v>2026-10-23T00:00:00.000Z</x:v>
      </x:c>
      <x:c r="K654" s="21" t="str">
        <x:f>IFERROR(HYPERLINK("https://customs.gov.ua/news/zagalne-20/post/punkt-propusku-orlivka-isakcha-timchasovo-ne-pratsiuie-cherez-vorozhu-ataku-2973","Ukrainian Customs"),"Ukrainian Customs")</x:f>
        <x:v>Ukrainian Customs</x:v>
      </x:c>
      <x:c r="L654" s="21" t="str">
        <x:f>IFERROR(HYPERLINK("https://4.customs.ro/noutati/trafic-suspendat-temporar-in-punctul-de-trecere-a-frontierei-isaccea---orlivka","Romanian Customs"),"Romanian Customs")</x:f>
        <x:v>Romanian Customs</x:v>
      </x:c>
      <x:c r="M654" s="21" t="str">
        <x:f>IFERROR(HYPERLINK("https://interfax.com.ua/news/general/1198061.html","Interfax Ukraine"),"Interfax Ukraine")</x:f>
        <x:v>Interfax Ukraine</x:v>
      </x:c>
      <x:c r="N654" s="4" t="str">
        <x:v>https://customs.gov.ua/news/zagalne-20/post/punkt-propusku-orlivka-isakcha-timchasovo-ne-pratsiuie-cherez-vorozhu-ataku-2973
https://4.customs.ro/noutati/trafic-suspendat-temporar-in-punctul-de-trecere-a-frontierei-isaccea---orlivka
https://interfax.com.ua/news/general/1198061.html
https://4.customs.ro/noutati/punctul-de-trecere-a-fontierei-isacea--orlivka-redevine-functional
https://en.usm.media/the-work-of-the-orlivka-ferry-crossing-point-has-been-resumed/
https://www.customs.ro/noutati/trafic-suspendat-temporar-in-punctul-de-trecere-a-frontierei-isaccea---orlivka
https://agerpres.ro/x/2026/01/01/x--1590308
https://www.tlnews.ro/traficul-cu-bacul-intre-isaccea-si-orlivka-a-fost-reluat-trecerea-frontierei-se-desfasoara-fara-restrictii/
https://www.radioconstanta.ro/2026/09/03/tulcea-a-fost-reluat-traficul-cu-bacul-la-punctul-de-trecere-a-frontierei-isaccea-orlivka/
https://www.reuters.com/world/russia-hits-port-export-facilities-ukraines-odesa-region-kyiv-says-2026-09-01/
https://customs.ro/noutati/punctul-de-trecere-a-fontierei-isacea--orlivka-redevine-functional
https://www.customs.ro/noutati/punctul-de-trecere-a-fontierei-isacea--orlivka-redevine-functional</x:v>
      </x:c>
      <x:c r="O654" s="4" t="str">
        <x:v>Source 1: Opened relevant article/document body; inspected decisive passage
Source 2: Substantial indexed official passage inspected; direct 4.customs.ro and customs.ro requests returned 403
Source 3: Opened relevant article/document body; inspected decisive passage</x:v>
      </x:c>
      <x:c r="P654" s="20" t="n">
        <x:v>1</x:v>
      </x:c>
      <x:c r="Q654" s="4" t="str">
        <x:v>Europe</x:v>
      </x:c>
      <x:c r="R654" s="4" t="str">
        <x:v>Included</x:v>
      </x:c>
    </x:row>
    <x:row r="655" ht="138" hidden="0" customHeight="1">
      <x:c r="A655" s="16" t="str">
        <x:v>FU-COV-EAS-001</x:v>
      </x:c>
      <x:c r="B655" s="4" t="str">
        <x:v>Mae Sai–Tachileik Friendship Bridge II anti-coup protest blockades, February 2021</x:v>
      </x:c>
      <x:c r="C655" s="4" t="str">
        <x:v>Myanmar; Thailand</x:v>
      </x:c>
      <x:c r="D655" s="4" t="str">
        <x:v>Second Friendship Bridge
Myanmar gate of Second Friendship Bridge</x:v>
      </x:c>
      <x:c r="E655" s="4" t="str">
        <x:v>Cargo and accompanying drivers/workers; Cargo crossing
Direction: Cross-border cargo; both sides affected; Not separately established</x:v>
      </x:c>
      <x:c r="F655" s="4" t="str">
        <x:v>FU-COV-EAS-001-FU1 — Observed operation
Second Friendship Bridge
Start: 2021-02-20.
Last confirmed: 2021-02-20. Reopening is not established.
dated evidence; numeric duration withheld; see qualification
FU-COV-EAS-001-FU2 — Observed operation
Myanmar gate of Second Friendship Bridge
Start: 2021-02-21.
Scoped endpoint: 2021-02-21.
Same-day episode; no whole-day duration inferred</x:v>
      </x:c>
      <x:c r="G655" s="4" t="str">
        <x:v>Power and regime politics / Opposition and political reform
Reported reason
Applies to: Recorded episode
Political release and restoration-of-civilian-power demands are attributed to demonstrators.</x:v>
      </x:c>
      <x:c r="H655" s="4" t="str">
        <x:v>FU-COV-EAS-001-FU1: February 20 closed-state observation only; reopening time unknown. Withhold every numeric duration, including zero-day minimum. The next day is a separate brief interruption, not proof of continuous overnight closure.
FU-COV-EAS-001-FU2: Minutes only; no whole-day duration.
phase1 endpoint / continuity: When did the February 20 cargo interruption end, and did any traffic resume before the separate February 21 action?
Current continuity finding: Thai reports distinguish February 20 cargo blockage from a February 21 protest lasting five to ten minutes at Bridge II. Overnight continuity is unproved; the two phases must remain separate and the second must not occupy a full closed day.</x:v>
      </x:c>
      <x:c r="I655" s="4" t="str">
        <x:v>Retained baseline assessment. Correction pass: amended with stated qualifications</x:v>
      </x:c>
      <x:c r="J655" s="18" t="d">
        <x:v>2026-10-23T00:00:00.000Z</x:v>
      </x:c>
      <x:c r="K655" s="21" t="str">
        <x:f>IFERROR(HYPERLINK("https://www.thansettakij.com/general-news/469492","thansettakij.com"),"thansettakij.com")</x:f>
        <x:v>thansettakij.com</x:v>
      </x:c>
      <x:c r="L655" s="21" t="str">
        <x:f>IFERROR(HYPERLINK("https://www.nationthailand.com/in-focus/30402887","nationthailand.com"),"nationthailand.com")</x:f>
        <x:v>nationthailand.com</x:v>
      </x:c>
      <x:c r="M655" s="21" t="str">
        <x:f>IFERROR(HYPERLINK("https://www.matichon.co.th/region/news_2589470","matichon.co.th"),"matichon.co.th")</x:f>
        <x:v>matichon.co.th</x:v>
      </x:c>
      <x:c r="N655" s="4" t="str">
        <x:v>https://www.thansettakij.com/general-news/469492
https://www.nationthailand.com/in-focus/30402887
https://www.matichon.co.th/region/news_2589470</x:v>
      </x:c>
      <x:c r="O655" s="4" t="str">
        <x:v>Source 1: access detail is retained in the source catalogue.
Source 2: access detail is retained in the source catalogue.
Source 3: access detail is retained in the source catalogue.</x:v>
      </x:c>
      <x:c r="P655" s="20" t="n">
        <x:v>2</x:v>
      </x:c>
      <x:c r="Q655" s="4" t="str">
        <x:v>East and Southeast Asia and Oceania</x:v>
      </x:c>
      <x:c r="R655" s="4" t="str">
        <x:v>Included</x:v>
      </x:c>
    </x:row>
    <x:row r="656" ht="114" hidden="0" customHeight="1">
      <x:c r="A656" s="16" t="str">
        <x:v>FU-COV-EAS-003</x:v>
      </x:c>
      <x:c r="B656" s="4" t="str">
        <x:v>Mazongshan–Naran Sevstei inherited crossing suspension for nature-reserve protection</x:v>
      </x:c>
      <x:c r="C656" s="4" t="str">
        <x:v>China; Mongolia</x:v>
      </x:c>
      <x:c r="D656" s="4" t="str">
        <x:v>Mazongshan–Naran Sevstei seasonal land crossing</x:v>
      </x:c>
      <x:c r="E656" s="4" t="str">
        <x:v>Authorized ordinary cross-border passage
Direction: Both directions</x:v>
      </x:c>
      <x:c r="F656" s="4" t="str">
        <x:v>FU-COV-EAS-003-FU1 — Formal policy
Mazongshan–Naran Sevstei seasonal land crossing
Start: 1993-08-01.
Last confirmed: 2021-08-16. Reopening is not established.
Formal policy: dated evidence; numeric duration withheld; see qualification</x:v>
      </x:c>
      <x:c r="G656" s="4" t="str">
        <x:v>Environment and resource management / Nature conservation
Attributed official justification
Applies to: Only the closure or restriction described by the cited source; no added temporal overlap claim
The official history attributes Mongolia’s 1993 suspension request to protection of a domestic nature reserve; China agreed. No additional motive is inferred.</x:v>
      </x:c>
      <x:c r="H656" s="4" t="str">
        <x:v>FU-COV-EAS-003-FU1: Formal inherited seasonal-crossing suspension. No daily operational duration, reopening date or extrapolation beyond the August 2021 report. Conservation has its own documented rationale code.
latest endpoint / continuity: Policy status now confirmed through August 16, 2021; later operational status and original Mongolian instrument remain unresolved.
authority / original instrument: Policy status now confirmed through August 16, 2021; later operational status and original Mongolian instrument remain unresolved.</x:v>
      </x:c>
      <x:c r="I656" s="4" t="str">
        <x:v>Retained baseline assessment. 23 October amendments; remaining qualifications retained</x:v>
      </x:c>
      <x:c r="J656" s="18" t="d">
        <x:v>2026-10-23T00:00:00.000Z</x:v>
      </x:c>
      <x:c r="K656" s="21" t="str">
        <x:f>IFERROR(HYPERLINK("https://gs.singlewindow.cn/pen-portal/notice/miendetails.jspa?penArticleDto.id=20","gs.singlewindow.cn"),"gs.singlewindow.cn")</x:f>
        <x:v>gs.singlewindow.cn</x:v>
      </x:c>
      <x:c r="L656" s="21" t="str">
        <x:f>IFERROR(HYPERLINK("https://gansu.gscn.com.cn/system/2021/08/16/012629333.shtml","gansu.gscn.com.cn"),"gansu.gscn.com.cn")</x:f>
        <x:v>gansu.gscn.com.cn</x:v>
      </x:c>
      <x:c r="M656" s="21"/>
      <x:c r="N656" s="4" t="str">
        <x:v>https://gs.singlewindow.cn/pen-portal/notice/miendetails.jspa?penArticleDto.id=20
https://gansu.gscn.com.cn/system/2021/08/16/012629333.shtml</x:v>
      </x:c>
      <x:c r="O656" s="4" t="str">
        <x:v>Source 1: access detail is retained in the source catalogue.
Source 2: access detail is retained in the source catalogue.</x:v>
      </x:c>
      <x:c r="P656" s="20" t="n">
        <x:v>1</x:v>
      </x:c>
      <x:c r="Q656" s="4" t="str">
        <x:v>East and Southeast Asia and Oceania</x:v>
      </x:c>
      <x:c r="R656" s="4" t="str">
        <x:v>Included</x:v>
      </x:c>
    </x:row>
    <x:row r="657" ht="282" hidden="0" customHeight="1">
      <x:c r="A657" s="16" t="str">
        <x:v>FU-COV-EUR-001</x:v>
      </x:c>
      <x:c r="B657" s="4" t="str">
        <x:v>Yellow-vest obstructions at Le Boulou, Ventimiglia and Strasbourg border approaches, December 2018</x:v>
      </x:c>
      <x:c r="C657" s="4" t="str">
        <x:v>France; Germany; Italy; Spain</x:v>
      </x:c>
      <x:c r="D657" s="4" t="str">
        <x:v>Le Boulou toll on France–Spain A9 approach
Ventimiglia motorway border crossing
Pont de l’Europe road approach, Strasbourg</x:v>
      </x:c>
      <x:c r="E657" s="4" t="str">
        <x:v>Heavy vehicles; cars allowed; Freight vehicles; Non-freight road vehicles; Road vehicles; detailed exceptions unknown
Direction: Not separately established; Both directions</x:v>
      </x:c>
      <x:c r="F657" s="4" t="str">
        <x:v>FU-COV-EUR-001-FU1 — Observed operation
Le Boulou toll on France–Spain A9 approach
Start: 2018-12-22.
Last confirmed: 2018-12-22. Reopening is not established.
dated evidence; numeric duration withheld; see qualification
FU-COV-EUR-001-FU2 — Observed operation
Ventimiglia motorway border crossing
Start: 2018-12-22.
Last confirmed: 2018-12-22. Reopening is not established.
dated evidence; numeric duration withheld; see qualification
FU-COV-EUR-001-FU3 — Observed operation
Ventimiglia motorway border crossing
Start: 2018-12-22.
Scoped endpoint: 2018-12-22.
Same-day episode; no whole-day duration inferred
FU-COV-EUR-001-FU4 — Observed operation
Pont de l’Europe road approach, Strasbourg
Start: 2018-12-22.
Last confirmed: 2018-12-22. Reopening is not established.
dated evidence; numeric duration withheld; see qualification</x:v>
      </x:c>
      <x:c r="G657" s="4" t="str">
        <x:v>Policy and socioeconomic demands / Jobs, services and livelihoods
Reported reason
Applies to: Recorded episode
AFP attributes tax/purchasing-power demands to the protest movement; local demands may differ and are not assumed exhaustive.
Trade and protectionism / Trade and transport protests
Reported reason
Applies to: Le Boulou freight phase
Boulou participant explicitly connects freight obstruction to low-priced Spanish imports. This rationale applies to the Boulou phase only.</x:v>
      </x:c>
      <x:c r="H657" s="4" t="str">
        <x:v>FU-COV-EUR-001-FU1: Police later dispersed protesters, but actual traffic resumption time is not established; no numeric duration.
FU-COV-EUR-001-FU2: Freight endpoint unknown; no numeric duration.
FU-COV-EUR-001-FU3: Same-day narrowing of scope supports an intraday non-freight phase, not full reopening or whole-day duration. Exact start/time of narrowing unknown.
FU-COV-EUR-001-FU4: Police dispersal reported, but actual traffic-resumption time remains unverified; no numeric duration.
site-specific endpoints / direction: When did freight resume at Boulou/Ventimiglia and ordinary traffic resume at Strasbourg, with what directional exceptions?
remaining held scopes: Did Bettignies/Belgium, Biriatou or Gambsheim involve actual denied movement, rather than filtering or delay?</x:v>
      </x:c>
      <x:c r="I657" s="4" t="str">
        <x:v>Retained baseline assessment. New candidate separately challenged and adjudicated</x:v>
      </x:c>
      <x:c r="J657" s="18" t="d">
        <x:v>2026-10-23T00:00:00.000Z</x:v>
      </x:c>
      <x:c r="K657" s="21" t="str">
        <x:f>IFERROR(HYPERLINK("https://www.tvanouvelles.ca/2018/12/22/nouveau-samedi-peu-mobilisateur","tvanouvelles.ca"),"tvanouvelles.ca")</x:f>
        <x:v>tvanouvelles.ca</x:v>
      </x:c>
      <x:c r="L657" s="21" t="str">
        <x:f>IFERROR(HYPERLINK("https://www.leparisien.fr/economie/direct-acte-6-des-gilets-jaunes-plusieurs-centaines-de-manifestants-a-paris-22-12-2018-7975002.php","leparisien.fr"),"leparisien.fr")</x:f>
        <x:v>leparisien.fr</x:v>
      </x:c>
      <x:c r="M657" s="21" t="str">
        <x:f>IFERROR(HYPERLINK("https://www.tf1info.fr/societe/gilets-jaunes-des-actions-aux-frontieres-avec-l-espagne-la-belgique-et-l-allemagne-2108304.html","tf1info.fr"),"tf1info.fr")</x:f>
        <x:v>tf1info.fr</x:v>
      </x:c>
      <x:c r="N657" s="4" t="str">
        <x:v>https://www.tvanouvelles.ca/2018/12/22/nouveau-samedi-peu-mobilisateur
https://www.leparisien.fr/economie/direct-acte-6-des-gilets-jaunes-plusieurs-centaines-de-manifestants-a-paris-22-12-2018-7975002.php
https://www.tf1info.fr/societe/gilets-jaunes-des-actions-aux-frontieres-avec-l-espagne-la-belgique-et-l-allemagne-2108304.html
https://www.publicsenat.fr/actualites/politique/des-centaines-de-gilets-jaunes-deloges-d-un-peage-a-la-frontiere-franco-espagnole
https://www.leparisien.fr/faits-divers/guerre-d-usure-entre-gilets-jaunes-et-forces-de-l-ordre-sur-l-autoroute-a9-19-12-2018-7972125.php</x:v>
      </x:c>
      <x:c r="O657" s="4" t="str">
        <x:v>Source 1: access detail is retained in the source catalogue.
Source 2: access detail is retained in the source catalogue.
Source 3: access detail is retained in the source catalogue.</x:v>
      </x:c>
      <x:c r="P657" s="20" t="n">
        <x:v>4</x:v>
      </x:c>
      <x:c r="Q657" s="4" t="str">
        <x:v>Europe</x:v>
      </x:c>
      <x:c r="R657" s="4" t="str">
        <x:v>Included</x:v>
      </x:c>
    </x:row>
    <x:row r="658" ht="174" hidden="0" customHeight="1">
      <x:c r="A658" s="16" t="str">
        <x:v>FU-COV-EUR-002</x:v>
      </x:c>
      <x:c r="B658" s="4" t="str">
        <x:v>Portuguese farmer blockades at Paymogo and Rosal border roads, February 2024</x:v>
      </x:c>
      <x:c r="C658" s="4" t="str">
        <x:v>Portugal; Spain</x:v>
      </x:c>
      <x:c r="D658" s="4" t="str">
        <x:v>Paymogo–Minas de Santo Domingo bridge / HU-7400 approach
Rosal de la Frontera–Vila Verde de Ficalho road / N-433 approach</x:v>
      </x:c>
      <x:c r="E658" s="4" t="str">
        <x:v>Ordinary road vehicles; emergency exception
Direction: Both directions</x:v>
      </x:c>
      <x:c r="F658" s="4" t="str">
        <x:v>FU-COV-EUR-002-FU1 — Observed operation
Paymogo–Minas de Santo Domingo bridge / HU-7400 approach
Start: 2024-02-01.
Last confirmed: 2024-02-02. Reopening is not established.
dated evidence; numeric duration withheld; see qualification
FU-COV-EUR-002-FU2 — Observed operation
Rosal de la Frontera–Vila Verde de Ficalho road / N-433 approach
Start: 2024-02-01.
Last confirmed: 2024-02-02. Reopening is not established.
dated evidence; numeric duration withheld; see qualification</x:v>
      </x:c>
      <x:c r="G658" s="4" t="str">
        <x:v>Policy and socioeconomic demands / Rights and other policy grievances
Reported reason
Applies to: Recorded episode
Reported demand to revise agricultural policies and regulations; the report does not justify narrower commodity, tax or import-control demands.</x:v>
      </x:c>
      <x:c r="H658" s="4" t="str">
        <x:v>FU-COV-EUR-002-FU1: Both-direction road blockage began February 1 and remained active February 2, with emergency vehicles excepted. Clock-time reports vary. Actual reopening and later continuity remain unknown; no numeric duration.
FU-COV-EUR-002-FU2: Both-direction road blockage began February 1 and remained active February 2, with emergency vehicles excepted. Clock-time reports vary. Actual reopening and later continuity remain unknown; no numeric duration.
endpoints / intraday continuity: When did ordinary passage resume at each road, and were there interim openings?
Current endpoint finding: Both route blockades confirmed through February2; no actual reopening found.
Rosal onset clock precision: Day-level onset is resolved; the original request for a time-stamped onset account is not fully met because clock times vary.</x:v>
      </x:c>
      <x:c r="I658" s="4" t="str">
        <x:v>Retained baseline assessment. Correction pass: amended with stated qualifications</x:v>
      </x:c>
      <x:c r="J658" s="18" t="d">
        <x:v>2026-10-23T00:00:00.000Z</x:v>
      </x:c>
      <x:c r="K658" s="21" t="str">
        <x:f>IFERROR(HYPERLINK("https://www.europapress.es/andalucia/huelva-00354/noticia-agricultores-portugueses-cortan-carreteras-acceso-frontera-rosal-paymogo-huelva-20240201133915.html","europapress.es"),"europapress.es")</x:f>
        <x:v>europapress.es</x:v>
      </x:c>
      <x:c r="L658" s="21" t="str">
        <x:f>IFERROR(HYPERLINK("https://www.ultimahora.es/noticias/comunidades/2024/02/02/2098213/agricultores-portugueses-mantienen-por-segundo-dia-cortes-frontera-huelva-rosal-paymogo.html","ultimahora.es"),"ultimahora.es")</x:f>
        <x:v>ultimahora.es</x:v>
      </x:c>
      <x:c r="M658" s="21" t="str">
        <x:f>IFERROR(HYPERLINK("https://www.rtp.pt/noticias/pais/agricultores-portugueses-em-protesto_e1547463","rtp.pt"),"rtp.pt")</x:f>
        <x:v>rtp.pt</x:v>
      </x:c>
      <x:c r="N658" s="4" t="str">
        <x:v>https://www.europapress.es/andalucia/huelva-00354/noticia-agricultores-portugueses-cortan-carreteras-acceso-frontera-rosal-paymogo-huelva-20240201133915.html
https://www.ultimahora.es/noticias/comunidades/2024/02/02/2098213/agricultores-portugueses-mantienen-por-segundo-dia-cortes-frontera-huelva-rosal-paymogo.html
https://www.rtp.pt/noticias/pais/agricultores-portugueses-em-protesto_e1547463
https://www.europapress.es/andalucia/huelva-00354/noticia-continuan-cortes-carreteras-acceso-frontera-rosal-paymogo-huelva-20240201200626.html</x:v>
      </x:c>
      <x:c r="O658" s="4" t="str">
        <x:v>Source 1: access detail is retained in the source catalogue.
Source 2: access detail is retained in the source catalogue.
Source 3: access detail is retained in the source catalogue.</x:v>
      </x:c>
      <x:c r="P658" s="20" t="n">
        <x:v>2</x:v>
      </x:c>
      <x:c r="Q658" s="4" t="str">
        <x:v>Europe</x:v>
      </x:c>
      <x:c r="R658" s="4" t="str">
        <x:v>Included</x:v>
      </x:c>
    </x:row>
    <x:row r="659" ht="90" hidden="0" customHeight="1">
      <x:c r="A659" s="16" t="str">
        <x:v>FU-COV-GLA-001</x:v>
      </x:c>
      <x:c r="B659" s="4" t="str">
        <x:v>Goma–Gisenyi Grande Barrière closure for ministerial security ceremony, November 2024</x:v>
      </x:c>
      <x:c r="C659" s="4" t="str">
        <x:v>Democratic Republic of the Congo; Rwanda</x:v>
      </x:c>
      <x:c r="D659" s="4" t="str">
        <x:v>Grande Barrière / La Corniche only</x:v>
      </x:c>
      <x:c r="E659" s="4" t="str">
        <x:v>Passenger movement
Direction: Not separately established</x:v>
      </x:c>
      <x:c r="F659" s="4" t="str">
        <x:v>FU-COV-GLA-001-FU1 — Observed operation
Grande Barrière / La Corniche only
Start: 2024-11-05.
Last confirmed: 2024-11-05. Reopening is not established.
dated evidence; numeric duration withheld; see qualification</x:v>
      </x:c>
      <x:c r="G659" s="4" t="str">
        <x:v>Security / Public order and immediate safety
Reported reason
Applies to: Recorded episode
RFI correspondent report attributes temporary closure to security for the meeting.</x:v>
      </x:c>
      <x:c r="H659" s="4" t="str">
        <x:v>FU-COV-GLA-001-FU1: Observed closed during the morning on this date; no verified reopening or whole-day spell. Withhold all numeric duration fields, including a zero-day minimum.
end_date / duration: When did Grande Barrière actually resume passenger passage after the ceremony?
imposing_authority / rationale: Which body ordered the closure, and is the security justification directly available from that body or original RFI reporting?</x:v>
      </x:c>
      <x:c r="I659" s="4" t="str">
        <x:v>Retained baseline assessment. New candidate separately challenged and adjudicated</x:v>
      </x:c>
      <x:c r="J659" s="18" t="d">
        <x:v>2026-10-23T00:00:00.000Z</x:v>
      </x:c>
      <x:c r="K659" s="21" t="str">
        <x:f>IFERROR(HYPERLINK("https://www.lifeinfos.net/processus-de-luanda-lancement-du-mecanisme-de-verification-ad-hoc-renforcee-entre-la-rdc-et-le-rwanda/","lifeinfos.net"),"lifeinfos.net")</x:f>
        <x:v>lifeinfos.net</x:v>
      </x:c>
      <x:c r="L659" s="21" t="str">
        <x:f>IFERROR(HYPERLINK("https://www.radiookapi.net/2024/11/05/actualite/securite/processus-de-luanda-lancement-du-mecanisme-de-verification-ad-hoc","radiookapi.net"),"radiookapi.net")</x:f>
        <x:v>radiookapi.net</x:v>
      </x:c>
      <x:c r="M659" s="21" t="str">
        <x:f>IFERROR(HYPERLINK("https://far-maroc.forumpro.fr/t3594-le-m23mouvement-du-23-mars-vs-l-armee-de-la-rdc","far-maroc.forumpro.fr"),"far-maroc.forumpro.fr")</x:f>
        <x:v>far-maroc.forumpro.fr</x:v>
      </x:c>
      <x:c r="N659" s="4" t="str">
        <x:v>https://www.lifeinfos.net/processus-de-luanda-lancement-du-mecanisme-de-verification-ad-hoc-renforcee-entre-la-rdc-et-le-rwanda/
https://www.radiookapi.net/2024/11/05/actualite/securite/processus-de-luanda-lancement-du-mecanisme-de-verification-ad-hoc
https://far-maroc.forumpro.fr/t3594-le-m23mouvement-du-23-mars-vs-l-armee-de-la-rdc</x:v>
      </x:c>
      <x:c r="O659" s="4" t="str">
        <x:v>Source 1: access detail is retained in the source catalogue.
Source 2: access detail is retained in the source catalogue.
Source 3: access detail is retained in the source catalogue.</x:v>
      </x:c>
      <x:c r="P659" s="20" t="n">
        <x:v>1</x:v>
      </x:c>
      <x:c r="Q659" s="4" t="str">
        <x:v>Great Lakes</x:v>
      </x:c>
      <x:c r="R659" s="4" t="str">
        <x:v>Included</x:v>
      </x:c>
    </x:row>
    <x:row r="660" ht="126" hidden="0" customHeight="1">
      <x:c r="A660" s="16" t="str">
        <x:v>FU-COV-HAF-001</x:v>
      </x:c>
      <x:c r="B660" s="4" t="str">
        <x:v>Gallabat outbound passenger suspension after attacks on travellers, November 2023</x:v>
      </x:c>
      <x:c r="C660" s="4" t="str">
        <x:v>Ethiopia; Sudan</x:v>
      </x:c>
      <x:c r="D660" s="4" t="str">
        <x:v>Gallabat–Metema</x:v>
      </x:c>
      <x:c r="E660" s="4" t="str">
        <x:v>Passengers
Direction: Sudan to Ethiopia</x:v>
      </x:c>
      <x:c r="F660" s="4" t="str">
        <x:v>FU-COV-HAF-001-FU1 — Observed operation
Gallabat–Metema
Start: 2023-11-19 to 2023-11-20.
Last confirmed: 2023-11-20. Reopening is not established.
confirmed through 2023-11-20; at least 0 calendar-day difference; reopening unknown</x:v>
      </x:c>
      <x:c r="G660" s="4" t="str">
        <x:v>Security / Public order and immediate safety
Reported reason
Applies to: Recorded episode
Authorities suspended travel pending safety arrangements.
Security / Crime and law enforcement
Reported reason
Applies to: Recorded episode
Reported response to robbery and attacks on travellers.</x:v>
      </x:c>
      <x:c r="H660" s="4" t="str">
        <x:v>FU-COV-HAF-001-FU1: No reopening located; date bounds preserve source conflict. Trade not covered.
start_date: Was operational passenger suspension first imposed November 19 or November 20?
end_date / continuity: When did outbound passenger processing resume and were there intervening exemptions?
Current continuity finding: Dabanga's November 20, 2023 report dates Sunday passenger suspension at Gallabat, with goods explicitly allowed. The broken Sudan Tribune link leaves the alternative November 20 onset unverified. The same report identifies a separate Eritrea-side Laffa entry suspension, a coverage candidate needing register-wide matching.</x:v>
      </x:c>
      <x:c r="I660" s="4" t="str">
        <x:v>Full-record source audit (REC50-R15); retained with recorded qualifications; evidence limits retained.</x:v>
      </x:c>
      <x:c r="J660" s="18" t="d">
        <x:v>2026-10-25T00:00:00.000Z</x:v>
      </x:c>
      <x:c r="K660" s="21" t="str">
        <x:f>IFERROR(HYPERLINK("https://www.dabangasudan.org/ar/all-news/article/%D8%B3%D9%84%D8%B7%D8%A7%D8%AA-%D8%A7%D9%84%D9%82%D8%B6%D8%A7%D8%B1%D9%81-%D8%AA%D8%BA%D9%84%D9%82-%D9%85%D8%B9%D8%A8%D8%B1-%D8%A7%D9%84%D9%82%D9%84%D8%A7%D8%A8%D8%A7%D8%AA-%D8%A7%D9%84%D8%A8%D8%B1","Radio Dabanga"),"Radio Dabanga")</x:f>
        <x:v>Radio Dabanga</x:v>
      </x:c>
      <x:c r="L660" s="21" t="str">
        <x:f>IFERROR(HYPERLINK("https://sudantribune.net/article279546/","Sudan Tribune"),"Sudan Tribune")</x:f>
        <x:v>Sudan Tribune</x:v>
      </x:c>
      <x:c r="M660" s="21" t="str">
        <x:f>IFERROR(HYPERLINK("https://sagiapress.net/2023/11/20/%D9%82%D8%B1%D8%A7%D8%B1-%D8%A8%D8%A5%D9%8A%D9%82%D8%A7%D9%81-%D8%A7%D9%84%D8%B3%D9%81%D8%B1-%D8%A5%D9%84%D9%89-%D8%A5%D8%AB%D9%8A%D9%88%D8%A8%D9%8A%D8%A7-%D8%B9%D8%A8%D8%B1-%D9%85%D8%B9%D8%A8%D8%B1/","Sagia Press"),"Sagia Press")</x:f>
        <x:v>Sagia Press</x:v>
      </x:c>
      <x:c r="N660" s="4" t="str">
        <x:v>https://www.dabangasudan.org/ar/all-news/article/%D8%B3%D9%84%D8%B7%D8%A7%D8%AA-%D8%A7%D9%84%D9%82%D8%B6%D8%A7%D8%B1%D9%81-%D8%AA%D8%BA%D9%84%D9%82-%D9%85%D8%B9%D8%A8%D8%B1-%D8%A7%D9%84%D9%82%D9%84%D8%A7%D8%A8%D8%A7%D8%AA-%D8%A7%D9%84%D8%A8%D8%B1
https://sudantribune.net/article279546/
https://sagiapress.net/2023/11/20/%D9%82%D8%B1%D8%A7%D8%B1-%D8%A8%D8%A5%D9%8A%D9%82%D8%A7%D9%81-%D8%A7%D9%84%D8%B3%D9%81%D8%B1-%D8%A5%D9%84%D9%89-%D8%A5%D8%AB%D9%8A%D9%88%D8%A8%D9%8A%D8%A7-%D8%B9%D8%A8%D8%B1-%D9%85%D8%B9%D8%A8%D8%B1/</x:v>
      </x:c>
      <x:c r="O660" s="4" t="str">
        <x:v>Source 1: full text
Source 2: indexed extract
Source 3: full text</x:v>
      </x:c>
      <x:c r="P660" s="20" t="n">
        <x:v>1</x:v>
      </x:c>
      <x:c r="Q660" s="4" t="str">
        <x:v>Horn of Africa</x:v>
      </x:c>
      <x:c r="R660" s="4" t="str">
        <x:v>Included</x:v>
      </x:c>
    </x:row>
    <x:row r="661" ht="162" hidden="0" customHeight="1">
      <x:c r="A661" s="16" t="str">
        <x:v>FU-COV-HAF-003</x:v>
      </x:c>
      <x:c r="B661" s="4" t="str">
        <x:v>Gallabat passenger travel suspension during Amhara fighting, August 2023</x:v>
      </x:c>
      <x:c r="C661" s="4" t="str">
        <x:v>Ethiopia; Sudan</x:v>
      </x:c>
      <x:c r="D661" s="4" t="str">
        <x:v>Gallabat–Metema</x:v>
      </x:c>
      <x:c r="E661" s="4" t="str">
        <x:v>Passengers
Direction: Sudan to Ethiopia</x:v>
      </x:c>
      <x:c r="F661" s="4" t="str">
        <x:v>FU-COV-HAF-003-FU1 — Observed operation
Gallabat–Metema
Start: by 2023-08-03; earliest bound unknown.
Scoped endpoint: 2023-08-12.
Last confirmed observation: 2023-08-04.
dated evidence; numeric duration withheld; see qualification</x:v>
      </x:c>
      <x:c r="G661" s="4" t="str">
        <x:v>Security / Armed conflict and military confrontation
Reported reason
Applies to: Recorded episode
Fighting was the stated context for stopping travel.
Security / Public order and immediate safety
Reported reason
Applies to: Recorded episode
Police chief stated traveller safety as purpose.</x:v>
      </x:c>
      <x:c r="H661" s="4" t="str">
        <x:v>FU-COV-HAF-003-FU1: Known closed by August 3; no justified earliest onset. Preserve observed August 12 resumption without deriving a finite complete duration or assuming uninterrupted closure between reports.
start_date: What was the operational start, rather than the report publication date, of the August suspension?
Current onset finding: August 3 Sagiapress/Dabanga reporting establishes travel processing suspended by that date; Sudan Tribune August 12 observes 55 outgoing travellers and about 20 arrivals. Unknown earliest onset and unproven daily continuity justify no finite complete duration.
continuity: Did passenger processing remain continuously suspended through August 12, with which exceptions?
Current finding: August 3 Sagiapress/Dabanga reporting establishes travel processing suspended by that date; Sudan Tribune August 12 observes 55 outgoing travellers and about 20 arrivals. Unknown earliest onset and unproven daily continuity justify no finite complete duration.</x:v>
      </x:c>
      <x:c r="I661" s="4" t="str">
        <x:v>Retained baseline assessment. Correction pass: reviewed; see attribute findings</x:v>
      </x:c>
      <x:c r="J661" s="18" t="d">
        <x:v>2026-10-23T00:00:00.000Z</x:v>
      </x:c>
      <x:c r="K661" s="21" t="str">
        <x:f>IFERROR(HYPERLINK("https://www.dabangasudan.org/ar/all-news/article/%D8%A7%D9%84%D8%B3%D9%84%D8%B7%D8%A7%D8%AA-%D8%A7%D9%84%D8%B3%D9%88%D8%AF%D8%A7%D9%86%D9%8A%D8%A9-%D8%AA%D9%88%D9%82%D9%81-%D8%A5%D8%AC%D8%B1%D8%A7%D8%A1%D8%A7%D8%AA-%D8%A7%D9%84%D8%B3%D9%81%D8%B1","dabangasudan.org"),"dabangasudan.org")</x:f>
        <x:v>dabangasudan.org</x:v>
      </x:c>
      <x:c r="L661" s="21" t="str">
        <x:f>IFERROR(HYPERLINK("https://sudantribune.net/article/276062","sudantribune.net"),"sudantribune.net")</x:f>
        <x:v>sudantribune.net</x:v>
      </x:c>
      <x:c r="M661" s="21" t="str">
        <x:f>IFERROR(HYPERLINK("https://sagiapress.net/2023/08/03/16606/","sagiapress.net"),"sagiapress.net")</x:f>
        <x:v>sagiapress.net</x:v>
      </x:c>
      <x:c r="N661" s="4" t="str">
        <x:v>https://www.dabangasudan.org/ar/all-news/article/%D8%A7%D9%84%D8%B3%D9%84%D8%B7%D8%A7%D8%AA-%D8%A7%D9%84%D8%B3%D9%88%D8%AF%D8%A7%D9%86%D9%8A%D8%A9-%D8%AA%D9%88%D9%82%D9%81-%D8%A5%D8%AC%D8%B1%D8%A7%D8%A1%D8%A7%D8%AA-%D8%A7%D9%84%D8%B3%D9%81%D8%B1
https://sudantribune.net/article/276062
https://sagiapress.net/2023/08/03/16606/</x:v>
      </x:c>
      <x:c r="O661" s="4" t="str">
        <x:v>Source 1: access detail is retained in the source catalogue.
Source 2: access detail is retained in the source catalogue.
Source 3: access detail is retained in the source catalogue.</x:v>
      </x:c>
      <x:c r="P661" s="20" t="n">
        <x:v>1</x:v>
      </x:c>
      <x:c r="Q661" s="4" t="str">
        <x:v>Horn of Africa</x:v>
      </x:c>
      <x:c r="R661" s="4" t="str">
        <x:v>Included</x:v>
      </x:c>
    </x:row>
    <x:row r="662" ht="162" hidden="0" customHeight="1">
      <x:c r="A662" s="16" t="str">
        <x:v>FU-COV-LAM-001</x:v>
      </x:c>
      <x:c r="B662" s="4" t="str">
        <x:v>Las Manos trucker border blockades over reciprocal visa requirements, October 2023</x:v>
      </x:c>
      <x:c r="C662" s="4" t="str">
        <x:v>Honduras; Nicaragua</x:v>
      </x:c>
      <x:c r="D662" s="4" t="str">
        <x:v>Las Manos</x:v>
      </x:c>
      <x:c r="E662" s="4" t="str">
        <x:v>Commercial freight; Commercial freight; light-vehicle/perishable exceptions
Direction: Not separately established</x:v>
      </x:c>
      <x:c r="F662" s="4" t="str">
        <x:v>FU-COV-LAM-001-FU1 — Observed operation
Las Manos
Start: 2023-10-11.
Last confirmed: 2023-10-12. Reopening is not established.
confirmed through 2023-10-12; at least 1 calendar-day difference; reopening unknown
FU-COV-LAM-001-FU2 — Intermittent regime
Las Manos
Start: 2023-10-18 to 2023-10-19.
Last confirmed: 2023-10-21. Reopening is not established.
Intermittent regime envelope; total closed days unknown</x:v>
      </x:c>
      <x:c r="G662" s="4" t="str">
        <x:v>Migration / Admission and document disputes
Reported reason
Applies to: Recorded episode
Blockade sought removal of driver visa restrictions; attributed to transporters.
Trade and protectionism / Trade and transport protests
Reported reason
Applies to: Recorded episode
Commercial transporters obstructed freight to recover cross-border market access; not a state protectionist closure.</x:v>
      </x:c>
      <x:c r="H662" s="4" t="str">
        <x:v>FU-COV-LAM-001-FU1: First spell only; no reopening date established.
FU-COV-LAM-001-FU2: Renewed-obstruction report envelope with a conflicting October 19 normal-traffic account. October 21 is the latest inspected confirmation of intermittent Las Manos action, not a reopening date; the same HCH report distinguishes clearance at Guasaule. End bounds remain unknown and numeric duration withheld. No continuous closure is inferred from the October 11 spell or between the renewed observations.
phase1 end_date: Guasaule clearance cannot answer Las Manos. October 21 supports later intermittent activity, not either exact endpoint.
phase2 start / continuity / end: Guasaule clearance cannot answer Las Manos. October 21 supports later intermittent activity, not either exact endpoint.</x:v>
      </x:c>
      <x:c r="I662" s="4" t="str">
        <x:v>Targeted source review (REC50-R09); accepted corrections; evidence limits retained.</x:v>
      </x:c>
      <x:c r="J662" s="18" t="d">
        <x:v>2026-10-25T00:00:00.000Z</x:v>
      </x:c>
      <x:c r="K662" s="21" t="str">
        <x:f>IFERROR(HYPERLINK("https://www.nacion.com/economia/politica-economica/transportistas-hondurenos-protestan-en-puesto/4HG7T7GCUNEFFE5QVY6UKQ7754/story/","La Nacion"),"La Nacion")</x:f>
        <x:v>La Nacion</x:v>
      </x:c>
      <x:c r="L662" s="21" t="str">
        <x:f>IFERROR(HYPERLINK("https://www.nacion.com/economia/politica-economica/transportistas-hondurenos-reanudan-protesta-por/KTDC46H53FBHFEPNUPANLG7KNY/story/","La Nacion"),"La Nacion")</x:f>
        <x:v>La Nacion</x:v>
      </x:c>
      <x:c r="M662" s="21" t="str">
        <x:f>IFERROR(HYPERLINK("https://proceso.hn/continua-bloqueada-la-aduana-las-manos-zona-fronteriza-entre-honduras-y-nicaragua/","Proceso Digital"),"Proceso Digital")</x:f>
        <x:v>Proceso Digital</x:v>
      </x:c>
      <x:c r="N662" s="4" t="str">
        <x:v>https://www.nacion.com/economia/politica-economica/transportistas-hondurenos-protestan-en-puesto/4HG7T7GCUNEFFE5QVY6UKQ7754/story/
https://www.nacion.com/economia/politica-economica/transportistas-hondurenos-reanudan-protesta-por/KTDC46H53FBHFEPNUPANLG7KNY/story/
https://proceso.hn/continua-bloqueada-la-aduana-las-manos-zona-fronteriza-entre-honduras-y-nicaragua/
https://www.radiohrn.hn/suspenden-bloqueos-paro-ca5-transportistas-carga-pesada-honduras-2023-10-19
https://hch.tv/transportistas-de-carga-suspenden-protesta-en-frontera-guasaule-en-las-manos-se-mantiene-toma/
https://hch.tv/traileros-bloquean-paso-al-transporte-de-carga-en-frontera-las-manos-con-nicaragua/</x:v>
      </x:c>
      <x:c r="O662" s="4" t="str">
        <x:v>Source 1: full text
Source 2: full text
Source 3: full text</x:v>
      </x:c>
      <x:c r="P662" s="20" t="n">
        <x:v>2</x:v>
      </x:c>
      <x:c r="Q662" s="4" t="str">
        <x:v>Americas</x:v>
      </x:c>
      <x:c r="R662" s="4" t="str">
        <x:v>Included</x:v>
      </x:c>
    </x:row>
    <x:row r="663" ht="102" hidden="0" customHeight="1">
      <x:c r="A663" s="16" t="str">
        <x:v>FU-COV-LAM-002</x:v>
      </x:c>
      <x:c r="B663" s="4" t="str">
        <x:v>Agua Caliente opposition blockade following Honduran election, November 2017</x:v>
      </x:c>
      <x:c r="C663" s="4" t="str">
        <x:v>Guatemala; Honduras</x:v>
      </x:c>
      <x:c r="D663" s="4" t="str">
        <x:v>Agua Caliente crossing</x:v>
      </x:c>
      <x:c r="E663" s="4" t="str">
        <x:v>Commercial movement affected; passenger scope unknown
Direction: Not separately established</x:v>
      </x:c>
      <x:c r="F663" s="4" t="str">
        <x:v>FU-COV-LAM-002-FU1 — Observed operation
Agua Caliente crossing
Start: 2017-11-30.
Last confirmed: 2017-11-30. Reopening is not established.
dated evidence; numeric duration withheld; see qualification</x:v>
      </x:c>
      <x:c r="G663" s="4" t="str">
        <x:v>Electoral politics / Electoral disputes and transitions
Reported reason
Applies to: Recorded episode
Protesters disputed election results; not a neutral election-administration closure.</x:v>
      </x:c>
      <x:c r="H663" s="4" t="str">
        <x:v>FU-COV-LAM-002-FU1: November 30 dated local account of crossing seizure; reopening, passenger exemptions and exact hours remain unknown. No numeric duration.
endpoint / scope: When did passage resume, and which directions or movement categories were blocked or exempt?
continuity: Follow-up reaches the same November 30, 2017 report under another publisher URL; it adds no independent endpoint or continuity evidence.</x:v>
      </x:c>
      <x:c r="I663" s="4" t="str">
        <x:v>Full-record source audit (REC50-R45); retained with recorded qualifications; evidence limits retained.</x:v>
      </x:c>
      <x:c r="J663" s="18" t="d">
        <x:v>2026-10-25T00:00:00.000Z</x:v>
      </x:c>
      <x:c r="K663" s="21" t="str">
        <x:f>IFERROR(HYPERLINK("https://prensacomunitaria.org/2017/12/chiquimula-fue-cerrada-la-frontera-agua-caliente-con-honduras/","Prensa Comunitaria / Esquipulas News"),"Prensa Comunitaria / Esquipulas News")</x:f>
        <x:v>Prensa Comunitaria / Esquipulas News</x:v>
      </x:c>
      <x:c r="L663" s="21" t="str">
        <x:f>IFERROR(HYPERLINK("https://prensacomunitaria.lalibre.net/2017/12/chiquimula-fue-cerrada-la-frontera-agua-caliente-con-honduras/","prensacomunitaria.lalibre.net"),"prensacomunitaria.lalibre.net")</x:f>
        <x:v>prensacomunitaria.lalibre.net</x:v>
      </x:c>
      <x:c r="M663" s="21"/>
      <x:c r="N663" s="4" t="str">
        <x:v>https://prensacomunitaria.org/2017/12/chiquimula-fue-cerrada-la-frontera-agua-caliente-con-honduras/
https://prensacomunitaria.lalibre.net/2017/12/chiquimula-fue-cerrada-la-frontera-agua-caliente-con-honduras/</x:v>
      </x:c>
      <x:c r="O663" s="4" t="str">
        <x:v>Source 1: full text
Source 2: access detail is retained in the source catalogue.</x:v>
      </x:c>
      <x:c r="P663" s="20" t="n">
        <x:v>1</x:v>
      </x:c>
      <x:c r="Q663" s="4" t="str">
        <x:v>Americas</x:v>
      </x:c>
      <x:c r="R663" s="4" t="str">
        <x:v>Included</x:v>
      </x:c>
    </x:row>
    <x:row r="664" ht="138" hidden="0" customHeight="1">
      <x:c r="A664" s="16" t="str">
        <x:v>FU-COV-LAM-003</x:v>
      </x:c>
      <x:c r="B664" s="4" t="str">
        <x:v>Agua Caliente migration-control closure after caravan breach, October 2018</x:v>
      </x:c>
      <x:c r="C664" s="4" t="str">
        <x:v>Guatemala; Honduras</x:v>
      </x:c>
      <x:c r="D664" s="4" t="str">
        <x:v>Honduran checkpoint at Agua Caliente
Agua Caliente Honduran admission of pre-authorized freight drivers entering from Guatemala</x:v>
      </x:c>
      <x:c r="E664" s="4" t="str">
        <x:v>People seeking outward passage; regular travellers affected; Authorized freight drivers
Direction: Honduras to Guatemala; Guatemala into Honduras</x:v>
      </x:c>
      <x:c r="F664" s="4" t="str">
        <x:v>FU-COV-LAM-003-FU1 — Observed operation
Honduran checkpoint at Agua Caliente
Start: 2018-10-20.
Last confirmed: 2018-10-20. Reopening is not established.
dated evidence; numeric duration withheld; see qualification
FU-COV-LAM-003-C7P1 — Observed operation
Agua Caliente Honduran admission of pre-authorized freight drivers entering from Guatemala
Start: unknown.
Observed scoped reopening: 2018-10-23.
dated evidence; numeric duration withheld; see qualification</x:v>
      </x:c>
      <x:c r="G664" s="4" t="str">
        <x:v>Security / Public order and immediate safety
Reported reason
Applies to: Recorded episode
Migration communiqué states protection of travellers as purpose.
Migration / Exit control
Reported reason
Applies to: Recorded episode
Police describe cordon as preventing irregular departure toward Guatemala.</x:v>
      </x:c>
      <x:c r="H664" s="4" t="str">
        <x:v>FU-COV-LAM-003-FU1: October 20 closure is explicit. Do not extend to an October 19 confrontation. Unknown reopening; no numeric duration. Guatemala-side closure remains attributed to Honduras’s communiqué.
FU-COV-LAM-003-C7P1: Endpoint-only observation. An October 24 source still reports Guatemala closed; other passengers and bilateral normalization are not established.
endpoint / exemptions: When did regular travellers resume crossing after the October 20 order, and what exemptions existed?
Guatemala-side scope: Was Guatemala’s checkpoint separately closed, under which order and dates?</x:v>
      </x:c>
      <x:c r="I664" s="4" t="str">
        <x:v>Retained baseline assessment. Correction pass: amended with stated qualifications</x:v>
      </x:c>
      <x:c r="J664" s="18" t="d">
        <x:v>2026-10-23T00:00:00.000Z</x:v>
      </x:c>
      <x:c r="K664" s="21" t="str">
        <x:f>IFERROR(HYPERLINK("https://www.laprensa.hn/honduras/honduras-cierra-frontera-de-agua-caliente-migrantes-caravana-guatemala-IWLP1226482","laprensa.hn"),"laprensa.hn")</x:f>
        <x:v>laprensa.hn</x:v>
      </x:c>
      <x:c r="L664" s="21" t="str">
        <x:f>IFERROR(HYPERLINK("https://www.jornada.com.mx/2018/10/21/politica/004n1pol","jornada.com.mx"),"jornada.com.mx")</x:f>
        <x:v>jornada.com.mx</x:v>
      </x:c>
      <x:c r="M664" s="21" t="str">
        <x:f>IFERROR(HYPERLINK("https://proceso.hn/reabren-la-aduana-de-agua-caliente-para-entrada-de-transportistas/","proceso.hn"),"proceso.hn")</x:f>
        <x:v>proceso.hn</x:v>
      </x:c>
      <x:c r="N664" s="4" t="str">
        <x:v>https://www.laprensa.hn/honduras/honduras-cierra-frontera-de-agua-caliente-migrantes-caravana-guatemala-IWLP1226482
https://www.jornada.com.mx/2018/10/21/politica/004n1pol
https://proceso.hn/reabren-la-aduana-de-agua-caliente-para-entrada-de-transportistas/
https://republica.com/economia/2018-10-24-23-38-11-suspenden-cierre-temporal-de-la-aduana-agua-caliente</x:v>
      </x:c>
      <x:c r="O664" s="4" t="str">
        <x:v>Source 1: access detail is retained in the source catalogue.
Source 2: access detail is retained in the source catalogue.
Source 3: access detail is retained in the source catalogue.</x:v>
      </x:c>
      <x:c r="P664" s="20" t="n">
        <x:v>2</x:v>
      </x:c>
      <x:c r="Q664" s="4" t="str">
        <x:v>Americas</x:v>
      </x:c>
      <x:c r="R664" s="4" t="str">
        <x:v>Included</x:v>
      </x:c>
    </x:row>
    <x:row r="665" ht="409" hidden="0" customHeight="1">
      <x:c r="A665" s="16" t="str">
        <x:v>FU-COV-MEA-001</x:v>
      </x:c>
      <x:c r="B665" s="4" t="str">
        <x:v>Trebil oil-tanker blockade by Gaza-solidarity protesters, October 2023</x:v>
      </x:c>
      <x:c r="C665" s="4" t="str">
        <x:v>Iraq; Jordan</x:v>
      </x:c>
      <x:c r="D665" s="4" t="str">
        <x:v>Intermittent obstruction of Iraq-to-Jordan oil consignments on the Trebil approach, ending by completion of affected October deliveries</x:v>
      </x:c>
      <x:c r="E665" s="4" t="str">
        <x:v>Oil tankers only
Direction: Iraq to Jordan</x:v>
      </x:c>
      <x:c r="F665" s="4" t="str">
        <x:v>FU-COV-MEA-001-FU1 — Intermittent regime
Intermittent obstruction of Iraq-to-Jordan oil consignments on the Trebil approach, ending by completion of affected October deliveries
Start: by 2023-10-25; earliest bound unknown.
Observed scoped reopening: by 2023-10-27; earliest bound unknown.
Intermittent regime envelope; total closed days unknown</x:v>
      </x:c>
      <x:c r="G665" s="4" t="str">
        <x:v>Interstate disputes and pressure / Sanctions and coercive pressure
Reported reason
Applies to: Recorded episode
Non-state demonstrators sought pressure over Jordan’s Gaza policy; not an Iraqi government embargo.</x:v>
      </x:c>
      <x:c r="H665" s="4" t="str">
        <x:v>FU-COV-MEA-001-FU1: October 27 is an episode-completion upper bound, not exact first reopening or a claim of continuous blockage. October 26 mixed observations and imprecise earliest onset remain; ordinary goods were not the restricted category.
start_date: When did the selective Trebil oil blockade actually begin?
endpoint / continuity: How do the October 26 seven-tanker entry and continued-obstruction accounts fit, and when did unrestricted oil passage resume?</x:v>
      </x:c>
      <x:c r="I665" s="4" t="str">
        <x:v>Targeted source review (REC50-R14); retained with recorded qualifications; evidence limits retained.</x:v>
      </x:c>
      <x:c r="J665" s="18" t="d">
        <x:v>2026-10-25T00:00:00.000Z</x:v>
      </x:c>
      <x:c r="K665" s="21" t="str">
        <x:f>IFERROR(HYPERLINK("https://www.ammonnews.net/article/808926","Ammon News"),"Ammon News")</x:f>
        <x:v>Ammon News</x:v>
      </x:c>
      <x:c r="L665" s="21" t="str">
        <x:f>IFERROR(HYPERLINK("https://www.alhadath.net/2023/10/25/-%D8%AD%D8%B4%D9%88%D8%AF-%D8%B9%D8%B1%D8%A7%D9%82%D9%8A%D8%A9-%D8%AA%D9%85%D9%86%D8%B9-%D8%AA%D8%B5%D8%AF%D9%8A%D8%B1-%D8%A7%D9%84%D9%86%D9%81%D8%B7-%D8%A7%D9%84%D9%89-%D8%A7%D9%84%D8%A3%D8%B1%D8%AF%D9%86-","Al Hadath / Al Arabiya"),"Al Hadath / Al Arabiya")</x:f>
        <x:v>Al Hadath / Al Arabiya</x:v>
      </x:c>
      <x:c r="M665" s="21"/>
      <x:c r="N665" s="4" t="str">
        <x:v>https://www.alaraby.co.uk/politics/%D8%A7%D8%AD%D8%AA%D8%AC%D8%A7%D8%AC%D8%A7%D8%AA-%D9%82%D8%B1%D8%A8-%D8%A7%D9%84%D8%AD%D8%AF%D9%88%D8%AF-%D8%A7%D9%84%D8%B9%D8%B1%D8%A7%D9%82%D9%8A%D8%A9-%D8%A7%D9%84%D8%A3%D8%B1%D8%AF%D9%86%D9%8A%D8%A9-%D8%AA%D9%8F%D8%BA%D9%84%D9%82-%D9%85%D9%86%D9%81%D8%B0-%D8%B7%D8%B1%D9%8A%D8%A8%D9%8A%D9%84
https://petra.gov.jo/gweb/index.php/ar/news/%D8%A7%D9%84%D8%B7%D8%A7%D9%82%D8%A9-%D8%B9%D9%88%D8%AF%D8%A9-%D8%B5%D9%87%D8%A7%D8%B1%D9%8A%D8%AC-%D9%85%D8%AD%D9%85%D9%84%D8%A9-%D8%A8%D8%A7%D9%84%D9%86%D9%81%D8%B7-%D8%A5%D9%84%D9%89-%D8%A7%D9%84%D8%B1%D9%85%D8%A7%D8%AF%D9%8A-%D9%84%D8%A3%D8%B3%D8%A8%D8%A7%D8%A8-%D8%AA%D8%AA%D8%B9%D9%84%D9%82-%D8%A8%D8%B3%D9%84%D8%A7%D9%85%D8%A9-%D8%A7%D9%84%D8%B3%D8%A7%D8%A6%D9%82%D9%8A%D9%86%C2%A0
https://www.ammonnews.net/article/808926
https://alssaa.com/post/show/20566-%D8%A7%D9%84%D9%85%D8%B9%D8%AA%D8%B5%D9%85%D9%88%D9%86%20%D8%B9%D9%86%D8%AF%20%D9%85%D9%86%D9%81%D8%B0%20%D8%B7%D8%B1%D9%8A%D8%A8%D9%8A%D9%84%20%D9%8A%D9%85%D9%86%D8%B9%D9%88%D9%86%20%D9%85%D8%B1%D9%88%D8%B1%20%D9%86%D8%A7%D9%82%D9%84%D8%A7%D8%AA%20%D8%A7%D9%84%D9%86%D9%81%D8%B7%20%D8%A5%D9%84%D9%89%20%D8%A7%D9%84%D8%A3%D8%B1%D8%AF%D9%86
https://petra.gov.jo/ar/index.php/ar/news/%D8%A7%D9%84%D8%B7%D8%A7%D9%82%D8%A9-%D8%AF%D8%AE%D9%88%D9%84-%D9%83%D8%A7%D9%85%D9%84-%D8%B5%D9%87%D8%A7%D8%B1%D9%8A%D8%AC-%D8%A7%D9%84%D9%86%D9%81%D8%B7-%D8%A7%D9%84%D8%B9%D8%B1%D8%A7%D9%82%D9%8A-%D8%A5%D9%84%D9%89-%D8%A7%D9%84%D9%85%D9%85%D9%84%D9%83%D8%A9
https://petra.gov.jo/index.php/ar/news/%D8%A7%D9%84%D8%B7%D8%A7%D9%82%D8%A9-%D8%B9%D9%88%D8%AF%D8%A9-%D8%B5%D9%87%D8%A7%D8%B1%D9%8A%D8%AC-%D9%85%D8%AD%D9%85%D9%84%D8%A9-%D8%A8%D8%A7%D9%84%D9%86%D9%81%D8%B7-%D8%A5%D9%84%D9%89-%D8%A7%D9%84%D8%B1%D9%85%D8%A7%D8%AF%D9%8A-%D9%84%D8%A3%D8%B3%D8%A8%D8%A7%D8%A8-%D8%AA%D8%AA%D8%B9%D9%84%D9%82-%D8%A8%D8%B3%D9%84%D8%A7%D9%85%D8%A9-%D8%A7%D9%84%D8%B3%D8%A7%D8%A6%D9%82%D9%8A%D9%86
https://www.alhadath.net/2023/10/25/-%D8%AD%D8%B4%D9%88%D8%AF-%D8%B9%D8%B1%D8%A7%D9%82%D9%8A%D8%A9-%D8%AA%D9%85%D9%86%D8%B9-%D8%AA%D8%B5%D8%AF%D9%8A%D8%B1-%D8%A7%D9%84%D9%86%D9%81%D8%B7-%D8%A7%D9%84%D9%89-%D8%A7%D9%84%D8%A3%D8%B1%D8%AF%D9%86-</x:v>
      </x:c>
      <x:c r="O665" s="4" t="str">
        <x:v>Source 1: full text
Source 2: indexed extract</x:v>
      </x:c>
      <x:c r="P665" s="20" t="n">
        <x:v>1</x:v>
      </x:c>
      <x:c r="Q665" s="4" t="str">
        <x:v>Middle East</x:v>
      </x:c>
      <x:c r="R665" s="4" t="str">
        <x:v>Included</x:v>
      </x:c>
    </x:row>
    <x:row r="666" ht="114" hidden="0" customHeight="1">
      <x:c r="A666" s="16" t="str">
        <x:v>FU-COV-MEA-002</x:v>
      </x:c>
      <x:c r="B666" s="4" t="str">
        <x:v>Shahn customs-protest crossing closure, March 2022</x:v>
      </x:c>
      <x:c r="C666" s="4" t="str">
        <x:v>Oman; Yemen</x:v>
      </x:c>
      <x:c r="D666" s="4" t="str">
        <x:v>Shahn land crossing</x:v>
      </x:c>
      <x:c r="E666" s="4" t="str">
        <x:v>Commercial movement; passenger effect unestablished
Direction: Not separately established</x:v>
      </x:c>
      <x:c r="F666" s="4" t="str">
        <x:v>FU-COV-MEA-002-FU1 — Observed operation
Shahn land crossing
Start: 2022-03-06.
Last confirmed: 2022-03-06. Reopening is not established.
dated evidence; numeric duration withheld; see qualification</x:v>
      </x:c>
      <x:c r="G666" s="4" t="str">
        <x:v>Trade and protectionism / Trade and transport protests
Reported reason
Applies to: Recorded episode
Traders obstructed crossing in opposition to customs charges.</x:v>
      </x:c>
      <x:c r="H666" s="4" t="str">
        <x:v>FU-COV-MEA-002-FU1: Single-day closed-state evidence; the threatened open-ended sit-in does not prove subsequent uninterrupted closure. No numeric duration. Oman-side counterpart name and exact physical gate are not established by these reports.
endpoint / movement scope: When did Shahn reopen, and were passengers or any cargo categories exempt during the protest?
location identity: What precise gate and Oman-side counterpart correspond to the reported March 2022 obstruction?</x:v>
      </x:c>
      <x:c r="I666" s="4" t="str">
        <x:v>Retained baseline assessment. New candidate separately challenged and adjudicated</x:v>
      </x:c>
      <x:c r="J666" s="18" t="d">
        <x:v>2026-10-23T00:00:00.000Z</x:v>
      </x:c>
      <x:c r="K666" s="21" t="str">
        <x:f>IFERROR(HYPERLINK("https://almawqeapost.net/news/70275","almawqeapost.net"),"almawqeapost.net")</x:f>
        <x:v>almawqeapost.net</x:v>
      </x:c>
      <x:c r="L666" s="21"/>
      <x:c r="M666" s="21"/>
      <x:c r="N666" s="4" t="str">
        <x:v>https://almawqeapost.net/news/70275
https://www.yaqeenonline.net/%D8%A3%D8%AE%D8%A8%D8%A7%D8%B1-%D9%88%D8%AA%D9%82%D8%A7%D8%B1%D9%8A%D8%B1/%D9%85%D8%AD%D8%AA%D8%AC%D9%88%D9%86-%D9%8A%D8%BA%D9%84%D9%82%D9%88%D9%86-%D9%85%D9%86%D9%81%D8%B0-%D8%AD%D8%AF%D9%88%D8%AF%D9%8A-%D8%A8%D9%8A%D9%86-%D8%A7%D9%84%D9%8A%D9%85%D9%86-%D9%88%D8%B3%D9%84%D8%B7%D9%86%D8%A9-%D8%B9%D9%85%D8%A7%D9%86-%D9%84%D9%87%D8%B0%D8%A7-%D8%A7%D9%84%D8%B3%D8%A8%D8%A8</x:v>
      </x:c>
      <x:c r="O666" s="4" t="str">
        <x:v>Source 1: access detail is retained in the source catalogue.</x:v>
      </x:c>
      <x:c r="P666" s="20" t="n">
        <x:v>1</x:v>
      </x:c>
      <x:c r="Q666" s="4" t="str">
        <x:v>Middle East</x:v>
      </x:c>
      <x:c r="R666" s="4" t="str">
        <x:v>Included</x:v>
      </x:c>
    </x:row>
    <x:row r="667" ht="90" hidden="0" customHeight="1">
      <x:c r="A667" s="16" t="str">
        <x:v>FU-COV-NAF-001</x:v>
      </x:c>
      <x:c r="B667" s="4" t="str">
        <x:v>Ras Jedir Libyan-side closure after armed clashes, April 2017</x:v>
      </x:c>
      <x:c r="C667" s="4" t="str">
        <x:v>Libya; Tunisia</x:v>
      </x:c>
      <x:c r="D667" s="4" t="str">
        <x:v>Libyan side of Ras Jedir</x:v>
      </x:c>
      <x:c r="E667" s="4" t="str">
        <x:v>Not separately established
Direction: Not separately established</x:v>
      </x:c>
      <x:c r="F667" s="4" t="str">
        <x:v>FU-COV-NAF-001-FU1 — Observed operation
Libyan side of Ras Jedir
Start: 2017-04-11.
Last confirmed: 2017-04-11. Reopening is not established.
dated evidence; numeric duration withheld; see qualification</x:v>
      </x:c>
      <x:c r="G667" s="4" t="str">
        <x:v>Security / Armed conflict and military confrontation
Reported reason
Applies to: Recorded episode
Closure explicitly attributed to armed clashes by local correspondent.</x:v>
      </x:c>
      <x:c r="H667" s="4" t="str">
        <x:v>FU-COV-NAF-001-FU1: Onset-only closed-state evidence on April 11; no endpoint or continuity beyond that observation. Withhold all numeric duration fields, including a zero-day minimum.
end_date / continuity: When did the April 11 Ras Jedir restriction end, and was it continuous?
scope / authority: Which Libyan body imposed the action, and what movement categories or exemptions applied?</x:v>
      </x:c>
      <x:c r="I667" s="4" t="str">
        <x:v>Retained baseline assessment. New candidate separately challenged and adjudicated</x:v>
      </x:c>
      <x:c r="J667" s="18" t="d">
        <x:v>2026-10-23T00:00:00.000Z</x:v>
      </x:c>
      <x:c r="K667" s="21" t="str">
        <x:f>IFERROR(HYPERLINK("https://www.jawharafm.net/fr/article/fermeture-du-poste-frontalier-de-ras-jedir-du-cote-libyen/90/50856","jawharafm.net"),"jawharafm.net")</x:f>
        <x:v>jawharafm.net</x:v>
      </x:c>
      <x:c r="L667" s="21"/>
      <x:c r="M667" s="21"/>
      <x:c r="N667" s="4" t="str">
        <x:v>https://www.jawharafm.net/fr/article/fermeture-du-poste-frontalier-de-ras-jedir-du-cote-libyen/90/50856</x:v>
      </x:c>
      <x:c r="O667" s="4" t="str">
        <x:v>Source 1: access detail is retained in the source catalogue.</x:v>
      </x:c>
      <x:c r="P667" s="20" t="n">
        <x:v>1</x:v>
      </x:c>
      <x:c r="Q667" s="4" t="str">
        <x:v>North Africa</x:v>
      </x:c>
      <x:c r="R667" s="4" t="str">
        <x:v>Included</x:v>
      </x:c>
    </x:row>
    <x:row r="668" ht="210" hidden="0" customHeight="1">
      <x:c r="A668" s="16" t="str">
        <x:v>FU-COV-NAM-001</x:v>
      </x:c>
      <x:c r="B668" s="4" t="str">
        <x:v>Ciudad Juárez commercial crossing blockades over agricultural and water policy, November 2025</x:v>
      </x:c>
      <x:c r="C668" s="4" t="str">
        <x:v>Mexico; United States</x:v>
      </x:c>
      <x:c r="D668" s="4" t="str">
        <x:v>Córdova–Las Américas / Bridge of the Americas
Zaragoza–Ysleta
San Jerónimo–Santa Teresa</x:v>
      </x:c>
      <x:c r="E668" s="4" t="str">
        <x:v>Commercial cargo
Direction: At least northbound Mexico to United States</x:v>
      </x:c>
      <x:c r="F668" s="4" t="str">
        <x:v>FU-COV-NAM-001-FU1 — Intermittent regime
Córdova–Las Américas / Bridge of the Americas
Start: 2025-11-24.
Observed scoped reopening: 2025-11-28.
Intermittent regime envelope; total closed days unknown
FU-COV-NAM-001-FU2 — Intermittent regime
Zaragoza–Ysleta
Start: 2025-11-24.
Observed scoped reopening: 2025-11-28.
Intermittent regime envelope; total closed days unknown
FU-COV-NAM-001-FU3 — Intermittent regime
San Jerónimo–Santa Teresa
Start: 2025-11-24.
Observed scoped reopening: 2025-11-28.
Intermittent regime envelope; total closed days unknown</x:v>
      </x:c>
      <x:c r="G668" s="4" t="str">
        <x:v>Policy and socioeconomic demands / Jobs, services and livelihoods
Reported reason
Applies to: Recorded episode
Reported farmer demands concerned crop prices and agricultural livelihood support.
Policy and socioeconomic demands / Rights and other policy grievances
Reported reason
Applies to: Recorded episode
Reported opposition to proposed water-law terms; attributed to protesters.</x:v>
      </x:c>
      <x:c r="H668" s="4" t="str">
        <x:v>FU-COV-NAM-001-FU1: Episode envelope only; continuous closure throughout the envelope is not established. Do not calculate a continuous duration. The November 24 local report expressly says ordinary cars were allowed at Córdova–Las Américas while cargo trucks were blocked; this exception is not transferred to the other posts.
FU-COV-NAM-001-FU2: Episode envelope only; continuous closure throughout the envelope is not established. Do not calculate a continuous duration.
FU-COV-NAM-001-FU3: Episode envelope only; continuous closure throughout the envelope is not established. Do not calculate a continuous duration.
crossing phases / direction / continuity: What exact operating hours, directions and intermittent openings applied at each port between November 24 and November 28?</x:v>
      </x:c>
      <x:c r="I668" s="4" t="str">
        <x:v>Full-record source audit (REC50-R50); accepted corrections; evidence limits retained.</x:v>
      </x:c>
      <x:c r="J668" s="18" t="d">
        <x:v>2026-10-25T00:00:00.000Z</x:v>
      </x:c>
      <x:c r="K668" s="21" t="str">
        <x:f>IFERROR(HYPERLINK("https://www.jornada.com.mx/noticia/2025/11/24/estados/agricultores-toman-oficinas-de-la-aduana-cordovalas-americas-en-chihuahua","La Jornada"),"La Jornada")</x:f>
        <x:v>La Jornada</x:v>
      </x:c>
      <x:c r="L668" s="21" t="str">
        <x:f>IFERROR(HYPERLINK("https://content.govdelivery.com/accounts/USDHSCBP/bulletins/3fd1e9c","US Customs and Border Protection, El Paso Field Office"),"US Customs and Border Protection, El Paso Field Office")</x:f>
        <x:v>US Customs and Border Protection, El Paso Field Office</x:v>
      </x:c>
      <x:c r="M668" s="21" t="str">
        <x:f>IFERROR(HYPERLINK("https://web.jornada.com.mx/2025/11/28/politica/005n1pol","La Jornada"),"La Jornada")</x:f>
        <x:v>La Jornada</x:v>
      </x:c>
      <x:c r="N668" s="4" t="str">
        <x:v>https://www.jornada.com.mx/noticia/2025/11/24/estados/agricultores-toman-oficinas-de-la-aduana-cordovalas-americas-en-chihuahua
https://content.govdelivery.com/accounts/USDHSCBP/bulletins/3fd1e9c
https://web.jornada.com.mx/2025/11/28/politica/005n1pol</x:v>
      </x:c>
      <x:c r="O668" s="4" t="str">
        <x:v>Source 1: full text
Source 2: full text
Source 3: full text</x:v>
      </x:c>
      <x:c r="P668" s="20" t="n">
        <x:v>3</x:v>
      </x:c>
      <x:c r="Q668" s="4" t="str">
        <x:v>Americas</x:v>
      </x:c>
      <x:c r="R668" s="4" t="str">
        <x:v>Included</x:v>
      </x:c>
    </x:row>
    <x:row r="669" ht="354" hidden="0" customHeight="1">
      <x:c r="A669" s="16" t="str">
        <x:v>FU-COV-NAM-002</x:v>
      </x:c>
      <x:c r="B669" s="4" t="str">
        <x:v>Chihuahua international cargo crossings: renewed water-law protest blockades, December 2025</x:v>
      </x:c>
      <x:c r="C669" s="4" t="str">
        <x:v>Mexico; United States</x:v>
      </x:c>
      <x:c r="D669" s="4" t="str">
        <x:v>Zaragoza–Ysleta cargo facility
Guadalupe–Tornillo / Marcelino Serna cargo facility
Córdova–Las Américas / BOTA cargo facility
San Jerónimo–Santa Teresa cargo facility
Puerto Palomas–Columbus cargo facility</x:v>
      </x:c>
      <x:c r="E669" s="4" t="str">
        <x:v>Commercial cargo
Direction: Not separately established; Northbound documented December 3; both directions impacted December 4; Both directions involved; December 4 southbound documented</x:v>
      </x:c>
      <x:c r="F669" s="4" t="str">
        <x:v>FU-COV-NAM-002-FU1 — Observed operation
Zaragoza–Ysleta cargo facility
Start: 2025-12-03.
Scoped endpoint: 2025-12-05.
2 calendar-day difference; scoped endpoint only
FU-COV-NAM-002-FU2 — Observed operation
Guadalupe–Tornillo / Marcelino Serna cargo facility
Start: 2025-12-03.
Scoped endpoint: 2025-12-05.
2 calendar-day difference; scoped endpoint only
FU-COV-NAM-002-FU3 — Intermittent regime
Córdova–Las Américas / BOTA cargo facility
Start: 2025-12-03.
Scoped endpoint: 2025-12-05.
Intermittent regime envelope; total closed days unknown
FU-COV-NAM-002-FU4 — Intermittent regime
San Jerónimo–Santa Teresa cargo facility
Start: 2025-12-03.
Scoped endpoint: 2025-12-05.
Intermittent regime envelope; total closed days unknown
FU-COV-NAM-002-FU5 — Intermittent regime
Puerto Palomas–Columbus cargo facility
Start: 2025-12-03.
Scoped endpoint: 2025-12-05.
Intermittent regime envelope; total closed days unknown</x:v>
      </x:c>
      <x:c r="G669" s="4" t="str">
        <x:v>Policy and socioeconomic demands / Rights and other policy grievances
Reported reason
Applies to: Recorded episode
Protesters demanded changes to water legislation.</x:v>
      </x:c>
      <x:c r="H669" s="4" t="str">
        <x:v>FU-COV-NAM-002-FU1: Intraday timing retained in evidence; dates are calendar-day boundaries. Calendar date difference only, not exact elapsed whole days or a midnight onset; no all-crossing duration follows.
FU-COV-NAM-002-FU2: No passenger restriction inferred. Calendar date difference only, not exact elapsed whole days or a midnight onset; no all-crossing duration follows.
FU-COV-NAM-002-FU3: Direction changes across the envelope. December 3 southbound was operational; December 4 bulletin reports both directions affected. No continuous protest closure during ordinary out-of-hours closure is inferred.
FU-COV-NAM-002-FU4: Known interruption excludes continuous-duration coding.
FU-COV-NAM-002-FU5: Separate spells are not timed sufficiently to calculate continuous duration.
direction phase boundary: When did BOTA southbound become obstructed after the December 3 operational state, and when did it resume?
intraday continuity / phase timing: What were the exact Santa Teresa and Columbus interruption/restart times and direction-specific exceptions?
omission within policy family: The December 4 bulletin also lists Presidio. Was a distinct intentional cargo obstruction there established, and what dates apply?</x:v>
      </x:c>
      <x:c r="I669" s="4" t="str">
        <x:v>Retained baseline assessment. New candidate separately challenged and adjudicated</x:v>
      </x:c>
      <x:c r="J669" s="18" t="d">
        <x:v>2026-10-23T00:00:00.000Z</x:v>
      </x:c>
      <x:c r="K669" s="21" t="str">
        <x:f>IFERROR(HYPERLINK("https://content.govdelivery.com/bulletins/gd/USDHSCBP-3fe21c3?wgt_ref=USDHSCBP_WIDGET_C70","content.govdelivery.com"),"content.govdelivery.com")</x:f>
        <x:v>content.govdelivery.com</x:v>
      </x:c>
      <x:c r="L669" s="21" t="str">
        <x:f>IFERROR(HYPERLINK("https://content.govdelivery.com/accounts/USDHSCBP/bulletins/3fe41c7","content.govdelivery.com"),"content.govdelivery.com")</x:f>
        <x:v>content.govdelivery.com</x:v>
      </x:c>
      <x:c r="M669" s="21" t="str">
        <x:f>IFERROR(HYPERLINK("https://www.jornada.com.mx/noticia/2025/12/06/estados/agricultores-levantan-tres-dias-de-bloqueo-fronterizo-en-chihuahua","jornada.com.mx"),"jornada.com.mx")</x:f>
        <x:v>jornada.com.mx</x:v>
      </x:c>
      <x:c r="N669" s="4" t="str">
        <x:v>https://content.govdelivery.com/bulletins/gd/USDHSCBP-3fe21c3?wgt_ref=USDHSCBP_WIDGET_C70
https://content.govdelivery.com/accounts/USDHSCBP/bulletins/3fe41c7
https://www.jornada.com.mx/noticia/2025/12/06/estados/agricultores-levantan-tres-dias-de-bloqueo-fronterizo-en-chihuahua
https://oem.com.mx/elheraldodejuarez/local/productores-bloquean-puente-zaragoza-ante-falta-de-acuerdos-por-la-ley-de-aguas-27089950</x:v>
      </x:c>
      <x:c r="O669" s="4" t="str">
        <x:v>Source 1: access detail is retained in the source catalogue.
Source 2: access detail is retained in the source catalogue.
Source 3: access detail is retained in the source catalogue.</x:v>
      </x:c>
      <x:c r="P669" s="20" t="n">
        <x:v>5</x:v>
      </x:c>
      <x:c r="Q669" s="4" t="str">
        <x:v>Americas</x:v>
      </x:c>
      <x:c r="R669" s="4" t="str">
        <x:v>Included</x:v>
      </x:c>
    </x:row>
    <x:row r="670" ht="114" hidden="0" customHeight="1">
      <x:c r="A670" s="16" t="str">
        <x:v>FU-COV-NAM-003</x:v>
      </x:c>
      <x:c r="B670" s="4" t="str">
        <x:v>Agua Prieta–Douglas cargo blockade over water law, December 2025</x:v>
      </x:c>
      <x:c r="C670" s="4" t="str">
        <x:v>Mexico; United States</x:v>
      </x:c>
      <x:c r="D670" s="4" t="str">
        <x:v>Agua Prieta–Douglas cargo crossing</x:v>
      </x:c>
      <x:c r="E670" s="4" t="str">
        <x:v>Commercial cargo
Direction: Not separately established</x:v>
      </x:c>
      <x:c r="F670" s="4" t="str">
        <x:v>FU-COV-NAM-003-FU1 — Observed operation
Agua Prieta–Douglas cargo crossing
Start: 2025-12-03 to 2025-12-04.
Scoped endpoint: 2025-12-04.
dated evidence; numeric duration withheld; see qualification</x:v>
      </x:c>
      <x:c r="G670" s="4" t="str">
        <x:v>Policy and socioeconomic demands / Rights and other policy grievances
Reported reason
Applies to: Recorded episode
Protest linked to water-law changes, according to N+.</x:v>
      </x:c>
      <x:c r="H670" s="4" t="str">
        <x:v>FU-COV-NAM-003-FU1: December 3–4 is the reported protest-onset window and December 4 the observed lifting. No uninterrupted interval is established. Withhold numeric duration and 0–1 day bounds; December 8 is later normalization confirmation only.
start / continuity / direction: When exactly did Douglas cargo passage stop, in which directions, and were December 3 and 4 separate interruptions?
Current continuity finding: Existing December 3–4 onset bound and December 4 observed lifting remain supported. No source resolves all intervening cargo-flow interruptions; numeric continuous duration stays withheld.</x:v>
      </x:c>
      <x:c r="I670" s="4" t="str">
        <x:v>Retained baseline assessment. Correction pass: reviewed; see attribute findings</x:v>
      </x:c>
      <x:c r="J670" s="18" t="d">
        <x:v>2026-10-23T00:00:00.000Z</x:v>
      </x:c>
      <x:c r="K670" s="21" t="str">
        <x:f>IFERROR(HYPERLINK("https://content.govdelivery.com/accounts/USDHSCBP/bulletins/3fedf8e","content.govdelivery.com"),"content.govdelivery.com")</x:f>
        <x:v>content.govdelivery.com</x:v>
      </x:c>
      <x:c r="L670" s="21" t="str">
        <x:f>IFERROR(HYPERLINK("https://www.nmas.com.mx/sociedad/bloqueo-agricultores-hoy-lista-de-autopistas-liberadas-tras-avalarse-ley-de-aguas/","nmas.com.mx"),"nmas.com.mx")</x:f>
        <x:v>nmas.com.mx</x:v>
      </x:c>
      <x:c r="M670" s="21"/>
      <x:c r="N670" s="4" t="str">
        <x:v>https://content.govdelivery.com/accounts/USDHSCBP/bulletins/3fedf8e
https://www.nmas.com.mx/sociedad/bloqueo-agricultores-hoy-lista-de-autopistas-liberadas-tras-avalarse-ley-de-aguas/</x:v>
      </x:c>
      <x:c r="O670" s="4" t="str">
        <x:v>Source 1: access detail is retained in the source catalogue.
Source 2: access detail is retained in the source catalogue.</x:v>
      </x:c>
      <x:c r="P670" s="20" t="n">
        <x:v>1</x:v>
      </x:c>
      <x:c r="Q670" s="4" t="str">
        <x:v>Americas</x:v>
      </x:c>
      <x:c r="R670" s="4" t="str">
        <x:v>Included</x:v>
      </x:c>
    </x:row>
    <x:row r="671" ht="138" hidden="0" customHeight="1">
      <x:c r="A671" s="16" t="str">
        <x:v>FU-COV-NAM-004</x:v>
      </x:c>
      <x:c r="B671" s="4" t="str">
        <x:v>San Ysidro southbound vehicle closures during gasoline-price protests, January 2017</x:v>
      </x:c>
      <x:c r="C671" s="4" t="str">
        <x:v>Mexico; United States</x:v>
      </x:c>
      <x:c r="D671" s="4" t="str">
        <x:v>San Ysidro–El Chaparral</x:v>
      </x:c>
      <x:c r="E671" s="4" t="str">
        <x:v>Vehicles
Direction: United States to Mexico</x:v>
      </x:c>
      <x:c r="F671" s="4" t="str">
        <x:v>FU-COV-NAM-004-FU1 — Observed operation
San Ysidro–El Chaparral
Start: 2017-01-07.
Scoped endpoint: 2017-01-07.
Same-day episode; no whole-day duration inferred
FU-COV-NAM-004-FU2 — Observed operation
San Ysidro–El Chaparral
Start: 2017-01-08.
Last confirmed: 2017-01-08. Reopening is not established.
dated evidence; numeric duration withheld; see qualification</x:v>
      </x:c>
      <x:c r="G671" s="4" t="str">
        <x:v>Policy and socioeconomic demands / Jobs, services and livelihoods
Reported reason
Applies to: Recorded episode
Protesters opposed gasoline price increases, as reported by KPBS.</x:v>
      </x:c>
      <x:c r="H671" s="4" t="str">
        <x:v>FU-COV-NAM-004-FU1: Hours only; no whole-day duration.
FU-COV-NAM-004-FU2: Same-date closure observation with unknown Sunday reopening; withhold all numeric duration fields, including zero-day minimum. Distinct from Saturday spell.
Sunday endpoint / duration: When did the January 8 southbound closure end?
mechanism / authority distinction: For each phase, which obstruction was imposed by protesters and which by border/traffic authorities responding to the protest?</x:v>
      </x:c>
      <x:c r="I671" s="4" t="str">
        <x:v>Retained baseline assessment. New candidate separately challenged and adjudicated</x:v>
      </x:c>
      <x:c r="J671" s="18" t="d">
        <x:v>2026-10-23T00:00:00.000Z</x:v>
      </x:c>
      <x:c r="K671" s="21" t="str">
        <x:f>IFERROR(HYPERLINK("https://www.latimes.com/local/lanow/la-me-border-protest-20170107-story.html","latimes.com"),"latimes.com")</x:f>
        <x:v>latimes.com</x:v>
      </x:c>
      <x:c r="L671" s="21" t="str">
        <x:f>IFERROR(HYPERLINK("https://www.kpbs.org/news/2017/jan/06/tijuana-gas-stations-close-mexicans-head-san-ysidr/","kpbs.org"),"kpbs.org")</x:f>
        <x:v>kpbs.org</x:v>
      </x:c>
      <x:c r="M671" s="21" t="str">
        <x:f>IFERROR(HYPERLINK("https://www.cbsnews.com/losangeles/news/san-ysidro-border-entry-into-mexico-shut-down-over-gas-price-protests/","cbsnews.com"),"cbsnews.com")</x:f>
        <x:v>cbsnews.com</x:v>
      </x:c>
      <x:c r="N671" s="4" t="str">
        <x:v>https://www.latimes.com/local/lanow/la-me-border-protest-20170107-story.html
https://www.kpbs.org/news/2017/jan/06/tijuana-gas-stations-close-mexicans-head-san-ysidr/
https://www.cbsnews.com/losangeles/news/san-ysidro-border-entry-into-mexico-shut-down-over-gas-price-protests/</x:v>
      </x:c>
      <x:c r="O671" s="4" t="str">
        <x:v>Source 1: access detail is retained in the source catalogue.
Source 2: access detail is retained in the source catalogue.
Source 3: access detail is retained in the source catalogue.</x:v>
      </x:c>
      <x:c r="P671" s="20" t="n">
        <x:v>2</x:v>
      </x:c>
      <x:c r="Q671" s="4" t="str">
        <x:v>Americas</x:v>
      </x:c>
      <x:c r="R671" s="4" t="str">
        <x:v>Included</x:v>
      </x:c>
    </x:row>
    <x:row r="672" ht="150" hidden="0" customHeight="1">
      <x:c r="A672" s="16" t="str">
        <x:v>FU-COV-NAM-005</x:v>
      </x:c>
      <x:c r="B672" s="4" t="str">
        <x:v>Nogales Mariposa intermittent agricultural cargo blockade, November 24–26 2025</x:v>
      </x:c>
      <x:c r="C672" s="4" t="str">
        <x:v>Mexico; United States</x:v>
      </x:c>
      <x:c r="D672" s="4" t="str">
        <x:v>Mariposa commercial-vehicle access at Nogales, including shifted obstruction at Mexican export customs</x:v>
      </x:c>
      <x:c r="E672" s="4" t="str">
        <x:v>Heavy/commercial vehicles
Direction: Mexico to United States</x:v>
      </x:c>
      <x:c r="F672" s="4" t="str">
        <x:v>FU-COV-NAM-005-FU1 — Intermittent regime
Mariposa commercial-vehicle access at Nogales, including shifted obstruction at Mexican export customs
Start: 2025-11-24.
Observed scoped reopening: 2025-11-26.
Intermittent regime envelope; total closed days unknown</x:v>
      </x:c>
      <x:c r="G672" s="4" t="str">
        <x:v>Policy and socioeconomic demands / Jobs, services and livelihoods
Reported reason
Applies to: Recorded episode
Reported demand for improved farming conditions and institutional support, attributed to the Mariposa protesters.
Security / Unspecified security
Reported reason
Applies to: Recorded episode
Reported demand to address insecurity in agricultural and road activities; specific crime or immediate-safety subtype is not established. This describes protesters’ demands, not a government security closure.</x:v>
      </x:c>
      <x:c r="H672" s="4" t="str">
        <x:v>FU-COV-NAM-005-FU1: Intermittent regime envelope only, not a continuous two-day closure. Exact onset and release clock times differ. Lighter vehicles were exempt; subsequent holiday closure is a separate cause.
endpoint / continuity: When did Mariposa cargo passage resume, and were later openings or repeat closures part of this episode?
scope / relationship: Can the precise access lanes, freight exceptions and relationship to the wider November action be corroborated?</x:v>
      </x:c>
      <x:c r="I672" s="4" t="str">
        <x:v>Retained baseline assessment. Correction pass: amended with stated qualifications</x:v>
      </x:c>
      <x:c r="J672" s="18" t="d">
        <x:v>2026-10-23T00:00:00.000Z</x:v>
      </x:c>
      <x:c r="K672" s="21" t="str">
        <x:f>IFERROR(HYPERLINK("https://www.jornada.com.mx/noticia/2025/11/24/estados/agricultores-toman-oficinas-de-la-aduana-cordovalas-americas-en-chihuahua","jornada.com.mx"),"jornada.com.mx")</x:f>
        <x:v>jornada.com.mx</x:v>
      </x:c>
      <x:c r="L672" s="21" t="str">
        <x:f>IFERROR(HYPERLINK("https://www.nmas.com.mx/sonora/sociedad/productores-agricolas-de-sinaloa-mantienen-mega-bloqueo-en-frontera-de-nogales-sonora/","nmas.com.mx"),"nmas.com.mx")</x:f>
        <x:v>nmas.com.mx</x:v>
      </x:c>
      <x:c r="M672" s="21" t="str">
        <x:f>IFERROR(HYPERLINK("https://nuevodia.mx/nogales/2025/11/27/transportistas-desalojan-bloqueo-agricola-reanudan-cruces-garita-mariposa.html","nuevodia.mx"),"nuevodia.mx")</x:f>
        <x:v>nuevodia.mx</x:v>
      </x:c>
      <x:c r="N672" s="4" t="str">
        <x:v>https://www.jornada.com.mx/noticia/2025/11/24/estados/agricultores-toman-oficinas-de-la-aduana-cordovalas-americas-en-chihuahua
https://www.nmas.com.mx/sonora/sociedad/productores-agricolas-de-sinaloa-mantienen-mega-bloqueo-en-frontera-de-nogales-sonora/
https://nuevodia.mx/nogales/2025/11/27/transportistas-desalojan-bloqueo-agricola-reanudan-cruces-garita-mariposa.html
https://www.elimparcial.com/son/sonora/2025/11/27/habra-libre-acceso-en-garitas-de-nogales-durante-el-dia-de-accion-de-gracias/</x:v>
      </x:c>
      <x:c r="O672" s="4" t="str">
        <x:v>Source 1: access detail is retained in the source catalogue.
Source 2: access detail is retained in the source catalogue.
Source 3: access detail is retained in the source catalogue.</x:v>
      </x:c>
      <x:c r="P672" s="20" t="n">
        <x:v>1</x:v>
      </x:c>
      <x:c r="Q672" s="4" t="str">
        <x:v>Americas</x:v>
      </x:c>
      <x:c r="R672" s="4" t="str">
        <x:v>Included</x:v>
      </x:c>
    </x:row>
    <x:row r="673" ht="150" hidden="0" customHeight="1">
      <x:c r="A673" s="16" t="str">
        <x:v>FU-COV-NAM-006</x:v>
      </x:c>
      <x:c r="B673" s="4" t="str">
        <x:v>Mexicali–Calexico cargo blockade over water law, December 2025</x:v>
      </x:c>
      <x:c r="C673" s="4" t="str">
        <x:v>Mexico; United States</x:v>
      </x:c>
      <x:c r="D673" s="4" t="str">
        <x:v>Mexicali–Calexico commercial crossing (precise facility/approach unresolved)
Trucks already inside Mexican export customs at Mexicali, permitted to leave during partial lifting</x:v>
      </x:c>
      <x:c r="E673" s="4" t="str">
        <x:v>Commercial goods vehicles; Trapped commercial vehicles within customs
Direction: Mexico to United States; Out of the Mexican export-customs facility; wider flows not established</x:v>
      </x:c>
      <x:c r="F673" s="4" t="str">
        <x:v>FU-COV-NAM-006-FU1 — Observed operation
Mexicali–Calexico commercial crossing (precise facility/approach unresolved)
Start: 2025-12-04.
Last confirmed: 2025-12-05. Reopening is not established.
dated evidence; numeric duration withheld; see qualification
FU-COV-NAM-006-C7P1 — Observed operation
Trucks already inside Mexican export customs at Mexicali, permitted to leave during partial lifting
Start: unknown.
Observed scoped reopening: 2025-12-08.
dated evidence; numeric duration withheld; see qualification</x:v>
      </x:c>
      <x:c r="G673" s="4" t="str">
        <x:v>Policy and socioeconomic demands / Rights and other policy grievances
Reported reason
Applies to: Recorded episode
Reported opposition to water legislation and its effects on established farming/water rights; not a disease-control or migration measure.</x:v>
      </x:c>
      <x:c r="H673" s="4" t="str">
        <x:v>FU-COV-NAM-006-FU1: Censored confirmation envelope only; exact crossing, intraday continuity and reopening remain unknown. Monday talks are prospective, not an endpoint. Withhold numeric duration.
FU-COV-NAM-006-C7P1: Not a full commercial reopening; precise obstruction coordinate remains unresolved. No continuous link from December 4 or reopening for newly arriving trucks is established.
crossing identity: Which physical Mexicali–Calexico commercial gate and access lanes were obstructed?
endpoint / continuity: When did northbound freight resume, and were there intraday openings after December 4?
Current continuity finding: The December 8 partial release is a distinct scoped observation. It does not establish uninterrupted December 4–8 closure or resumption for all commercial traffic.</x:v>
      </x:c>
      <x:c r="I673" s="4" t="str">
        <x:v>Retained baseline assessment. Correction pass: amended with stated qualifications</x:v>
      </x:c>
      <x:c r="J673" s="18" t="d">
        <x:v>2026-10-23T00:00:00.000Z</x:v>
      </x:c>
      <x:c r="K673" s="21" t="str">
        <x:f>IFERROR(HYPERLINK("https://www.jornada.com.mx/noticia/2025/12/06/estados/agricultores-levantan-tres-dias-de-bloqueo-fronterizo-en-chihuahua","jornada.com.mx"),"jornada.com.mx")</x:f>
        <x:v>jornada.com.mx</x:v>
      </x:c>
      <x:c r="L673" s="21" t="str">
        <x:f>IFERROR(HYPERLINK("https://oem.com.mx/lavozdelafrontera/local/liberan-garita-de-exportacion-de-mexicali-sera-de-manera-parcial-27178790","oem.com.mx"),"oem.com.mx")</x:f>
        <x:v>oem.com.mx</x:v>
      </x:c>
      <x:c r="M673" s="21"/>
      <x:c r="N673" s="4" t="str">
        <x:v>https://www.jornada.com.mx/noticia/2025/12/06/estados/agricultores-levantan-tres-dias-de-bloqueo-fronterizo-en-chihuahua
https://oem.com.mx/lavozdelafrontera/local/liberan-garita-de-exportacion-de-mexicali-sera-de-manera-parcial-27178790</x:v>
      </x:c>
      <x:c r="O673" s="4" t="str">
        <x:v>Source 1: access detail is retained in the source catalogue.
Source 2: access detail is retained in the source catalogue.</x:v>
      </x:c>
      <x:c r="P673" s="20" t="n">
        <x:v>2</x:v>
      </x:c>
      <x:c r="Q673" s="4" t="str">
        <x:v>Americas</x:v>
      </x:c>
      <x:c r="R673" s="4" t="str">
        <x:v>Included</x:v>
      </x:c>
    </x:row>
    <x:row r="674" ht="186" hidden="0" customHeight="1">
      <x:c r="A674" s="16" t="str">
        <x:v>FU-COV-NAM-007</x:v>
      </x:c>
      <x:c r="B674" s="4" t="str">
        <x:v>Sarnia and Peace Bridge protest-related passage suspensions, February 2022</x:v>
      </x:c>
      <x:c r="C674" s="4" t="str">
        <x:v>Canada; United States</x:v>
      </x:c>
      <x:c r="D674" s="4" t="str">
        <x:v>Sarnia / Blue Water Bridge US-bound access
Peace Bridge / Fort Erie commercial route</x:v>
      </x:c>
      <x:c r="E674" s="4" t="str">
        <x:v>Commercial and traveller vehicles; Commercial motor vehicles
Direction: Canada to United States</x:v>
      </x:c>
      <x:c r="F674" s="4" t="str">
        <x:v>FU-COV-NAM-007-FU1 — Observed operation
Sarnia / Blue Water Bridge US-bound access
Start: 2022-02-06.
Scoped endpoint: 2022-02-06 to 2022-02-08.
dated evidence; numeric duration withheld; see qualification
FU-COV-NAM-007-FU2 — Observed operation
Peace Bridge / Fort Erie commercial route
Start: 2022-02-12 to 2022-02-13.
Scoped endpoint: 2022-02-14.
dated evidence; numeric duration withheld; see qualification</x:v>
      </x:c>
      <x:c r="G674" s="4" t="str">
        <x:v>Policy and socioeconomic demands / Opposition to health policies
Reported reason
Applies to: Protest actions
Government summary characterizes convoy protests as opposition to pandemic-response policies; retain that attributed movement-level explanation, not every individual’s motive.
Security / Public order and immediate safety
Reported reason
Applies to: Authority response to protest at Sarnia / Peace Bridge
Commission account explicitly describes OPP closing Sarnia lanes due to children near traffic and Peace facility lockdown to protect secure areas.</x:v>
      </x:c>
      <x:c r="H674" s="4" t="str">
        <x:v>FU-COV-NAM-007-FU1: Endpoint bounded February 6–8 by conflicting official accounts. No uninterrupted two-day interval or numeric duration. Separate later highway detour event is excluded.
FU-COV-NAM-007-FU2: Cargo-onset bound February 12–13 reflects different official accounts. Do not treat the February 12 facility-security lockdown as a complete all-traffic spell; withhold numeric duration until continuity is reconciled.
Sarnia endpoint / continuity: Was February 6 outbound suspension a ten-hour spell with later recurrence, or did a restriction persist to February 8?
Peace Bridge onset / continuity: When did US-bound commercial suspension begin relative to the February 12 facility lockdown and February 13 directive?
Peace February 12 inbound scope: Did the reported inbound disruption prevent a defined movement category, and what exactly did the twelve-hour facility lockdown suspend?</x:v>
      </x:c>
      <x:c r="I674" s="4" t="str">
        <x:v>Retained baseline assessment. New candidate separately challenged and adjudicated</x:v>
      </x:c>
      <x:c r="J674" s="18" t="d">
        <x:v>2026-10-23T00:00:00.000Z</x:v>
      </x:c>
      <x:c r="K674" s="21" t="str">
        <x:f>IFERROR(HYPERLINK("https://publicorderemergencycommission.ca/files/overview-reports/COM.OR.00000006.pdf","publicorderemergencycommission.ca"),"publicorderemergencycommission.ca")</x:f>
        <x:v>publicorderemergencycommission.ca</x:v>
      </x:c>
      <x:c r="L674" s="21" t="str">
        <x:f>IFERROR(HYPERLINK("https://www.publicsafety.gc.ca/cnt/trnsprnc/brfng-mtrls/prlmntry-bndrs/20221013/03-en.aspx","publicsafety.gc.ca"),"publicsafety.gc.ca")</x:f>
        <x:v>publicsafety.gc.ca</x:v>
      </x:c>
      <x:c r="M674" s="21" t="str">
        <x:f>IFERROR(HYPERLINK("https://www.parl.ca/documentviewer/en/44-1/DEDC/report-3/page-99","parl.ca"),"parl.ca")</x:f>
        <x:v>parl.ca</x:v>
      </x:c>
      <x:c r="N674" s="4" t="str">
        <x:v>https://publicorderemergencycommission.ca/files/overview-reports/COM.OR.00000006.pdf
https://www.publicsafety.gc.ca/cnt/trnsprnc/brfng-mtrls/prlmntry-bndrs/20221013/03-en.aspx
https://www.parl.ca/documentviewer/en/44-1/DEDC/report-3/page-99</x:v>
      </x:c>
      <x:c r="O674" s="4" t="str">
        <x:v>Source 1: access detail is retained in the source catalogue.
Source 2: access detail is retained in the source catalogue.
Source 3: access detail is retained in the source catalogue.</x:v>
      </x:c>
      <x:c r="P674" s="20" t="n">
        <x:v>2</x:v>
      </x:c>
      <x:c r="Q674" s="4" t="str">
        <x:v>Americas</x:v>
      </x:c>
      <x:c r="R674" s="4" t="str">
        <x:v>Included</x:v>
      </x:c>
    </x:row>
    <x:row r="675" ht="90" hidden="0" customHeight="1">
      <x:c r="A675" s="16" t="str">
        <x:v>FU-COV-SCA-001</x:v>
      </x:c>
      <x:c r="B675" s="4" t="str">
        <x:v>Ramatlabama border suspension during truckers’ labour protest, May 2024</x:v>
      </x:c>
      <x:c r="C675" s="4" t="str">
        <x:v>Botswana; South Africa</x:v>
      </x:c>
      <x:c r="D675" s="4" t="str">
        <x:v>Ramatlabama road-border operations following the South African approach-road trucker blockade on 21 May 2024</x:v>
      </x:c>
      <x:c r="E675" s="4" t="str">
        <x:v>Crossing operations; detailed exemptions unavailable
Direction: Not separately established</x:v>
      </x:c>
      <x:c r="F675" s="4" t="str">
        <x:v>FU-COV-SCA-001-FU1 — Observed operation
Ramatlabama road-border operations following the South African approach-road trucker blockade on 21 May 2024
Start: 2024-05-21.
Scoped endpoint: 2024-05-21.
Same-day episode; no whole-day duration inferred</x:v>
      </x:c>
      <x:c r="G675" s="4" t="str">
        <x:v>Policy and socioeconomic demands / Jobs, services and livelihoods
Reported reason
Applies to: Recorded episode
Labour demands are attributed to truckers by trade reporting.</x:v>
      </x:c>
      <x:c r="H675" s="4" t="str">
        <x:v>FU-COV-SCA-001-FU1: Reported same-calendar-day closure and BURS reopening status; no elapsed hours or whole-day duration. Passenger/freight, direction-specific and emergency exemptions remain unestablished. The reported authority status is not independent observation of the first returning vehicle, and the two reports partly share BURS provenance.
intraday times / exemptions: What were the exact closure/reopening times, and did any passenger or emergency movement continue?</x:v>
      </x:c>
      <x:c r="I675" s="4" t="str">
        <x:v>Targeted source review (REC50-R46); accepted qualification; evidence limits retained.</x:v>
      </x:c>
      <x:c r="J675" s="18" t="d">
        <x:v>2026-10-25T00:00:00.000Z</x:v>
      </x:c>
      <x:c r="K675" s="21" t="str">
        <x:f>IFERROR(HYPERLINK("https://satrucker.co.za/ramatlabama-border-briefly-closed-by-protesting-south-african-truck-drivers/","SA Trucker"),"SA Trucker")</x:f>
        <x:v>SA Trucker</x:v>
      </x:c>
      <x:c r="L675" s="21" t="str">
        <x:f>IFERROR(HYPERLINK("https://www.mmegi.bw/news/sa-truckers-strike-contained-as-ramatlabama-border-reopens/news","Mmegi Online"),"Mmegi Online")</x:f>
        <x:v>Mmegi Online</x:v>
      </x:c>
      <x:c r="M675" s="21"/>
      <x:c r="N675" s="4" t="str">
        <x:v>https://satrucker.co.za/ramatlabama-border-briefly-closed-by-protesting-south-african-truck-drivers/
https://www.mmegi.bw/news/sa-truckers-strike-contained-as-ramatlabama-border-reopens/news</x:v>
      </x:c>
      <x:c r="O675" s="4" t="str">
        <x:v>Source 1: full text
Source 2: indexed extract</x:v>
      </x:c>
      <x:c r="P675" s="20" t="n">
        <x:v>1</x:v>
      </x:c>
      <x:c r="Q675" s="4" t="str">
        <x:v>Southern and Central Africa</x:v>
      </x:c>
      <x:c r="R675" s="4" t="str">
        <x:v>Included</x:v>
      </x:c>
    </x:row>
    <x:row r="676" ht="78" hidden="0" customHeight="1">
      <x:c r="A676" s="16" t="str">
        <x:v>NP-COV-EUR-001</x:v>
      </x:c>
      <x:c r="B676" s="4" t="str">
        <x:v>Vërmicë–Morinë vehicle entry restriction during Kalimash toll protest, March 2018</x:v>
      </x:c>
      <x:c r="C676" s="4" t="str">
        <x:v>Albania; Kosovo (disputed status)</x:v>
      </x:c>
      <x:c r="D676" s="4" t="str">
        <x:v>Vehicle entry into Albania at Morinë</x:v>
      </x:c>
      <x:c r="E676" s="4" t="str">
        <x:v>Vehicles; later Albanian-plate exception
Direction: Kosovo to Albania</x:v>
      </x:c>
      <x:c r="F676" s="4" t="str">
        <x:v>NP-COV-EUR-001-P01 — Observed operation
Vehicle entry into Albania at Morinë
Start: 2018-03-31.
Observed scoped reopening: 2018-03-31.
Same-day episode; no whole-day duration inferred</x:v>
      </x:c>
      <x:c r="G676" s="4" t="str">
        <x:v>Security / Public order and immediate safety
Reported reason
Applies to: Only the identified authority/protest action; not every background policy
Police attributed the entry restriction to blocked onward travel and immediate public safety.</x:v>
      </x:c>
      <x:c r="H676" s="4" t="str">
        <x:v>NP-COV-EUR-001-P01: A KOHA/KTV report describes Albanian-plate admission while other vehicles were turned back. A separate police-attributed report says vehicle entry resumed on 31 March 2018. The selective-admission article displays 16:01 and the police-attributed reopening report 15:43; publication times do not establish the actual sequence of those events. Retain the police-attributed same-day endpoint without claiming an established intermediate relaxation, final all-vehicle normalization or precise elapsed-hour interval.</x:v>
      </x:c>
      <x:c r="I676" s="4" t="str">
        <x:v>Targeted source review (REC50-R04); accepted qualification; evidence limits retained.</x:v>
      </x:c>
      <x:c r="J676" s="18" t="d">
        <x:v>2026-10-25T00:00:00.000Z</x:v>
      </x:c>
      <x:c r="K676" s="21" t="str">
        <x:f>IFERROR(HYPERLINK("https://www.koha.net/arberi/ndalohet-perkohesisht-qarkullimi-i-automjeteve-ne-kufi-me-shqiperine","KOHA/KTV"),"KOHA/KTV")</x:f>
        <x:v>KOHA/KTV</x:v>
      </x:c>
      <x:c r="L676" s="21" t="str">
        <x:f>IFERROR(HYPERLINK("https://www.koha.net/arberi/kufirin-mund-ta-kalojne-vetem-automjetet-me-targa-te-shqiperise","KOHA/KTV"),"KOHA/KTV")</x:f>
        <x:v>KOHA/KTV</x:v>
      </x:c>
      <x:c r="M676" s="21" t="str">
        <x:f>IFERROR(HYPERLINK("https://periskopi.com/pas-perfundimit-te-protestes-se-dhunshme-hapet-kufiri-kosove-shqiperi/","periskopi.com"),"periskopi.com")</x:f>
        <x:v>periskopi.com</x:v>
      </x:c>
      <x:c r="N676" s="4" t="str">
        <x:v>https://www.koha.net/arberi/ndalohet-perkohesisht-qarkullimi-i-automjeteve-ne-kufi-me-shqiperine
https://www.koha.net/arberi/kufirin-mund-ta-kalojne-vetem-automjetet-me-targa-te-shqiperise
https://periskopi.com/pas-perfundimit-te-protestes-se-dhunshme-hapet-kufiri-kosove-shqiperi/
https://periskopi.com/sq/2018/3/pas-perfundimit-te-protestes-se-dhunshme-hapet-kufiri-kosove-shqiperi</x:v>
      </x:c>
      <x:c r="O676" s="4" t="str">
        <x:v>Source 1: full text
Source 2: full text
Source 3: access detail is retained in the source catalogue.</x:v>
      </x:c>
      <x:c r="P676" s="20" t="n">
        <x:v>1</x:v>
      </x:c>
      <x:c r="Q676" s="4" t="str">
        <x:v>Europe</x:v>
      </x:c>
      <x:c r="R676" s="4" t="str">
        <x:v>Included</x:v>
      </x:c>
    </x:row>
    <x:row r="677" ht="78" hidden="0" customHeight="1">
      <x:c r="A677" s="16" t="str">
        <x:v>NP-COV-EUR-002</x:v>
      </x:c>
      <x:c r="B677" s="4" t="str">
        <x:v>Maljevac–Velika Kladuša closure during migrant confrontation, October 2018</x:v>
      </x:c>
      <x:c r="C677" s="4" t="str">
        <x:v>Croatia; Bosnia and Herzegovina</x:v>
      </x:c>
      <x:c r="D677" s="4" t="str">
        <x:v>All traffic at Maljevac–Velika Kladuša</x:v>
      </x:c>
      <x:c r="E677" s="4" t="str">
        <x:v>Passengers and freight
Direction: Both directions</x:v>
      </x:c>
      <x:c r="F677" s="4" t="str">
        <x:v>NP-COV-EUR-002-P01 — Observed operation
All traffic at Maljevac–Velika Kladuša
Start: 2018-10-24.
Observed scoped reopening: 2018-10-30.
6 calendar-day difference; scoped endpoint only</x:v>
      </x:c>
      <x:c r="G677" s="4" t="str">
        <x:v>Security / Public order and immediate safety
Reported reason
Applies to: Only the identified authority/protest action; not every background policy
The police attributed the all-traffic closure to safety during the confrontation and obstruction near the crossing.</x:v>
      </x:c>
      <x:c r="H677" s="4" t="str">
        <x:v>NP-COV-EUR-002-P01: Six calendar-day endpoint difference; reported clock bounds are October 24 10:00 to October 30 18:00, not six full 24-hour days.</x:v>
      </x:c>
      <x:c r="I677" s="4" t="str">
        <x:v>Retained baseline assessment. Added after 23 October source reconciliation</x:v>
      </x:c>
      <x:c r="J677" s="18" t="d">
        <x:v>2026-10-23T00:00:00.000Z</x:v>
      </x:c>
      <x:c r="K677" s="21" t="str">
        <x:f>IFERROR(HYPERLINK("https://mup.gov.hr/vijesti-8/stanje-na-granicnom-prijelazu-maljevac/282362?big=1","mup.gov.hr"),"mup.gov.hr")</x:f>
        <x:v>mup.gov.hr</x:v>
      </x:c>
      <x:c r="L677" s="21" t="str">
        <x:f>IFERROR(HYPERLINK("https://mup.gov.hr/print.aspx?id=282280&amp;url=print","mup.gov.hr"),"mup.gov.hr")</x:f>
        <x:v>mup.gov.hr</x:v>
      </x:c>
      <x:c r="M677" s="21" t="str">
        <x:f>IFERROR(HYPERLINK("https://vijesti.hrt.hr/hrvatska/otvoren-prijelaz-maljevac-696468","vijesti.hrt.hr"),"vijesti.hrt.hr")</x:f>
        <x:v>vijesti.hrt.hr</x:v>
      </x:c>
      <x:c r="N677" s="4" t="str">
        <x:v>https://mup.gov.hr/vijesti-8/stanje-na-granicnom-prijelazu-maljevac/282362?big=1
https://mup.gov.hr/print.aspx?id=282280&amp;url=print
https://vijesti.hrt.hr/hrvatska/otvoren-prijelaz-maljevac-696468</x:v>
      </x:c>
      <x:c r="O677" s="4" t="str">
        <x:v>Source 1: access detail is retained in the source catalogue.
Source 2: access detail is retained in the source catalogue.
Source 3: access detail is retained in the source catalogue.</x:v>
      </x:c>
      <x:c r="P677" s="20" t="n">
        <x:v>1</x:v>
      </x:c>
      <x:c r="Q677" s="4" t="str">
        <x:v>Europe</x:v>
      </x:c>
      <x:c r="R677" s="4" t="str">
        <x:v>Included</x:v>
      </x:c>
    </x:row>
    <x:row r="678" ht="78" hidden="0" customHeight="1">
      <x:c r="A678" s="16" t="str">
        <x:v>NP-COV-EUR-003</x:v>
      </x:c>
      <x:c r="B678" s="4" t="str">
        <x:v>Bijača veterans’ border blockade, July 2 2018</x:v>
      </x:c>
      <x:c r="C678" s="4" t="str">
        <x:v>Bosnia and Herzegovina; Croatia</x:v>
      </x:c>
      <x:c r="D678" s="4" t="str">
        <x:v>Road access at Bijača</x:v>
      </x:c>
      <x:c r="E678" s="4" t="str">
        <x:v>Road traffic; category detail not separately established
Direction: Not separately established</x:v>
      </x:c>
      <x:c r="F678" s="4" t="str">
        <x:v>NP-COV-EUR-003-P01 — Observed operation
Road access at Bijača
Start: 2018-07-02.
Observed scoped reopening: 2018-07-02.
Same-day episode; no whole-day duration inferred; Noon to shortly before 19:00; no whole-day duration</x:v>
      </x:c>
      <x:c r="G678" s="4" t="str">
        <x:v>Policy and socioeconomic demands / Jobs, services and livelihoods
Reported reason
Applies to: Only the identified authority/protest action; not every background policy
Veterans sought payments linked to wartime service and a revised registry.</x:v>
      </x:c>
      <x:c r="H678" s="4" t="str">
        <x:v>NP-COV-EUR-003-P01: Only this reported same-day obstruction; recurring earlier protests are not joined into one interval.</x:v>
      </x:c>
      <x:c r="I678" s="4" t="str">
        <x:v>Retained baseline assessment. Added after 23 October source reconciliation</x:v>
      </x:c>
      <x:c r="J678" s="18" t="d">
        <x:v>2026-10-23T00:00:00.000Z</x:v>
      </x:c>
      <x:c r="K678" s="21" t="str">
        <x:f>IFERROR(HYPERLINK("https://www.slobodnaevropa.org/a/29333690.html","slobodnaevropa.org"),"slobodnaevropa.org")</x:f>
        <x:v>slobodnaevropa.org</x:v>
      </x:c>
      <x:c r="L678" s="21"/>
      <x:c r="M678" s="21"/>
      <x:c r="N678" s="4" t="str">
        <x:v>https://www.slobodnaevropa.org/a/29333690.html</x:v>
      </x:c>
      <x:c r="O678" s="4" t="str">
        <x:v>Source 1: access detail is retained in the source catalogue.</x:v>
      </x:c>
      <x:c r="P678" s="20" t="n">
        <x:v>1</x:v>
      </x:c>
      <x:c r="Q678" s="4" t="str">
        <x:v>Europe</x:v>
      </x:c>
      <x:c r="R678" s="4" t="str">
        <x:v>Included</x:v>
      </x:c>
    </x:row>
    <x:row r="679" ht="282" hidden="0" customHeight="1">
      <x:c r="A679" s="16" t="str">
        <x:v>NP-COV-EUR-004</x:v>
      </x:c>
      <x:c r="B679" s="4" t="str">
        <x:v>Montenegro freight-terminal blockades in regional driver protest, January 2026</x:v>
      </x:c>
      <x:c r="C679" s="4" t="str">
        <x:v>Montenegro</x:v>
      </x:c>
      <x:c r="D679" s="4" t="str">
        <x:v>Participating land-border cargo terminals in Montenegro</x:v>
      </x:c>
      <x:c r="E679" s="4" t="str">
        <x:v>Non-exempt commercial freight; passengers excluded
Direction: Both cargo directions at participating terminals</x:v>
      </x:c>
      <x:c r="F679" s="4" t="str">
        <x:v>NP-COV-EUR-004-P01 — Observed operation
Participating land-border cargo terminals in Montenegro
Start: 2026-01-26.
Observed scoped reopening: 2026-01-29.
3 calendar-day difference; scoped endpoint only</x:v>
      </x:c>
      <x:c r="G679" s="4" t="str">
        <x:v>Migration / Admission and document disputes
Reported reason
Applies to: Only the identified authority/protest action; not every background policy
Professional drivers protested Schengen admission/stay rules affecting their work. The Montenegrin association also cited excise/VAT refunds, inspection hours and pension treatment.
Trade and protectionism / Trade and transport protests
Reported reason
Applies to: Only the identified authority/protest action; not every background policy
Professional drivers protested Schengen admission/stay rules affecting their work. The Montenegrin association also cited excise/VAT refunds, inspection hours and pension treatment.
Policy and socioeconomic demands / Jobs, services and livelihoods
Reported reason
Applies to: Only the identified authority/protest action; not every background policy
Professional drivers protested Schengen admission/stay rules affecting their work. The Montenegrin association also cited excise/VAT refunds, inspection hours and pension treatment.</x:v>
      </x:c>
      <x:c r="H679" s="4" t="str">
        <x:v>NP-COV-EUR-004-P01: Country-level reported action to its reported lifting. Individual terminal timings and exceptions are not uniform. Excludes maritime facilities. This interval must not be assigned unchanged to every gate.
scope / chronology / rationale: Which individual terminals and exemption categories applied on each day?</x:v>
      </x:c>
      <x:c r="I679" s="4" t="str">
        <x:v>Targeted source review (REC50-R24); retained with recorded qualifications; evidence limits retained.</x:v>
      </x:c>
      <x:c r="J679" s="18" t="d">
        <x:v>2026-10-25T00:00:00.000Z</x:v>
      </x:c>
      <x:c r="K679" s="21" t="str">
        <x:f>IFERROR(HYPERLINK("https://www.reuters.com/world/western-balkan-truck-drivers-block-border-cargo-terminals-over-eu-entry-rules-2026-01-26/","Reuters"),"Reuters")</x:f>
        <x:v>Reuters</x:v>
      </x:c>
      <x:c r="L679" s="21" t="str">
        <x:f>IFERROR(HYPERLINK("https://en.vijesti.me/news-b/economy-d/793348/Transporters%27-Association-suspends-border-blockades-of-freight-traffic","Vijesti"),"Vijesti")</x:f>
        <x:v>Vijesti</x:v>
      </x:c>
      <x:c r="M679" s="21" t="str">
        <x:f>IFERROR(HYPERLINK("https://mzv.gov.cz/podgorica/cz/ekonomika_a_obchod/blokada_cernohorskych_hranicnich.html","mzv.gov.cz"),"mzv.gov.cz")</x:f>
        <x:v>mzv.gov.cz</x:v>
      </x:c>
      <x:c r="N679" s="4" t="str">
        <x:v>https://www.reuters.com/world/western-balkan-truck-drivers-block-border-cargo-terminals-over-eu-entry-rules-2026-01-26/
https://en.vijesti.me/news-b/economy-d/793348/Transporters%27-Association-suspends-border-blockades-of-freight-traffic
https://mzv.gov.cz/podgorica/cz/ekonomika_a_obchod/blokada_cernohorskych_hranicnich.html
https://www.ekathimerini.com/politics/foreign-policy/1293436/balkan-truck-drivers-block-border-crossing-in-protest-of-eu-entry-rules/</x:v>
      </x:c>
      <x:c r="O679" s="4" t="str">
        <x:v>Source 1: full text
Source 2: full text
Source 3: access detail is retained in the source catalogue.</x:v>
      </x:c>
      <x:c r="P679" s="20" t="n">
        <x:v>1</x:v>
      </x:c>
      <x:c r="Q679" s="4" t="str">
        <x:v>Europe</x:v>
      </x:c>
      <x:c r="R679" s="4" t="str">
        <x:v>Included</x:v>
      </x:c>
    </x:row>
    <x:row r="680" ht="162" hidden="0" customHeight="1">
      <x:c r="A680" s="16" t="str">
        <x:v>NP-COV-EUR-005</x:v>
      </x:c>
      <x:c r="B680" s="4" t="str">
        <x:v>Bosnia and Herzegovina freight-terminal blockades in regional driver protest, January 2026</x:v>
      </x:c>
      <x:c r="C680" s="4" t="str">
        <x:v>Bosnia and Herzegovina; Croatia</x:v>
      </x:c>
      <x:c r="D680" s="4" t="str">
        <x:v>Participating land-border cargo terminals in Bosnia and Herzegovina</x:v>
      </x:c>
      <x:c r="E680" s="4" t="str">
        <x:v>Non-exempt commercial freight; passengers excluded
Direction: Both cargo directions at participating terminals</x:v>
      </x:c>
      <x:c r="F680" s="4" t="str">
        <x:v>NP-COV-EUR-005-P01 — Observed operation
Participating land-border cargo terminals in Bosnia and Herzegovina
Start: 2026-01-26.
Observed scoped reopening: 2026-01-30.
4 calendar-day difference; scoped endpoint only</x:v>
      </x:c>
      <x:c r="G680" s="4" t="str">
        <x:v>Migration / Admission and document disputes
Reported reason
Applies to: Only the identified authority/protest action; not every background policy
Professional drivers protested Schengen admission/stay rules affecting their work.
Trade and protectionism / Trade and transport protests
Reported reason
Applies to: Only the identified authority/protest action; not every background policy
Professional drivers protested Schengen admission/stay rules affecting their work.</x:v>
      </x:c>
      <x:c r="H680" s="4" t="str">
        <x:v>NP-COV-EUR-005-P01: Country-level reported action to its reported lifting. Individual terminal timings and exceptions are not uniform. Excludes maritime facilities. This interval must not be assigned unchanged to every gate.
scope / chronology / rationale: Which individual terminals and exemption categories applied on each day?</x:v>
      </x:c>
      <x:c r="I680" s="4" t="str">
        <x:v>Retained baseline assessment. Added after 23 October source reconciliation</x:v>
      </x:c>
      <x:c r="J680" s="18" t="d">
        <x:v>2026-10-23T00:00:00.000Z</x:v>
      </x:c>
      <x:c r="K680" s="21" t="str">
        <x:f>IFERROR(HYPERLINK("https://www.reuters.com/world/western-balkan-truck-drivers-block-border-cargo-terminals-over-eu-entry-rules-2026-01-26/","reuters.com"),"reuters.com")</x:f>
        <x:v>reuters.com</x:v>
      </x:c>
      <x:c r="L680" s="21" t="str">
        <x:f>IFERROR(HYPERLINK("https://n1info.ba/vijesti/prijevoznici-iz-bih-obustavili-blokadu-granicnih-prijelaza/","n1info.ba"),"n1info.ba")</x:f>
        <x:v>n1info.ba</x:v>
      </x:c>
      <x:c r="M680" s="21" t="str">
        <x:f>IFERROR(HYPERLINK("https://www.ekathimerini.com/politics/foreign-policy/1293436/balkan-truck-drivers-block-border-crossing-in-protest-of-eu-entry-rules/","ekathimerini.com"),"ekathimerini.com")</x:f>
        <x:v>ekathimerini.com</x:v>
      </x:c>
      <x:c r="N680" s="4" t="str">
        <x:v>https://www.reuters.com/world/western-balkan-truck-drivers-block-border-cargo-terminals-over-eu-entry-rules-2026-01-26/
https://n1info.ba/vijesti/prijevoznici-iz-bih-obustavili-blokadu-granicnih-prijelaza/
https://www.ekathimerini.com/politics/foreign-policy/1293436/balkan-truck-drivers-block-border-crossing-in-protest-of-eu-entry-rules/
https://theprint.in/world/some-balkan-truckers-end-eu-blockade-after-travel-rule-update-others-continue/2840534/
https://www.ansa.it/nuova_europa/en/news/sections/politics/2026/01/30/truckers-from-serbia-and-bosnia-also-end-blockades_7a204557-ddff-4199-8abc-0ddca416e8a7.html</x:v>
      </x:c>
      <x:c r="O680" s="4" t="str">
        <x:v>Source 1: access detail is retained in the source catalogue.
Source 2: access detail is retained in the source catalogue.
Source 3: access detail is retained in the source catalogue.</x:v>
      </x:c>
      <x:c r="P680" s="20" t="n">
        <x:v>1</x:v>
      </x:c>
      <x:c r="Q680" s="4" t="str">
        <x:v>Europe</x:v>
      </x:c>
      <x:c r="R680" s="4" t="str">
        <x:v>Included</x:v>
      </x:c>
    </x:row>
    <x:row r="681" ht="162" hidden="0" customHeight="1">
      <x:c r="A681" s="16" t="str">
        <x:v>NP-COV-EUR-006</x:v>
      </x:c>
      <x:c r="B681" s="4" t="str">
        <x:v>Serbia freight-terminal blockades in regional driver protest, January 2026</x:v>
      </x:c>
      <x:c r="C681" s="4" t="str">
        <x:v>Serbia; Croatia; Hungary; Montenegro</x:v>
      </x:c>
      <x:c r="D681" s="4" t="str">
        <x:v>Participating land-border cargo terminals in Serbia
Serbian-side freight traffic at Montenegro frontier</x:v>
      </x:c>
      <x:c r="E681" s="4" t="str">
        <x:v>Non-exempt commercial freight; passengers excluded; Commercial freight; both entry and exit
Direction: Both cargo directions at participating terminals; Both directions</x:v>
      </x:c>
      <x:c r="F681" s="4" t="str">
        <x:v>NP-COV-EUR-006-P01 — Observed operation
Participating land-border cargo terminals in Serbia
Start: 2026-01-26.
Observed scoped reopening: 2026-01-30.
4 calendar-day difference; scoped endpoint only
NP-COV-EUR-006-P02 — Observed operation
Serbian-side freight traffic at Montenegro frontier
Start: 2026-01-29.
Observed scoped reopening: 2026-01-30.
1 calendar-day difference; scoped endpoint only</x:v>
      </x:c>
      <x:c r="G681" s="4" t="str">
        <x:v>Migration / Admission and document disputes
Reported reason
Applies to: Only the identified authority/protest action; not every background policy
Professional drivers protested Schengen admission/stay rules affecting their work.
Trade and protectionism / Trade and transport protests
Reported reason
Applies to: Only the identified authority/protest action; not every background policy
Professional drivers protested Schengen admission/stay rules affecting their work.</x:v>
      </x:c>
      <x:c r="H681" s="4" t="str">
        <x:v>NP-COV-EUR-006-P01: Country-level reported action to its reported lifting. Individual terminal timings and exceptions are not uniform. Excludes maritime facilities. This interval must not be assigned unchanged to every gate.
NP-COV-EUR-006-P02: Separate later-starting frontier action; do not apply the January 26 regional onset here. One calendar-date difference is not a full 24-hour closure.
scope / chronology / rationale: Which individual terminals and exemption categories applied on each day?</x:v>
      </x:c>
      <x:c r="I681" s="4" t="str">
        <x:v>Full-record source audit (REC50-R15); retained with recorded qualifications; evidence limits retained.</x:v>
      </x:c>
      <x:c r="J681" s="18" t="d">
        <x:v>2026-10-25T00:00:00.000Z</x:v>
      </x:c>
      <x:c r="K681" s="21" t="str">
        <x:f>IFERROR(HYPERLINK("https://www.reuters.com/world/western-balkan-truck-drivers-block-border-cargo-terminals-over-eu-entry-rules-2026-01-26/","Reuters"),"Reuters")</x:f>
        <x:v>Reuters</x:v>
      </x:c>
      <x:c r="L681" s="21" t="str">
        <x:f>IFERROR(HYPERLINK("https://www.ansa.it/nuova_europa/en/news/sections/politics/2026/01/30/truckers-from-serbia-and-bosnia-also-end-blockades_7a204557-ddff-4199-8abc-0ddca416e8a7.html","ANSA"),"ANSA")</x:f>
        <x:v>ANSA</x:v>
      </x:c>
      <x:c r="M681" s="21" t="str">
        <x:f>IFERROR(HYPERLINK("https://en.vijesti.me/news-b/economy-d/793559/Transporters-from-Serbia-unblocked-border-crossings-with-Montenegro","Vijesti"),"Vijesti")</x:f>
        <x:v>Vijesti</x:v>
      </x:c>
      <x:c r="N681" s="4" t="str">
        <x:v>https://www.reuters.com/world/western-balkan-truck-drivers-block-border-cargo-terminals-over-eu-entry-rules-2026-01-26/
https://www.ansa.it/nuova_europa/en/news/sections/politics/2026/01/30/truckers-from-serbia-and-bosnia-also-end-blockades_7a204557-ddff-4199-8abc-0ddca416e8a7.html
https://en.vijesti.me/news-b/economy-d/793559/Transporters-from-Serbia-unblocked-border-crossings-with-Montenegro
https://kossev.info/en/prevoznici-iz-srbije-obustavljaju-blokade-teretnog-saobracaja/
https://www.ajot.com/news/western-balkan-truck-drivers-block-border-cargo-terminals-over-eu-entry-rules</x:v>
      </x:c>
      <x:c r="O681" s="4" t="str">
        <x:v>Source 1: full text
Source 2: full text
Source 3: full text</x:v>
      </x:c>
      <x:c r="P681" s="20" t="n">
        <x:v>2</x:v>
      </x:c>
      <x:c r="Q681" s="4" t="str">
        <x:v>Europe</x:v>
      </x:c>
      <x:c r="R681" s="4" t="str">
        <x:v>Included</x:v>
      </x:c>
    </x:row>
    <x:row r="682" ht="162" hidden="0" customHeight="1">
      <x:c r="A682" s="16" t="str">
        <x:v>NP-COV-EUR-007</x:v>
      </x:c>
      <x:c r="B682" s="4" t="str">
        <x:v>North Macedonia freight-terminal blockades in regional driver protest, January 2026</x:v>
      </x:c>
      <x:c r="C682" s="4" t="str">
        <x:v>North Macedonia; Greece</x:v>
      </x:c>
      <x:c r="D682" s="4" t="str">
        <x:v>Participating land-border cargo terminals in North Macedonia; Gevgelija explicitly reported</x:v>
      </x:c>
      <x:c r="E682" s="4" t="str">
        <x:v>Non-exempt commercial freight; passengers excluded
Direction: Both cargo directions at participating terminals</x:v>
      </x:c>
      <x:c r="F682" s="4" t="str">
        <x:v>NP-COV-EUR-007-P01 — Observed operation
Participating land-border cargo terminals in North Macedonia; Gevgelija explicitly reported
Start: 2026-01-26.
Observed scoped reopening: 2026-01-29.
3 calendar-day difference; scoped endpoint only</x:v>
      </x:c>
      <x:c r="G682" s="4" t="str">
        <x:v>Migration / Admission and document disputes
Reported reason
Applies to: Only the identified authority/protest action; not every background policy
Professional drivers protested Schengen admission/stay rules affecting their work.
Trade and protectionism / Trade and transport protests
Reported reason
Applies to: Only the identified authority/protest action; not every background policy
Professional drivers protested Schengen admission/stay rules affecting their work.</x:v>
      </x:c>
      <x:c r="H682" s="4" t="str">
        <x:v>NP-COV-EUR-007-P01: Country-level reported action to its reported lifting. Individual terminal timings and exceptions are not uniform. Excludes maritime facilities. This interval must not be assigned unchanged to every gate.
scope / chronology / rationale: Which individual terminals and exemption categories applied on each day?</x:v>
      </x:c>
      <x:c r="I682" s="4" t="str">
        <x:v>Retained baseline assessment. Added after 23 October source reconciliation</x:v>
      </x:c>
      <x:c r="J682" s="18" t="d">
        <x:v>2026-10-23T00:00:00.000Z</x:v>
      </x:c>
      <x:c r="K682" s="21" t="str">
        <x:f>IFERROR(HYPERLINK("https://www.reuters.com/world/western-balkan-truck-drivers-block-border-cargo-terminals-over-eu-entry-rules-2026-01-26/","reuters.com"),"reuters.com")</x:f>
        <x:v>reuters.com</x:v>
      </x:c>
      <x:c r="L682" s="21" t="str">
        <x:f>IFERROR(HYPERLINK("https://www.ekathimerini.com/POLITICS/FOREIGN-POLICY/1293807/NORTH-MACEDONIAN-TRUCKERS-END-BORDER-BLOCKADES-AS-EU-SIGNALS-POLICY-REVISION/","ekathimerini.com"),"ekathimerini.com")</x:f>
        <x:v>ekathimerini.com</x:v>
      </x:c>
      <x:c r="M682" s="21" t="str">
        <x:f>IFERROR(HYPERLINK("https://www.ajot.com/news/western-balkan-truck-drivers-block-border-cargo-terminals-over-eu-entry-rules","ajot.com"),"ajot.com")</x:f>
        <x:v>ajot.com</x:v>
      </x:c>
      <x:c r="N682" s="4" t="str">
        <x:v>https://www.reuters.com/world/western-balkan-truck-drivers-block-border-cargo-terminals-over-eu-entry-rules-2026-01-26/
https://www.ekathimerini.com/POLITICS/FOREIGN-POLICY/1293807/NORTH-MACEDONIAN-TRUCKERS-END-BORDER-BLOCKADES-AS-EU-SIGNALS-POLICY-REVISION/
https://www.ajot.com/news/western-balkan-truck-drivers-block-border-cargo-terminals-over-eu-entry-rules
https://theprint.in/world/some-balkan-truckers-end-eu-blockade-after-travel-rule-update-others-continue/2840534/
https://www.ansa.it/nuova_europa/en/news/sections/politics/2026/01/30/truckers-from-serbia-and-bosnia-also-end-blockades_7a204557-ddff-4199-8abc-0ddca416e8a7.html</x:v>
      </x:c>
      <x:c r="O682" s="4" t="str">
        <x:v>Source 1: access detail is retained in the source catalogue.
Source 2: access detail is retained in the source catalogue.
Source 3: access detail is retained in the source catalogue.</x:v>
      </x:c>
      <x:c r="P682" s="20" t="n">
        <x:v>1</x:v>
      </x:c>
      <x:c r="Q682" s="4" t="str">
        <x:v>Europe</x:v>
      </x:c>
      <x:c r="R682" s="4" t="str">
        <x:v>Included</x:v>
      </x:c>
    </x:row>
    <x:row r="683" ht="246" hidden="0" customHeight="1">
      <x:c r="A683" s="16" t="str">
        <x:v>NP-COV-EUR-008</x:v>
      </x:c>
      <x:c r="B683" s="4" t="str">
        <x:v>Montenegrin April 2026 freight protests and Dračenovac passenger extension</x:v>
      </x:c>
      <x:c r="C683" s="4" t="str">
        <x:v>Montenegro; Serbia; Bosnia and Herzegovina</x:v>
      </x:c>
      <x:c r="D683" s="4" t="str">
        <x:v>Participating Montenegro crossings with Serbia and Bosnia
Dračenovac two-hour extension including passengers</x:v>
      </x:c>
      <x:c r="E683" s="4" t="str">
        <x:v>Commercial freight; passengers and specified cargo exempt; Freight and passenger vehicles
Direction: Both cargo directions; Both directions</x:v>
      </x:c>
      <x:c r="F683" s="4" t="str">
        <x:v>NP-COV-EUR-008-P01 — Observed operation
Participating Montenegro crossings with Serbia and Bosnia
Start: 2026-04-14.
Last confirmed: 2026-04-14. Reopening is not established.
dated evidence; numeric duration withheld; see qualification
NP-COV-EUR-008-P02 — Observed operation
Dračenovac two-hour extension including passengers
Start: 2026-04-17.
Observed scoped reopening: 2026-04-17.
Same-day episode; no whole-day duration inferred; Two-hour extension after scheduled 10:00 end</x:v>
      </x:c>
      <x:c r="G683" s="4" t="str">
        <x:v>Migration / Admission and document disputes
Reported reason
Applies to: Only the identified authority/protest action; not every background policy
Drivers cited Schengen work/travel limits, tax refunds and unfulfilled domestic transport commitments.
Trade and protectionism / Trade and transport protests
Reported reason
Applies to: Only the identified authority/protest action; not every background policy
Drivers cited Schengen work/travel limits, tax refunds and unfulfilled domestic transport commitments.
Policy and socioeconomic demands / Jobs, services and livelihoods
Reported reason
Applies to: Only the identified authority/protest action; not every background policy
Drivers cited Schengen work/travel limits, tax refunds and unfulfilled domestic transport commitments.</x:v>
      </x:c>
      <x:c r="H683" s="4" t="str">
        <x:v>NP-COV-EUR-008-P01: April 14 onset observation only. Planned two-day length is not an observed endpoint.
NP-COV-EUR-008-P02: Reported additional action and dispersal on April 17; do not assume continuous unchanged scope since April 14.
scope / chronology / rationale: Reconcile April 14 onset and April 17 extension using gate-specific logs; the proposed two-day schedule is not the actual duration.</x:v>
      </x:c>
      <x:c r="I683" s="4" t="str">
        <x:v>Retained baseline assessment. Added after 23 October source reconciliation</x:v>
      </x:c>
      <x:c r="J683" s="18" t="d">
        <x:v>2026-10-23T00:00:00.000Z</x:v>
      </x:c>
      <x:c r="K683" s="21" t="str">
        <x:f>IFERROR(HYPERLINK("https://www.rts.rs/lat/vesti/region/5925736/blokada-granicni-prelaz-teretni-saobracaj.html","rts.rs"),"rts.rs")</x:f>
        <x:v>rts.rs</x:v>
      </x:c>
      <x:c r="L683" s="21" t="str">
        <x:f>IFERROR(HYPERLINK("https://www.rts.rs/lat/vesti/region/5928573/blokada-granicnog-prelaza-u-crnoj-gori-dracevac.html","rts.rs"),"rts.rs")</x:f>
        <x:v>rts.rs</x:v>
      </x:c>
      <x:c r="M683" s="21"/>
      <x:c r="N683" s="4" t="str">
        <x:v>https://www.rts.rs/lat/vesti/region/5925736/blokada-granicni-prelaz-teretni-saobracaj.html
https://www.rts.rs/lat/vesti/region/5928573/blokada-granicnog-prelaza-u-crnoj-gori-dracevac.html</x:v>
      </x:c>
      <x:c r="O683" s="4" t="str">
        <x:v>Source 1: access detail is retained in the source catalogue.
Source 2: access detail is retained in the source catalogue.</x:v>
      </x:c>
      <x:c r="P683" s="20" t="n">
        <x:v>2</x:v>
      </x:c>
      <x:c r="Q683" s="4" t="str">
        <x:v>Europe</x:v>
      </x:c>
      <x:c r="R683" s="4" t="str">
        <x:v>Included</x:v>
      </x:c>
    </x:row>
    <x:row r="684" ht="234" hidden="0" customHeight="1">
      <x:c r="A684" s="16" t="str">
        <x:v>NP-COV-EUR-009</x:v>
      </x:c>
      <x:c r="B684" s="4" t="str">
        <x:v>Greek customs strike suspends four Albania crossings, July 27 2026</x:v>
      </x:c>
      <x:c r="C684" s="4" t="str">
        <x:v>Greece; Albania</x:v>
      </x:c>
      <x:c r="D684" s="4" t="str">
        <x:v>Kapshticë
Kakavijë
Qafë Botë and Tre Urat</x:v>
      </x:c>
      <x:c r="E684" s="4" t="str">
        <x:v>Vehicles and travellers requiring customs passage
Direction: Both directions</x:v>
      </x:c>
      <x:c r="F684" s="4" t="str">
        <x:v>NP-COV-EUR-009-P01 — Observed operation
Kapshticë
Start: 2026-07-27.
Observed scoped reopening: 2026-07-27.
Same-day episode; no whole-day duration inferred; Conflicting Kapshtice operational clocks: Shqiptarja reports 05:00–09:00; ABC reports 04:00–09:00 Albanian time. The July 23 customs notice instead scheduled 05:00–10:00, without a displayed time-zone label. No exact elapsed-hour duration is selected.
NP-COV-EUR-009-P02 — Observed operation
Kakavijë
Start: 2026-07-27.
Observed scoped reopening: 2026-07-27.
Same-day episode; no whole-day duration inferred; 07:00–11:00
NP-COV-EUR-009-P03 — Observed operation
Qafë Botë and Tre Urat
Start: 2026-07-27.
Observed scoped reopening: 2026-07-27.
Same-day episode; no whole-day duration inferred; Four hours reported; individual clock bounds not established</x:v>
      </x:c>
      <x:c r="G684" s="4" t="str">
        <x:v>Policy and socioeconomic demands / Jobs, services and livelihoods
Attributed participant justification
Applies to: July27 2026 customs strike; all three scoped phases
Parent and phase rationale assignment aligned; no other motive inferred.</x:v>
      </x:c>
      <x:c r="H684" s="4" t="str">
        <x:v>NP-COV-EUR-009-P01: OTYE attributes the action to unpaid overtime and shift compensation and delayed/insufficient allocation. Actual same-day operation is established separately; reported Kapshticë onset hours conflict and are not made exact.
NP-COV-EUR-009-P02: OTYE attributes the action to unpaid overtime and shift compensation and delayed/insufficient allocation. Actual same-day operation is established separately; reported Kapshticë onset hours conflict and are not made exact.
NP-COV-EUR-009-P03: OTYE attributes the action to unpaid overtime and shift compensation and delayed/insufficient allocation. Actual same-day operation is established separately; reported Kapshticë onset hours conflict and are not made exact.
onset_precision: Kapshticë start-hour disagreement remains; day-level chronology is retained.</x:v>
      </x:c>
      <x:c r="I684" s="4" t="str">
        <x:v>Targeted source review (REC50-R09); accepted qualification; evidence limits retained.</x:v>
      </x:c>
      <x:c r="J684" s="18" t="d">
        <x:v>2026-10-25T00:00:00.000Z</x:v>
      </x:c>
      <x:c r="K684" s="21" t="str">
        <x:f>IFERROR(HYPERLINK("https://dogana.gov.al/d/171/219/0/1685/njoftim-per-mbylljen-e-perkohshme-te-deges-doganore-te-kapshtices","Albanian General Directorate of Customs"),"Albanian General Directorate of Customs")</x:f>
        <x:v>Albanian General Directorate of Customs</x:v>
      </x:c>
      <x:c r="L684" s="21" t="str">
        <x:f>IFERROR(HYPERLINK("https://shqiptarja.com/lajm/greva-ne-greqi-pezullohet-puna-per-4-ore-ne-4-dogana-shqiptare?r=pop5h","Shqiptarja.com"),"Shqiptarja.com")</x:f>
        <x:v>Shqiptarja.com</x:v>
      </x:c>
      <x:c r="M684" s="21" t="str">
        <x:f>IFERROR(HYPERLINK("https://www.ofae.gr/media/documents/2026/07/23/ANAKOINOSE-GIA-APOZEMIOSEIS-UPERORION-BARDION-56.pdf","ofae.gr"),"ofae.gr")</x:f>
        <x:v>ofae.gr</x:v>
      </x:c>
      <x:c r="N684" s="4" t="str">
        <x:v>https://dogana.gov.al/d/171/219/0/1685/njoftim-per-mbylljen-e-perkohshme-te-deges-doganore-te-kapshtices
https://shqiptarja.com/lajm/greva-ne-greqi-pezullohet-puna-per-4-ore-ne-4-dogana-shqiptare?r=pop5h
https://www.ofae.gr/media/documents/2026/07/23/ANAKOINOSE-GIA-APOZEMIOSEIS-UPERORION-BARDION-56.pdf
https://abcnews.al/perfundon-greva-e-doganiereve-greke-rinis-levizja-e-mjeteve-ne-kapshtice-radhe-te-gjata-ne-kakavije/
https://euronews.al/mbyllet-perkohesisht-dogana-e-kapshtices-te-henen-shkak-greva-e-punonjesve-greke-oraret-kur-bllokohet-levizja/
https://gazetashqiptare.al/2026/07/26/greve-ne-doganat-greke-pezullohet-perkohesisht-levizja-e-automjeteve-ne-kater-pika-kufitare-me-shqiperine/</x:v>
      </x:c>
      <x:c r="O684" s="4" t="str">
        <x:v>Source 1: full text
Source 2: full text
Source 3: access detail is retained in the source catalogue.</x:v>
      </x:c>
      <x:c r="P684" s="20" t="n">
        <x:v>3</x:v>
      </x:c>
      <x:c r="Q684" s="4" t="str">
        <x:v>Europe</x:v>
      </x:c>
      <x:c r="R684" s="4" t="str">
        <x:v>Included</x:v>
      </x:c>
    </x:row>
    <x:row r="685" ht="162" hidden="0" customHeight="1">
      <x:c r="A685" s="16" t="str">
        <x:v>NP-COV-AM-001</x:v>
      </x:c>
      <x:c r="B685" s="4" t="str">
        <x:v>Melchor–Benque freight blockade over driver substitution, May 2020</x:v>
      </x:c>
      <x:c r="C685" s="4" t="str">
        <x:v>Guatemala; Belize</x:v>
      </x:c>
      <x:c r="D685" s="4" t="str">
        <x:v>Freight crossing at the Melchor–Benque bridge</x:v>
      </x:c>
      <x:c r="E685" s="4" t="str">
        <x:v>Cargo trucks
Direction: Both cargo directions</x:v>
      </x:c>
      <x:c r="F685" s="4" t="str">
        <x:v>NP-COV-AM-001-P01 — Observed operation
Freight crossing at the Melchor–Benque bridge
Start: 2020-05-11.
Observed scoped reopening: 2020-05-13.
2 calendar-day difference; scoped endpoint only</x:v>
      </x:c>
      <x:c r="G685" s="4" t="str">
        <x:v>Trade and protectionism / Trade and transport protests
Reported reason
Applies to: Only the identified authority/protest action; not every background policy
Drivers opposed the new pandemic-related requirement for Belizean substitute drivers to collect their cargo.
Policy and socioeconomic demands / Opposition to health policies
Reported reason
Applies to: Only the identified authority/protest action; not every background policy
Drivers opposed the new pandemic-related requirement for Belizean substitute drivers to collect their cargo.</x:v>
      </x:c>
      <x:c r="H685" s="4" t="str">
        <x:v>NP-COV-AM-001-P01: Monday-to-Wednesday observed blockade; passenger pandemic restrictions remain a separate policy. Two calendar-day difference is not an exact hourly measure.</x:v>
      </x:c>
      <x:c r="I685" s="4" t="str">
        <x:v>Targeted source review (REC50-R34); retained with recorded qualifications; evidence limits retained.</x:v>
      </x:c>
      <x:c r="J685" s="18" t="d">
        <x:v>2026-10-25T00:00:00.000Z</x:v>
      </x:c>
      <x:c r="K685" s="21" t="str">
        <x:f>IFERROR(HYPERLINK("https://archive.channel5belize.com/archives/202690","News Five Belize"),"News Five Belize")</x:f>
        <x:v>News Five Belize</x:v>
      </x:c>
      <x:c r="L685" s="21"/>
      <x:c r="M685" s="21"/>
      <x:c r="N685" s="4" t="str">
        <x:v>https://archive.channel5belize.com/archives/202690</x:v>
      </x:c>
      <x:c r="O685" s="4" t="str">
        <x:v>Source 1: full text</x:v>
      </x:c>
      <x:c r="P685" s="20" t="n">
        <x:v>1</x:v>
      </x:c>
      <x:c r="Q685" s="4" t="str">
        <x:v>Americas</x:v>
      </x:c>
      <x:c r="R685" s="4" t="str">
        <x:v>Included</x:v>
      </x:c>
    </x:row>
    <x:row r="686" ht="138" hidden="0" customHeight="1">
      <x:c r="A686" s="16" t="str">
        <x:v>NP-COV-AM-002</x:v>
      </x:c>
      <x:c r="B686" s="4" t="str">
        <x:v>Mexico–Belize cargo obstruction attributed to extortion, March 2026</x:v>
      </x:c>
      <x:c r="C686" s="4" t="str">
        <x:v>Mexico; Belize</x:v>
      </x:c>
      <x:c r="D686" s="4" t="str">
        <x:v>Inbound Mexican cargo obstruction
Reported restoration of inbound cargo</x:v>
      </x:c>
      <x:c r="E686" s="4" t="str">
        <x:v>Commercial cargo
Direction: Mexico to Belize</x:v>
      </x:c>
      <x:c r="F686" s="4" t="str">
        <x:v>NP-COV-AM-002-P01 — Observed operation
Inbound Mexican cargo obstruction
Start: unknown.
Last confirmed: 2026-03-23. Reopening is not established.
dated evidence; numeric duration withheld; see qualification
NP-COV-AM-002-P02 — Observed operation
Reported restoration of inbound cargo
Start: unknown.
Observed scoped reopening: 2026-03-24.
dated evidence; numeric duration withheld; see qualification</x:v>
      </x:c>
      <x:c r="G686" s="4" t="str">
        <x:v>Uncoded / Known reason outside taxonomy
Not assigned
Applies to: Not assigned
Local reporting attributes the obstruction to demands for payments by criminal actors. A precise extortion rationale is not covered by the current taxonomy.</x:v>
      </x:c>
      <x:c r="H686" s="4" t="str">
        <x:v>NP-COV-AM-002-P01: Dated obstruction observation only; exact onset and location remain unknown.
NP-COV-AM-002-P02: Restoration date is reported; unknown initial onset prevents a complete duration.
scope / chronology / rationale: Establish exact obstruction location, onset and actor attribution.
scope / chronology / rationale: Classify the documented extortion purpose without treating criminal profit as a law-enforcement rationale.</x:v>
      </x:c>
      <x:c r="I686" s="4" t="str">
        <x:v>Retained baseline assessment. Added after 23 October source reconciliation</x:v>
      </x:c>
      <x:c r="J686" s="18" t="d">
        <x:v>2026-10-23T00:00:00.000Z</x:v>
      </x:c>
      <x:c r="K686" s="21" t="str">
        <x:f>IFERROR(HYPERLINK("https://www.7newsbelize.com/sstory.php?nid=77695","7newsbelize.com"),"7newsbelize.com")</x:f>
        <x:v>7newsbelize.com</x:v>
      </x:c>
      <x:c r="L686" s="21" t="str">
        <x:f>IFERROR(HYPERLINK("https://www.sanpedrosun.com/business-and-economy/2026/03/26/belize-mexico-border-disruption-eased-for-cargo-transportation/","sanpedrosun.com"),"sanpedrosun.com")</x:f>
        <x:v>sanpedrosun.com</x:v>
      </x:c>
      <x:c r="M686" s="21"/>
      <x:c r="N686" s="4" t="str">
        <x:v>https://www.7newsbelize.com/sstory.php?nid=77695
https://www.sanpedrosun.com/business-and-economy/2026/03/26/belize-mexico-border-disruption-eased-for-cargo-transportation/</x:v>
      </x:c>
      <x:c r="O686" s="4" t="str">
        <x:v>Source 1: access detail is retained in the source catalogue.
Source 2: access detail is retained in the source catalogue.</x:v>
      </x:c>
      <x:c r="P686" s="20" t="n">
        <x:v>2</x:v>
      </x:c>
      <x:c r="Q686" s="4" t="str">
        <x:v>Americas</x:v>
      </x:c>
      <x:c r="R686" s="4" t="str">
        <x:v>Included</x:v>
      </x:c>
    </x:row>
    <x:row r="687" ht="162" hidden="0" customHeight="1">
      <x:c r="A687" s="16" t="str">
        <x:v>NP-COV-AF-001</x:v>
      </x:c>
      <x:c r="B687" s="4" t="str">
        <x:v>Republic of Congo presidential-election land-border closure order, March 2026</x:v>
      </x:c>
      <x:c r="C687" s="4" t="str">
        <x:v>Republic of the Congo</x:v>
      </x:c>
      <x:c r="D687" s="4" t="str">
        <x:v>Land-border component of the national election order</x:v>
      </x:c>
      <x:c r="E687" s="4" t="str">
        <x:v>Ordered land-border movement suspension; exceptions unverified
Direction: Both directions as national order</x:v>
      </x:c>
      <x:c r="F687" s="4" t="str">
        <x:v>NP-COV-AF-001-P01 — Announced window
Land-border component of the national election order
Start: 2026-03-15.
Scheduled endpoint: 2026-03-15.
Ordered window: dated evidence; numeric duration withheld; see qualification</x:v>
      </x:c>
      <x:c r="G687" s="4" t="str">
        <x:v>Electoral politics / Election administration and security
Reported reason
Applies to: Only the identified authority/protest action; not every background policy
The reported ministerial order ties the temporary measure to election security and prevention of disturbances.
Security / Public order and immediate safety
Reported reason
Applies to: Only the identified authority/protest action; not every background policy
The reported ministerial order ties the temporary measure to election security and prevention of disturbances.</x:v>
      </x:c>
      <x:c r="H687" s="4" t="str">
        <x:v>NP-COV-AF-001-P01: Reported 12-hour order only; no whole-day duration, implementation claim or observed reopening.
scope / chronology / rationale: Obtain the original order and actual gate implementation/resumption evidence.</x:v>
      </x:c>
      <x:c r="I687" s="4" t="str">
        <x:v>Retained baseline assessment. Added after 23 October source reconciliation</x:v>
      </x:c>
      <x:c r="J687" s="18" t="d">
        <x:v>2026-10-23T00:00:00.000Z</x:v>
      </x:c>
      <x:c r="K687" s="21" t="str">
        <x:f>IFERROR(HYPERLINK("https://lejournalducongo.com/22/02/2026/presidentielle-du-15-mars-le-congo-ferme-ses-frontieres-terrestres-aeriennes-et-fluviales-de-6h-a-18h/","lejournalducongo.com"),"lejournalducongo.com")</x:f>
        <x:v>lejournalducongo.com</x:v>
      </x:c>
      <x:c r="L687" s="21" t="str">
        <x:f>IFERROR(HYPERLINK("https://diplomatie.belgium.be/fr/pays/congo-brazzaville/voyager-au-congo-brazzaville-conseils-aux-voyageurs/derniere-mise-jour-au-congo-brazzaville","diplomatie.belgium.be"),"diplomatie.belgium.be")</x:f>
        <x:v>diplomatie.belgium.be</x:v>
      </x:c>
      <x:c r="M687" s="21"/>
      <x:c r="N687" s="4" t="str">
        <x:v>https://lejournalducongo.com/22/02/2026/presidentielle-du-15-mars-le-congo-ferme-ses-frontieres-terrestres-aeriennes-et-fluviales-de-6h-a-18h/
https://diplomatie.belgium.be/fr/pays/congo-brazzaville/voyager-au-congo-brazzaville-conseils-aux-voyageurs/derniere-mise-jour-au-congo-brazzaville</x:v>
      </x:c>
      <x:c r="O687" s="4" t="str">
        <x:v>Source 1: access detail is retained in the source catalogue.
Source 2: access detail is retained in the source catalogue.</x:v>
      </x:c>
      <x:c r="P687" s="20" t="n">
        <x:v>1</x:v>
      </x:c>
      <x:c r="Q687" s="4" t="str">
        <x:v>Southern and Central Africa</x:v>
      </x:c>
      <x:c r="R687" s="4" t="str">
        <x:v>Included</x:v>
      </x:c>
    </x:row>
    <x:row r="688" ht="222" hidden="0" customHeight="1">
      <x:c r="A688" s="16" t="str">
        <x:v>C7-AF-001</x:v>
      </x:c>
      <x:c r="B688" s="4" t="str">
        <x:v>Mananga dated closure and EFF obstruction during Eswatini unrest, June–July2021</x:v>
      </x:c>
      <x:c r="C688" s="4" t="str">
        <x:v>South Africa; Eswatini</x:v>
      </x:c>
      <x:c r="D688" s="4" t="str">
        <x:v>Mananga Port of Entry closure status on June29,2021
Mananga crossing obstruction by EFF protesters on July1,2021</x:v>
      </x:c>
      <x:c r="E688" s="4" t="str">
        <x:v>Port operations; categories not separately established; Crossing operations affected by protest; detailed traffic categories unknown
Direction: Not separately established</x:v>
      </x:c>
      <x:c r="F688" s="4" t="str">
        <x:v>C7-AF-001-P1 — Observed operation
Mananga Port of Entry closure status on June29,2021
Start: unknown.
Last confirmed: 2021-06-29. Reopening is not established.
dated evidence; numeric duration withheld; see qualification
C7-AF-001-P2 — Observed operation
Mananga crossing obstruction by EFF protesters on July1,2021
Start: unknown.
Last confirmed: 2021-07-01. Reopening is not established.
dated evidence; numeric duration withheld; see qualification</x:v>
      </x:c>
      <x:c r="G688" s="4" t="str">
        <x:v>Power and regime politics / Opposition and political reform
Reported reason
Applies to: July1 EFF obstruction only
Attributed reason for the identified phase only; no complete or primary motive is inferred.</x:v>
      </x:c>
      <x:c r="H688" s="4" t="str">
        <x:v>C7-AF-001-P1: First onset, reopening, movement exceptions and cause are not supplied. Page-wide July2 date is not a later confirmation. Do not join continuously to the EFF episode.
C7-AF-001-P2: A dated obstruction observation only; exact start/end hours and continuity from June29 are unestablished.
onset: The June 29 closure status and July 1 EFF obstruction are observations; neither supplies its first operative instant.
endpoint: Neither Mananga observation establishes the subsequent restoration of the same movement scope.
scope: Movement exceptions to the June 29 closure status are not supplied.
rationale: The June 29 customs closure notice supplies no cause; the July 1 EFF motive cannot be inherited by that earlier observation.
continuity: Continuity between the June 29 closure status and the July 1 EFF obstruction is unestablished.</x:v>
      </x:c>
      <x:c r="I688" s="4" t="str">
        <x:v>Full-record source audit (REC50-R45); accepted corrections; evidence limits retained.</x:v>
      </x:c>
      <x:c r="J688" s="18" t="d">
        <x:v>2026-10-25T00:00:00.000Z</x:v>
      </x:c>
      <x:c r="K688" s="21" t="str">
        <x:f>IFERROR(HYPERLINK("https://www.sars.gov.za/latest-news/customs-borders-and-ports-closures-2/","South African Revenue Service"),"South African Revenue Service")</x:f>
        <x:v>South African Revenue Service</x:v>
      </x:c>
      <x:c r="L688" s="21" t="str">
        <x:f>IFERROR(HYPERLINK("https://www.sabcnews.com/sabcnews/eff-in-mpumalanga-shuts-down-mananga-border-in-solidarity-with-poeple-of-eswatini/","SABC News"),"SABC News")</x:f>
        <x:v>SABC News</x:v>
      </x:c>
      <x:c r="M688" s="21"/>
      <x:c r="N688" s="4" t="str">
        <x:v>https://www.sars.gov.za/latest-news/customs-borders-and-ports-closures-2/
https://www.sabcnews.com/sabcnews/eff-in-mpumalanga-shuts-down-mananga-border-in-solidarity-with-poeple-of-eswatini/</x:v>
      </x:c>
      <x:c r="O688" s="4" t="str">
        <x:v>Source 1: full text
Source 2: indexed extract</x:v>
      </x:c>
      <x:c r="P688" s="20" t="n">
        <x:v>2</x:v>
      </x:c>
      <x:c r="Q688" s="4" t="str">
        <x:v>Southern and Central Africa</x:v>
      </x:c>
      <x:c r="R688" s="4" t="str">
        <x:v>Included</x:v>
      </x:c>
    </x:row>
    <x:row r="689" ht="198" hidden="0" customHeight="1">
      <x:c r="A689" s="16" t="str">
        <x:v>C7-AF-002</x:v>
      </x:c>
      <x:c r="B689" s="4" t="str">
        <x:v>DRC Ebola-related restrictions on international departure for exposed travellers,2026</x:v>
      </x:c>
      <x:c r="C689" s="4" t="str">
        <x:v>Democratic Republic of the Congo</x:v>
      </x:c>
      <x:c r="D689" s="4" t="str">
        <x:v>DRC initial Ebola restrictions on international departure after presence in an affected province; distinct contact/responder provisions
DRC Ebola risk-based departure restrictions following the July17 amendment</x:v>
      </x:c>
      <x:c r="E689" s="4" t="str">
        <x:v>Specified contacts, responders and persons recently in affected provinces; Travellers classified by individual exposure risk
Direction: International departure from DRC</x:v>
      </x:c>
      <x:c r="F689" s="4" t="str">
        <x:v>C7-AF-002-P1 — Formal policy
DRC initial Ebola restrictions on international departure after presence in an affected province; distinct contact/responder provisions
Start: 2026-06-24.
Policy endpoint: 2026-07-17.
Formal policy: 23 calendar-day difference; operational continuity not established
C7-AF-002-P2 — Formal policy
DRC Ebola risk-based departure restrictions following the July17 amendment
Start: 2026-07-17.
Last confirmed: 2026-07-25. Reopening is not established.
Formal policy: confirmed through 2026-07-25; at least 8 calendar-day difference; reopening unknown</x:v>
      </x:c>
      <x:c r="G689" s="4" t="str">
        <x:v>Health and biosecurity / Human disease control
Reported reason
Applies to: June24 rule and July17 risk-based successor
Attributed reason for the identified phase only; no complete or primary motive is inferred.</x:v>
      </x:c>
      <x:c r="H689" s="4" t="str">
        <x:v>C7-AF-002-P1: Third-party-hosted decree copy is corroborated by ECDC. July17 endpoint is a policy change reported by news sources; original amendment not recovered. No named land-post enforcement or all-passenger closure is established.
C7-AF-002-P2: Reported legal regime only. CategoryA remained restricted; B/C could travel under specified conditions. Original amendment and later endpoint were not recovered; do not extend this confirmation to October or infer named-gate implementation.
source verification: The original July 17 amendment has not been recovered; the policy change is represented through contemporary reporting.
legal endpoint: The later endpoint of the risk-based departure regime is not recovered; the July 25 confirmation cannot be extended to October.
implementation: The legal sources do not establish enforcement at named land posts or an all-passenger closure.</x:v>
      </x:c>
      <x:c r="I689" s="4" t="str">
        <x:v>Retained baseline assessment. New sourced record; see phase qualifications</x:v>
      </x:c>
      <x:c r="J689" s="18" t="d">
        <x:v>2026-10-23T00:00:00.000Z</x:v>
      </x:c>
      <x:c r="K689" s="21" t="str">
        <x:f>IFERROR(HYPERLINK("https://www.scribd.com/document/1055335479/Arrete-Ministe-riel-15-du-24-juin-2026-portant-ente-rinement-de-certaines-mesures-de-sante-publique-de-coulant-du-plan-de-pre-paration-a-la-17e-MV","scribd.com"),"scribd.com")</x:f>
        <x:v>scribd.com</x:v>
      </x:c>
      <x:c r="L689" s="21" t="str">
        <x:f>IFERROR(HYPERLINK("https://www.ecdc.europa.eu/en/public-health-events/2026-eip-00026/2026-10-21","ecdc.europa.eu"),"ecdc.europa.eu")</x:f>
        <x:v>ecdc.europa.eu</x:v>
      </x:c>
      <x:c r="M689" s="21" t="str">
        <x:f>IFERROR(HYPERLINK("https://www.reporter.cd/rdc-le-gouvernement-remplace-la-quarantaine-systematique-par-une-evaluation-du-risque-pour-les-voyageurs-lies-a-ebola/","reporter.cd"),"reporter.cd")</x:f>
        <x:v>reporter.cd</x:v>
      </x:c>
      <x:c r="N689" s="4" t="str">
        <x:v>https://www.scribd.com/document/1055335479/Arrete-Ministe-riel-15-du-24-juin-2026-portant-ente-rinement-de-certaines-mesures-de-sante-publique-de-coulant-du-plan-de-pre-paration-a-la-17e-MV
https://www.ecdc.europa.eu/en/public-health-events/2026-eip-00026/2026-10-21
https://www.reporter.cd/rdc-le-gouvernement-remplace-la-quarantaine-systematique-par-une-evaluation-du-risque-pour-les-voyageurs-lies-a-ebola/
https://actualite.cd/2026/07/25/ebola-en-rdc-une-evaluation-individuelle-de-risque-imposee-toute-personne-ayant-sejourne</x:v>
      </x:c>
      <x:c r="O689" s="4" t="str">
        <x:v>Source 1: access detail is retained in the source catalogue.
Source 2: access detail is retained in the source catalogue.
Source 3: access detail is retained in the source catalogue.</x:v>
      </x:c>
      <x:c r="P689" s="20" t="n">
        <x:v>2</x:v>
      </x:c>
      <x:c r="Q689" s="4" t="str">
        <x:v>Great Lakes</x:v>
      </x:c>
      <x:c r="R689" s="4" t="str">
        <x:v>Included</x:v>
      </x:c>
    </x:row>
    <x:row r="690" ht="114" hidden="0" customHeight="1">
      <x:c r="A690" s="16" t="str">
        <x:v>C7-AM-001</x:v>
      </x:c>
      <x:c r="B690" s="4" t="str">
        <x:v>Brazil COVID foreign land-entry restriction from Uruguay, March 2020</x:v>
      </x:c>
      <x:c r="C690" s="4" t="str">
        <x:v>Brazil; Uruguay</x:v>
      </x:c>
      <x:c r="D690" s="4" t="str">
        <x:v>Foreign persons entering Brazil by land from Uruguay, excluding stated exceptions</x:v>
      </x:c>
      <x:c r="E690" s="4" t="str">
        <x:v>Non-exempt foreign land entrants
Direction: Uruguay into Brazil</x:v>
      </x:c>
      <x:c r="F690" s="4" t="str">
        <x:v>C7-AM-001-P1 — Formal policy
Foreign persons entering Brazil by land from Uruguay, excluding stated exceptions
Start: 2020-03-22.
Last confirmed: 2020-03-22. Reopening is not established.
Formal policy: dated evidence; numeric duration withheld; see qualification</x:v>
      </x:c>
      <x:c r="G690" s="4" t="str">
        <x:v>Health and biosecurity / Human disease control
Official stated reason
Applies to: Portaria 132 initial order
Separate Uruguay measure; not inferred from the eight-neighbour Portaria 125.</x:v>
      </x:c>
      <x:c r="H690" s="4" t="str">
        <x:v>C7-AM-001-P1: Initial order specifies thirty days and possible extension. This is a dated legal observation; later extensions/revocation and operational reopening are not reconstructed. Cargo and documented border residents remained excepted.
legal continuity / endpoint: Later extensions or revocation of the initial Uruguay-specific land-entry order have not been reconstructed.
operational endpoint: The initial legal observation does not establish actual resumption for the restricted foreign-entry cohort.</x:v>
      </x:c>
      <x:c r="I690" s="4" t="str">
        <x:v>Retained baseline assessment. New sourced record; see phase qualifications</x:v>
      </x:c>
      <x:c r="J690" s="18" t="d">
        <x:v>2026-10-23T00:00:00.000Z</x:v>
      </x:c>
      <x:c r="K690" s="21" t="str">
        <x:f>IFERROR(HYPERLINK("https://portaldeimigracao.mj.gov.br/images/portarias/PORTARIA_N%C2%BA_132_DE_22_DE_MAR%C3%87O_DE_2020.pdf","portaldeimigracao.mj.gov.br"),"portaldeimigracao.mj.gov.br")</x:f>
        <x:v>portaldeimigracao.mj.gov.br</x:v>
      </x:c>
      <x:c r="L690" s="21"/>
      <x:c r="M690" s="21"/>
      <x:c r="N690" s="4" t="str">
        <x:v>https://portaldeimigracao.mj.gov.br/images/portarias/PORTARIA_N%C2%BA_132_DE_22_DE_MAR%C3%87O_DE_2020.pdf</x:v>
      </x:c>
      <x:c r="O690" s="4" t="str">
        <x:v>Source 1: access detail is retained in the source catalogue.</x:v>
      </x:c>
      <x:c r="P690" s="20" t="n">
        <x:v>1</x:v>
      </x:c>
      <x:c r="Q690" s="4" t="str">
        <x:v>Americas</x:v>
      </x:c>
      <x:c r="R690" s="4" t="str">
        <x:v>Included</x:v>
      </x:c>
    </x:row>
    <x:row r="691" ht="102" hidden="0" customHeight="1">
      <x:c r="A691" s="16" t="str">
        <x:v>C7-AM-002</x:v>
      </x:c>
      <x:c r="B691" s="4" t="str">
        <x:v>Peñas Blancas temporary denial of returning Nicaraguans, June 26–27 2020</x:v>
      </x:c>
      <x:c r="C691" s="4" t="str">
        <x:v>Nicaragua; Costa Rica</x:v>
      </x:c>
      <x:c r="D691" s="4" t="str">
        <x:v>Returning Nicaraguan group arriving from Panama via Costa Rica at Peñas Blancas</x:v>
      </x:c>
      <x:c r="E691" s="4" t="str">
        <x:v>Reported group of returning Nicaraguans
Direction: Costa Rica into Nicaragua</x:v>
      </x:c>
      <x:c r="F691" s="4" t="str">
        <x:v>C7-AM-002-P1 — Observed operation
Returning Nicaraguan group arriving from Panama via Costa Rica at Peñas Blancas
Start: 2020-06-26.
Observed scoped reopening: 2020-06-27.
dated evidence; numeric duration withheld; see qualification</x:v>
      </x:c>
      <x:c r="G691" s="4" t="str">
        <x:v>Uncoded / Unresolved rationale
Not assigned
Applies to: Not assigned
No additional motive inferred</x:v>
      </x:c>
      <x:c r="H691" s="4" t="str">
        <x:v>C7-AM-002-P1: Overnight event, reported in hours; retain it even though shorter than a day. Exact hour estimates and group counts differ. No border-wide closure, precise elapsed duration or health rationale is inferred.
clock precision: Exact hour estimates differ for the overnight returnee episode; a precise elapsed duration is not established.
group scope: The reports differ on the size of the returning Nicaraguan group.</x:v>
      </x:c>
      <x:c r="I691" s="4" t="str">
        <x:v>Retained baseline assessment. New sourced record; see phase qualifications</x:v>
      </x:c>
      <x:c r="J691" s="18" t="d">
        <x:v>2026-10-23T00:00:00.000Z</x:v>
      </x:c>
      <x:c r="K691" s="21" t="str">
        <x:f>IFERROR(HYPERLINK("https://www.laprensani.com/2020/06/27/nacionales/2690248-regimen-finalmente-permite-el-ingreso-de-los-nicaraguenses-mantenia-bloqueados-en-la-frontera-de-penas-blancas","laprensani.com"),"laprensani.com")</x:f>
        <x:v>laprensani.com</x:v>
      </x:c>
      <x:c r="L691" s="21" t="str">
        <x:f>IFERROR(HYPERLINK("https://www.teletica.com/internacional/nicaragua-finalmente-permite-ingreso-a-su-pais-de-nicaraguenses_260451","teletica.com"),"teletica.com")</x:f>
        <x:v>teletica.com</x:v>
      </x:c>
      <x:c r="M691" s="21"/>
      <x:c r="N691" s="4" t="str">
        <x:v>https://www.laprensani.com/2020/06/27/nacionales/2690248-regimen-finalmente-permite-el-ingreso-de-los-nicaraguenses-mantenia-bloqueados-en-la-frontera-de-penas-blancas
https://www.teletica.com/internacional/nicaragua-finalmente-permite-ingreso-a-su-pais-de-nicaraguenses_260451</x:v>
      </x:c>
      <x:c r="O691" s="4" t="str">
        <x:v>Source 1: access detail is retained in the source catalogue.
Source 2: access detail is retained in the source catalogue.</x:v>
      </x:c>
      <x:c r="P691" s="20" t="n">
        <x:v>1</x:v>
      </x:c>
      <x:c r="Q691" s="4" t="str">
        <x:v>Americas</x:v>
      </x:c>
      <x:c r="R691" s="4" t="str">
        <x:v>Included</x:v>
      </x:c>
    </x:row>
    <x:row r="692" ht="210" hidden="0" customHeight="1">
      <x:c r="A692" s="16" t="str">
        <x:v>C7-EH-001</x:v>
      </x:c>
      <x:c r="B692" s="4" t="str">
        <x:v>Eritrea suspends Sudanese entry at Laffa amid accommodation pressure, November2023</x:v>
      </x:c>
      <x:c r="C692" s="4" t="str">
        <x:v>Eritrea; Sudan</x:v>
      </x:c>
      <x:c r="D692" s="4" t="str">
        <x:v>Reported Eritrean suspension of Sudanese entry at Laffa</x:v>
      </x:c>
      <x:c r="E692" s="4" t="str">
        <x:v>Sudanese passengers; freight and othernationality coverage unknown
Direction: Sudan to Eritrea</x:v>
      </x:c>
      <x:c r="F692" s="4" t="str">
        <x:v>C7-EH-001-P1 — Observed operation
Reported Eritrean suspension of Sudanese entry at Laffa
Start: unknown.
Last confirmed: 2023-11-20. Reopening is not established.
dated evidence; numeric duration withheld; see qualification</x:v>
      </x:c>
      <x:c r="G692" s="4" t="str">
        <x:v>Uncoded / Known reason outside taxonomy
Not assigned
Applies to: Not assigned
Accommodation overcrowding reported; no unreviewed taxonomy assignment inferred.</x:v>
      </x:c>
      <x:c r="H692" s="4" t="str">
        <x:v>C7-EH-001-P1: Observation date only. Neither initial enforcement nor lifting recovered. Gallabat’s Sunday onset is not borrowed, and the two Dabanga language versions are not independent origins. No all-traffic or continuous-duration inference. R37 endpoint check: December 2023 trade-opening preparations are prospective, the September Sudan-side reopening order predates this episode, and later movements into Sudan run in the opposite direction. None establishes restored Sudanese admission to Eritrea.
onset: The Laffa suspension has an observation date but no recovered initial enforcement date.
endpoint: No lifting of the reported Laffa restriction on Sudanese entry into Eritrea is established. December 2023 customs preparations are future-facing; the September Sudanese order predates the restriction; IOM’s later inbound-Sudan flow summary does not establish the reverse admission regime.
scope: Freight and other-nationality coverage are unknown in the phase movement field; no all-traffic restriction is established.
continuity: The dated report does not establish an uninterrupted Laffa closure before or after that observation; the two language versions share one origin.</x:v>
      </x:c>
      <x:c r="I692" s="4" t="str">
        <x:v>Targeted source review (REC50-R37); accepted qualification; evidence limits retained.</x:v>
      </x:c>
      <x:c r="J692" s="18" t="d">
        <x:v>2026-10-25T00:00:00.000Z</x:v>
      </x:c>
      <x:c r="K692" s="21" t="str">
        <x:f>IFERROR(HYPERLINK("https://www.dabangasudan.org/ar/all-news/article/%D8%B3%D9%84%D8%B7%D8%A7%D8%AA-%D8%A7%D9%84%D9%82%D8%B6%D8%A7%D8%B1%D9%81-%D8%AA%D8%BA%D9%84%D9%82-%D9%85%D8%B9%D8%A8%D8%B1-%D8%A7%D9%84%D9%82%D9%84%D8%A7%D8%A8%D8%A7%D8%AA-%D8%A7%D9%84%D8%A8%D8%B1","dabangasudan.org"),"dabangasudan.org")</x:f>
        <x:v>dabangasudan.org</x:v>
      </x:c>
      <x:c r="L692" s="21" t="str">
        <x:f>IFERROR(HYPERLINK("https://www.dabangasudan.org/en/all-news/article/ten-killed-and-over-6000-displaced-in-south-darfur","Dabanga Radio TV Online"),"Dabanga Radio TV Online")</x:f>
        <x:v>Dabanga Radio TV Online</x:v>
      </x:c>
      <x:c r="M692" s="21" t="str">
        <x:f>IFERROR(HYPERLINK("https://sudanevents.com/index.php/2023/12/06/opening-sudan-eritrea-border-crossing/","Sudan Events"),"Sudan Events")</x:f>
        <x:v>Sudan Events</x:v>
      </x:c>
      <x:c r="N692" s="4" t="str">
        <x:v>https://www.dabangasudan.org/ar/all-news/article/%D8%B3%D9%84%D8%B7%D8%A7%D8%AA-%D8%A7%D9%84%D9%82%D8%B6%D8%A7%D8%B1%D9%81-%D8%AA%D8%BA%D9%84%D9%82-%D9%85%D8%B9%D8%A8%D8%B1-%D8%A7%D9%84%D9%82%D9%84%D8%A7%D8%A8%D8%A7%D8%AA-%D8%A7%D9%84%D8%A8%D8%B1
https://www.dabangasudan.org/en/all-news/article/ten-killed-and-over-6000-displaced-in-south-darfur
https://sudanevents.com/index.php/2023/12/06/opening-sudan-eritrea-border-crossing/
https://dtm.iom.int/reports/dtm-sudan-cross-border-monitoring-report-6
https://www.aa.com.tr/en/africa/sudans-army-to-reopen-border-crossings-with-eritrea/2981925</x:v>
      </x:c>
      <x:c r="O692" s="4" t="str">
        <x:v>Source 1: access detail is retained in the source catalogue.
Source 2: full text
Source 3: full text</x:v>
      </x:c>
      <x:c r="P692" s="20" t="n">
        <x:v>1</x:v>
      </x:c>
      <x:c r="Q692" s="4" t="str">
        <x:v>Horn and eastern Africa</x:v>
      </x:c>
      <x:c r="R692" s="4" t="str">
        <x:v>Included</x:v>
      </x:c>
    </x:row>
    <x:row r="693" ht="150" hidden="0" customHeight="1">
      <x:c r="A693" s="16" t="str">
        <x:v>C7-ME-001</x:v>
      </x:c>
      <x:c r="B693" s="4" t="str">
        <x:v>Kerem Shalom goods interruptions after fire damage, May 2018</x:v>
      </x:c>
      <x:c r="C693" s="4" t="str">
        <x:v>Israel; Palestine (Gaza)</x:v>
      </x:c>
      <x:c r="D693" s="4" t="str">
        <x:v>May fire-related interruption envelope for palletized goods at Kerem Shalom, excluding case-by-case humanitarian loads
May fire-related fuel-entry disruption envelope at Kerem Shalom</x:v>
      </x:c>
      <x:c r="E693" s="4" t="str">
        <x:v>palletized goods; selected humanitarian loads excepted; fuel entry; exact fuel/pipeline types not established
Direction: into Gaza</x:v>
      </x:c>
      <x:c r="F693" s="4" t="str">
        <x:v>C7-ME-001-P1 — Intermittent regime
May fire-related interruption envelope for palletized goods at Kerem Shalom, excluding case-by-case humanitarian loads
Start: 2018-05-11.
Observed scoped reopening: 2018-05-16.
Intermittent regime envelope; total closed days unknown
C7-ME-001-P2 — Intermittent regime
May fire-related fuel-entry disruption envelope at Kerem Shalom
Start: 2018-05-11.
Observed scoped reopening: 2018-05-17.
Intermittent regime envelope; total closed days unknown</x:v>
      </x:c>
      <x:c r="G693" s="4" t="str">
        <x:v>Uncoded / Known reason outside taxonomy
Not assigned
Applies to: Not assigned
Physical damage to crossing equipment during protests is documented. No existing military/security subtype is imposed merely because the location is Gaza.</x:v>
      </x:c>
      <x:c r="H693" s="4" t="str">
        <x:v>C7-ME-001-P1: Envelope covers the fire related interruptions, not a continuous five-day full closure. Seven humanitarian trucks entered May 13. No exact first halt time or closed-hour total.
C7-ME-001-P2: OCHA fuel-entry endpoint does not establish restoration of every pipeline, fuel type or cooking gas. No continuous all-fuel closure or closed-day total inferred.
spell boundaries: The May envelope does not establish each halt/resumption time or total closed hours; humanitarian passage interrupts an all-goods interpretation.
fuel scope / endpoint: The fuel-entry endpoint does not establish restoration of every pipeline, fuel type or cooking-gas movement.</x:v>
      </x:c>
      <x:c r="I693" s="4" t="str">
        <x:v>Retained baseline assessment. New sourced record; see phase qualifications</x:v>
      </x:c>
      <x:c r="J693" s="18" t="d">
        <x:v>2026-10-23T00:00:00.000Z</x:v>
      </x:c>
      <x:c r="K693" s="21" t="str">
        <x:f>IFERROR(HYPERLINK("https://www.ochaopt.org/content/concern-about-humanitarian-impact-prolonged-closure-kerem-shalom-crossing-goods-following","ochaopt.org"),"ochaopt.org")</x:f>
        <x:v>ochaopt.org</x:v>
      </x:c>
      <x:c r="L693" s="21" t="str">
        <x:f>IFERROR(HYPERLINK("https://www.ochaopt.org/content/protection-civilians-report-8-21-may-2018","ochaopt.org"),"ochaopt.org")</x:f>
        <x:v>ochaopt.org</x:v>
      </x:c>
      <x:c r="M693" s="21"/>
      <x:c r="N693" s="4" t="str">
        <x:v>https://www.ochaopt.org/content/concern-about-humanitarian-impact-prolonged-closure-kerem-shalom-crossing-goods-following
https://www.ochaopt.org/content/protection-civilians-report-8-21-may-2018</x:v>
      </x:c>
      <x:c r="O693" s="4" t="str">
        <x:v>Source 1: access detail is retained in the source catalogue.
Source 2: access detail is retained in the source catalogue.</x:v>
      </x:c>
      <x:c r="P693" s="20" t="n">
        <x:v>2</x:v>
      </x:c>
      <x:c r="Q693" s="4" t="str">
        <x:v>Middle East</x:v>
      </x:c>
      <x:c r="R693" s="4" t="str">
        <x:v>Included</x:v>
      </x:c>
    </x:row>
    <x:row r="694" ht="66" hidden="0" customHeight="1">
      <x:c r="A694" s="16" t="str">
        <x:v>C7-EU-001</x:v>
      </x:c>
      <x:c r="B694" s="4" t="str">
        <x:v>Turkish Cypriot-side suspension at three crossings before June2021 conditional reopening</x:v>
      </x:c>
      <x:c r="C694" s="4" t="str">
        <x:v>Cyprus</x:v>
      </x:c>
      <x:c r="D694" s="4" t="str">
        <x:v>Turkish Cypriot-side suspension at the three named crossings</x:v>
      </x:c>
      <x:c r="E694" s="4" t="str">
        <x:v>Ordinary crossing passengers
Direction: Specified authority-side crossing access</x:v>
      </x:c>
      <x:c r="F694" s="4" t="str">
        <x:v>C7-EU-001-P1 — Observed operation
Turkish Cypriot-side suspension at the three named crossings
Start: by 2021-01-01; earliest bound unknown.
Observed scoped reopening: 2021-06-04.
dated evidence; numeric duration withheld; see qualification</x:v>
      </x:c>
      <x:c r="G694" s="4" t="str">
        <x:v>Health and biosecurity / Human disease control
Attributed official justification
Applies to: New scoped episode; consult phase qualifications
All supported categories retained; no primary motive imposed.</x:v>
      </x:c>
      <x:c r="H694" s="4" t="str">
        <x:v>C7-EU-001-P1: Onset unknown; January1 is a latest-onset bound from the report period, not an exact start. Health documents remained required; do not bridge continuously from2020 phases.
onset: The three crossings were already suspended at the beginning of the reporting period, but their first suspension dates are unknown.</x:v>
      </x:c>
      <x:c r="I694" s="4" t="str">
        <x:v>Retained baseline assessment. New sourced record; see phase qualifications</x:v>
      </x:c>
      <x:c r="J694" s="18" t="d">
        <x:v>2026-10-23T00:00:00.000Z</x:v>
      </x:c>
      <x:c r="K694" s="21" t="str">
        <x:f>IFERROR(HYPERLINK("https://eur-lex.europa.eu/legal-content/EN/TXT/?uri=celex%3A52022DC0258","eur-lex.europa.eu"),"eur-lex.europa.eu")</x:f>
        <x:v>eur-lex.europa.eu</x:v>
      </x:c>
      <x:c r="L694" s="21"/>
      <x:c r="M694" s="21"/>
      <x:c r="N694" s="4" t="str">
        <x:v>https://eur-lex.europa.eu/legal-content/EN/TXT/?uri=celex%3A52022DC0258</x:v>
      </x:c>
      <x:c r="O694" s="4" t="str">
        <x:v>Source 1: access detail is retained in the source catalogue.</x:v>
      </x:c>
      <x:c r="P694" s="20" t="n">
        <x:v>1</x:v>
      </x:c>
      <x:c r="Q694" s="4" t="str">
        <x:v>Europe</x:v>
      </x:c>
      <x:c r="R694" s="4" t="str">
        <x:v>Included</x:v>
      </x:c>
    </x:row>
    <x:row r="695" ht="174" hidden="0" customHeight="1">
      <x:c r="A695" s="16" t="str">
        <x:v>C7-EU-002</x:v>
      </x:c>
      <x:c r="B695" s="4" t="str">
        <x:v>Latvia restricts nonmotorized entry at Pāternieki, Terehova and Grebņeva, March2025</x:v>
      </x:c>
      <x:c r="C695" s="4" t="str">
        <x:v>Latvia; Belarus; Russia</x:v>
      </x:c>
      <x:c r="D695" s="4" t="str">
        <x:v>Pedestrian and cycle entry at Pāternieki/Terehova/Grebņeva</x:v>
      </x:c>
      <x:c r="E695" s="4" t="str">
        <x:v>Pedestrians and cyclists
Direction: Entry to Latvia</x:v>
      </x:c>
      <x:c r="F695" s="4" t="str">
        <x:v>C7-EU-002-P1 — Formal policy
Pedestrian and cycle entry at Pāternieki/Terehova/Grebņeva
Start: 2025-03-19.
Last confirmed: 2025-03-21. Reopening is not established.
Formal policy: dated evidence; numeric duration withheld; see qualification</x:v>
      </x:c>
      <x:c r="G695" s="4" t="str">
        <x:v>Security / Espionage and hostile interference
Attributed official justification
Applies to: New scoped episode; consult phase qualifications
All supported categories retained; no primary motive imposed.
Migration / Entry and asylum control
Attributed official justification
Applies to: New scoped episode; consult phase qualifications
All supported categories retained; no primary motive imposed.</x:v>
      </x:c>
      <x:c r="H695" s="4" t="str">
        <x:v>C7-EU-002-P1: Formal entry restriction; the legal text is entry-specific although notices describe crossing more broadly. Motorized passage continues; no endpoint established. Brief March16 Pāternieki episode not added without its own endpoints. R22 additionally recovered the full operative order and the Interior Ministry explanation reported by LSM. The ministry stated that asylum-examination duties remained, while an NGO questioned practical access; the latter is not independently established here. This is the existing C7-EU-002 episode, not an additional closure.
endpoint: No final lifting of the nonmotorized-entry restriction is established.
Missing Dimensions row: The source baseline has a Register entry and chronology phase but no Dimensions row for C7-EU-002. This is not silently repaired by the targeted direction question.</x:v>
      </x:c>
      <x:c r="I695" s="4" t="str">
        <x:v>Targeted source review (REC50-R22); accepted corrections; evidence limits retained.</x:v>
      </x:c>
      <x:c r="J695" s="18" t="d">
        <x:v>2026-10-25T00:00:00.000Z</x:v>
      </x:c>
      <x:c r="K695" s="21" t="str">
        <x:f>IFERROR(HYPERLINK("https://www.vestnesis.lv/op/2025/55B.1","Latvijas Vēstnesis / Cabinet of Ministers"),"Latvijas Vēstnesis / Cabinet of Ministers")</x:f>
        <x:v>Latvijas Vēstnesis / Cabinet of Ministers</x:v>
      </x:c>
      <x:c r="L695" s="21" t="str">
        <x:f>IFERROR(HYPERLINK("https://www.iem.gov.lv/en/article/19-march-traffic-border-crossing-points-paternieki-terehova-and-grebneva-will-be-restricted","Latvian Ministry of the Interior"),"Latvian Ministry of the Interior")</x:f>
        <x:v>Latvian Ministry of the Interior</x:v>
      </x:c>
      <x:c r="M695" s="21" t="str">
        <x:f>IFERROR(HYPERLINK("https://www.lsm.lv/raksts/zinas/latvija/18.03.2025-no-tresdienas-krievijas-un-baltkrievijas-robezu-laus-skersot-tikai-ar-automasinam.a591964/","LSM.lv"),"LSM.lv")</x:f>
        <x:v>LSM.lv</x:v>
      </x:c>
      <x:c r="N695" s="4" t="str">
        <x:v>https://www.vestnesis.lv/op/2025/55B.1
https://www.iem.gov.lv/en/article/19-march-traffic-border-crossing-points-paternieki-terehova-and-grebneva-will-be-restricted
https://www.lsm.lv/raksts/zinas/latvija/18.03.2025-no-tresdienas-krievijas-un-baltkrievijas-robezu-laus-skersot-tikai-ar-automasinam.a591964/
https://likumi.lv/ta/id/359394-par-prasibas-noteiksanu-iecelosanai-tikai-ar-mehaniskajiem-transportlidzekliem-robezskersosanas-vietas-paternieki-terehova-un-grebneva
https://www.vid.gov.lv/lv/muitas-kontroles-un-robezkontroles-punkti
https://dip.euaa.europa.eu/developments/latvia/state-border-guard-partially-closed-three-border-control-posts
https://www.rs.gov.lv/lv/jaunums/no-19-marta-ierobezos-kustibu-robezkontroles-punktos-paternieki-terehova-un-grebneva
https://m.likumi.lv/ta/id/359394-par-prasibas-noteiksanu-iecelosanai-tikai-ar-mehaniskajiem-transportlidzekliem-robezskersosanas-vietas-paternieki-terehova-un-grebneva</x:v>
      </x:c>
      <x:c r="O695" s="4" t="str">
        <x:v>Source 1: full text
Source 2: partial metadata
Source 3: full text</x:v>
      </x:c>
      <x:c r="P695" s="20" t="n">
        <x:v>1</x:v>
      </x:c>
      <x:c r="Q695" s="4" t="str">
        <x:v>Europe</x:v>
      </x:c>
      <x:c r="R695" s="4" t="str">
        <x:v>Included</x:v>
      </x:c>
    </x:row>
    <x:row r="696" ht="138" hidden="0" customHeight="1">
      <x:c r="A696" s="16" t="str">
        <x:v>C7-EU-003</x:v>
      </x:c>
      <x:c r="B696" s="4" t="str">
        <x:v>Urziceni road crossing protest blockade, January17 2024</x:v>
      </x:c>
      <x:c r="C696" s="4" t="str">
        <x:v>Romania</x:v>
      </x:c>
      <x:c r="D696" s="4" t="str">
        <x:v>Urziceni road crossing/approach blockage in both directions
Country-filter context: Romania is supported by the retained Romanian Infotrafic/Satu Mare evidence. The counterpart remains unresolved in this release; a source's Ukrainian-frontier identification was rejected. No counterpart country or point location is inferred from the crossing name.</x:v>
      </x:c>
      <x:c r="E696" s="4" t="str">
        <x:v>Road vehicles
Direction: Both directions</x:v>
      </x:c>
      <x:c r="F696" s="4" t="str">
        <x:v>C7-EU-003-P1 — Observed operation
Urziceni road crossing/approach blockage in both directions
Start: 2024-01-17.
Observed scoped reopening: 2024-01-17.
Same-day episode; no whole-day duration inferred</x:v>
      </x:c>
      <x:c r="G696" s="4" t="str">
        <x:v>Uncoded / Unresolved rationale
Not assigned
Applies to: Not assigned
No additional motive inferred</x:v>
      </x:c>
      <x:c r="H696" s="4" t="str">
        <x:v>C7-EU-003-P1: Subday episode, not whole-day closure. Exact clock times and specific demands remain unestablished; no extension to other protest crossings.
rationale: The specific demands behind the Urziceni obstruction remain unknown.
clock precision: The phase retains an around-midday blockage and release after several hours; exact elapsed duration is not established.
Country-filter context: Romania is supported by the retained Romanian Infotrafic/Satu Mare evidence. The counterpart remains unresolved in this release; a source's Ukrainian-frontier identification was rejected. No counterpart country or point location is inferred from the crossing name.</x:v>
      </x:c>
      <x:c r="I696" s="4" t="str">
        <x:v>Retained baseline assessment. New sourced record; see phase qualifications</x:v>
      </x:c>
      <x:c r="J696" s="18" t="d">
        <x:v>2026-10-23T00:00:00.000Z</x:v>
      </x:c>
      <x:c r="K696" s="21" t="str">
        <x:f>IFERROR(HYPERLINK("https://www.satumareonline.ro/cp/7/33925/Vama-Urziceni-a-fost-blocata-complet-de-protestul-fermierilor-si-transportatorilor","satumareonline.ro"),"satumareonline.ro")</x:f>
        <x:v>satumareonline.ro</x:v>
      </x:c>
      <x:c r="L696" s="21" t="str">
        <x:f>IFERROR(HYPERLINK("https://www.digi24.ro/stiri/actualitate/protestele-transportatorilor-si-fermierilor-continua-la-afumati-si-vama-siret-in-zona-se-circula-dificil-2652691","digi24.ro"),"digi24.ro")</x:f>
        <x:v>digi24.ro</x:v>
      </x:c>
      <x:c r="M696" s="21"/>
      <x:c r="N696" s="4" t="str">
        <x:v>https://www.satumareonline.ro/cp/7/33925/Vama-Urziceni-a-fost-blocata-complet-de-protestul-fermierilor-si-transportatorilor
https://www.digi24.ro/stiri/actualitate/protestele-transportatorilor-si-fermierilor-continua-la-afumati-si-vama-siret-in-zona-se-circula-dificil-2652691</x:v>
      </x:c>
      <x:c r="O696" s="4" t="str">
        <x:v>Source 1: access detail is retained in the source catalogue.
Source 2: access detail is retained in the source catalogue.</x:v>
      </x:c>
      <x:c r="P696" s="20" t="n">
        <x:v>1</x:v>
      </x:c>
      <x:c r="Q696" s="4" t="str">
        <x:v>Europe</x:v>
      </x:c>
      <x:c r="R696" s="4" t="str">
        <x:v>Included</x:v>
      </x:c>
    </x:row>
    <x:row r="697" ht="66" hidden="0" customHeight="1">
      <x:c r="A697" s="16" t="str">
        <x:v>C7-EU-004</x:v>
      </x:c>
      <x:c r="B697" s="4" t="str">
        <x:v>Biriatou heavy-truck blockade, December22 2018</x:v>
      </x:c>
      <x:c r="C697" s="4" t="str">
        <x:v>France; Spain</x:v>
      </x:c>
      <x:c r="D697" s="4" t="str">
        <x:v>Heavy-truck obstruction at Biriatou on the A63 France–Spain approach</x:v>
      </x:c>
      <x:c r="E697" s="4" t="str">
        <x:v>Heavy trucks
Direction: Not separately established</x:v>
      </x:c>
      <x:c r="F697" s="4" t="str">
        <x:v>C7-EU-004-P1 — Observed operation
Heavy-truck obstruction at Biriatou on the A63 France–Spain approach
Start: 2018-12-22.
Observed scoped reopening: 2018-12-22.
Same-day episode; no whole-day duration inferred</x:v>
      </x:c>
      <x:c r="G697" s="4" t="str">
        <x:v>Uncoded / Unresolved rationale
Not assigned
Applies to: Not assigned
No additional motive inferred</x:v>
      </x:c>
      <x:c r="H697" s="4" t="str">
        <x:v>C7-EU-004-P1: December22-only subday event. No whole-day duration, confirmed direction or event-specific political demand inferred. Earlier Le Boulou recurrence remains separate and undated.</x:v>
      </x:c>
      <x:c r="I697" s="4" t="str">
        <x:v>Retained baseline assessment. New sourced record; see phase qualifications</x:v>
      </x:c>
      <x:c r="J697" s="18" t="d">
        <x:v>2026-10-23T00:00:00.000Z</x:v>
      </x:c>
      <x:c r="K697" s="21" t="str">
        <x:f>IFERROR(HYPERLINK("https://www.letemps.ch/monde/gilets-jaunes-lacte-vi-mobilise-un-dixieme-deces-perpignan","letemps.ch"),"letemps.ch")</x:f>
        <x:v>letemps.ch</x:v>
      </x:c>
      <x:c r="L697" s="21" t="str">
        <x:f>IFERROR(HYPERLINK("https://www.leparisien.fr/economie/direct-acte-6-des-gilets-jaunes-plusieurs-centaines-de-manifestants-a-paris-22-12-2018-7975002.php","leparisien.fr"),"leparisien.fr")</x:f>
        <x:v>leparisien.fr</x:v>
      </x:c>
      <x:c r="M697" s="21"/>
      <x:c r="N697" s="4" t="str">
        <x:v>https://www.letemps.ch/monde/gilets-jaunes-lacte-vi-mobilise-un-dixieme-deces-perpignan
https://www.leparisien.fr/economie/direct-acte-6-des-gilets-jaunes-plusieurs-centaines-de-manifestants-a-paris-22-12-2018-7975002.php</x:v>
      </x:c>
      <x:c r="O697" s="4" t="str">
        <x:v>Source 1: access detail is retained in the source catalogue.
Source 2: access detail is retained in the source catalogue.</x:v>
      </x:c>
      <x:c r="P697" s="20" t="n">
        <x:v>1</x:v>
      </x:c>
      <x:c r="Q697" s="4" t="str">
        <x:v>Europe</x:v>
      </x:c>
      <x:c r="R697" s="4" t="str">
        <x:v>Included</x:v>
      </x:c>
    </x:row>
    <x:row r="698" ht="150" hidden="0" customHeight="1">
      <x:c r="A698" s="16" t="str">
        <x:v>C7-SC-001</x:v>
      </x:c>
      <x:c r="B698" s="4" t="str">
        <x:v>Iran tourist-visa entry restriction at Islam Qala and Zaranj, December2021</x:v>
      </x:c>
      <x:c r="C698" s="4" t="str">
        <x:v>Afghanistan; Iran</x:v>
      </x:c>
      <x:c r="D698" s="4" t="str">
        <x:v>Tourist-visa entry into Iran via Islam Qala
Tourist-visa entry into Iran via Zaranj</x:v>
      </x:c>
      <x:c r="E698" s="4" t="str">
        <x:v>Tourist-visa holders
Direction: Afghanistan to Iran</x:v>
      </x:c>
      <x:c r="F698" s="4" t="str">
        <x:v>C7-SC-001-P1 — Observed operation
Tourist-visa entry into Iran via Islam Qala
Start: 2021-12-24 to 2021-12-25.
Scoped endpoint: 2022-01-10.
dated evidence; numeric duration withheld; see qualification
C7-SC-001-P2 — Observed operation
Tourist-visa entry into Iran via Zaranj
Start: 2021-12-25.
Scoped endpoint: 2022-01-10.
dated evidence; numeric duration withheld; see qualification</x:v>
      </x:c>
      <x:c r="G698" s="4" t="str">
        <x:v>Health and biosecurity / Human disease control
Reported reason
Applies to: Separately scoped new phase; see chronology qualifications
Broad categories follow the stated rationale and documented context.</x:v>
      </x:c>
      <x:c r="H698" s="4" t="str">
        <x:v>C7-SC-001-P1: Business-visa holders reportedly crossed. UNHCR supplies a terminal date, not first actual reopened passage or inclusive/exclusive timing. Announced15-day duration is not substituted for observed lifting; numeric duration withheld.
C7-SC-001-P2: Single retrospective monitoring source for this gate. Terminal-date meaning and first resumed passage are not supplied; no all-passenger or freight closure inferred.
endpoint semantics: January 10 is a retrospective closure boundary with unspecified inclusivity, not an observed first tourist admission at either post.
onset precision: The Islam Qala account reports a refusal one day earlier than the retrospective interval; the phase retains bounded onset dates.</x:v>
      </x:c>
      <x:c r="I698" s="4" t="str">
        <x:v>Full-record source audit (REC50-R35); accepted corrections; evidence limits retained.</x:v>
      </x:c>
      <x:c r="J698" s="18" t="d">
        <x:v>2026-10-25T00:00:00.000Z</x:v>
      </x:c>
      <x:c r="K698" s="21" t="str">
        <x:f>IFERROR(HYPERLINK("https://pajhwok.com/2021/12/25/iranian-consulate-suspends-tourist-visa-service-for-15-days/","Pajhwok Afghan News"),"Pajhwok Afghan News")</x:f>
        <x:v>Pajhwok Afghan News</x:v>
      </x:c>
      <x:c r="L698" s="21" t="str">
        <x:f>IFERROR(HYPERLINK("https://www.tolonews.com/node/176062","TOLOnews"),"TOLOnews")</x:f>
        <x:v>TOLOnews</x:v>
      </x:c>
      <x:c r="M698" s="21" t="str">
        <x:f>IFERROR(HYPERLINK("https://data.unhcr.org/en/documents/download/100027","UNHCR Afghanistan"),"UNHCR Afghanistan")</x:f>
        <x:v>UNHCR Afghanistan</x:v>
      </x:c>
      <x:c r="N698" s="4" t="str">
        <x:v>https://pajhwok.com/2021/12/25/iranian-consulate-suspends-tourist-visa-service-for-15-days/
https://www.tolonews.com/node/176062
https://data.unhcr.org/en/documents/download/100027</x:v>
      </x:c>
      <x:c r="O698" s="4" t="str">
        <x:v>Source 1: full text
Source 2: full text
Source 3: full text</x:v>
      </x:c>
      <x:c r="P698" s="20" t="n">
        <x:v>2</x:v>
      </x:c>
      <x:c r="Q698" s="4" t="str">
        <x:v>Central Asia and Caucasus</x:v>
      </x:c>
      <x:c r="R698" s="4" t="str">
        <x:v>Included</x:v>
      </x:c>
    </x:row>
    <x:row r="699" ht="126" hidden="0" customHeight="1">
      <x:c r="A699" s="16" t="str">
        <x:v>C7-SC-002</x:v>
      </x:c>
      <x:c r="B699" s="4" t="str">
        <x:v>Abresham passenger restriction and July2022 restoration</x:v>
      </x:c>
      <x:c r="C699" s="4" t="str">
        <x:v>Afghanistan; Iran</x:v>
      </x:c>
      <x:c r="D699" s="4" t="str">
        <x:v>Abresham passenger restriction ending with reported July18 restoration</x:v>
      </x:c>
      <x:c r="E699" s="4" t="str">
        <x:v>Legal passenger travel
Direction: Afghanistan to Iran as described</x:v>
      </x:c>
      <x:c r="F699" s="4" t="str">
        <x:v>C7-SC-002-P1 — Observed operation
Abresham passenger restriction ending with reported July18 restoration
Start: unknown.
Observed scoped reopening: 2022-07-18.
dated evidence; numeric duration withheld; see qualification</x:v>
      </x:c>
      <x:c r="G699" s="4" t="str">
        <x:v>Security / Armed conflict and military confrontation
Reported reason
Applies to: Separately scoped new phase; see chronology qualifications
Broad categories follow the stated rationale and documented context.</x:v>
      </x:c>
      <x:c r="H699" s="4" t="str">
        <x:v>C7-SC-002-P1: Exact onset unknown; an approximate two-week description is not converted to a date. Reported restoration is not independently witnessed passage; freight and reverse-direction scope not established.
onset: Exact onset of the Abresham passenger restriction is missing; roughly two weeks cannot be converted into a start date.
continuity: Uninterrupted passenger restriction before the reported restoration is not established.
source verification: Counterpart corroboration of the reported Abresham passenger restoration is missing.</x:v>
      </x:c>
      <x:c r="I699" s="4" t="str">
        <x:v>Retained baseline assessment. New sourced record; see phase qualifications</x:v>
      </x:c>
      <x:c r="J699" s="18" t="d">
        <x:v>2026-10-23T00:00:00.000Z</x:v>
      </x:c>
      <x:c r="K699" s="21" t="str">
        <x:f>IFERROR(HYPERLINK("https://www.khaama.com/abresham-crossing-between-afghanistan-amp-iran-reopens-after-nearly-two-weeks-57459/","khaama.com"),"khaama.com")</x:f>
        <x:v>khaama.com</x:v>
      </x:c>
      <x:c r="L699" s="21"/>
      <x:c r="M699" s="21"/>
      <x:c r="N699" s="4" t="str">
        <x:v>https://www.khaama.com/abresham-crossing-between-afghanistan-amp-iran-reopens-after-nearly-two-weeks-57459/</x:v>
      </x:c>
      <x:c r="O699" s="4" t="str">
        <x:v>Source 1: access detail is retained in the source catalogue.</x:v>
      </x:c>
      <x:c r="P699" s="20" t="n">
        <x:v>1</x:v>
      </x:c>
      <x:c r="Q699" s="4" t="str">
        <x:v>Central Asia and Caucasus</x:v>
      </x:c>
      <x:c r="R699" s="4" t="str">
        <x:v>Included</x:v>
      </x:c>
    </x:row>
    <x:row r="700" ht="102" hidden="0" customHeight="1">
      <x:c r="A700" s="16" t="str">
        <x:v>C7-SC-003</x:v>
      </x:c>
      <x:c r="B700" s="4" t="str">
        <x:v>South Ossetian school-celebration civilian crossing order, May2019</x:v>
      </x:c>
      <x:c r="C700" s="4" t="str">
        <x:v>Georgia; South Ossetia (de facto territory)</x:v>
      </x:c>
      <x:c r="D700" s="4" t="str">
        <x:v>Civilian crossing order at South Ossetian ABL for school celebrations</x:v>
      </x:c>
      <x:c r="E700" s="4" t="str">
        <x:v>Civilian passage
Direction: Not directionally disaggregated</x:v>
      </x:c>
      <x:c r="F700" s="4" t="str">
        <x:v>C7-SC-003-P1 — Announced window
Civilian crossing order at South Ossetian ABL for school celebrations
Start: 2019-05-24.
Scheduled endpoint: 2019-05-26.
Ordered window: dated evidence; numeric duration withheld; see qualification</x:v>
      </x:c>
      <x:c r="G700" s="4" t="str">
        <x:v>Security / Public order and immediate safety
Reported reason
Applies to: Separately scoped new phase; see chronology qualifications
Broad categories follow the stated rationale and documented context.</x:v>
      </x:c>
      <x:c r="H700" s="4" t="str">
        <x:v>C7-SC-003-P1: Order only; completed enforcement and actual lifting not observed. Geography is South Ossetia/Georgian-administered territory, not Nepal. Calendar-date subtraction would misstate this34-hour announced window.
implementation: The announced school-celebration window does not establish actual implementation at every post.
operational endpoint: Completed reopening after the announced window is unobserved.</x:v>
      </x:c>
      <x:c r="I700" s="4" t="str">
        <x:v>Retained baseline assessment. New sourced record; see phase qualifications</x:v>
      </x:c>
      <x:c r="J700" s="18" t="d">
        <x:v>2026-10-23T00:00:00.000Z</x:v>
      </x:c>
      <x:c r="K700" s="21" t="str">
        <x:f>IFERROR(HYPERLINK("https://www.eng.kavkaz-uzel.eu/articles/47275/","eng.kavkaz-uzel.eu"),"eng.kavkaz-uzel.eu")</x:f>
        <x:v>eng.kavkaz-uzel.eu</x:v>
      </x:c>
      <x:c r="L700" s="21"/>
      <x:c r="M700" s="21"/>
      <x:c r="N700" s="4" t="str">
        <x:v>https://www.eng.kavkaz-uzel.eu/articles/47275/</x:v>
      </x:c>
      <x:c r="O700" s="4" t="str">
        <x:v>Source 1: access detail is retained in the source catalogue.</x:v>
      </x:c>
      <x:c r="P700" s="20" t="n">
        <x:v>1</x:v>
      </x:c>
      <x:c r="Q700" s="4" t="str">
        <x:v>Central Asia and Caucasus</x:v>
      </x:c>
      <x:c r="R700" s="4" t="str">
        <x:v>Included</x:v>
      </x:c>
    </x:row>
    <x:row r="701" ht="126" hidden="0" customHeight="1">
      <x:c r="A701" s="16" t="str">
        <x:v>C7-SC-004</x:v>
      </x:c>
      <x:c r="B701" s="4" t="str">
        <x:v>Darchula frontier election restriction order, October2019</x:v>
      </x:c>
      <x:c r="C701" s="4" t="str">
        <x:v>Nepal; India</x:v>
      </x:c>
      <x:c r="D701" s="4" t="str">
        <x:v>Darchula/Dharchula frontier order for later October2019 local polling</x:v>
      </x:c>
      <x:c r="E701" s="4" t="str">
        <x:v>Cross-border civilian passage
Direction: Both directions as ordered</x:v>
      </x:c>
      <x:c r="F701" s="4" t="str">
        <x:v>C7-SC-004-P1 — Announced window
Darchula/Dharchula frontier order for later October2019 local polling
Start: 2019-10-14.
Scheduled endpoint: 2019-10-16 to 2019-10-17.
Contested: Ordered window: dated evidence; numeric duration withheld; see qualification
Held evidence: excluded from numeric duration and animation displays.</x:v>
      </x:c>
      <x:c r="G701" s="4" t="str">
        <x:v>Security / Public order and immediate safety
Reported reason
Applies to: Separately scoped new phase; see chronology qualifications
Broad categories follow the stated rationale and documented context.
Electoral politics / Election administration and security
Reported reason
Applies to: Separately scoped new phase; see chronology qualifications
Broad categories follow the stated rationale and documented context.</x:v>
      </x:c>
      <x:c r="H701" s="4" t="str">
        <x:v>C7-SC-004-P1: Different polling areas from the earlier Jhulaghat episode. Planned endpoints conflict, actual lifting unobserved, emergency discretion possible. No exact duration asserted.
scheduled endpoint: The two reports give conflicting planned endpoints for the Darchula-Dharchula sector order.
implementation / operational endpoint: Continuous implementation and completed restoration were not retrieved.
crossing scope: The reports do not establish which individual bridges were covered.</x:v>
      </x:c>
      <x:c r="I701" s="4" t="str">
        <x:v>Targeted source review (REC50-R09); completed with unresolved evidence; evidence limits retained.</x:v>
      </x:c>
      <x:c r="J701" s="18" t="d">
        <x:v>2026-10-25T00:00:00.000Z</x:v>
      </x:c>
      <x:c r="K701" s="21" t="str">
        <x:f>IFERROR(HYPERLINK("https://www.sharesansar.com/newsdetail/nepal-india-border-in-baitadi-darchula-to-be-sealed-off-for-three-days","ShareSansar / RSS"),"ShareSansar / RSS")</x:f>
        <x:v>ShareSansar / RSS</x:v>
      </x:c>
      <x:c r="L701" s="21" t="str">
        <x:f>IFERROR(HYPERLINK("https://timesofindia.indiatimes.com/city/dehradun/indo-nepal-border-to-be-closed-for-panchayat-polls/amp_articleshow/71399045.cms","The Times of India"),"The Times of India")</x:f>
        <x:v>The Times of India</x:v>
      </x:c>
      <x:c r="M701" s="21"/>
      <x:c r="N701" s="4" t="str">
        <x:v>https://www.sharesansar.com/newsdetail/nepal-india-border-in-baitadi-darchula-to-be-sealed-off-for-three-days
https://timesofindia.indiatimes.com/city/dehradun/indo-nepal-border-to-be-closed-for-panchayat-polls/amp_articleshow/71399045.cms</x:v>
      </x:c>
      <x:c r="O701" s="4" t="str">
        <x:v>Source 1: full text
Source 2: full text</x:v>
      </x:c>
      <x:c r="P701" s="20" t="n">
        <x:v>1</x:v>
      </x:c>
      <x:c r="Q701" s="4" t="str">
        <x:v>South Asia</x:v>
      </x:c>
      <x:c r="R701" s="4" t="str">
        <x:v>Included</x:v>
      </x:c>
    </x:row>
    <x:row r="702" ht="114" hidden="0" customHeight="1">
      <x:c r="A702" s="16" t="str">
        <x:v>C7-SC-005</x:v>
      </x:c>
      <x:c r="B702" s="4" t="str">
        <x:v>Torkham brief interruption of Afghan repatriation, October2026</x:v>
      </x:c>
      <x:c r="C702" s="4" t="str">
        <x:v>Pakistan; Afghanistan</x:v>
      </x:c>
      <x:c r="D702" s="4" t="str">
        <x:v>Torkham interruption of Afghan repatriation</x:v>
      </x:c>
      <x:c r="E702" s="4" t="str">
        <x:v>Returning Afghan families and their belongings
Direction: Pakistan to Afghanistan</x:v>
      </x:c>
      <x:c r="F702" s="4" t="str">
        <x:v>C7-SC-005-P1 — Observed operation
Torkham interruption of Afghan repatriation
Start: 2026-10-19.
Observed scoped reopening: 2026-10-19.
dated evidence; numeric duration withheld; see qualification</x:v>
      </x:c>
      <x:c r="G702" s="4" t="str">
        <x:v>Security / Public order and immediate safety
Reported reason
Applies to: Separately scoped new phase; see chronology qualifications
Broad categories follow the stated rationale and documented context.
Interstate disputes and pressure / Territorial and frontier disputes
Reported reason
Applies to: Separately scoped new phase; see chronology qualifications
Broad categories follow the stated rationale and documented context.</x:v>
      </x:c>
      <x:c r="H702" s="4" t="str">
        <x:v>C7-SC-005-P1: Clock times unknown. This returnee-only interruption is distinct from regular commercial restrictions; source-reported duration is not date subtraction.
clock precision: The repatriation interruption is reported as approximately two hours, with exact clock times unavailable.</x:v>
      </x:c>
      <x:c r="I702" s="4" t="str">
        <x:v>Retained baseline assessment. New sourced record; see phase qualifications</x:v>
      </x:c>
      <x:c r="J702" s="18" t="d">
        <x:v>2026-10-23T00:00:00.000Z</x:v>
      </x:c>
      <x:c r="K702" s="21" t="str">
        <x:f>IFERROR(HYPERLINK("https://tnnenglish.com/security-concerns-afghan-families-turned-back-at-torkham-border","tnnenglish.com"),"tnnenglish.com")</x:f>
        <x:v>tnnenglish.com</x:v>
      </x:c>
      <x:c r="L702" s="21" t="str">
        <x:f>IFERROR(HYPERLINK("https://www.dawn.com/news/2038427/dispute-over-zangali-checkpost-disrupts-torkham-operations","dawn.com"),"dawn.com")</x:f>
        <x:v>dawn.com</x:v>
      </x:c>
      <x:c r="M702" s="21"/>
      <x:c r="N702" s="4" t="str">
        <x:v>https://tnnenglish.com/security-concerns-afghan-families-turned-back-at-torkham-border
https://www.dawn.com/news/2038427/dispute-over-zangali-checkpost-disrupts-torkham-operations</x:v>
      </x:c>
      <x:c r="O702" s="4" t="str">
        <x:v>Source 1: access detail is retained in the source catalogue.
Source 2: access detail is retained in the source catalogue.</x:v>
      </x:c>
      <x:c r="P702" s="20" t="n">
        <x:v>1</x:v>
      </x:c>
      <x:c r="Q702" s="4" t="str">
        <x:v>South Asia</x:v>
      </x:c>
      <x:c r="R702" s="4" t="str">
        <x:v>Included</x:v>
      </x:c>
    </x:row>
    <x:row r="703" ht="102" hidden="0" customHeight="1">
      <x:c r="A703" s="16" t="str">
        <x:v>REC50-R01-001</x:v>
      </x:c>
      <x:c r="B703" s="4" t="str">
        <x:v>Loyada formal asylum-access restriction reported in October 2017</x:v>
      </x:c>
      <x:c r="C703" s="4" t="str">
        <x:v>Djibouti; Somalia</x:v>
      </x:c>
      <x:c r="D703" s="4" t="str">
        <x:v>Loyada
Formal asylum admission/reception at Loyada; informal routes excluded</x:v>
      </x:c>
      <x:c r="E703" s="4" t="str">
        <x:v>Asylum-seekers arriving from Somalia
Direction: Somalia into Djibouti
Exceptions: Some asylum-seekers entered through informal routes; no general goods or passenger closure established</x:v>
      </x:c>
      <x:c r="F703" s="4" t="str">
        <x:v>REC50-R01-001-P1 — Formal policy
Formal admission route at Loyada for asylum-seekers arriving from Somalia
Start: 2014-05-01 to 2014-05-31.
Last confirmed: unknown. Reopening is not established.
Formal policy: dated evidence; numeric duration withheld; see qualification</x:v>
      </x:c>
      <x:c r="G703" s="4" t="str">
        <x:v>Security / Armed attacks and terrorism
Source-attributed reason; see qualification
Applies to: Scope and phases stated below; no primary rationale or universal overlap inferred
UNHCR attributes the historical restriction to the May 2014 Al-Shabaab attack; asylum is the affected movement, not an inferred policy motive.</x:v>
      </x:c>
      <x:c r="H703" s="4" t="str">
        <x:v>REC50-R01-001-P1: October 2017 is a month-level observation, retained in text because the current workbook lacks observation-earliest/latest fields. Last-confirmed and endpoint cells remain null; no invented October day. Do not interpret absence of a dated in-window map phase as absence of the restriction. No all-travel or freight closure established; informal entry continued.
See current chronology and review qualification: Exact closure onset, in-window day, interruptions and reopening remain unestablished. Dedicated observation-bounds support would be needed for faithful month-level playback.</x:v>
      </x:c>
      <x:c r="I703" s="4" t="str">
        <x:v>Full-record source audit (REC50-R15); retained with recorded qualifications; evidence limits retained.</x:v>
      </x:c>
      <x:c r="J703" s="18" t="d">
        <x:v>2026-10-25T00:00:00.000Z</x:v>
      </x:c>
      <x:c r="K703" s="21" t="str">
        <x:f>IFERROR(HYPERLINK("https://www.refworld.org/sites/default/files/legacy-pdf/en/2018-5/5b082d2e4.pdf","UNHCR"),"UNHCR")</x:f>
        <x:v>UNHCR</x:v>
      </x:c>
      <x:c r="L703" s="21" t="str">
        <x:f>IFERROR(HYPERLINK("https://reporting.unhcr.org/djibouti-refugees-6","UNHCR Global Focus"),"UNHCR Global Focus")</x:f>
        <x:v>UNHCR Global Focus</x:v>
      </x:c>
      <x:c r="M703" s="21" t="str">
        <x:f>IFERROR(HYPERLINK("https://www.openstreetmap.org/node/8405526244","OpenStreetMap contributors"),"OpenStreetMap contributors")</x:f>
        <x:v>OpenStreetMap contributors</x:v>
      </x:c>
      <x:c r="N703" s="4" t="str">
        <x:v>https://www.refworld.org/sites/default/files/legacy-pdf/en/2018-5/5b082d2e4.pdf
https://reporting.unhcr.org/djibouti-refugees-6
https://www.openstreetmap.org/node/8405526244
https://www.openstreetmap.org/way/778712166</x:v>
      </x:c>
      <x:c r="O703" s="4" t="str">
        <x:v>Source 1: full text
Source 2: indexed extract
Source 3: full text</x:v>
      </x:c>
      <x:c r="P703" s="20" t="n">
        <x:v>1</x:v>
      </x:c>
      <x:c r="Q703" s="4" t="str">
        <x:v>Horn of Africa</x:v>
      </x:c>
      <x:c r="R703" s="4" t="str">
        <x:v>Included</x:v>
      </x:c>
    </x:row>
    <x:row r="704" ht="90" hidden="0" customHeight="1">
      <x:c r="A704" s="16" t="str">
        <x:v>REC50-R01-002</x:v>
      </x:c>
      <x:c r="B704" s="4" t="str">
        <x:v>Moyale non-exempt passenger restriction in March 2020</x:v>
      </x:c>
      <x:c r="C704" s="4" t="str">
        <x:v>Kenya; Ethiopia</x:v>
      </x:c>
      <x:c r="D704" s="4" t="str">
        <x:v>Moyale; adjacent informal routes unlocated
Moyale crossing and adjacent informal entry routes; wider county border mentioned without verified full geometry</x:v>
      </x:c>
      <x:c r="E704" s="4" t="str">
        <x:v>Non-exempt passengers; unauthorised persons in cargo vehicles
Direction: Both directions as reported
Exceptions: Import/export goods, driver and turnboy excepted; cargo health screening applied</x:v>
      </x:c>
      <x:c r="F704" s="4" t="str">
        <x:v>REC50-R01-002-P1 — Observed operation
Non-exempt passenger crossing at Moyale and nearby unauthorised routes; goods and limited cargo crew exempt
Start: 2020-03-24 to 2020-03-29.
Last confirmed: 2020-03-29. Reopening is not established.
confirmed through 2020-03-29; at least 0 calendar-day difference; reopening unknown</x:v>
      </x:c>
      <x:c r="G704" s="4" t="str">
        <x:v>Health and biosecurity / Human disease control
Source-attributed reason; see qualification
Applies to: Scope and phases stated below; no primary rationale or universal overlap inferred
Quoted authorities link the restriction to containing COVID-19; smuggling/trench context does not establish a separate additional rationale for the passenger policy.</x:v>
      </x:c>
      <x:c r="H704" s="4" t="str">
        <x:v>REC50-R01-002-P1: The source distinguishes freight from passengers: cargo allowed with driver plus turnboy. Nearby trench/patrol evidence does not locate every informal route. No continuous extension to later June regimes or 2021 OSBP operationalisation is inferred.
See current chronology and review qualification: Resolve differing onset versus announcement dating and actual passenger reopening; no complete duration.</x:v>
      </x:c>
      <x:c r="I704" s="4" t="str">
        <x:v>Full-record source audit (REC50-R15); retained with recorded qualifications; evidence limits retained.</x:v>
      </x:c>
      <x:c r="J704" s="18" t="d">
        <x:v>2026-10-25T00:00:00.000Z</x:v>
      </x:c>
      <x:c r="K704" s="21" t="str">
        <x:f>IFERROR(HYPERLINK("https://www.standardmedia.co.ke/amp/article/2001366170/state-deploys-army-to-dig-trenches-in-moyale-to-deter-illegal-entry","The Standard"),"The Standard")</x:f>
        <x:v>The Standard</x:v>
      </x:c>
      <x:c r="L704" s="21" t="str">
        <x:f>IFERROR(HYPERLINK("https://the-star.co.ke/sports/2020-04-02-ethiopian-forces-clash-with-kdf-officers-on-border","The Star"),"The Star")</x:f>
        <x:v>The Star</x:v>
      </x:c>
      <x:c r="M704" s="21" t="str">
        <x:f>IFERROR(HYPERLINK("https://au-pida.org/events/wp-content/uploads/2024/11/One-Stop-Border-Post-OSBP-Status-Report.pdf","African Union Programme for Infrastructure Development in Africa"),"African Union Programme for Infrastructure Development in Africa")</x:f>
        <x:v>African Union Programme for Infrastructure Development in Africa</x:v>
      </x:c>
      <x:c r="N704" s="4" t="str">
        <x:v>https://www.standardmedia.co.ke/amp/article/2001366170/state-deploys-army-to-dig-trenches-in-moyale-to-deter-illegal-entry
https://the-star.co.ke/sports/2020-04-02-ethiopian-forces-clash-with-kdf-officers-on-border
https://au-pida.org/events/wp-content/uploads/2024/11/One-Stop-Border-Post-OSBP-Status-Report.pdf</x:v>
      </x:c>
      <x:c r="O704" s="4" t="str">
        <x:v>Source 1: full text
Source 2: full text
Source 3: full text</x:v>
      </x:c>
      <x:c r="P704" s="20" t="n">
        <x:v>1</x:v>
      </x:c>
      <x:c r="Q704" s="4" t="str">
        <x:v>Horn of Africa</x:v>
      </x:c>
      <x:c r="R704" s="4" t="str">
        <x:v>Included</x:v>
      </x:c>
    </x:row>
    <x:row r="705" ht="150" hidden="0" customHeight="1">
      <x:c r="A705" s="16" t="str">
        <x:v>REC50-R01-003</x:v>
      </x:c>
      <x:c r="B705" s="4" t="str">
        <x:v>Malaba Uganda-bound truck blockade in May 2020</x:v>
      </x:c>
      <x:c r="C705" s="4" t="str">
        <x:v>Kenya; Uganda</x:v>
      </x:c>
      <x:c r="D705" s="4" t="str">
        <x:v>Malaba
Kenyan truck exit at Malaba and highway approaches; no all-passenger international closure</x:v>
      </x:c>
      <x:c r="E705" s="4" t="str">
        <x:v>Uganda-bound cargo trucks
Direction: Kenya to Uganda
Exceptions: Pedestrians and boda bodas passed blocked approaches; other direction had separate queue-clearance timing</x:v>
      </x:c>
      <x:c r="F705" s="4" t="str">
        <x:v>REC50-R01-003-P1 — Observed operation
Initial May 2020 truck blockade of Kenya’s Malaba exit toward Uganda
Start: 2020-05-21.
Observed scoped reopening: 2020-05-26.
dated evidence; numeric duration withheld; see qualification</x:v>
      </x:c>
      <x:c r="G705" s="4" t="str">
        <x:v>Policy and socioeconomic demands / Opposition to health policies
Source-attributed reason; see qualification
Applies to: Scope and phases stated below; no primary rationale or universal overlap inferred
Drivers stated opposition to harassment, testing delays and a detained colleague; minister’s competing incitement explanation retained in evidence.</x:v>
      </x:c>
      <x:c r="H705" s="4" t="str">
        <x:v>REC50-R01-003-P1: The EastAfrican 30 May instead describes three days from Monday; that inconsistent continuity account is retained, so complete/exact-duration flags remain 0. KNA 27 May indexed wording anticipates normalisation. Reverse-direction trucks were still waiting; a 28 May union call does not itself prove a renewed physical closure.
See current chronology and review qualification: Resolve conflicting length/continuity accounts and opposite-direction clearance; do not convert backlog or later union advice into prolonged closure.</x:v>
      </x:c>
      <x:c r="I705" s="4" t="str">
        <x:v>Full-record source audit (REC50-R05); retained with recorded qualifications; evidence limits retained.</x:v>
      </x:c>
      <x:c r="J705" s="18" t="d">
        <x:v>2026-10-25T00:00:00.000Z</x:v>
      </x:c>
      <x:c r="K705" s="21" t="str">
        <x:f>IFERROR(HYPERLINK("https://www.the-star.co.ke/business/kenya/2020-05-21-kenyan-truck-drivers-block-exit-to-uganda","The Star"),"The Star")</x:f>
        <x:v>The Star</x:v>
      </x:c>
      <x:c r="L705" s="21" t="str">
        <x:f>IFERROR(HYPERLINK("https://www.the-star.co.ke/news/2020-05-22-truckers-protest-uganda-harassment-block-highway","The Star"),"The Star")</x:f>
        <x:v>The Star</x:v>
      </x:c>
      <x:c r="M705" s="21" t="str">
        <x:f>IFERROR(HYPERLINK("https://www.monitor.co.ug/uganda/news/national/malaba-border-finally-reopens-1891894","Daily Monitor"),"Daily Monitor")</x:f>
        <x:v>Daily Monitor</x:v>
      </x:c>
      <x:c r="N705" s="4" t="str">
        <x:v>https://www.the-star.co.ke/business/kenya/2020-05-21-kenyan-truck-drivers-block-exit-to-uganda
https://www.the-star.co.ke/news/2020-05-22-truckers-protest-uganda-harassment-block-highway
https://www.monitor.co.ug/uganda/news/national/malaba-border-finally-reopens-1891894
https://www.kenyanews.go.ke/operations-at-malaba-border-post-to-resume-soon/
https://www.the-star.co.ke/news/2020-05-26-malaba-border-standoff-caused-by-inciters-cs-macharia
https://www.theeastafrican.co.ke/tea/news/east-africa/kenya-uganda-scramble-to-resolve-malaba-border-crisis--1442264
https://www.the-star.co.ke/news/2020-05-26-truckers-reject-transport-ministry-calls-to-resume-work
https://au-pida.org/events/wp-content/uploads/2024/11/One-Stop-Border-Post-OSBP-Status-Report.pdf</x:v>
      </x:c>
      <x:c r="O705" s="4" t="str">
        <x:v>Source 1: full text
Source 2: full text
Source 3: full text</x:v>
      </x:c>
      <x:c r="P705" s="20" t="n">
        <x:v>1</x:v>
      </x:c>
      <x:c r="Q705" s="4" t="str">
        <x:v>Great Lakes</x:v>
      </x:c>
      <x:c r="R705" s="4" t="str">
        <x:v>Included</x:v>
      </x:c>
    </x:row>
    <x:row r="706" ht="78" hidden="0" customHeight="1">
      <x:c r="A706" s="16" t="str">
        <x:v>REC50-R01-004</x:v>
      </x:c>
      <x:c r="B706" s="4" t="str">
        <x:v>Busia traders and clearing agents freight protest on 23 March 2021</x:v>
      </x:c>
      <x:c r="C706" s="4" t="str">
        <x:v>Kenya; Uganda</x:v>
      </x:c>
      <x:c r="D706" s="4" t="str">
        <x:v>Busia
Busia freight passage and processing</x:v>
      </x:c>
      <x:c r="E706" s="4" t="str">
        <x:v>Freight trucks and customs-clearance documents
Direction: Both directions for affected freight
Exceptions: No evidence of universal passenger stoppage</x:v>
      </x:c>
      <x:c r="F706" s="4" t="str">
        <x:v>REC50-R01-004-P1 — Observed operation
Busia freight crossing and clearing paperwork disrupted by traders and clearing agents
Start: 2021-03-23.
Last confirmed: 2021-03-23. Reopening is not established.
confirmed through 2021-03-23; at least 0 calendar-day difference; reopening unknown</x:v>
      </x:c>
      <x:c r="G706" s="4" t="str">
        <x:v>Trade and protectionism / Trade and transport protests
Source-attributed reason; see qualification
Applies to: Scope and phases stated below; no primary rationale or universal overlap inferred
Protesters opposed continued maize restrictions and alleged police impounding/fines; these are their stated demands.</x:v>
      </x:c>
      <x:c r="H706" s="4" t="str">
        <x:v>REC50-R01-004-P1: Several hours describes reported disruption but is not an observed same-day reopening. Passenger restrictions not established. Separate from maize commodity holds.
See current chronology and review qualification: Find actual clearance/resumption report; reported hours alone does not establish endpoint.</x:v>
      </x:c>
      <x:c r="I706" s="4" t="str">
        <x:v>Full-record source audit (REC50-R15); retained with recorded qualifications; evidence limits retained.</x:v>
      </x:c>
      <x:c r="J706" s="18" t="d">
        <x:v>2026-10-25T00:00:00.000Z</x:v>
      </x:c>
      <x:c r="K706" s="21" t="str">
        <x:f>IFERROR(HYPERLINK("https://www.monitor.co.ug/uganda/news/national/kenyans-block-border-over-maize-ban-3335844","Daily Monitor"),"Daily Monitor")</x:f>
        <x:v>Daily Monitor</x:v>
      </x:c>
      <x:c r="L706" s="21" t="str">
        <x:f>IFERROR(HYPERLINK("https://au-pida.org/events/wp-content/uploads/2024/11/One-Stop-Border-Post-OSBP-Status-Report.pdf","African Union Programme for Infrastructure Development in Africa"),"African Union Programme for Infrastructure Development in Africa")</x:f>
        <x:v>African Union Programme for Infrastructure Development in Africa</x:v>
      </x:c>
      <x:c r="M706" s="21"/>
      <x:c r="N706" s="4" t="str">
        <x:v>https://www.monitor.co.ug/uganda/news/national/kenyans-block-border-over-maize-ban-3335844
https://au-pida.org/events/wp-content/uploads/2024/11/One-Stop-Border-Post-OSBP-Status-Report.pdf</x:v>
      </x:c>
      <x:c r="O706" s="4" t="str">
        <x:v>Source 1: full text
Source 2: full text</x:v>
      </x:c>
      <x:c r="P706" s="20" t="n">
        <x:v>1</x:v>
      </x:c>
      <x:c r="Q706" s="4" t="str">
        <x:v>Great Lakes</x:v>
      </x:c>
      <x:c r="R706" s="4" t="str">
        <x:v>Included</x:v>
      </x:c>
    </x:row>
    <x:row r="707" ht="138" hidden="0" customHeight="1">
      <x:c r="A707" s="16" t="str">
        <x:v>REC50-R01-005</x:v>
      </x:c>
      <x:c r="B707" s="4" t="str">
        <x:v>Kenyan maize import holds at Busia and Namanga in March–April 2021</x:v>
      </x:c>
      <x:c r="C707" s="4" t="str">
        <x:v>Kenya; Uganda; Tanzania</x:v>
      </x:c>
      <x:c r="D707" s="4" t="str">
        <x:v>Busia; Namanga
Commodity-specific observations at Busia and Namanga; not every crossing</x:v>
      </x:c>
      <x:c r="E707" s="4" t="str">
        <x:v>Maize consignments for Kenya import
Direction: Uganda/Tanzania into Kenya
Exceptions: Other goods and traffic not established as blocked; some consignments returned to origin</x:v>
      </x:c>
      <x:c r="F707" s="4" t="str">
        <x:v>REC50-R01-005-P1 — Observed operation
Ugandan maize stocks awaiting entry into Kenya at Busia
Start: unknown.
Last confirmed: 2021-03-23. Reopening is not established.
dated evidence; numeric duration withheld; see qualification
REC50-R01-005-P2 — Observed operation
Kenyan-owned maize consignments held at Namanga for Kenya entry
Start: unknown.
Last confirmed: 2021-04-01. Reopening is not established.
dated evidence; numeric duration withheld; see qualification</x:v>
      </x:c>
      <x:c r="G707" s="4" t="str">
        <x:v>Health and biosecurity / Food safety and contamination
Source-attributed reason; see qualification
Applies to: Scope and phases stated below; no primary rationale or universal overlap inferred
AFA’s reported justification was aflatoxin/mycotoxin contamination. Food safety and contamination is adopted as an explicitly defined Health and biosecurity subcategory in this patch. Farmer protection and electoral considerations are not adopted as official rationales.</x:v>
      </x:c>
      <x:c r="H707" s="4" t="str">
        <x:v>REC50-R01-005-P1: Do not backdate physical holds to everyday after 5 March policy; no continuous countrywide ban inferred from commodity stocks or ministerial wording.
REC50-R01-005-P2: Return to Tanzania is not Kenya-entry reopening. Minister’s late March denial of a blanket ban coexists with observed holds; no continuous linkage to Busia snapshot or all-goods restriction.
See current chronology and review qualification: Obtain original AFA measures, implementation scope and actual consignment clearance; preserve minister’s denial of a blanket ban and observation gaps.</x:v>
      </x:c>
      <x:c r="I707" s="4" t="str">
        <x:v>Full-record source audit (REC50-R05); retained with recorded qualifications; evidence limits retained.</x:v>
      </x:c>
      <x:c r="J707" s="18" t="d">
        <x:v>2026-10-25T00:00:00.000Z</x:v>
      </x:c>
      <x:c r="K707" s="21" t="str">
        <x:f>IFERROR(HYPERLINK("https://ugandaradionetwork.net/story/busia-traders-stuck-with-metric-tons-of-maize?districtId=732","Uganda Radio Network"),"Uganda Radio Network")</x:f>
        <x:v>Uganda Radio Network</x:v>
      </x:c>
      <x:c r="L707" s="21" t="str">
        <x:f>IFERROR(HYPERLINK("https://www.monitor.co.ug/uganda/news/national/kenyans-block-border-over-maize-ban-3335844","Daily Monitor"),"Daily Monitor")</x:f>
        <x:v>Daily Monitor</x:v>
      </x:c>
      <x:c r="M707" s="21" t="str">
        <x:f>IFERROR(HYPERLINK("https://www.theeastafrican.co.ke/tea/business-tech/trucks-namanga-maize-exports-3358772","The EastAfrican"),"The EastAfrican")</x:f>
        <x:v>The EastAfrican</x:v>
      </x:c>
      <x:c r="N707" s="4" t="str">
        <x:v>https://ugandaradionetwork.net/story/busia-traders-stuck-with-metric-tons-of-maize?districtId=732
https://www.monitor.co.ug/uganda/news/national/kenyans-block-border-over-maize-ban-3335844
https://www.theeastafrican.co.ke/tea/business-tech/trucks-namanga-maize-exports-3358772
https://www.standardmedia.co.ke/amp/news/article/2001408257/traders-decry-ban-on-maize-imports-from-tz
https://au-pida.org/events/wp-content/uploads/2024/11/One-Stop-Border-Post-OSBP-Status-Report.pdf</x:v>
      </x:c>
      <x:c r="O707" s="4" t="str">
        <x:v>Source 1: indexed extract
Source 2: full text
Source 3: full text</x:v>
      </x:c>
      <x:c r="P707" s="20" t="n">
        <x:v>2</x:v>
      </x:c>
      <x:c r="Q707" s="4" t="str">
        <x:v>East Africa</x:v>
      </x:c>
      <x:c r="R707" s="4" t="str">
        <x:v>Included</x:v>
      </x:c>
    </x:row>
    <x:row r="708" ht="138" hidden="0" customHeight="1">
      <x:c r="A708" s="16" t="str">
        <x:v>REC50-R02-001</x:v>
      </x:c>
      <x:c r="B708" s="4" t="str">
        <x:v>Nathu La pilgrimage cancellation in 2017 and observed resumption in 2018</x:v>
      </x:c>
      <x:c r="C708" s="4" t="str">
        <x:v>India; China</x:v>
      </x:c>
      <x:c r="D708" s="4" t="str">
        <x:v>Nathu La
Nathu La pilgrimage route only</x:v>
      </x:c>
      <x:c r="E708" s="4" t="str">
        <x:v>Indian Kailash Manasarovar pilgrimage groups
Direction: India to China
Exceptions: Other cohorts or traffic are not established as restricted; see current phase qualification.</x:v>
      </x:c>
      <x:c r="F708" s="4" t="str">
        <x:v>REC50-R02-001-P1 — Formal policy
2017 Nathu La Kailash Manasarovar pilgrimage cancellation, as reported on June 30
Start: unknown.
Last confirmed: 2017-06-30. Reopening is not established.
Formal policy: dated evidence; numeric duration withheld; see qualification
REC50-R02-001-P2 — Observed operation
Actual first reported 2018 pilgrimage batch through Nathu La after the cancelled 2017 season
Start: unknown.
Observed scoped reopening: 2018-06-20.
dated evidence; numeric duration withheld; see qualification</x:v>
      </x:c>
      <x:c r="G708" s="4" t="str">
        <x:v>Uncoded / Unresolved rationale
Indian parliamentary answer reporting China’s safety explanation; underlying Chinese order not retrieved
Applies to: Read linked phase scopes; no extra rationale inferred for unobserved intervals.
Preserve the stated concern about safe conduct, but do not force it into a broad security or interstate-pressure code. Military-standoff context alone is not an official explanation.</x:v>
      </x:c>
      <x:c r="H708" s="4" t="str">
        <x:v>REC50-R02-001-P1: June 30 is a dated confirmation of cancellation, not the established first denied entry. The December answer is retrospective and does not extend an operational closure through winter.
REC50-R02-001-P2: The 2017 pilgrimage season was cancelled; actual pilgrim passage is observed on June 20, 2018. The first affected day is not established. Annual winter closure and other traffic categories are not added to a continuous operational spell.
Onset, continuity and rationale classification: Exact first refusal and any continuous operational interval are unresolved; broad rationale remains uncoded.</x:v>
      </x:c>
      <x:c r="I708" s="4" t="str">
        <x:v>Full-record source audit (REC50-R05); retained with recorded qualifications; evidence limits retained.</x:v>
      </x:c>
      <x:c r="J708" s="18" t="d">
        <x:v>2026-10-25T00:00:00.000Z</x:v>
      </x:c>
      <x:c r="K708" s="21" t="str">
        <x:f>IFERROR(HYPERLINK("https://www.business-standard.com/amp/article/pti-stories/kailash-mansarovar-yatra-through-nathu-la-cancelled-official-117063000550_1.html","Business Standard / PTI"),"Business Standard / PTI")</x:f>
        <x:v>Business Standard / PTI</x:v>
      </x:c>
      <x:c r="L708" s="21" t="str">
        <x:f>IFERROR(HYPERLINK("https://cms.rajyasabha.nic.in/UploadedFiles/Debates/OfficialDebatesDatewise/Floor/244/F28.12.2017.pdf","Rajya Sabha / Government of India"),"Rajya Sabha / Government of India")</x:f>
        <x:v>Rajya Sabha / Government of India</x:v>
      </x:c>
      <x:c r="M708" s="21" t="str">
        <x:f>IFERROR(HYPERLINK("https://sansad.in/getFile/loksabhaquestions/annex/14/AU6205.pdf?source=pqals","Lok Sabha / Government of India"),"Lok Sabha / Government of India")</x:f>
        <x:v>Lok Sabha / Government of India</x:v>
      </x:c>
      <x:c r="N708" s="4" t="str">
        <x:v>https://www.business-standard.com/amp/article/pti-stories/kailash-mansarovar-yatra-through-nathu-la-cancelled-official-117063000550_1.html
https://cms.rajyasabha.nic.in/UploadedFiles/Debates/OfficialDebatesDatewise/Floor/244/F28.12.2017.pdf
https://sansad.in/getFile/loksabhaquestions/annex/14/AU6205.pdf?source=pqals
https://www.ndtv.com/india-news/kailash-mansarovar-pilgrims-cross-over-to-china-from-nathu-la-1870709
https://www.openstreetmap.org/node/3179568394</x:v>
      </x:c>
      <x:c r="O708" s="4" t="str">
        <x:v>Source 1: full text
Source 2: full text
Source 3: full text</x:v>
      </x:c>
      <x:c r="P708" s="20" t="n">
        <x:v>2</x:v>
      </x:c>
      <x:c r="Q708" s="4" t="str">
        <x:v>South Asia</x:v>
      </x:c>
      <x:c r="R708" s="4" t="str">
        <x:v>Included</x:v>
      </x:c>
    </x:row>
    <x:row r="709" ht="138" hidden="0" customHeight="1">
      <x:c r="A709" s="16" t="str">
        <x:v>REC50-R02-002</x:v>
      </x:c>
      <x:c r="B709" s="4" t="str">
        <x:v>Nepal–China traditional border-point restrictions and staged restoration in May 2024</x:v>
      </x:c>
      <x:c r="C709" s="4" t="str">
        <x:v>Nepal; China</x:v>
      </x:c>
      <x:c r="D709" s="4" t="str">
        <x:v>Traditional points in six districts; Tiptala individually evidenced
Traditional local crossing network; one separately observed Tiptala phase</x:v>
      </x:c>
      <x:c r="E709" s="4" t="str">
        <x:v>Local residents and traditional traders
Direction: Point-specific; Tiptala observed Nepal to China
Exceptions: Other cohorts or traffic are not established as restricted; see current phase qualification.</x:v>
      </x:c>
      <x:c r="F709" s="4" t="str">
        <x:v>REC50-R02-002-P1 — Formal policy
Formal restoration announced for seven traditional Nepal–China points in six districts on May 25, 2024
Start: unknown.
Policy endpoint: 2024-05-25.
Formal policy: dated evidence; numeric duration withheld; see qualification
REC50-R02-002-P2 — Observed operation
Tiptala: observed entry into China by thirty Nepali traders on May 24, 2024
Start: unknown.
Observed scoped reopening: 2024-05-24.
dated evidence; numeric duration withheld; see qualification</x:v>
      </x:c>
      <x:c r="G709" s="4" t="str">
        <x:v>Health and biosecurity / Human disease control
Reported government COVID prevention explanation in retrospective reporting; original shutdown order not retrieved
Applies to: Read linked phase scopes; no extra rationale inferred for unobserved intervals.
Code the reported initial COVID restriction only. Do not extend a health explanation to every later delay or count a ceremony as universal implementation.</x:v>
      </x:c>
      <x:c r="H709" s="4" t="str">
        <x:v>REC50-R02-002-P1: The original shutdown is reported at month/year precision only and the full ministry PDF could not be fetched. No gate-by-gate operation or universal fourteen-point reopening is inferred.
REC50-R02-002-P2: Earlier reopening agreements are not actual passage. The exact prior shutdown date and uninterrupted duration are unestablished; the planned ten-day visit is not closure length.
Original onset, gate-specific implementation and source access: Seven-immediate wording is available only as an indexed official extract; individual implementation dates for the other traditional points are unresolved.</x:v>
      </x:c>
      <x:c r="I709" s="4" t="str">
        <x:v>Full-record source audit (REC50-R15); retained with recorded qualifications; evidence limits retained.</x:v>
      </x:c>
      <x:c r="J709" s="18" t="d">
        <x:v>2026-10-25T00:00:00.000Z</x:v>
      </x:c>
      <x:c r="K709" s="21" t="str">
        <x:f>IFERROR(HYPERLINK("https://giwmscdnone.gov.np/media/pdf_upload/Press%20Release%20on%20border%20reopening_iyxuait.pdf","Nepal Ministry of Foreign Affairs"),"Nepal Ministry of Foreign Affairs")</x:f>
        <x:v>Nepal Ministry of Foreign Affairs</x:v>
      </x:c>
      <x:c r="L709" s="21" t="str">
        <x:f>IFERROR(HYPERLINK("https://radionepalonline.com/en/2024/05/25/379280.html","Radio Nepal"),"Radio Nepal")</x:f>
        <x:v>Radio Nepal</x:v>
      </x:c>
      <x:c r="M709" s="21" t="str">
        <x:f>IFERROR(HYPERLINK("https://kathmandupost.com/national/2024/05/26/14-trading-points-along-nepal-china-border-reopen","The Kathmandu Post"),"The Kathmandu Post")</x:f>
        <x:v>The Kathmandu Post</x:v>
      </x:c>
      <x:c r="N709" s="4" t="str">
        <x:v>https://giwmscdnone.gov.np/media/pdf_upload/Press%20Release%20on%20border%20reopening_iyxuait.pdf
https://radionepalonline.com/en/2024/05/25/379280.html
https://kathmandupost.com/national/2024/05/26/14-trading-points-along-nepal-china-border-reopen
https://english.www.gov.cn/news/202405/26/content_WS665274ecc6d0868f4e8e774d.html
https://myrepublica.nagariknetwork.com/news/tiptala-border-transit-point-resumes-from-today/
https://www.openstreetmap.org/node/990378815
https://www.openstreetmap.org/way/886799978</x:v>
      </x:c>
      <x:c r="O709" s="4" t="str">
        <x:v>Source 1: indexed extract
Source 2: indexed extract
Source 3: full text</x:v>
      </x:c>
      <x:c r="P709" s="20" t="n">
        <x:v>2</x:v>
      </x:c>
      <x:c r="Q709" s="4" t="str">
        <x:v>South Asia</x:v>
      </x:c>
      <x:c r="R709" s="4" t="str">
        <x:v>Included</x:v>
      </x:c>
    </x:row>
    <x:row r="710" ht="102" hidden="0" customHeight="1">
      <x:c r="A710" s="16" t="str">
        <x:v>REC50-R02-003</x:v>
      </x:c>
      <x:c r="B710" s="4" t="str">
        <x:v>Hilsa restriction on Indian pilgrimage travel and observed restoration by July 2025</x:v>
      </x:c>
      <x:c r="C710" s="4" t="str">
        <x:v>Nepal; China</x:v>
      </x:c>
      <x:c r="D710" s="4" t="str">
        <x:v>Hilsa–Purang
Hilsa–Purang route for Indian pilgrimage travellers</x:v>
      </x:c>
      <x:c r="E710" s="4" t="str">
        <x:v>Indian Kailash–Mansarovar pilgrims
Direction: Nepal to China
Exceptions: Other cohorts or traffic are not established as restricted; see current phase qualification.</x:v>
      </x:c>
      <x:c r="F710" s="4" t="str">
        <x:v>REC50-R02-003-P1 — Observed operation
Indian Kailash–Mansarovar pilgrims reaching China through Hilsa after the pandemic-era pause
Start: unknown.
Observed scoped reopening: by 2025-07-02; earliest bound unknown.
dated evidence; numeric duration withheld; see qualification</x:v>
      </x:c>
      <x:c r="G710" s="4" t="str">
        <x:v>Health and biosecurity / Human disease control
Reported initial COVID explanation; later geopolitical context is journalistic attribution
Applies to: Read linked phase scopes; no extra rationale inferred for unobserved intervals.
Code the initial reported COVID restriction only. Do not assign interstate pressure as an official whole-period rationale or treat all Hilsa movements as prohibited.</x:v>
      </x:c>
      <x:c r="H710" s="4" t="str">
        <x:v>REC50-R02-003-P1: This is an Indian-pilgrim restriction and restoration through Hilsa, not closure of all Hilsa traffic. Actual pilgrimage passage is evidenced by July 2, 2025. Mid-March arrivals at Simikot airport and June permission language are not exact border-crossing dates. Other Humla traffic was reported open in 2023. No five-year numerical operational duration is assigned.
Exact first pilgrim passage and cohort-specific onset: Reports mix airport arrivals, permission and completed border crossings; exact first Hilsa entry is not established. Initial restriction order is not retrieved.</x:v>
      </x:c>
      <x:c r="I710" s="4" t="str">
        <x:v>Full-record source audit (REC50-R15); retained with recorded qualifications; evidence limits retained.</x:v>
      </x:c>
      <x:c r="J710" s="18" t="d">
        <x:v>2026-10-25T00:00:00.000Z</x:v>
      </x:c>
      <x:c r="K710" s="21" t="str">
        <x:f>IFERROR(HYPERLINK("https://english.onlinekhabar.com/546-indian-pilgrims-visit-mount-kailash-via-humla-post-covid-photos.html","OnlineKhabar"),"OnlineKhabar")</x:f>
        <x:v>OnlineKhabar</x:v>
      </x:c>
      <x:c r="L710" s="21" t="str">
        <x:f>IFERROR(HYPERLINK("https://kathmandupost.com/nepali-diaspora/2025/07/14/kailash-pilgrims-breathe-new-life-into-nepal-s-mountain-economy","The Kathmandu Post"),"The Kathmandu Post")</x:f>
        <x:v>The Kathmandu Post</x:v>
      </x:c>
      <x:c r="M710" s="21" t="str">
        <x:f>IFERROR(HYPERLINK("https://kathmandupost.com/money/2023/11/12/beijing-to-reopen-fourth-border-point-with-nepal","The Kathmandu Post"),"The Kathmandu Post")</x:f>
        <x:v>The Kathmandu Post</x:v>
      </x:c>
      <x:c r="N710" s="4" t="str">
        <x:v>https://english.onlinekhabar.com/546-indian-pilgrims-visit-mount-kailash-via-humla-post-covid-photos.html
https://kathmandupost.com/nepali-diaspora/2025/07/14/kailash-pilgrims-breathe-new-life-into-nepal-s-mountain-economy
https://kathmandupost.com/money/2023/11/12/beijing-to-reopen-fourth-border-point-with-nepal
https://www.openstreetmap.org/node/2191097268
https://www.openstreetmap.org/node/7051099395
https://www.openstreetmap.org/node/7051099394</x:v>
      </x:c>
      <x:c r="O710" s="4" t="str">
        <x:v>Source 1: full text
Source 2: full text
Source 3: full text</x:v>
      </x:c>
      <x:c r="P710" s="20" t="n">
        <x:v>1</x:v>
      </x:c>
      <x:c r="Q710" s="4" t="str">
        <x:v>South Asia</x:v>
      </x:c>
      <x:c r="R710" s="4" t="str">
        <x:v>Included</x:v>
      </x:c>
    </x:row>
    <x:row r="711" ht="90" hidden="0" customHeight="1">
      <x:c r="A711" s="16" t="str">
        <x:v>REC50-R02-004</x:v>
      </x:c>
      <x:c r="B711" s="4" t="str">
        <x:v>Benapole–Petrapole freight strike over return of a driver’s body, October 12, 2023</x:v>
      </x:c>
      <x:c r="C711" s="4" t="str">
        <x:v>Bangladesh; India</x:v>
      </x:c>
      <x:c r="D711" s="4" t="str">
        <x:v>Benapole–Petrapole
Cross-border freight through Benapole–Petrapole only</x:v>
      </x:c>
      <x:c r="E711" s="4" t="str">
        <x:v>Cross-border freight trucks
Direction: Both freight directions as reported
Exceptions: Other cohorts or traffic are not established as restricted; see current phase qualification.</x:v>
      </x:c>
      <x:c r="F711" s="4" t="str">
        <x:v>REC50-R02-004-P1 — Observed operation
Benapole–Petrapole cross-border freight strike seeking return of a driver’s body on October 12, 2023
Start: 2023-10-12.
Observed scoped reopening: 2023-10-12.
dated evidence; numeric duration withheld; see qualification</x:v>
      </x:c>
      <x:c r="G711" s="4" t="str">
        <x:v>Policy and socioeconomic demands / Rights and other policy grievances
Workers’ and union representatives’ stated demand, reported by local correspondents
Applies to: Read linked phase scopes; no extra rationale inferred for unobserved intervals.
The stated demand was return of the deceased driver’s body. Do not label the action a state protectionist policy or infer a passenger closure.</x:v>
      </x:c>
      <x:c r="H711" s="4" t="str">
        <x:v>REC50-R02-004-P1: Freight was interrupted and resumed on October 12, 2023. Bengali reports differ between 09:00–17:00 and approximately 09:00–18:00; an English report also differs on onset and still describes an ongoing strike. Retain a same-day event, with no selected exact hours or whole-day duration. Passenger restriction is not established.
Clock onset and endpoint: Eight- and nine-hour restart accounts conflict; the Daily Star also describes a different onset and an ongoing state.</x:v>
      </x:c>
      <x:c r="I711" s="4" t="str">
        <x:v>Full-record source audit (REC50-R10); retained with recorded qualifications; evidence limits retained.</x:v>
      </x:c>
      <x:c r="J711" s="18" t="d">
        <x:v>2026-10-25T00:00:00.000Z</x:v>
      </x:c>
      <x:c r="K711" s="21" t="str">
        <x:f>IFERROR(HYPERLINK("https://www.jagonews24.com/country/news/891791","Jago News24"),"Jago News24")</x:f>
        <x:v>Jago News24</x:v>
      </x:c>
      <x:c r="L711" s="21" t="str">
        <x:f>IFERROR(HYPERLINK("https://www.ajkerpatrika.com/bangladesh/khulna/ajpcwu0ito1nd","Ajker Patrika"),"Ajker Patrika")</x:f>
        <x:v>Ajker Patrika</x:v>
      </x:c>
      <x:c r="M711" s="21" t="str">
        <x:f>IFERROR(HYPERLINK("https://www.thedailystar.net/news/bangladesh/rights/news/truck-workers-strike-suspends-trade-benapole-port-3441536","The Daily Star"),"The Daily Star")</x:f>
        <x:v>The Daily Star</x:v>
      </x:c>
      <x:c r="N711" s="4" t="str">
        <x:v>https://www.jagonews24.com/country/news/891791
https://www.ajkerpatrika.com/bangladesh/khulna/ajpcwu0ito1nd
https://www.thedailystar.net/news/bangladesh/rights/news/truck-workers-strike-suspends-trade-benapole-port-3441536
https://www.openstreetmap.org/node/7557117257
https://www.lpai.gov.in/en/icp-petrapole</x:v>
      </x:c>
      <x:c r="O711" s="4" t="str">
        <x:v>Source 1: full text
Source 2: full text
Source 3: full text</x:v>
      </x:c>
      <x:c r="P711" s="20" t="n">
        <x:v>1</x:v>
      </x:c>
      <x:c r="Q711" s="4" t="str">
        <x:v>South Asia</x:v>
      </x:c>
      <x:c r="R711" s="4" t="str">
        <x:v>Included</x:v>
      </x:c>
    </x:row>
    <x:row r="712" ht="162" hidden="0" customHeight="1">
      <x:c r="A712" s="16" t="str">
        <x:v>REC50-R02-005</x:v>
      </x:c>
      <x:c r="B712" s="4" t="str">
        <x:v>Korala pandemic-era access restriction and local-passholder restoration in November 2023</x:v>
      </x:c>
      <x:c r="C712" s="4" t="str">
        <x:v>Nepal; China</x:v>
      </x:c>
      <x:c r="D712" s="4" t="str">
        <x:v>Korala
Korala crossing for eligible residents of two border municipalities</x:v>
      </x:c>
      <x:c r="E712" s="4" t="str">
        <x:v>Residents of Lo Manthang and Lo-Ghekar Damodar Kunda holding border-area passes
Direction: Nepal to China observed
Exceptions: Other cohorts or traffic are not established as restricted; see current phase qualification.</x:v>
      </x:c>
      <x:c r="F712" s="4" t="str">
        <x:v>REC50-R02-005-P1 — Observed operation
Korala local-passholder access for residents of Lo Manthang and Lo-Ghekar Damodar Kunda
Start: unknown.
Observed scoped reopening: 2023-11-13 to 2023-11-14.
dated evidence; numeric duration withheld; see qualification</x:v>
      </x:c>
      <x:c r="G712" s="4" t="str">
        <x:v>Health and biosecurity / Human disease control
Local-official and press accounts attribute the interruption to COVID; initial restriction order not retrieved
Applies to: Read linked phase scopes; no extra rationale inferred for unobserved intervals.
Retain the reported COVID explanation with attribution. Do not infer that routine off-season trade-fair gaps were pandemic closure-days.</x:v>
      </x:c>
      <x:c r="H712" s="4" t="str">
        <x:v>REC50-R02-005-P1: Korala’s November 13, 2023 inauguration is separate from evidence that residents with passes had begun visiting China by the November 14 report. The actual local-passholder endpoint is bounded November 13–14. Ordinary tourists and unrestricted freight are not established as reopened. Conflicting coarse onset accounts and pre-existing twice-yearly trading arrangements prevent a continuous four-year operational duration.
Onset and precise cohort implementation: Sources give 2076 BS, 2019 and early 2020 rather than a consistent exact shutdown day. Actual passage is reported after the formal opening, without a separately timestamped first traveller.</x:v>
      </x:c>
      <x:c r="I712" s="4" t="str">
        <x:v>Full-record source audit (REC50-R05); accepted corrections; evidence limits retained.</x:v>
      </x:c>
      <x:c r="J712" s="18" t="d">
        <x:v>2026-10-25T00:00:00.000Z</x:v>
      </x:c>
      <x:c r="K712" s="21" t="str">
        <x:f>IFERROR(HYPERLINK("https://english.nepalpress.com/2023/11/14/korala-check-point-in-mustang-comes-into-operation-after-four-years/","Nepal Press"),"Nepal Press")</x:f>
        <x:v>Nepal Press</x:v>
      </x:c>
      <x:c r="L712" s="21" t="str">
        <x:f>IFERROR(HYPERLINK("https://kathmandupost.com/money/2023/11/12/beijing-to-reopen-fourth-border-point-with-nepal","The Kathmandu Post"),"The Kathmandu Post")</x:f>
        <x:v>The Kathmandu Post</x:v>
      </x:c>
      <x:c r="M712" s="21" t="str">
        <x:f>IFERROR(HYPERLINK("https://en.himalpress.com/korala-border-crossing-to-reopen-on-nov-13/","HimalPress / RSS"),"HimalPress / RSS")</x:f>
        <x:v>HimalPress / RSS</x:v>
      </x:c>
      <x:c r="N712" s="4" t="str">
        <x:v>https://english.nepalpress.com/2023/11/14/korala-check-point-in-mustang-comes-into-operation-after-four-years/
https://kathmandupost.com/money/2023/11/12/beijing-to-reopen-fourth-border-point-with-nepal
https://en.himalpress.com/korala-border-crossing-to-reopen-on-nov-13/
https://theannapurnaexpress.com/story/46615/
https://kathmandupost.com/national/2024/05/26/14-trading-points-along-nepal-china-border-reopen
https://giwmscdnone.gov.np/media/pdf_upload/Press%20Release%20on%20border%20reopening_iyxuait.pdf
https://www.openstreetmap.org/node/3572998512
https://www.openstreetmap.org/way/570690907
https://www.openstreetmap.org/way/351977110
https://www.openstreetmap.org/way/1447956050</x:v>
      </x:c>
      <x:c r="O712" s="4" t="str">
        <x:v>Source 1: full text; unavailable
Source 2: full text
Source 3: full text</x:v>
      </x:c>
      <x:c r="P712" s="20" t="n">
        <x:v>1</x:v>
      </x:c>
      <x:c r="Q712" s="4" t="str">
        <x:v>South Asia</x:v>
      </x:c>
      <x:c r="R712" s="4" t="str">
        <x:v>Included</x:v>
      </x:c>
    </x:row>
    <x:row r="713" ht="150" hidden="0" customHeight="1">
      <x:c r="A713" s="16" t="str">
        <x:v>REC50-R03-001</x:v>
      </x:c>
      <x:c r="B713" s="4" t="str">
        <x:v>Ukraine wartime outward-travel restrictions for male-citizen cohorts, with August 2025 age exemption</x:v>
      </x:c>
      <x:c r="C713" s="4" t="str">
        <x:v>Ukraine</x:v>
      </x:c>
      <x:c r="D713" s="4" t="str">
        <x:v>National outward-travel cohort rule; applies to exit through land borders without establishing the operating status of each post</x:v>
      </x:c>
      <x:c r="E713" s="4" t="str">
        <x:v>Specified non-exempt male Ukrainian citizens
Direction: Outward from Ukraine
Exceptions: Exemptions for defined circumstances; from 28 August 2025 most 18–22-year-old men permitted with documents; specified office holders remain restricted</x:v>
      </x:c>
      <x:c r="F713" s="4" t="str">
        <x:v>REC50-R03-001-P1 — Formal policy
Ukrainian male citizens aged 18–60: general outward-travel restriction under martial law, with exemptions
Start: 2022-02-24.
Policy endpoint: 2025-08-28.
Formal policy: dated evidence; numeric duration withheld; see qualification
REC50-R03-001-P2 — Formal policy
Remaining general outward restriction for non-exempt Ukrainian male citizens aged 23–60 after the 18–22 exemption
Start: 2025-08-28.
Last confirmed: 2025-09-11. Reopening is not established.
Formal policy: dated evidence; numeric duration withheld; see qualification</x:v>
      </x:c>
      <x:c r="G713" s="4" t="str">
        <x:v>Security / Armed conflict and military confrontation
Source-attributed reason; see qualification
Applies to: Scope and phases stated below; no primary rationale or universal overlap inferred
Authorities explicitly connect the exit rule to martial law following the invasion; the exit-control mechanism is not separately inferred as an unstated motive.</x:v>
      </x:c>
      <x:c r="H713" s="4" t="str">
        <x:v>REC50-R03-001-P1: Endpoint is a policy-version change for the 18–22 cohort, not reopening for every male citizen or every crossing. Other exceptions changed over time; stable operational continuity is not established.
REC50-R03-001-P2: No later status inferred. Mobilisation eligibility is not the same as permission to leave. Office-holder exceptions in the younger cohort remain stated separately; no blanket claim about all males or cargo.
cohort-specific scope / continuity / later status: The complete amendment and exemption chain is not reconstructed, and no later status beyond the identified policy observation is inferred. The district source prints 1030 while the legislative registry identifies amendment 1031.</x:v>
      </x:c>
      <x:c r="I713" s="4" t="str">
        <x:v>Full-record source audit (REC50-R05); retained with recorded qualifications; evidence limits retained.</x:v>
      </x:c>
      <x:c r="J713" s="18" t="d">
        <x:v>2026-10-25T00:00:00.000Z</x:v>
      </x:c>
      <x:c r="K713" s="21" t="str">
        <x:f>IFERROR(HYPERLINK("https://mvs.gov.ua/en/news/shhodo-obmezen-v-peretini-kordonu-na-viyizd-z-ukrayini-okremoyu-kategorijeyu-gromadyan","Ministry of Internal Affairs of Ukraine / State Border Guard Service"),"Ministry of Internal Affairs of Ukraine / State Border Guard Service")</x:f>
        <x:v>Ministry of Internal Affairs of Ukraine / State Border Guard Service</x:v>
      </x:c>
      <x:c r="L713" s="21" t="str">
        <x:f>IFERROR(HYPERLINK("https://www.kmu.gov.ua/news/pro-osoblivosti-peretinannya-kordonu-pid-chas-diyi-pravovogo-rezhimu-voyennogo-stanu","Cabinet of Ministers / State Border Guard Service"),"Cabinet of Ministers / State Border Guard Service")</x:f>
        <x:v>Cabinet of Ministers / State Border Guard Service</x:v>
      </x:c>
      <x:c r="M713" s="21" t="str">
        <x:f>IFERROR(HYPERLINK("https://www.kmu.gov.ua/en/news/roziasnennia-mvs-shchodo-vyizdu-za-kordon-cholovikiv-vikom-18-22-rokiv-vkliuchno","Cabinet of Ministers / Ministry of Internal Affairs of Ukraine"),"Cabinet of Ministers / Ministry of Internal Affairs of Ukraine")</x:f>
        <x:v>Cabinet of Ministers / Ministry of Internal Affairs of Ukraine</x:v>
      </x:c>
      <x:c r="N713" s="4" t="str">
        <x:v>https://mvs.gov.ua/en/news/shhodo-obmezen-v-peretini-kordonu-na-viyizd-z-ukrayini-okremoyu-kategorijeyu-gromadyan
https://www.kmu.gov.ua/news/pro-osoblivosti-peretinannya-kordonu-pid-chas-diyi-pravovogo-rezhimu-voyennogo-stanu
https://www.kmu.gov.ua/en/news/roziasnennia-mvs-shchodo-vyizdu-za-kordon-cholovikiv-vikom-18-22-rokiv-vkliuchno
https://zakon.rada.gov.ua/laws/show/1031-2025-%D0%BF
https://koradm.cg.gov.ua/index.php?id=527904&amp;tp=page
https://www.gov.uk/government/publications/ukraine-country-policy-and-information-notes/country-policy-and-information-note-military-service-ukraine-june-2022-accessible</x:v>
      </x:c>
      <x:c r="O713" s="4" t="str">
        <x:v>Source 1: full text
Source 2: full text
Source 3: full text</x:v>
      </x:c>
      <x:c r="P713" s="20" t="n">
        <x:v>2</x:v>
      </x:c>
      <x:c r="Q713" s="4" t="str">
        <x:v>Europe</x:v>
      </x:c>
      <x:c r="R713" s="4" t="str">
        <x:v>Included</x:v>
      </x:c>
    </x:row>
    <x:row r="714" ht="409" hidden="0" customHeight="1">
      <x:c r="A714" s="16" t="str">
        <x:v>REC50-R03-002</x:v>
      </x:c>
      <x:c r="B714" s="4" t="str">
        <x:v>Repeated farmer blockades of Leuseni–Albita access in February 2024</x:v>
      </x:c>
      <x:c r="C714" s="4" t="str">
        <x:v>Moldova; Romania</x:v>
      </x:c>
      <x:c r="D714" s="4" t="str">
        <x:v>Leuseni–Albita
Crossing access road at Leuseni–Albita</x:v>
      </x:c>
      <x:c r="E714" s="4" t="str">
        <x:v>Vehicles affected by the access obstruction
Direction: Both directions
Exceptions: Pedestrian scope not established; separate pauses between episodes</x:v>
      </x:c>
      <x:c r="F714" s="4" t="str">
        <x:v>REC50-R03-002-P1 — Observed operation
Vehicles using the Leuseni–Albita crossing access road during a farmer blockade
Start: 2024-02-12.
Observed scoped reopening: 2024-02-12 to 2024-02-13.
0–1 calendar-day difference; scoped endpoint only
REC50-R03-002-P2 — Observed operation
Vehicles using the Leuseni–Albita crossing access road during a farmer blockade
Start: 2024-02-13.
Observed scoped reopening: 2024-02-13.
dated evidence; numeric duration withheld; see qualification
REC50-R03-002-P3 — Observed operation
Vehicles using the Leuseni–Albita crossing access road during a farmer blockade
Start: 2024-02-14.
Observed scoped reopening: 2024-02-14.
dated evidence; numeric duration withheld; see qualification
REC50-R03-002-P4 — Observed operation
Vehicles using the Leuseni–Albita crossing access road during a farmer blockade
Start: 2024-02-15.
Observed scoped reopening: 2024-02-15.
dated evidence; numeric duration withheld; see qualification
REC50-R03-002-P5 — Observed operation
Vehicles using the Leuseni–Albita crossing access road during a farmer blockade
Start: 2024-02-22.
Observed scoped reopening: 2024-02-22.
dated evidence; numeric duration withheld; see qualification
REC50-R03-002-P6 — Observed operation
Vehicles using the Leuseni–Albita crossing access road during a farmer blockade
Start: 2024-02-23.
Observed scoped reopening: 2024-02-23.
dated evidence; numeric duration withheld; see qualification</x:v>
      </x:c>
      <x:c r="G714" s="4" t="str">
        <x:v>Policy and socioeconomic demands / Jobs, services and livelihoods
Source-attributed reason; see qualification
Applies to: Scope and phases stated below; no primary rationale or universal overlap inferred
Reports attribute demands to farmer representatives seeking relief and government action; this is an attributed protest rationale, not a government closure rationale.</x:v>
      </x:c>
      <x:c r="H714" s="4" t="str">
        <x:v>REC50-R03-002-P1: Each phase is a separate protest episode. Do not bridge the gaps or treat the whole February period as continuously closed. No general pedestrian prohibition established.
REC50-R03-002-P2: Each phase is a separate protest episode. Do not bridge the gaps or treat the whole February period as continuously closed. No general pedestrian prohibition established.
REC50-R03-002-P3: Each phase is a separate protest episode. Do not bridge the gaps or treat the whole February period as continuously closed. No general pedestrian prohibition established.
REC50-R03-002-P4: Each phase is a separate protest episode. Do not bridge the gaps or treat the whole February period as continuously closed. No general pedestrian prohibition established.
REC50-R03-002-P5: Each phase is a separate protest episode. Do not bridge the gaps or treat the whole February period as continuously closed. No general pedestrian prohibition established.
REC50-R03-002-P6: Each phase is a separate protest episode. Do not bridge the gaps or treat the whole February period as continuously closed. No general pedestrian prohibition established.
reopening precision / repeated episodes: The first reopening is described near midnight in a 13 February report, so 12–13 February endpoint bounds are retained. Other phase clocks are incomplete and gaps between protests are not continuous closures.</x:v>
      </x:c>
      <x:c r="I714" s="4" t="str">
        <x:v>Full-record source audit (REC50-R05); retained with recorded qualifications; evidence limits retained.</x:v>
      </x:c>
      <x:c r="J714" s="18" t="d">
        <x:v>2026-10-25T00:00:00.000Z</x:v>
      </x:c>
      <x:c r="K714" s="21" t="str">
        <x:f>IFERROR(HYPERLINK("https://www.old.ipn.md/en/leuseni-albita-border-crossing-point-blocked-by-farmers-7966_1102653.html","IPN"),"IPN")</x:f>
        <x:v>IPN</x:v>
      </x:c>
      <x:c r="L714" s="21" t="str">
        <x:f>IFERROR(HYPERLINK("https://www.old.ipn.md/ro/punctul-de-trecere-a-frontierei-leuseni-a-fost-deblocat-7967_1102669.html","IPN"),"IPN")</x:f>
        <x:v>IPN</x:v>
      </x:c>
      <x:c r="M714" s="21" t="str">
        <x:f>IFERROR(HYPERLINK("https://newsmaker.md/ro/video-fermierii-protestatari-au-blocat-vama-leuseni-cu-tractoare-pana-nu-vine-maia-cu-toata-banda-ei-aici","NewsMaker"),"NewsMaker")</x:f>
        <x:v>NewsMaker</x:v>
      </x:c>
      <x:c r="N714" s="4" t="str">
        <x:v>https://www.old.ipn.md/en/leuseni-albita-border-crossing-point-blocked-by-farmers-7966_1102653.html
https://www.old.ipn.md/ro/punctul-de-trecere-a-frontierei-leuseni-a-fost-deblocat-7967_1102669.html
https://newsmaker.md/ro/video-fermierii-protestatari-au-blocat-vama-leuseni-cu-tractoare-pana-nu-vine-maia-cu-toata-banda-ei-aici
https://radiomoldova.md/p/30280
https://moldova1.md/p/24424
https://www.moldova1.md/p/24472/drumul-de-acces-spre-ptf-leuseni-albita-a-fost-deblocat
https://www.moldova1.md/p/24888/drumul-de-acces-spre-postul-vamal-leuseni-deblocat-de-catre-agricultori
https://moldova1.md/p/24939
https://www.openstreetmap.org/node/316786543
https://www.openstreetmap.org/way/1087648209
https://www.openstreetmap.org/way/483683620</x:v>
      </x:c>
      <x:c r="O714" s="4" t="str">
        <x:v>Source 1: indexed extract
Source 2: indexed extract
Source 3: full text</x:v>
      </x:c>
      <x:c r="P714" s="20" t="n">
        <x:v>6</x:v>
      </x:c>
      <x:c r="Q714" s="4" t="str">
        <x:v>Europe</x:v>
      </x:c>
      <x:c r="R714" s="4" t="str">
        <x:v>Included</x:v>
      </x:c>
    </x:row>
    <x:row r="715" ht="138" hidden="0" customHeight="1">
      <x:c r="A715" s="16" t="str">
        <x:v>REC50-R03-003</x:v>
      </x:c>
      <x:c r="B715" s="4" t="str">
        <x:v>Greek customs strike restricts vehicles at Kakavija and Kapshtica, May 2018</x:v>
      </x:c>
      <x:c r="C715" s="4" t="str">
        <x:v>Albania; Greece</x:v>
      </x:c>
      <x:c r="D715" s="4" t="str">
        <x:v>Kakavija; Kapshtica
Two named Albania–Greece crossing points</x:v>
      </x:c>
      <x:c r="E715" s="4" t="str">
        <x:v>Cars and buses
Direction: Cross-border vehicle passage
Exceptions: Pedestrians / passengers without bags and medical emergencies were reported as exceptions; private cars and buses were stopped.</x:v>
      </x:c>
      <x:c r="F715" s="4" t="str">
        <x:v>REC50-R03-003-P1 — Observed operation
Cars and buses at Kakavija and Kapshtica during Greek customs strike
Start: 2018-05-30.
Last confirmed: 2018-05-30. Reopening is not established.
dated evidence; numeric duration withheld; see qualification
REC50-R03-003-P2 — Announced window
Announced Greek customs-strike window affecting vehicle passage at Albania crossings
Start: 2018-05-30.
Scheduled endpoint: 2018-05-31.
Ordered window: dated evidence; numeric duration withheld; see qualification</x:v>
      </x:c>
      <x:c r="G715" s="4" t="str">
        <x:v>Uncoded / Unresolved rationale
Source-attributed reason; see qualification
Applies to: Scope and phases stated below; no primary rationale or universal overlap inferred
A strike is established, but the workers’ specific underlying demands are not established by the inspected source. No socioeconomic motive is inferred solely from the interruption.</x:v>
      </x:c>
      <x:c r="H715" s="4" t="str">
        <x:v>REC50-R03-003-P1: The announced finish on 31 May is not used as an observed endpoint. Pedestrian and emergency movement exceptions remain explicit.
REC50-R03-003-P2: Overlaps the observed phase; never add the two durations. Actual 31 May vehicle resumption at these Albania crossings remains unverified.
actual reopening / rationale: 31 May 07:00 is an announced strike finish, not an observed vehicle resumption at Kakavija or Kapshtica. Specific workers’ demands remain unestablished.</x:v>
      </x:c>
      <x:c r="I715" s="4" t="str">
        <x:v>Targeted source review (REC50-R42); completed with unresolved evidence; evidence limits retained.</x:v>
      </x:c>
      <x:c r="J715" s="18" t="d">
        <x:v>2026-10-25T00:00:00.000Z</x:v>
      </x:c>
      <x:c r="K715" s="21" t="str">
        <x:f>IFERROR(HYPERLINK("https://www.balkanweb.com/en/24-hour-strike-in-Greece-paralyzes-movement-at-border-points-in-Albania/","BalkanWeb / News24"),"BalkanWeb / News24")</x:f>
        <x:v>BalkanWeb / News24</x:v>
      </x:c>
      <x:c r="L715" s="21"/>
      <x:c r="M715" s="21"/>
      <x:c r="N715" s="4" t="str">
        <x:v>https://www.balkanweb.com/en/24-hour-strike-in-Greece-paralyzes-movement-at-border-points-in-Albania/
https://www.openstreetmap.org/node/1441315814
https://www.openstreetmap.org/way/399555468
https://www.openstreetmap.org/node/1953023038
https://www.openstreetmap.org/node/295966541</x:v>
      </x:c>
      <x:c r="O715" s="4" t="str">
        <x:v>Source 1: full text</x:v>
      </x:c>
      <x:c r="P715" s="20" t="n">
        <x:v>2</x:v>
      </x:c>
      <x:c r="Q715" s="4" t="str">
        <x:v>Europe</x:v>
      </x:c>
      <x:c r="R715" s="4" t="str">
        <x:v>Included</x:v>
      </x:c>
    </x:row>
    <x:row r="716" ht="138" hidden="0" customHeight="1">
      <x:c r="A716" s="16" t="str">
        <x:v>REC50-R03-004</x:v>
      </x:c>
      <x:c r="B716" s="4" t="str">
        <x:v>Tompa–Kelebia security interruptions on 6–8 February 2020</x:v>
      </x:c>
      <x:c r="C716" s="4" t="str">
        <x:v>Hungary; Serbia</x:v>
      </x:c>
      <x:c r="D716" s="4" t="str">
        <x:v>Tompa–Kelebia
Tompa–Kelebia road crossing; narrower inbound-freight gate on 8 February</x:v>
      </x:c>
      <x:c r="E716" s="4" t="str">
        <x:v>Road traffic on 6–7 February; inbound freight only on 8 February
Direction: See separate phases
Exceptions: On 8 February passengers in both directions and outbound freight were unaffected</x:v>
      </x:c>
      <x:c r="F716" s="4" t="str">
        <x:v>REC50-R03-004-P1 — Observed operation
Tompa–Kelebia road crossing interruption on 6–7 February 2020
Start: 2020-02-06.
Observed scoped reopening: 2020-02-07.
1 calendar-day difference; scoped endpoint only
REC50-R03-004-P2 — Observed operation
Inbound freight gate at Tompa on 8 February 2020
Start: 2020-02-08.
Observed scoped reopening: 2020-02-08.
dated evidence; numeric duration withheld; see qualification</x:v>
      </x:c>
      <x:c r="G716" s="4" t="str">
        <x:v>Security / Public order and immediate safety
Source-attributed reason; see qualification
Applies to: Scope and phases stated below; no primary rationale or universal overlap inferred
Police explicitly cited safety/security and inability to maintain unobstructed crossing; the presence of migrants is context and is not used to infer an additional political motive.</x:v>
      </x:c>
      <x:c r="H716" s="4" t="str">
        <x:v>REC50-R03-004-P1: Exact reopening minute is unknown. This narrow crossing episode does not imply closure of the entire Hungary–Serbia frontier.
REC50-R03-004-P2: Passenger traffic in both directions and outbound freight were unaffected. This is a separate interruption from 6–7 February.
clock precision / scope continuity: The 6–7 February reopening was a few minutes after 07:00; exact minutes are unknown. About 15 elapsed hours differs from the one-calendar-day measure. Start/end reports share police origin.</x:v>
      </x:c>
      <x:c r="I716" s="4" t="str">
        <x:v>Full-record source audit (REC50-R05); retained with recorded qualifications; evidence limits retained.</x:v>
      </x:c>
      <x:c r="J716" s="18" t="d">
        <x:v>2026-10-25T00:00:00.000Z</x:v>
      </x:c>
      <x:c r="K716" s="21" t="str">
        <x:f>IFERROR(HYPERLINK("https://24.hu/belfold/2020/02/06/lezartak-a-tompai-hataratkelot-a-tunteto-menekultek-miatt/","24.hu"),"24.hu")</x:f>
        <x:v>24.hu</x:v>
      </x:c>
      <x:c r="L716" s="21" t="str">
        <x:f>IFERROR(HYPERLINK("https://www.mkfe.hu/hu/mediamenu/hirek/belf%C3%B6ldi-h%C3%ADrek/10263-megnyitottak-a-tompai-hataratkelot-2020-februar-7.html","Hungarian Road Transport Association (MKFE)"),"Hungarian Road Transport Association (MKFE)")</x:f>
        <x:v>Hungarian Road Transport Association (MKFE)</x:v>
      </x:c>
      <x:c r="M716" s="21" t="str">
        <x:f>IFERROR(HYPERLINK("https://www.police.hu/hu/hirek-es-informaciok/legfrissebb-hireink/hatarrendeszet/szunetelt-a-belepo-teherforgalom-tompanal","Hungarian Police"),"Hungarian Police")</x:f>
        <x:v>Hungarian Police</x:v>
      </x:c>
      <x:c r="N716" s="4" t="str">
        <x:v>https://24.hu/belfold/2020/02/06/lezartak-a-tompai-hataratkelot-a-tunteto-menekultek-miatt/
https://www.mkfe.hu/hu/mediamenu/hirek/belf%C3%B6ldi-h%C3%ADrek/10263-megnyitottak-a-tompai-hataratkelot-2020-februar-7.html
https://www.police.hu/hu/hirek-es-informaciok/legfrissebb-hireink/hatarrendeszet/szunetelt-a-belepo-teherforgalom-tompanal
https://www.openstreetmap.org/node/5329297935</x:v>
      </x:c>
      <x:c r="O716" s="4" t="str">
        <x:v>Source 1: full text
Source 2: full text
Source 3: full text</x:v>
      </x:c>
      <x:c r="P716" s="20" t="n">
        <x:v>2</x:v>
      </x:c>
      <x:c r="Q716" s="4" t="str">
        <x:v>Europe</x:v>
      </x:c>
      <x:c r="R716" s="4" t="str">
        <x:v>Included</x:v>
      </x:c>
    </x:row>
    <x:row r="717" ht="138" hidden="0" customHeight="1">
      <x:c r="A717" s="16" t="str">
        <x:v>REC50-R06-001</x:v>
      </x:c>
      <x:c r="B717" s="4" t="str">
        <x:v>Skilpadshek freight-service restrictions and reported restoration in July 2021</x:v>
      </x:c>
      <x:c r="C717" s="4" t="str">
        <x:v>South Africa; Botswana</x:v>
      </x:c>
      <x:c r="D717" s="4" t="str">
        <x:v>Skilpadshek
Skilpadshek; crossing-specific services or movement restriction only</x:v>
      </x:c>
      <x:c r="E717" s="4" t="str">
        <x:v>Road freight needing port-health/customs clearance
Direction: Route toward Botswana and Namibia; detailed bidirectional scope unresolved
Exceptions: The observed restoration retains daytime-only operation; passenger scope is not established.</x:v>
      </x:c>
      <x:c r="F717" s="4" t="str">
        <x:v>REC50-R06-001-P1 — Announced window
Skilpadshek intended customs-service interruption on 2–3 July 2021
Start: 2021-07-02.
Scheduled endpoint: 2021-07-03.
Ordered window: dated evidence; numeric duration withheld; see qualification
REC50-R06-001-P2 — Observed operation
Skilpadshek freight suspension restored for daytime trade on 9 July 2021
Start: unknown.
Observed scoped reopening: 2021-07-09.
dated evidence; numeric duration withheld; see qualification</x:v>
      </x:c>
      <x:c r="G717" s="4" t="str">
        <x:v>Administration and service operation / Temporary service suspension
See named authority or attributed report in cited sources
Applies to: Source-supported phase only; see qualification
C-BRTA explicitly attributes the recent suspension to unavailable port-health officials. Code temporary service suspension for that attributed operational reason; do not infer disease-control intent or apply it to every earlier scheduled interruption.</x:v>
      </x:c>
      <x:c r="H717" s="4" t="str">
        <x:v>REC50-R06-001-P1: An intended 11:00–06:00 window only. The next-morning reopening is not verified as an operational endpoint.
REC50-R06-001-P2: Actual restoration is reported on 9 July, but the first refusal day is unresolved. An eight-week period of service difficulty is not an eight-week continuous closure.
Timing / scope evidence: Recover the actual onset and scope of the later suspension, and verify whether the separate 2–3 July schedule was implemented.
Phase geography: Every proposed phase is intentionally unlocated.</x:v>
      </x:c>
      <x:c r="I717" s="4" t="str">
        <x:v>Full-record source audit (REC50-R15); retained with recorded qualifications; evidence limits retained.</x:v>
      </x:c>
      <x:c r="J717" s="18" t="d">
        <x:v>2026-10-25T00:00:00.000Z</x:v>
      </x:c>
      <x:c r="K717" s="21" t="str">
        <x:f>IFERROR(HYPERLINK("https://www.sars.gov.za/latest-news/customs-borders-and-ports-closures-2/","South African Revenue Service"),"South African Revenue Service")</x:f>
        <x:v>South African Revenue Service</x:v>
      </x:c>
      <x:c r="L717" s="21" t="str">
        <x:f>IFERROR(HYPERLINK("https://www.freightnews.co.za/article/border-beat-skilpadshek-reopens-and-the-c-brta-wakes-up-finally","Freight News"),"Freight News")</x:f>
        <x:v>Freight News</x:v>
      </x:c>
      <x:c r="M717" s="21" t="str">
        <x:f>IFERROR(HYPERLINK("https://www.freightnews.co.za/article/border-beat-private-sector-intervention-saves-skilpadshek","Freight News"),"Freight News")</x:f>
        <x:v>Freight News</x:v>
      </x:c>
      <x:c r="N717" s="4" t="str">
        <x:v>https://www.sars.gov.za/latest-news/customs-borders-and-ports-closures-2/
https://www.freightnews.co.za/article/border-beat-skilpadshek-reopens-and-the-c-brta-wakes-up-finally
https://www.freightnews.co.za/article/border-beat-private-sector-intervention-saves-skilpadshek
https://au-pida.org/events/wp-content/uploads/2024/11/One-Stop-Border-Post-OSBP-Status-Report.pdf</x:v>
      </x:c>
      <x:c r="O717" s="4" t="str">
        <x:v>Source 1: full text
Source 2: full text
Source 3: indexed extract</x:v>
      </x:c>
      <x:c r="P717" s="20" t="n">
        <x:v>2</x:v>
      </x:c>
      <x:c r="Q717" s="4" t="str">
        <x:v>Southern Africa</x:v>
      </x:c>
      <x:c r="R717" s="4" t="str">
        <x:v>Included</x:v>
      </x:c>
    </x:row>
    <x:row r="718" ht="126" hidden="0" customHeight="1">
      <x:c r="A718" s="16" t="str">
        <x:v>REC50-R06-002</x:v>
      </x:c>
      <x:c r="B718" s="4" t="str">
        <x:v>Lebombo new cargo admission interruption for COVID-19 disinfection in July 2020</x:v>
      </x:c>
      <x:c r="C718" s="4" t="str">
        <x:v>South Africa; Mozambique</x:v>
      </x:c>
      <x:c r="D718" s="4" t="str">
        <x:v>Lebombo / Ressano Garcia
Lebombo / Ressano Garcia; crossing-specific services or movement restriction only</x:v>
      </x:c>
      <x:c r="E718" s="4" t="str">
        <x:v>Approaching cargo requiring South African customs services
Direction: Directions not separately established
Exceptions: Trucks already within the customs-control area continued to be processed with Mozambican assistance.</x:v>
      </x:c>
      <x:c r="F718" s="4" t="str">
        <x:v>REC50-R06-002-P1 — Observed operation
Lebombo interruption of admission to customs processing after a COVID-positive official
Start: 2020-07-15.
Observed scoped reopening: 2020-07-16.
1 calendar-day difference; scoped endpoint only</x:v>
      </x:c>
      <x:c r="G718" s="4" t="str">
        <x:v>Health and biosecurity / Human disease control
See named authority or attributed report in cited sources
Applies to: Source-supported phase only; see qualification
The SARS spokesperson explicitly describes decontamination after a positive staff test as protecting staff and users; code human disease control for the disinfection suspension.</x:v>
      </x:c>
      <x:c r="H718" s="4" t="str">
        <x:v>REC50-R06-002-P1: New cargo admission was interrupted on 15 July 2020 while trucks already in the customs area continued to be processed. A dated 16 July report records afternoon reopening and includes an operational-status update by 15:59. The calendar-date difference is one day; neither the exact first restored vehicle time nor an exact elapsed-hour duration is established.
Timing / scope evidence: Obtain direct gate or SARS records for actual resumption clocks and movement exceptions. The reopening day is reported as 16 July; exact first passage and complete operational scope remain qualified.
Phase geography: Every proposed phase is intentionally unlocated.</x:v>
      </x:c>
      <x:c r="I718" s="4" t="str">
        <x:v>Full-record source audit (REC50-R15); retained with recorded qualifications; evidence limits retained.</x:v>
      </x:c>
      <x:c r="J718" s="18" t="d">
        <x:v>2026-10-25T00:00:00.000Z</x:v>
      </x:c>
      <x:c r="K718" s="21" t="str">
        <x:f>IFERROR(HYPERLINK("https://clubofmozambique.com/news/lebombo-border-post-to-mozambique-temporary-closed-as-sars-staff-tests-positive-for-covid-19/","Club of Mozambique"),"Club of Mozambique")</x:f>
        <x:v>Club of Mozambique</x:v>
      </x:c>
      <x:c r="L718" s="21" t="str">
        <x:f>IFERROR(HYPERLINK("https://www.wylie.co.za/Articles/Read/39/URGENT-NOTICE-Lebombo-Border-is-Now-Open","Shepstone &amp; Wylie"),"Shepstone &amp; Wylie")</x:f>
        <x:v>Shepstone &amp; Wylie</x:v>
      </x:c>
      <x:c r="M718" s="21" t="str">
        <x:f>IFERROR(HYPERLINK("https://wiki.unece.org/spaces/CTRBSBC/pages/101549007/South%2BAfrica","UNECE Observatory on Border Crossings Status due to COVID-19"),"UNECE Observatory on Border Crossings Status due to COVID-19")</x:f>
        <x:v>UNECE Observatory on Border Crossings Status due to COVID-19</x:v>
      </x:c>
      <x:c r="N718" s="4" t="str">
        <x:v>https://clubofmozambique.com/news/lebombo-border-post-to-mozambique-temporary-closed-as-sars-staff-tests-positive-for-covid-19/
https://www.wylie.co.za/Articles/Read/39/URGENT-NOTICE-Lebombo-Border-is-Now-Open
https://wiki.unece.org/spaces/CTRBSBC/pages/101549007/South%2BAfrica
https://clubofmozambique.com/news/mozambique-south-africa-ressano-garcia-lebombo-border-reopens/
https://au-pida.org/events/wp-content/uploads/2024/11/One-Stop-Border-Post-OSBP-Status-Report.pdf</x:v>
      </x:c>
      <x:c r="O718" s="4" t="str">
        <x:v>Source 1: full text
Source 2: full text
Source 3: indexed extract</x:v>
      </x:c>
      <x:c r="P718" s="20" t="n">
        <x:v>1</x:v>
      </x:c>
      <x:c r="Q718" s="4" t="str">
        <x:v>Southern Africa</x:v>
      </x:c>
      <x:c r="R718" s="4" t="str">
        <x:v>Included</x:v>
      </x:c>
    </x:row>
    <x:row r="719" ht="150" hidden="0" customHeight="1">
      <x:c r="A719" s="16" t="str">
        <x:v>REC50-R06-003</x:v>
      </x:c>
      <x:c r="B719" s="4" t="str">
        <x:v>Beitbridge Zimbabwe-side customs-service interruption for disinfection on 3 August 2020</x:v>
      </x:c>
      <x:c r="C719" s="4" t="str">
        <x:v>Zimbabwe; South Africa</x:v>
      </x:c>
      <x:c r="D719" s="4" t="str">
        <x:v>Beitbridge
Beitbridge; crossing-specific services or movement restriction only</x:v>
      </x:c>
      <x:c r="E719" s="4" t="str">
        <x:v>Movements requiring ZIMRA customs offices; the precise exception list is not specified
Direction: Zimbabwe-side services; full directional detail not supplied
Exceptions: No claim that every essential movement stopped, or that wider COVID passenger restrictions ended.</x:v>
      </x:c>
      <x:c r="F719" s="4" t="str">
        <x:v>REC50-R06-003-P1 — Announced window
Beitbridge ZIMRA office-disinfection closure scheduled for 3 August 2020
Start: 2020-08-03.
Scheduled endpoint: 2020-08-03.
Ordered window: dated evidence; numeric duration withheld; see qualification
REC50-R06-003-P2 — Observed operation
Reported same-day Beitbridge service interruption and restoration on 3 August 2020
Start: 2020-08-03.
Observed scoped reopening: 2020-08-03.
dated evidence; numeric duration withheld; see qualification</x:v>
      </x:c>
      <x:c r="G719" s="4" t="str">
        <x:v>Health and biosecurity / Human disease control
See named authority or attributed report in cited sources
Applies to: Source-supported phase only; see qualification
The primary ZIMRA notice explicitly gives COVID-19 office disinfection as the purpose. The later table supports a reported same-day operational event, not an independently measured six-hour duration.</x:v>
      </x:c>
      <x:c r="H719" s="4" t="str">
        <x:v>REC50-R06-003-P1: The official notice establishes only the intended window, not an observed six-hour interruption.
REC50-R06-003-P2: A logistics-company table reports same-day Beitbridge closure and reopening, without identifying the national service. The date matches the separate ZIMRA schedule, but the table alone does not certify reopening of those Zimbabwean offices. Actual clocks, movement exceptions and numerical closed days remain unverified or withheld.
Timing / scope evidence: Seek a dated ZIMRA reopening confirmation or gate-level account for actual clocks and movement exceptions; retain the industry table’s provenance and limitations.
Phase geography: Every proposed phase is intentionally unlocated.</x:v>
      </x:c>
      <x:c r="I719" s="4" t="str">
        <x:v>Full-record source audit (REC50-R20); retained with recorded qualifications; evidence limits retained.</x:v>
      </x:c>
      <x:c r="J719" s="18" t="d">
        <x:v>2026-10-25T00:00:00.000Z</x:v>
      </x:c>
      <x:c r="K719" s="21" t="str">
        <x:f>IFERROR(HYPERLINK("https://www.zimra.co.zw/public-notices?download=684:public-notice-41of-2020-on-border-closure-covid-19","Zimbabwe Revenue Authority"),"Zimbabwe Revenue Authority")</x:f>
        <x:v>Zimbabwe Revenue Authority</x:v>
      </x:c>
      <x:c r="L719" s="21" t="str">
        <x:f>IFERROR(HYPERLINK("https://www.globaltradesolution.co.za/assets/Border%20Post%20Status%20Summary%20-%2011-09-2020.pdf","Global Trade Solution"),"Global Trade Solution")</x:f>
        <x:v>Global Trade Solution</x:v>
      </x:c>
      <x:c r="M719" s="21" t="str">
        <x:f>IFERROR(HYPERLINK("https://au-pida.org/events/wp-content/uploads/2024/11/One-Stop-Border-Post-OSBP-Status-Report.pdf","African Union Programme for Infrastructure Development in Africa"),"African Union Programme for Infrastructure Development in Africa")</x:f>
        <x:v>African Union Programme for Infrastructure Development in Africa</x:v>
      </x:c>
      <x:c r="N719" s="4" t="str">
        <x:v>https://www.zimra.co.zw/public-notices?download=684:public-notice-41of-2020-on-border-closure-covid-19
https://www.globaltradesolution.co.za/assets/Border%20Post%20Status%20Summary%20-%2011-09-2020.pdf
https://au-pida.org/events/wp-content/uploads/2024/11/One-Stop-Border-Post-OSBP-Status-Report.pdf</x:v>
      </x:c>
      <x:c r="O719" s="4" t="str">
        <x:v>Source 1: full text
Source 2: full text
Source 3: full text</x:v>
      </x:c>
      <x:c r="P719" s="20" t="n">
        <x:v>2</x:v>
      </x:c>
      <x:c r="Q719" s="4" t="str">
        <x:v>Southern Africa</x:v>
      </x:c>
      <x:c r="R719" s="4" t="str">
        <x:v>Included</x:v>
      </x:c>
    </x:row>
    <x:row r="720" ht="138" hidden="0" customHeight="1">
      <x:c r="A720" s="16" t="str">
        <x:v>REC50-R06-004</x:v>
      </x:c>
      <x:c r="B720" s="4" t="str">
        <x:v>Beitbridge exceptional night-time passenger curfews in December 2020</x:v>
      </x:c>
      <x:c r="C720" s="4" t="str">
        <x:v>Zimbabwe; South Africa</x:v>
      </x:c>
      <x:c r="D720" s="4" t="str">
        <x:v>Beitbridge
Beitbridge; crossing-specific services or movement restriction only</x:v>
      </x:c>
      <x:c r="E720" s="4" t="str">
        <x:v>Non-exempt general passengers during reported night curfew hours
Direction: General crossing rule; source-specific direction detail retained in phases
Exceptions: Cargo/commercial trucks and, in the 20 December account, other essential service providers are exempt.</x:v>
      </x:c>
      <x:c r="F720" s="4" t="str">
        <x:v>REC50-R06-004-P1 — Intermittent regime
Beitbridge non-exempt passenger curfew reported on 20 December 2020
Start: unknown.
Last confirmed: 2020-12-20. Reopening is not established.
Intermittent regime envelope; total closed days unknown
REC50-R06-004-P2 — Intermittent regime
Beitbridge revised non-exempt passenger curfew reported on 31 December 2020
Start: unknown.
Last confirmed: 2020-12-31. Reopening is not established.
Intermittent regime envelope; total closed days unknown</x:v>
      </x:c>
      <x:c r="G720" s="4" t="str">
        <x:v>Health and biosecurity / Human disease control
See named authority or attributed report in cited sources
Applies to: Source-supported phase only; see qualification
The named immigration official ties the newly applied night restriction to South Africa’s COVID curfew, and the later report places the revised schedule under pandemic regulations. This is an exceptional documented pandemic restriction, not routine overnight opening hours.</x:v>
      </x:c>
      <x:c r="H720" s="4" t="str">
        <x:v>REC50-R06-004-P1: 20 December is a dated enforcement account, not the first curfew night or a reopening. Cargo and other essential service providers remain exempt.
REC50-R06-004-P2: 31 December confirms the revised schedule, not its first night or an end of the restriction. Later staffing plans do not supply the curfew’s expiry.
Timing / scope evidence: Establish the first implemented night, the change to the 21:00 schedule, and the final end or superseding rule without assuming continuous 24-hour closure.
Phase geography: Every proposed phase is intentionally unlocated.</x:v>
      </x:c>
      <x:c r="I720" s="4" t="str">
        <x:v>Full-record source audit (REC50-R10); retained with recorded qualifications; evidence limits retained.</x:v>
      </x:c>
      <x:c r="J720" s="18" t="d">
        <x:v>2026-10-25T00:00:00.000Z</x:v>
      </x:c>
      <x:c r="K720" s="21" t="str">
        <x:f>IFERROR(HYPERLINK("https://www.zimlive.com/zimbabwe-closes-border-with-south-africa-between-10pm-and-6am/","ZimLive / Zimbabwe News Now"),"ZimLive / Zimbabwe News Now")</x:f>
        <x:v>ZimLive / Zimbabwe News Now</x:v>
      </x:c>
      <x:c r="L720" s="21" t="str">
        <x:f>IFERROR(HYPERLINK("https://www.heraldonline.co.zw/sa-not-closing-borders-in-revised-level-3/","Chronicle / Herald Online"),"Chronicle / Herald Online")</x:f>
        <x:v>Chronicle / Herald Online</x:v>
      </x:c>
      <x:c r="M720" s="21"/>
      <x:c r="N720" s="4" t="str">
        <x:v>https://www.zimlive.com/zimbabwe-closes-border-with-south-africa-between-10pm-and-6am/
https://www.heraldonline.co.zw/sa-not-closing-borders-in-revised-level-3/
https://au-pida.org/events/wp-content/uploads/2024/11/One-Stop-Border-Post-OSBP-Status-Report.pdf</x:v>
      </x:c>
      <x:c r="O720" s="4" t="str">
        <x:v>Source 1: full text
Source 2: full text</x:v>
      </x:c>
      <x:c r="P720" s="20" t="n">
        <x:v>2</x:v>
      </x:c>
      <x:c r="Q720" s="4" t="str">
        <x:v>Southern Africa</x:v>
      </x:c>
      <x:c r="R720" s="4" t="str">
        <x:v>Included</x:v>
      </x:c>
    </x:row>
    <x:row r="721" ht="282" hidden="0" customHeight="1">
      <x:c r="A721" s="16" t="str">
        <x:v>REC50-R07-001</x:v>
      </x:c>
      <x:c r="B721" s="4" t="str">
        <x:v>Guatemala–Mexico named-crossing blockades during October 2023 protests</x:v>
      </x:c>
      <x:c r="C721" s="4" t="str">
        <x:v>Guatemala; Mexico</x:v>
      </x:c>
      <x:c r="D721" s="4" t="str">
        <x:v>El Ceibo; Tecun Uman; El Carmen; La Mesilla
Four named crossings with distinct dated and movement-specific observations</x:v>
      </x:c>
      <x:c r="E721" s="4" t="str">
        <x:v>See phase-specific road and customs/freight scope
Direction: See individual phase observations
Exceptions: No uniform exception list established; passenger closure is not inferred from freight logistics</x:v>
      </x:c>
      <x:c r="F721" s="4" t="str">
        <x:v>REC50-R07-001-P1 — Observed operation
El Ceibo border-post or access restriction, as attributed in the dated report
Start: unknown.
Last confirmed: 2023-10-07. Reopening is not established.
dated evidence; numeric duration withheld; see qualification
REC50-R07-001-P2 — Observed operation
Tecun Uman border-post or access restriction, as attributed in the dated report
Start: unknown.
Last confirmed: 2023-10-07. Reopening is not established.
dated evidence; numeric duration withheld; see qualification
REC50-R07-001-P3 — Observed operation
El Carmen border-post or access restriction, as attributed in the dated report
Start: unknown.
Last confirmed: 2023-10-09. Reopening is not established.
dated evidence; numeric duration withheld; see qualification
REC50-R07-001-P4 — Observed operation
La Mesilla border-post or access restriction, as attributed in the dated report
Start: unknown.
Last confirmed: 2023-10-09. Reopening is not established.
dated evidence; numeric duration withheld; see qualification</x:v>
      </x:c>
      <x:c r="G721" s="4" t="str">
        <x:v>Power and regime politics
Source-attributed reason; see qualification
Applies to: Scope and phases stated below; no primary rationale or universal overlap inferred
The reports attribute the campaign to demands for resignations of senior prosecutors. This is source-attributed campaign rationale, not an inferred personal motivation of every participant.</x:v>
      </x:c>
      <x:c r="H721" s="4" t="str">
        <x:v>REC50-R07-001-P1: No exact onset, restoration or uninterrupted interval is established. The October 7 post descriptions and October 9 customs observations are separate; earlier and later road bulletins are context only. No uniform passenger/freight or whole-boundary closure is inferred.
REC50-R07-001-P2: No exact onset, restoration or uninterrupted interval is established. The October 7 post descriptions and October 9 customs observations are separate; earlier and later road bulletins are context only. No uniform passenger/freight or whole-boundary closure is inferred.
REC50-R07-001-P3: No exact onset, restoration or uninterrupted interval is established. The October 7 post descriptions and October 9 customs observations are separate; earlier and later road bulletins are context only. No uniform passenger/freight or whole-boundary closure is inferred.
REC50-R07-001-P4: No exact onset, restoration or uninterrupted interval is established. The October 7 post descriptions and October 9 customs observations are separate; earlier and later road bulletins are context only. No uniform passenger/freight or whole-boundary closure is inferred.
scope / onset / restoration / geography: Obtain site-specific operations and barrier-location records, exceptions and actual restoration. El Ceibo road kilometre labels cannot be silently assigned to the customs gate.</x:v>
      </x:c>
      <x:c r="I721" s="4" t="str">
        <x:v>Full-record source audit (REC50-R10); retained with recorded qualifications; evidence limits retained.</x:v>
      </x:c>
      <x:c r="J721" s="18" t="d">
        <x:v>2026-10-25T00:00:00.000Z</x:v>
      </x:c>
      <x:c r="K721" s="21" t="str">
        <x:f>IFERROR(HYPERLINK("https://centroamerica360.com/politica/laberinto-de-bloqueos-se-mantiene-en-guatemala-por-sexto-dia/?noamp=mobile","Centroamérica360"),"Centroamérica360")</x:f>
        <x:v>Centroamérica360</x:v>
      </x:c>
      <x:c r="L721" s="21" t="str">
        <x:f>IFERROR(HYPERLINK("https://www.prensalibre.com/economia/se-reportan-problemas-con-las-exportaciones-e-importaciones-de-guatemala-y-el-comercio-terrestre-con-el-salvador-ya-se-interrumpio/","Prensa Libre / Urias Gamarro"),"Prensa Libre / Urias Gamarro")</x:f>
        <x:v>Prensa Libre / Urias Gamarro</x:v>
      </x:c>
      <x:c r="M721" s="21" t="str">
        <x:f>IFERROR(HYPERLINK("https://www.prensalibre.com/guatemala/elecciones-generales-guatemala-2023/horarios-de-bloqueos-hoy-manana-en-guatemala-octubre-2023-carreteras/","Prensa Libre live reporting"),"Prensa Libre live reporting")</x:f>
        <x:v>Prensa Libre live reporting</x:v>
      </x:c>
      <x:c r="N721" s="4" t="str">
        <x:v>https://centroamerica360.com/politica/laberinto-de-bloqueos-se-mantiene-en-guatemala-por-sexto-dia/?noamp=mobile
https://www.prensalibre.com/economia/se-reportan-problemas-con-las-exportaciones-e-importaciones-de-guatemala-y-el-comercio-terrestre-con-el-salvador-ya-se-interrumpio/
https://www.prensalibre.com/guatemala/elecciones-generales-guatemala-2023/horarios-de-bloqueos-hoy-manana-en-guatemala-octubre-2023-carreteras/
https://dataexport.com.gt/bloqueos-13-octubre/
https://www.prensalibre.com/ahora/economia/sat-publica-reforma-sobre-restricciones-de-peso-de-transporte-en-aduana-el-ceibo/
https://www.openstreetmap.org/node/5457825751
https://www.openstreetmap.org/way/570196979
https://www.openstreetmap.org/way/1253749042
https://www.openstreetmap.org/node/3485479359
https://www.openstreetmap.org/way/1321905356
https://www.openstreetmap.org/way/1030566731
https://www.openstreetmap.org/node/4699302038
https://www.openstreetmap.org/way/47608614
https://www.openstreetmap.org/way/191467615
https://www.openstreetmap.org/way/406492344
https://www.openstreetmap.org/way/1020053368</x:v>
      </x:c>
      <x:c r="O721" s="4" t="str">
        <x:v>Source 1: full text
Source 2: full text
Source 3: full text</x:v>
      </x:c>
      <x:c r="P721" s="20" t="n">
        <x:v>4</x:v>
      </x:c>
      <x:c r="Q721" s="4" t="str">
        <x:v>Americas</x:v>
      </x:c>
      <x:c r="R721" s="4" t="str">
        <x:v>Included</x:v>
      </x:c>
    </x:row>
    <x:row r="722" ht="162" hidden="0" customHeight="1">
      <x:c r="A722" s="16" t="str">
        <x:v>REC50-R07-002</x:v>
      </x:c>
      <x:c r="B722" s="4" t="str">
        <x:v>Agua Caliente integrated-post suspension for bridge works, September–November 2021 evidence</x:v>
      </x:c>
      <x:c r="C722" s="4" t="str">
        <x:v>Guatemala; Honduras</x:v>
      </x:c>
      <x:c r="D722" s="4" t="str">
        <x:v>Agua Caliente–Nueva Ocotepeque
Integrated post and its bridge approach</x:v>
      </x:c>
      <x:c r="E722" s="4" t="str">
        <x:v>Customs operations and heavy freight, as specified
Direction: Both-country freight movements
Exceptions: Alternative heavy-freight route through Corinto; no complete passenger exception list established</x:v>
      </x:c>
      <x:c r="F722" s="4" t="str">
        <x:v>REC50-R07-002-P1 — Formal policy
Agua Caliente integrated-post suspension for Bailey-bridge works; heavy-freight routing explicitly stated
Start: 2021-09-20.
Last confirmed: 2021-11-21. Reopening is not established.
Formal policy: confirmed through 2021-11-21; at least 62 calendar-day difference; reopening unknown</x:v>
      </x:c>
      <x:c r="G722" s="4" t="str">
        <x:v>Administration and service operation
Source-attributed reason; see qualification
Applies to: Scope and phases stated below; no primary rationale or universal overlap inferred
Authorities attribute the suspension to bridge installation and associated infrastructure works.</x:v>
      </x:c>
      <x:c r="H722" s="4" t="str">
        <x:v>REC50-R07-002-P1: Formal suspension period only; exact first/last refused vehicle and every movement exception are not established. Corinto extended hours to 15 January 2022 do not establish Agua Caliente reopening.
scope / onset / restoration / geography: Find actual restoration and mode-specific operating records. The 62-day policy-date lower bound is not a verified continuous operational closure duration.</x:v>
      </x:c>
      <x:c r="I722" s="4" t="str">
        <x:v>Full-record source audit (REC50-R15); retained with recorded qualifications; evidence limits retained.</x:v>
      </x:c>
      <x:c r="J722" s="18" t="d">
        <x:v>2026-10-25T00:00:00.000Z</x:v>
      </x:c>
      <x:c r="K722" s="21" t="str">
        <x:f>IFERROR(HYPERLINK("https://agexporthoy.export.com.gt/agexport/suspension-temporal-de-las-operaciones-en-puesto-fronterizo-integrado-de-agua-caliente/","AGEXPORT"),"AGEXPORT")</x:f>
        <x:v>AGEXPORT</x:v>
      </x:c>
      <x:c r="L722" s="21" t="str">
        <x:f>IFERROR(HYPERLINK("https://agexporthoy.export.com.gt/wp-content/uploads/2021/09/SUSPENSION-PUENTE-FRONTERIZO-AGUA-CALIENTE-Actualizado.pdf","AGEXPORT / SAT-attributed circular"),"AGEXPORT / SAT-attributed circular")</x:f>
        <x:v>AGEXPORT / SAT-attributed circular</x:v>
      </x:c>
      <x:c r="M722" s="21" t="str">
        <x:f>IFERROR(HYPERLINK("https://proceso.hn/continua-cierre-temporal-punto-fronterizo-de-agua-caliente/","Proceso Digital"),"Proceso Digital")</x:f>
        <x:v>Proceso Digital</x:v>
      </x:c>
      <x:c r="N722" s="4" t="str">
        <x:v>https://agexporthoy.export.com.gt/agexport/suspension-temporal-de-las-operaciones-en-puesto-fronterizo-integrado-de-agua-caliente/
https://agexporthoy.export.com.gt/wp-content/uploads/2021/09/SUSPENSION-PUENTE-FRONTERIZO-AGUA-CALIENTE-Actualizado.pdf
https://proceso.hn/continua-cierre-temporal-punto-fronterizo-de-agua-caliente/
https://www.openstreetmap.org/node/13099237846
https://www.openstreetmap.org/way/742745126
https://www.openstreetmap.org/way/882312803
https://www.openstreetmap.org/way/1425110754
https://www.openstreetmap.org/node/3784049876
https://www.openstreetmap.org/node/3804076609
https://agn.gt/migracion-anuncia-cierre-temporal-en-puesto-fronterizo-integrado-de-agua-caliente-nueva-ocotepeque/</x:v>
      </x:c>
      <x:c r="O722" s="4" t="str">
        <x:v>Source 1: full text
Source 2: full text
Source 3: full text</x:v>
      </x:c>
      <x:c r="P722" s="20" t="n">
        <x:v>1</x:v>
      </x:c>
      <x:c r="Q722" s="4" t="str">
        <x:v>Americas</x:v>
      </x:c>
      <x:c r="R722" s="4" t="str">
        <x:v>Included</x:v>
      </x:c>
    </x:row>
    <x:row r="723" ht="126" hidden="0" customHeight="1">
      <x:c r="A723" s="16" t="str">
        <x:v>REC50-R07-003</x:v>
      </x:c>
      <x:c r="B723" s="4" t="str">
        <x:v>Agua Caliente planned maintenance closure, May 2025</x:v>
      </x:c>
      <x:c r="C723" s="4" t="str">
        <x:v>Guatemala; Honduras</x:v>
      </x:c>
      <x:c r="D723" s="4" t="str">
        <x:v>Agua Caliente–Nueva Ocotepeque
Named integrated crossing and bridge works</x:v>
      </x:c>
      <x:c r="E723" s="4" t="str">
        <x:v>Announced full entry and exit restriction
Direction: Both directions
Exceptions: Alternative crossings recommended; early restoration was possible but not observed</x:v>
      </x:c>
      <x:c r="F723" s="4" t="str">
        <x:v>REC50-R07-003-P1 — Announced window
Announced complete Agua Caliente–Nueva Ocotepeque entry/exit suspension for paving works
Start: 2025-05-24.
Scheduled endpoint: 2025-05-26.
Ordered window: 2 calendar-day difference; actual end not established</x:v>
      </x:c>
      <x:c r="G723" s="4" t="str">
        <x:v>Administration and service operation
Source-attributed reason; see qualification
Applies to: Scope and phases stated below; no primary rationale or universal overlap inferred
Officially attributed to road/bridge-entrance maintenance.</x:v>
      </x:c>
      <x:c r="H723" s="4" t="str">
        <x:v>REC50-R07-003-P1: 24 May 18:00–26 May 06:00 is an announced 36-hour window with a two-day calendar-date difference. Actual enforcement and reopening are not established; do not treat either measure as an operational-duration observation.
scope / onset / restoration / geography: Obtain contemporaneous enforcement and actual reopening evidence; retain the scheduled-versus-observed distinction.</x:v>
      </x:c>
      <x:c r="I723" s="4" t="str">
        <x:v>Full-record source audit (REC50-R10); retained with recorded qualifications; evidence limits retained.</x:v>
      </x:c>
      <x:c r="J723" s="18" t="d">
        <x:v>2026-10-25T00:00:00.000Z</x:v>
      </x:c>
      <x:c r="K723" s="21" t="str">
        <x:f>IFERROR(HYPERLINK("https://agn.gt/migracion-anuncia-cierre-temporal-en-puesto-fronterizo-integrado-de-agua-caliente-nueva-ocotepeque/","Coordinate evidence source"),"Coordinate evidence source")</x:f>
        <x:v>Coordinate evidence source</x:v>
      </x:c>
      <x:c r="L723" s="21" t="str">
        <x:f>IFERROR(HYPERLINK("https://www.emisorasunidas.com/nacional/2025/05/24/cerraran-el-paso-fronterizo-agua-caliente-chiquimula/","Emisoras Unidas / Eliseo de León"),"Emisoras Unidas / Eliseo de León")</x:f>
        <x:v>Emisoras Unidas / Eliseo de León</x:v>
      </x:c>
      <x:c r="M723" s="21"/>
      <x:c r="N723" s="4" t="str">
        <x:v>https://agn.gt/migracion-anuncia-cierre-temporal-en-puesto-fronterizo-integrado-de-agua-caliente-nueva-ocotepeque/
https://www.emisorasunidas.com/nacional/2025/05/24/cerraran-el-paso-fronterizo-agua-caliente-chiquimula/
https://www.openstreetmap.org/node/13099237846
https://www.openstreetmap.org/way/742745126
https://www.openstreetmap.org/way/882312803
https://www.openstreetmap.org/way/1425110754
https://www.openstreetmap.org/node/3784049876
https://www.openstreetmap.org/node/3804076609</x:v>
      </x:c>
      <x:c r="O723" s="4" t="str">
        <x:v>Source 1: full text
Source 2: full text</x:v>
      </x:c>
      <x:c r="P723" s="20" t="n">
        <x:v>1</x:v>
      </x:c>
      <x:c r="Q723" s="4" t="str">
        <x:v>Americas</x:v>
      </x:c>
      <x:c r="R723" s="4" t="str">
        <x:v>Included</x:v>
      </x:c>
    </x:row>
    <x:row r="724" ht="102" hidden="0" customHeight="1">
      <x:c r="A724" s="16" t="str">
        <x:v>REC50-R08-001</x:v>
      </x:c>
      <x:c r="B724" s="4" t="str">
        <x:v>Narva 2 / Parusinka pedestrian-post suspension from November 2022</x:v>
      </x:c>
      <x:c r="C724" s="4" t="str">
        <x:v>Estonia; Russia</x:v>
      </x:c>
      <x:c r="D724" s="4" t="str">
        <x:v>Narva 2 / Parusinka
One pedestrian bridge/post, distinct from the main Narva road crossing</x:v>
      </x:c>
      <x:c r="E724" s="4" t="str">
        <x:v>Eligible pedestrians using Narva 2
Direction: Both directions at Narva 2
Exceptions: Narva 1 remained an alternative; no whole-frontier or main-road-post closure is implied.</x:v>
      </x:c>
      <x:c r="F724" s="4" t="str">
        <x:v>REC50-R08-001-P1 — Observed operation
Narva 2 / Parusinka pedestrian crossing closed; Narva 1 remains an alternative
Start: 2022-11-28.
Last confirmed: 2026-06-03. Reopening is not established.
confirmed through 2026-06-03; at least 1283 calendar-day difference; reopening unknown</x:v>
      </x:c>
      <x:c r="G724" s="4" t="str">
        <x:v>Administration and service operation / Checkpoint authorisation and consolidation
Interior Minister Lauri Läänemets in S001/S002; later ministerial account in S004
Applies to: P1
The attributed reason is consolidation and staff/facility use during reconstruction. The initiating minister explicitly rejected security as the closure rationale.</x:v>
      </x:c>
      <x:c r="H724" s="4" t="str">
        <x:v>REC50-R08-001-P1: Closure is reported on 28 November 2022 and the same post is still described as closed on 3 June 2026. The 1,283-day difference is a qualified censored lower bound, not a complete duration or evidence beyond that confirmation.
Endpoint, continuity and geography as scoped: Seek a scoped reopening or later dated confirmation and any material exceptional-access evidence.</x:v>
      </x:c>
      <x:c r="I724" s="4" t="str">
        <x:v>Full-record source audit (REC50-R10); retained with recorded qualifications; evidence limits retained.</x:v>
      </x:c>
      <x:c r="J724" s="18" t="d">
        <x:v>2026-10-25T00:00:00.000Z</x:v>
      </x:c>
      <x:c r="K724" s="21" t="str">
        <x:f>IFERROR(HYPERLINK("https://www.siseministeerium.ee/uudised/riik-sulgeb-narvas-jalakaijate-piiripunkti","Coordinate evidence source"),"Coordinate evidence source")</x:f>
        <x:v>Coordinate evidence source</x:v>
      </x:c>
      <x:c r="L724" s="21" t="str">
        <x:f>IFERROR(HYPERLINK("https://www.err.ee/1608793015/narva-2-piiripunkt-laheb-kinni-28-novembril","ERR"),"ERR")</x:f>
        <x:v>ERR</x:v>
      </x:c>
      <x:c r="M724" s="21" t="str">
        <x:f>IFERROR(HYPERLINK("https://www.err.ee/1608803317/ppa-sulges-narva-2-piiripunkti","ERR"),"ERR")</x:f>
        <x:v>ERR</x:v>
      </x:c>
      <x:c r="N724" s="4" t="str">
        <x:v>https://www.siseministeerium.ee/uudised/riik-sulgeb-narvas-jalakaijate-piiripunkti
https://www.err.ee/1608793015/narva-2-piiripunkt-laheb-kinni-28-novembril
https://www.err.ee/1608803317/ppa-sulges-narva-2-piiripunkti
https://news.err.ee/1610045215/interior-minister-currently-impossible-to-speed-up-border-crossing-in-narva
https://www.openstreetmap.org/node/323161952
https://www.openstreetmap.org/way/93931782
https://www.openstreetmap.org/way/29391585</x:v>
      </x:c>
      <x:c r="O724" s="4" t="str">
        <x:v>Source 1: full text
Source 2: full text
Source 3: full text</x:v>
      </x:c>
      <x:c r="P724" s="20" t="n">
        <x:v>1</x:v>
      </x:c>
      <x:c r="Q724" s="4" t="str">
        <x:v>Europe</x:v>
      </x:c>
      <x:c r="R724" s="4" t="str">
        <x:v>Included</x:v>
      </x:c>
    </x:row>
    <x:row r="725" ht="258" hidden="0" customHeight="1">
      <x:c r="A725" s="16" t="str">
        <x:v>REC50-R08-002</x:v>
      </x:c>
      <x:c r="B725" s="4" t="str">
        <x:v>Narva 1 / Ivangorod vehicle restriction and separate pedestrian night schedules</x:v>
      </x:c>
      <x:c r="C725" s="4" t="str">
        <x:v>Estonia; Russia</x:v>
      </x:c>
      <x:c r="D725" s="4" t="str">
        <x:v>Narva 1 / Ivangorod
Narva 1 / Ivangorod road crossing only; rail and Narva 2 are separate</x:v>
      </x:c>
      <x:c r="E725" s="4" t="str">
        <x:v>Vehicles in P1; overnight pedestrian passage in P2/P3
Direction: Both directions
Exceptions: Foot passage remains possible during the stated hours. The initial vehicle notice also excepts rail; no claim about later rail operation is inferred.</x:v>
      </x:c>
      <x:c r="F725" s="4" t="str">
        <x:v>REC50-R08-002-P1 — Formal policy
All road vehicles excluded through Narva 1 / Ivangorod; pedestrian crossing retained
Start: 2024-02-01.
Last confirmed: 2026-02-23. Reopening is not established.
Formal policy: confirmed through 2026-02-23; at least 753 calendar-day difference; reopening unknown
REC50-R08-002-P2 — Intermittent regime
Narva 1 pedestrian crossing unavailable overnight under the 07:00–23:00 operating schedule
Start: 2024-05-01.
Policy endpoint: 2026-06-15.
Intermittent regime envelope; total closed days unknown
REC50-R08-002-P3 — Intermittent regime
Narva 1 pedestrian operating hours reduced to 07:00–19:00
Start: 2026-06-15.
Last confirmed: 2026-08-13. Reopening is not established.
Intermittent regime envelope; total closed days unknown</x:v>
      </x:c>
      <x:c r="G725" s="4" t="str">
        <x:v>Administration and service operation / Temporary service suspension
Russian reconstruction explanation reported by Estonian customs in S005
Applies to: P1 only
Use the stated reconstruction reason for the vehicle restriction. Do not substitute migration pressure or general war context.
Administration and service operation / Checkpoint authorisation and consolidation
ERR attributes the night-hours proposal to reduced traffic; government and ministry describe staffing allocation
Applies to: P2 and P3, as separately supported
Reduced hours and staff deployment are attributed operational reasons. These do not imply a permanent closure of the crossing.
Security / Unspecified security
Interior Minister Igor Taro and government/ministry notices
Applies to: P3 only
Border security, incident response and customs enforcement are explicitly stated. The sources do not establish a narrower security subcategory for this schedule.</x:v>
      </x:c>
      <x:c r="H725" s="4" t="str">
        <x:v>REC50-R08-002-P1: The 1 February date is the announced rule’s start. Later official notices confirm pedestrian-only operation. The 753-day difference describes a qualified policy span through 23 February 2026, not a complete observed vehicle-closure duration. The end-2025 construction target is not an endpoint.
REC50-R08-002-P2: This is the 07:00–23:00 schedule version, ending when the narrower schedule takes effect on 15 June 2026. That boundary is not unrestricted reopening. Daily closed hours are not added into a continuous duration.
REC50-R08-002-P3: A recurring 07:00–19:00 schedule is confirmed in July and its indefinite extension is reported on 13 August. The reopening date is unknown and no continuous closure duration is calculated.
Endpoint, continuity and geography as scoped: Retrieve a vehicle reopening or later dated confirmation, and the original legal instrument for the August schedule extension.</x:v>
      </x:c>
      <x:c r="I725" s="4" t="str">
        <x:v>Full-record source audit (REC50-R10); retained with recorded qualifications; evidence limits retained.</x:v>
      </x:c>
      <x:c r="J725" s="18" t="d">
        <x:v>2026-10-25T00:00:00.000Z</x:v>
      </x:c>
      <x:c r="K725" s="21" t="str">
        <x:f>IFERROR(HYPERLINK("https://www.emta.ee/en/news/1-february-narva-border-crossing-point-open-only-pedestrians","Coordinate evidence source"),"Coordinate evidence source")</x:f>
        <x:v>Coordinate evidence source</x:v>
      </x:c>
      <x:c r="L725" s="21" t="str">
        <x:f>IFERROR(HYPERLINK("https://kriis.ee/en/news/may-1-narva-border-crossing-point-closed-night","Estonian government crisis-information service"),"Estonian government crisis-information service")</x:f>
        <x:v>Estonian government crisis-information service</x:v>
      </x:c>
      <x:c r="M725" s="21" t="str">
        <x:f>IFERROR(HYPERLINK("https://www.emta.ee/en/news/luhamaa-and-koidula-border-crossing-points-closed-night-24-february","Estonian Tax and Customs Board"),"Estonian Tax and Customs Board")</x:f>
        <x:v>Estonian Tax and Customs Board</x:v>
      </x:c>
      <x:c r="N725" s="4" t="str">
        <x:v>https://www.emta.ee/en/news/1-february-narva-border-crossing-point-open-only-pedestrians
https://kriis.ee/en/news/may-1-narva-border-crossing-point-closed-night
https://www.emta.ee/en/news/luhamaa-and-koidula-border-crossing-points-closed-night-24-february
https://news.err.ee/1609329171/narva-border-closing-overnight-from-may
https://valitsus.ee/en/news/border-crossing-points-remain-closed-night-during-summer
https://www.siseministeerium.ee/en/news/ministry-interior-proposes-extend-restriction-border-crossing-opening-hours
https://news.err.ee/1610109211/estonia-extends-overnight-russia-border-closures-indefinitely
https://www.openstreetmap.org/node/3700730158
https://www.openstreetmap.org/node/3700718877
https://www.openstreetmap.org/way/64320346</x:v>
      </x:c>
      <x:c r="O725" s="4" t="str">
        <x:v>Source 1: full text
Source 2: full text
Source 3: full text</x:v>
      </x:c>
      <x:c r="P725" s="20" t="n">
        <x:v>3</x:v>
      </x:c>
      <x:c r="Q725" s="4" t="str">
        <x:v>Europe</x:v>
      </x:c>
      <x:c r="R725" s="4" t="str">
        <x:v>Included</x:v>
      </x:c>
    </x:row>
    <x:row r="726" ht="126" hidden="0" customHeight="1">
      <x:c r="A726" s="16" t="str">
        <x:v>REC50-R08-003</x:v>
      </x:c>
      <x:c r="B726" s="4" t="str">
        <x:v>Stasylos–Benekainys incoming freight-train restriction from February 2023</x:v>
      </x:c>
      <x:c r="C726" s="4" t="str">
        <x:v>Lithuania; Belarus</x:v>
      </x:c>
      <x:c r="D726" s="4" t="str">
        <x:v>Stasylos–Benekainys railway crossing
Stasylos–Benekainys railway crossing; incoming freight only</x:v>
      </x:c>
      <x:c r="E726" s="4" t="str">
        <x:v>Freight trains entering Lithuania from Belarus
Direction: Belarus to Lithuania
Exceptions: Incoming freight is rerouted to Kena. The regulator’s later decision distinguishes a broader cross-border train restriction from the domestic Stasylos station, which continued operating. The current phase remains limited to incoming freight; outbound phase details and passenger scope require follow-up.</x:v>
      </x:c>
      <x:c r="F726" s="4" t="str">
        <x:v>REC50-R08-003-P1 — Formal policy
Freight trains arriving in Lithuania from Belarus diverted from Stasylos to Kena
Start: 2023-02-16.
Last confirmed: 2023-04-26. Reopening is not established.
Formal policy: confirmed through 2023-04-26; at least 69 calendar-day difference; reopening unknown</x:v>
      </x:c>
      <x:c r="G726" s="4" t="str">
        <x:v>Security / Smuggling and illicit trafficking
Lithuanian Ministry of the Interior and State Border Guard Service
Applies to: P1
The authorities explicitly attribute the restriction to contraband cigarette flows and associated security concerns. No separate economic-protection motive is inferred.</x:v>
      </x:c>
      <x:c r="H726" s="4" t="str">
        <x:v>REC50-R08-003-P1: Official notices support the incoming-freight rule from 16 February and confirm it on 26 April 2023: 69 calendar days as a qualified policy lower bound. No reopening is established. The planned end-2024 X-ray installation and later crossing designation are not endpoints.
Endpoint, continuity and geography as scoped: The regulator PDF is recovered. Its decision supports a broader cross-border restriction while distinguishing continuing domestic station operations; the current phase conservatively retains the ministry’s explicit incoming-freight scope and April 2023 confirmation.</x:v>
      </x:c>
      <x:c r="I726" s="4" t="str">
        <x:v>Full-record source audit (REC50-R10); retained with recorded qualifications; evidence limits retained.</x:v>
      </x:c>
      <x:c r="J726" s="18" t="d">
        <x:v>2026-10-25T00:00:00.000Z</x:v>
      </x:c>
      <x:c r="K726" s="21" t="str">
        <x:f>IFERROR(HYPERLINK("https://vrm.lrv.lt/en/news/freight-trains-from-stasylos-will-be-diverted-to-kena-as-part-of-lithuanias-smuggling-crackdown/","Coordinate evidence source"),"Coordinate evidence source")</x:f>
        <x:v>Coordinate evidence source</x:v>
      </x:c>
      <x:c r="L726" s="21" t="str">
        <x:f>IFERROR(HYPERLINK("https://vsat.lrv.lt/lt/naujienos/apribojus-krovininiu-traukiniu-vykima-per-stasylas-smarkiai-sumazejo-i-lietuva-gabenamos-kontrabandos/","Lithuanian State Border Guard Service"),"Lithuanian State Border Guard Service")</x:f>
        <x:v>Lithuanian State Border Guard Service</x:v>
      </x:c>
      <x:c r="M726" s="21" t="str">
        <x:f>IFERROR(HYPERLINK("https://www.rrt.lt/wp-content/uploads/2024/07/2024-07-04-Nr.-TN-470.pdf","Lithuanian Communications Regulatory Authority"),"Lithuanian Communications Regulatory Authority")</x:f>
        <x:v>Lithuanian Communications Regulatory Authority</x:v>
      </x:c>
      <x:c r="N726" s="4" t="str">
        <x:v>https://vrm.lrv.lt/en/news/freight-trains-from-stasylos-will-be-diverted-to-kena-as-part-of-lithuanias-smuggling-crackdown/
https://vsat.lrv.lt/lt/naujienos/apribojus-krovininiu-traukiniu-vykima-per-stasylas-smarkiai-sumazejo-i-lietuva-gabenamos-kontrabandos/
https://www.rrt.lt/wp-content/uploads/2024/07/2024-07-04-Nr.-TN-470.pdf
https://eur-lex.europa.eu/legal-content/EN/TXT/?uri=CELEX%3A52025XC06236
https://rrt.lt/upload/legacy/legislations/2024/07/2024-07-04-Nr.-TN-470.pdf
https://www.openstreetmap.org/node/159923493
https://www.openstreetmap.org/way/132961651
https://www.openstreetmap.org/way/217776913</x:v>
      </x:c>
      <x:c r="O726" s="4" t="str">
        <x:v>Source 1: full text
Source 2: full text
Source 3: indexed extract</x:v>
      </x:c>
      <x:c r="P726" s="20" t="n">
        <x:v>1</x:v>
      </x:c>
      <x:c r="Q726" s="4" t="str">
        <x:v>Europe</x:v>
      </x:c>
      <x:c r="R726" s="4" t="str">
        <x:v>Included</x:v>
      </x:c>
    </x:row>
    <x:row r="727" ht="174" hidden="0" customHeight="1">
      <x:c r="A727" s="16" t="str">
        <x:v>REC50-R08-004</x:v>
      </x:c>
      <x:c r="B727" s="4" t="str">
        <x:v>Koidula and Luhamaa road-post overnight restrictions from February 2026</x:v>
      </x:c>
      <x:c r="C727" s="4" t="str">
        <x:v>Estonia; Russia</x:v>
      </x:c>
      <x:c r="D727" s="4" t="str">
        <x:v>Koidula; Luhamaa
Two named road crossing points; no whole-country outline or rail-terminal inclusion</x:v>
      </x:c>
      <x:c r="E727" s="4" t="str">
        <x:v>Pedestrian and vehicle crossings during closed night hours
Direction: Both directions
Exceptions: Daytime passage remains available. Narva’s distinct schedule is represented in its own parent.</x:v>
      </x:c>
      <x:c r="F727" s="4" t="str">
        <x:v>REC50-R08-004-P1 — Intermittent regime
Koidula and Luhamaa road crossings unavailable at night while daytime foot and vehicle passage continues
Start: 2026-02-24.
Last confirmed: 2026-08-13. Reopening is not established.
Intermittent regime envelope; total closed days unknown</x:v>
      </x:c>
      <x:c r="G727" s="4" t="str">
        <x:v>Security / Unspecified security
Estonian customs, government and Interior Minister Igor Taro
Applies to: P1
Border incidents attributed to Russia, border security and response capacity are the stated reasons. A full border closure is expressly distinguished from this night schedule.
Administration and service operation / Checkpoint authorisation and consolidation
Government and ministry explanations of staff deployment
Applies to: P1
The government describes using staff more effectively and strengthening daytime customs capacity. This is an attributed service-allocation reason overlapping the stated security reason.</x:v>
      </x:c>
      <x:c r="H727" s="4" t="str">
        <x:v>REC50-R08-004-P1: The recurring 07:00–19:00 operating regime began on 24 February 2026 and was continued rather than reopened at the initial planned limit. Its indefinite extension is reported on 13 August. No total closed days or continuous operational duration is calculated.
Endpoint, continuity and geography as scoped: Retrieve the original August extension instrument and later changes to the road-post operating schedule.</x:v>
      </x:c>
      <x:c r="I727" s="4" t="str">
        <x:v>Full-record source audit (REC50-R10); retained with recorded qualifications; evidence limits retained.</x:v>
      </x:c>
      <x:c r="J727" s="18" t="d">
        <x:v>2026-10-25T00:00:00.000Z</x:v>
      </x:c>
      <x:c r="K727" s="21" t="str">
        <x:f>IFERROR(HYPERLINK("https://www.emta.ee/en/news/luhamaa-and-koidula-border-crossing-points-closed-night-24-february","Coordinate evidence source"),"Coordinate evidence source")</x:f>
        <x:v>Coordinate evidence source</x:v>
      </x:c>
      <x:c r="L727" s="21" t="str">
        <x:f>IFERROR(HYPERLINK("https://valitsus.ee/en/news/border-crossing-points-remain-closed-night-during-summer","Estonian Government"),"Estonian Government")</x:f>
        <x:v>Estonian Government</x:v>
      </x:c>
      <x:c r="M727" s="21" t="str">
        <x:f>IFERROR(HYPERLINK("https://www.siseministeerium.ee/en/news/ministry-interior-proposes-extend-restriction-border-crossing-opening-hours","Estonian Ministry of the Interior"),"Estonian Ministry of the Interior")</x:f>
        <x:v>Estonian Ministry of the Interior</x:v>
      </x:c>
      <x:c r="N727" s="4" t="str">
        <x:v>https://www.emta.ee/en/news/luhamaa-and-koidula-border-crossing-points-closed-night-24-february
https://valitsus.ee/en/news/border-crossing-points-remain-closed-night-during-summer
https://www.siseministeerium.ee/en/news/ministry-interior-proposes-extend-restriction-border-crossing-opening-hours
https://news.err.ee/1610109211/estonia-extends-overnight-russia-border-closures-indefinitely
https://www.openstreetmap.org/node/2418799005
https://www.openstreetmap.org/way/186654382
https://www.openstreetmap.org/way/233502257
https://www.openstreetmap.org/node/4830198225
https://www.openstreetmap.org/way/180605402
https://www.openstreetmap.org/way/81894020</x:v>
      </x:c>
      <x:c r="O727" s="4" t="str">
        <x:v>Source 1: full text
Source 2: full text
Source 3: full text</x:v>
      </x:c>
      <x:c r="P727" s="20" t="n">
        <x:v>1</x:v>
      </x:c>
      <x:c r="Q727" s="4" t="str">
        <x:v>Europe</x:v>
      </x:c>
      <x:c r="R727" s="4" t="str">
        <x:v>Included</x:v>
      </x:c>
    </x:row>
    <x:row r="728" ht="162" hidden="0" customHeight="1">
      <x:c r="A728" s="16" t="str">
        <x:v>REC50-R11-001</x:v>
      </x:c>
      <x:c r="B728" s="4" t="str">
        <x:v>Khorgos cross-border cooperation-centre visitor suspension during COVID-19</x:v>
      </x:c>
      <x:c r="C728" s="4" t="str">
        <x:v>Kazakhstan; China</x:v>
      </x:c>
      <x:c r="D728" s="4" t="str">
        <x:v>Khorgos International Centre for Border Cooperation
The enclosed bilateral International Centre for Border Cooperation, not the whole frontier</x:v>
      </x:c>
      <x:c r="E728" s="4" t="str">
        <x:v>Visitors to the cross-border tourism and shopping centre
Direction: Visitor access across the centre boundary; first observed return is Kazakhstan to the Chinese section
Exceptions: Ordinary road/rail freight and commercial-cargo clearance follow separate rules; the first observed visitor cohort does not prove every access category resumed.</x:v>
      </x:c>
      <x:c r="F728" s="4" t="str">
        <x:v>REC50-R11-001-P1 — Observed operation
Kazakh visitor passage into the Chinese section of the Khorgos International Centre for Border Cooperation
Start: by 2020-01-27; earliest bound unknown.
Observed scoped reopening: 2023-04-17.
dated evidence; numeric duration withheld; see qualification</x:v>
      </x:c>
      <x:c r="G728" s="4" t="str">
        <x:v>Health and biosecurity / Human disease control
Regional administration pandemic-closure explanation reported by The Astana Times and Zakon; one shared official announcement origin
Applies to: REC50-R11-001-P1
The sources attribute the initiating restriction to COVID-19 control. This is an attributed official rationale, not a claim that underlying motives are exhaustively established.</x:v>
      </x:c>
      <x:c r="H728" s="4" t="str">
        <x:v>REC50-R11-001-P1: The centre was already reported closed for coronavirus prevention by 27 January 2020; this is a latest-onset bound, not an exact observed start. The report distinguishes an earlier holiday closure from 22 January, whose onset is not imported into this COVID phase. The earliest COVID-related onset and uninterrupted continuity are not established, so numeric duration remains withheld. Kazakh visitors were observed entering the Chinese section on 17 April 2023. The abandoned 8 January plan and the separate 24 April normal-operations announcement are not substituted for that scoped observed return. Ordinary road freight, rail traffic and commercial import permissions are outside this phase.
Onset and visitor-cohort endpoint: The centre was already closed for coronavirus prevention by 27 January 2020, but the exact onset and transition from its earlier holiday shutdown remain unresolved. The 17 April 2023 observed Kazakh visitor return remains distinct from the 24 April normal-operations announcement.</x:v>
      </x:c>
      <x:c r="I728" s="4" t="str">
        <x:v>Targeted source review (REC50-R41); retained with recorded qualifications; evidence limits retained.</x:v>
      </x:c>
      <x:c r="J728" s="18" t="d">
        <x:v>2026-10-25T00:00:00.000Z</x:v>
      </x:c>
      <x:c r="K728" s="21" t="str">
        <x:f>IFERROR(HYPERLINK("https://astanatimes.com/2023/04/khorgos-international-center-to-resume-work-this-month/","The Astana Times"),"The Astana Times")</x:f>
        <x:v>The Astana Times</x:v>
      </x:c>
      <x:c r="L728" s="21" t="str">
        <x:f>IFERROR(HYPERLINK("https://www.zakon.kz/ekonomika-biznes/6390998-mtsps-khorgos-vozobnovlyaet-rabotu-spustya-tri-goda.html","Zakon.kz"),"Zakon.kz")</x:f>
        <x:v>Zakon.kz</x:v>
      </x:c>
      <x:c r="M728" s="21" t="str">
        <x:f>IFERROR(HYPERLINK("https://www.xinjiang.gov.cn/xinjiang/dzdt/202304/a8ef818460fb4d2aaf1d525b9c1545fb.shtml","Xinjiang government / Xinjiang Daily"),"Xinjiang government / Xinjiang Daily")</x:f>
        <x:v>Xinjiang government / Xinjiang Daily</x:v>
      </x:c>
      <x:c r="N728" s="4" t="str">
        <x:v>https://astanatimes.com/2023/04/khorgos-international-center-to-resume-work-this-month/
https://www.zakon.kz/ekonomika-biznes/6390998-mtsps-khorgos-vozobnovlyaet-rabotu-spustya-tri-goda.html
https://www.xinjiang.gov.cn/xinjiang/dzdt/202304/a8ef818460fb4d2aaf1d525b9c1545fb.shtml
https://www.zakon.kz/ekonomika-biznes/6391032-mtsps-khorgos-otkroyut-24-aprelya-no-ne-dlya-vsekh.html
https://www.zakon.kz/sobytiia/6380696-khorgos-ne-smozhet-vozobnovit-rabotu-v-namechennyy-srok.html
https://tengrinews.kz/kazakhstan_news/xorgos-budet-zakryt-do-15-fevralia-389805/
https://tengrinews.kz/kazakhstan_news/horgos-rekomenduyut-zakryit-do-1-marta-391231/
https://tengrinews.kz/kazakhstan_news/horgos-zakryit-do-osobogo-rasporyajeniya-392759/amp/
https://www.zakon.kz/redaktsiia-zakonkz/5011560-informatsiyu-o-vozmozhnom-otkrytii.html
https://mcps.kz/news/news_post/8-yanvarya-planiruetsya-vozobnovit-rabotu-mcps-horgos</x:v>
      </x:c>
      <x:c r="O728" s="4" t="str">
        <x:v>Source 1: full text
Source 2: full text
Source 3: full text</x:v>
      </x:c>
      <x:c r="P728" s="20" t="n">
        <x:v>1</x:v>
      </x:c>
      <x:c r="Q728" s="4" t="str">
        <x:v>Central Asia and Caucasus</x:v>
      </x:c>
      <x:c r="R728" s="4" t="str">
        <x:v>Included</x:v>
      </x:c>
    </x:row>
    <x:row r="729" ht="150" hidden="0" customHeight="1">
      <x:c r="A729" s="16" t="str">
        <x:v>REC50-R11-002</x:v>
      </x:c>
      <x:c r="B729" s="4" t="str">
        <x:v>Manzhouli selected rail-import and road-export suspensions during the late-2021 COVID outbreak</x:v>
      </x:c>
      <x:c r="C729" s="4" t="str">
        <x:v>Russia; China</x:v>
      </x:c>
      <x:c r="D729" s="4" t="str">
        <x:v>Manzhouli road port; Manzhouli railway port
Separate Manzhouli road-export and rail-import facilities under one local outbreak response</x:v>
      </x:c>
      <x:c r="E729" s="4" t="str">
        <x:v>Road-export freight and selected manually handled non-container rail imports
Direction: Road exports China to Russia; selected rail imports Russia to China
Exceptions: The cited order targets selected non-container rail imports; it does not establish an all-rail suspension or an uninterrupted container-service history. Passenger traffic belongs to EA005, and restoration dates for other commodities are not assumed to match the timber/mineral-powder endpoint.</x:v>
      </x:c>
      <x:c r="F729" s="4" t="str">
        <x:v>REC50-R11-002-P1 — Observed operation
Manzhouli non-container timber and mineral-powder rail imports requiring manual handling, to their reported return on 14 January 2022
Start: 2021-12-01.
Observed scoped reopening: 2022-01-14.
44 calendar-day difference; scoped endpoint only
REC50-R11-002-P2 — Formal policy
Manzhouli road-port goods export suspension, to effective authorisation for trailer-exchange exports
Start: 2021-12-03.
Policy endpoint: 2022-01-14.
Formal policy: 42 calendar-day difference; operational continuity not established</x:v>
      </x:c>
      <x:c r="G729" s="4" t="str">
        <x:v>Health and biosecurity / Human disease control
Local epidemic-control authority rationale reported by China Daily and the local-government notice in the China News Service dispatch
Applies to: REC50-R11-002-P1; REC50-R11-002-P2
The sources attribute the initiating restriction to COVID-19 control. This is an attributed official rationale, not a claim that underlying motives are exhaustively established.</x:v>
      </x:c>
      <x:c r="H729" s="4" t="str">
        <x:v>REC50-R11-002-P1: CNR’s substantive indexed report gives the December onset and matching timber/mineral-powder arrivals on 14 January. Direct page access failed. The 44-day operational phase is limited to that returning cargo. Container traffic lies outside the cited selected non-container restriction; no uninterrupted container-service history or uniform endpoint for other commodities is inferred.
REC50-R11-002-P2: The 13 January dispatch announces permission from 14 January midnight and describes preparations. Its republication on 14 January is not operational observation. Passenger restrictions under EA005 and rail cargo under P1 remain separate.
Observed road endpoint and rail-source access: Seek direct full access to the CNR arrival account and a first actual road-export passage record; determine whether other restricted rail commodities resumed on different dates.</x:v>
      </x:c>
      <x:c r="I729" s="4" t="str">
        <x:v>Targeted source review (REC50-R48); completed with unresolved evidence; evidence limits retained.</x:v>
      </x:c>
      <x:c r="J729" s="18" t="d">
        <x:v>2026-10-25T00:00:00.000Z</x:v>
      </x:c>
      <x:c r="K729" s="21" t="str">
        <x:f>IFERROR(HYPERLINK("https://en.nhc.gov.cn/2021-12/06/c_85287.htm","China National Health Commission, republishing China Daily"),"China National Health Commission, republishing China Daily")</x:f>
        <x:v>China National Health Commission, republishing China Daily</x:v>
      </x:c>
      <x:c r="L729" s="21" t="str">
        <x:f>IFERROR(HYPERLINK("https://inews.nmgnews.com.cn/system/2022/01/14/013253397.shtml","Inner Mongolia News, republishing CNR"),"Inner Mongolia News, republishing CNR")</x:f>
        <x:v>Inner Mongolia News, republishing CNR</x:v>
      </x:c>
      <x:c r="M729" s="21" t="str">
        <x:f>IFERROR(HYPERLINK("https://city.cri.cn/20220114/2a3bae4b-2377-c8b6-2210-1c42f3e0ceeb.html","China News Service via CRI"),"China News Service via CRI")</x:f>
        <x:v>China News Service via CRI</x:v>
      </x:c>
      <x:c r="N729" s="4" t="str">
        <x:v>https://en.nhc.gov.cn/2021-12/06/c_85287.htm
https://inews.nmgnews.com.cn/system/2022/01/14/013253397.shtml
https://city.cri.cn/20220114/2a3bae4b-2377-c8b6-2210-1c42f3e0ceeb.html
https://www.sohu.com/a/638000746_121106854
https://www.sohu.com/a/680328619_120817739</x:v>
      </x:c>
      <x:c r="O729" s="4" t="str">
        <x:v>Source 1: full text
Source 2: indexed extract
Source 3: full text</x:v>
      </x:c>
      <x:c r="P729" s="20" t="n">
        <x:v>2</x:v>
      </x:c>
      <x:c r="Q729" s="4" t="str">
        <x:v>East and Southeast Asia and Oceania</x:v>
      </x:c>
      <x:c r="R729" s="4" t="str">
        <x:v>Included</x:v>
      </x:c>
    </x:row>
    <x:row r="730" ht="114" hidden="0" customHeight="1">
      <x:c r="A730" s="16" t="str">
        <x:v>REC50-R11-003</x:v>
      </x:c>
      <x:c r="B730" s="4" t="str">
        <x:v>Suifenhe selected non-container rail-import controls in late 2021</x:v>
      </x:c>
      <x:c r="C730" s="4" t="str">
        <x:v>Russia; China</x:v>
      </x:c>
      <x:c r="D730" s="4" t="str">
        <x:v>Suifenhe railway station / border port
Selected incoming rail cargo at Suifenhe station</x:v>
      </x:c>
      <x:c r="E730" s="4" t="str">
        <x:v>Selected non-container rail imports requiring manual handling
Direction: Russia to China
Exceptions: Not all container rail traffic; the reported December permission retained covered and temperature-controlled wagon restrictions. Road passengers under EA006 are separate.</x:v>
      </x:c>
      <x:c r="F730" s="4" t="str">
        <x:v>REC50-R11-003-P1 — Formal policy
Suifenhe selected non-container rail imports requiring manual handling, to a reported permission for selected cargo with wagon exceptions
Start: 2021-11-29 to 2021-11-30.
Policy endpoint: 2021-12-06.
Contested: Formal policy: dated evidence; numeric duration withheld; see qualification
Held evidence: excluded from numeric duration and animation displays.</x:v>
      </x:c>
      <x:c r="G730" s="4" t="str">
        <x:v>Health and biosecurity / Human disease control
Suifenhe epidemic-control authorities as reported through local media/CCTV in Reuters and the indexed SCMP report
Applies to: REC50-R11-003-P1
The sources attribute the initiating restriction to COVID-19 control. This is an attributed official rationale, not a claim that underlying motives are exhaustively established.</x:v>
      </x:c>
      <x:c r="H730" s="4" t="str">
        <x:v>REC50-R11-003-P1: The onset is bounded to the 29–30 November 2021 midnight boundary. A trade report gives 6 December permission for selected cargo, with wagon exceptions, but no original rescission notice or matching first train was retrieved. The permission endpoint is qualified and numeric duration is withheld. This is neither all rail traffic nor the separate Primorye road-passenger phase EA006. The lost-lead reference to a different December endpoint is not treated as fresh evidence.
Formal endpoint and onset boundary: Retrieve the original Suifenhe onset/rescission notices and first matching cargo movement, resolving the midnight date boundary and the trade-reported 6 December permission.</x:v>
      </x:c>
      <x:c r="I730" s="4" t="str">
        <x:v>Full-record source audit (REC50-R35); retained with recorded qualifications; evidence limits retained.</x:v>
      </x:c>
      <x:c r="J730" s="18" t="d">
        <x:v>2026-10-25T00:00:00.000Z</x:v>
      </x:c>
      <x:c r="K730" s="21" t="str">
        <x:f>IFERROR(HYPERLINK("https://www.thestandard.com.hk/china/article/183682/Chinese-city-on-Russian-border-halts-rail-imports-over-Covid-fears","Reuters / The Standard"),"Reuters / The Standard")</x:f>
        <x:v>Reuters / The Standard</x:v>
      </x:c>
      <x:c r="L730" s="21" t="str">
        <x:f>IFERROR(HYPERLINK("https://www.scmp.com/news/article/3157860/2-border-cities-northern-china-limit-rail-imports-over-covid-19-outbreak","South China Morning Post"),"South China Morning Post")</x:f>
        <x:v>South China Morning Post</x:v>
      </x:c>
      <x:c r="M730" s="21" t="str">
        <x:f>IFERROR(HYPERLINK("https://www.mucaizhijia.com/news/details/1122_1.html","木材之家 / 木头云 (MuCaiZhiJia / Mutouyun)"),"木材之家 / 木头云 (MuCaiZhiJia / Mutouyun)")</x:f>
        <x:v>木材之家 / 木头云 (MuCaiZhiJia / Mutouyun)</x:v>
      </x:c>
      <x:c r="N730" s="4" t="str">
        <x:v>https://www.thestandard.com.hk/china/article/183682/Chinese-city-on-Russian-border-halts-rail-imports-over-Covid-fears
https://www.scmp.com/news/article/3157860/2-border-cities-northern-china-limit-rail-imports-over-covid-19-outbreak
https://www.mucaizhijia.com/news/details/1122_1.html</x:v>
      </x:c>
      <x:c r="O730" s="4" t="str">
        <x:v>Source 1: full text
Source 2: indexed extract
Source 3: full text</x:v>
      </x:c>
      <x:c r="P730" s="20" t="n">
        <x:v>1</x:v>
      </x:c>
      <x:c r="Q730" s="4" t="str">
        <x:v>East and Southeast Asia and Oceania</x:v>
      </x:c>
      <x:c r="R730" s="4" t="str">
        <x:v>Included</x:v>
      </x:c>
    </x:row>
    <x:row r="731" ht="102" hidden="0" customHeight="1">
      <x:c r="A731" s="16" t="str">
        <x:v>REC50-R11-004</x:v>
      </x:c>
      <x:c r="B731" s="4" t="str">
        <x:v>Erenhot selected non-container rail-import suspension from November 2021</x:v>
      </x:c>
      <x:c r="C731" s="4" t="str">
        <x:v>Mongolia; China</x:v>
      </x:c>
      <x:c r="D731" s="4" t="str">
        <x:v>Erenhot railway port / Zamyn-Uud rail route
Selected rail imports at the Erenhot–Zamyn-Uud railway crossing</x:v>
      </x:c>
      <x:c r="E731" s="4" t="str">
        <x:v>Selected manually handled non-container rail imports; permission endpoint scoped to iron ore, coal and bagged goods in open wagons
Direction: Mongolia to China
Exceptions: Container rail traffic, passengers and road freight have different measures. Other commodity restoration is not assumed to match the January permission.</x:v>
      </x:c>
      <x:c r="F731" s="4" t="str">
        <x:v>REC50-R11-004-P1 — Formal policy
Erenhot rail imports of selected non-container cargo, scoped to iron ore, coal and bagged goods in open wagons covered by the January permission
Start: 2021-11-28.
Policy endpoint: 2022-01-27.
Formal policy: 60 calendar-day difference; operational continuity not established</x:v>
      </x:c>
      <x:c r="G731" s="4" t="str">
        <x:v>Health and biosecurity / Human disease control
Epidemic-control directions described in contemporary reporting and railway disinfection/agency-review explanation in Xinhua Finance
Applies to: REC50-R11-004-P1
The sources attribute the initiating restriction to COVID-19 control. This is an attributed official rationale, not a claim that underlying motives are exhaustively established.</x:v>
      </x:c>
      <x:c r="H731" s="4" t="str">
        <x:v>REC50-R11-004-P1: Selected non-container rail imports were suspended from 28 November 2021, with permission for iron ore, coal and bagged goods in open wagons from 27 January 2022. This is a 60-day policy-date difference. An ore train was reported to have recently arrived by 7 February; its exact first arrival day remains unknown. EA029 concerns the separate China-to-Mongolia road-freight phase; its December dates are not rail endpoints. Container traffic and other commodity restoration dates are not generalised.
Observed rail endpoint and commodity scope: Find the exact first returning qualifying train and any distinct restoration dates for other restricted commodities; keep the road-freight episode separate.</x:v>
      </x:c>
      <x:c r="I731" s="4" t="str">
        <x:v>Targeted source review (REC50-R41); accepted qualification; evidence limits retained.</x:v>
      </x:c>
      <x:c r="J731" s="18" t="d">
        <x:v>2026-10-25T00:00:00.000Z</x:v>
      </x:c>
      <x:c r="K731" s="21" t="str">
        <x:f>IFERROR(HYPERLINK("https://www.cnfin.com/cy-lb/detail/20220210/3532683_1.html","Xinhua Finance / CNFIN"),"Xinhua Finance / CNFIN")</x:f>
        <x:v>Xinhua Finance / CNFIN</x:v>
      </x:c>
      <x:c r="L731" s="21" t="str">
        <x:f>IFERROR(HYPERLINK("https://www.sohu.com/a/504751675_120545367","Sohu account 地一眼蒙古"),"Sohu account 地一眼蒙古")</x:f>
        <x:v>Sohu account 地一眼蒙古</x:v>
      </x:c>
      <x:c r="M731" s="21" t="str">
        <x:f>IFERROR(HYPERLINK("https://www.scmp.com/news/article/3157860/2-border-cities-northern-china-limit-rail-imports-over-covid-19-outbreak","South China Morning Post"),"South China Morning Post")</x:f>
        <x:v>South China Morning Post</x:v>
      </x:c>
      <x:c r="N731" s="4" t="str">
        <x:v>https://www.cnfin.com/cy-lb/detail/20220210/3532683_1.html
https://www.sohu.com/a/504751675_120545367
https://www.scmp.com/news/article/3157860/2-border-cities-northern-china-limit-rail-imports-over-covid-19-outbreak
https://www.mucaizhijia.com/news/details/1122_1.html
https://m.cctat.cn/public/index.php/index/shows?catid=52&amp;id=21260</x:v>
      </x:c>
      <x:c r="O731" s="4" t="str">
        <x:v>Source 1: full text
Source 2: full text
Source 3: indexed extract</x:v>
      </x:c>
      <x:c r="P731" s="20" t="n">
        <x:v>1</x:v>
      </x:c>
      <x:c r="Q731" s="4" t="str">
        <x:v>East and Southeast Asia and Oceania</x:v>
      </x:c>
      <x:c r="R731" s="4" t="str">
        <x:v>Included</x:v>
      </x:c>
    </x:row>
    <x:row r="732" ht="78" hidden="0" customHeight="1">
      <x:c r="A732" s="16" t="str">
        <x:v>REC50-R12-001</x:v>
      </x:c>
      <x:c r="B732" s="4" t="str">
        <x:v>Petrapole–Benapole freight strike, December 2020</x:v>
      </x:c>
      <x:c r="C732" s="4" t="str">
        <x:v>India; Bangladesh</x:v>
      </x:c>
      <x:c r="D732" s="4" t="str">
        <x:v>Petrapole / Benapole
Only the named international land-port goods interchange, at the stated phase scope</x:v>
      </x:c>
      <x:c r="E732" s="4" t="str">
        <x:v>Cross-border goods traffic
Direction: Both freight directions unless the phase states otherwise
Exceptions: Passport-holder movement and internal customs/port activity reported normal</x:v>
      </x:c>
      <x:c r="F732" s="4" t="str">
        <x:v>REC50-R12-001-P1 — Observed operation
Bilateral road-freight exchange at Petrapole–Benapole during 21 December 2020 workers strike
Start: 2020-12-21.
Last confirmed: 2020-12-21. Reopening is not established.
dated evidence; numeric duration withheld; see qualification</x:v>
      </x:c>
      <x:c r="G732" s="4" t="str">
        <x:v>Policy and socioeconomic demands / Jobs, services and livelihoods
Source-attributed reason; see qualification
Applies to: Scope and phases stated below; no primary rationale or universal overlap inferred
The documented part of the five-point demand concerned working conditions and port facilities; unspecified demands are not inferred.</x:v>
      </x:c>
      <x:c r="H732" s="4" t="str">
        <x:v>REC50-R12-001-P1: Morning onset and same-date confirmation only; no observed reopening or uninterrupted later closure is established. Passengers and internal port work were reported normal.
scope / exact timing / source limitations / geography: Find a crossing-matched actual freight resumption, the complete workers’ demands and any scope-specific exceptions; geography remains separately reviewable.</x:v>
      </x:c>
      <x:c r="I732" s="4" t="str">
        <x:v>Full-record source audit (REC50-R20); retained with recorded qualifications; evidence limits retained.</x:v>
      </x:c>
      <x:c r="J732" s="18" t="d">
        <x:v>2026-10-25T00:00:00.000Z</x:v>
      </x:c>
      <x:c r="K732" s="21" t="str">
        <x:f>IFERROR(HYPERLINK("https://www.thedailystar.net/country/news/strike-indias-petrapole-import-export-through-benapole-suspended-2014941","The Daily Star"),"The Daily Star")</x:f>
        <x:v>The Daily Star</x:v>
      </x:c>
      <x:c r="L732" s="21"/>
      <x:c r="M732" s="21"/>
      <x:c r="N732" s="4" t="str">
        <x:v>https://www.thedailystar.net/country/news/strike-indias-petrapole-import-export-through-benapole-suspended-2014941</x:v>
      </x:c>
      <x:c r="O732" s="4" t="str">
        <x:v>Source 1: full text</x:v>
      </x:c>
      <x:c r="P732" s="20" t="n">
        <x:v>1</x:v>
      </x:c>
      <x:c r="Q732" s="4" t="str">
        <x:v>South Asia</x:v>
      </x:c>
      <x:c r="R732" s="4" t="str">
        <x:v>Included</x:v>
      </x:c>
    </x:row>
    <x:row r="733" ht="210" hidden="0" customHeight="1">
      <x:c r="A733" s="16" t="str">
        <x:v>REC50-R12-002</x:v>
      </x:c>
      <x:c r="B733" s="4" t="str">
        <x:v>Petrapole–Benapole freight strike over staff access and handling rules, January–February 2021</x:v>
      </x:c>
      <x:c r="C733" s="4" t="str">
        <x:v>India; Bangladesh</x:v>
      </x:c>
      <x:c r="D733" s="4" t="str">
        <x:v>Petrapole / Benapole
Only the named international land-port goods interchange, at the stated phase scope</x:v>
      </x:c>
      <x:c r="E733" s="4" t="str">
        <x:v>Cross-border goods traffic
Direction: Both freight directions unless the phase states otherwise
Exceptions: Most reports say passport holders and internal handling continued; one contradictory sentence retained as uncertainty</x:v>
      </x:c>
      <x:c r="F733" s="4" t="str">
        <x:v>REC50-R12-002-P1 — Observed operation
Bilateral road-freight exchange during the January–February 2021 port-user strike
Start: 2021-01-30 to 2021-01-31.
Observed scoped reopening: 2021-02-02.
2–3 calendar-day difference; scoped endpoint only</x:v>
      </x:c>
      <x:c r="G733" s="4" t="str">
        <x:v>Trade and protectionism / Trade and transport protests
Source-attributed reason; see qualification
Applies to: Scope and phases stated below; no primary rationale or universal overlap inferred
Commercial actors stated demands about cross-border staff access, truck searches and handling; BSF security explanations are attributed context, not assigned as the strike’s rationale.
Policy and socioeconomic demands / Jobs, services and livelihoods
Benapole C&amp;F Staff Association general secretary Sajedur Rahman’s account of the committee demands, reported by UNB
Applies to: REC50-R12-002-P1; overlaps the trade and transport protest rationale, with no primary rationale assigned
UNB expressly includes protection of port workers from layoffs during modernisation among the strike demands. This employment aim is retained alongside commercial access and handling demands. The written original five-point notice was not independently retrieved.</x:v>
      </x:c>
      <x:c r="H733" s="4" t="str">
        <x:v>REC50-R12-002-P1: Explicit reports put onset at 31 January morning; one page dated 31 January/updated 1 February says the previous morning. Retain 30–31 January bounds. Actual freight resumed 2 February morning. Passenger wording conflicts, so this phase claims goods only; 20 February staff permission is not the endpoint.
scope / exact timing / source limitations / geography: Resolve the relative-date metadata discrepancy and passenger wording using dated port logs; do not turn a calendar range into exact hours.</x:v>
      </x:c>
      <x:c r="I733" s="4" t="str">
        <x:v>Full-record source audit (REC50-R45); retained with recorded qualifications; evidence limits retained.</x:v>
      </x:c>
      <x:c r="J733" s="18" t="d">
        <x:v>2026-10-25T00:00:00.000Z</x:v>
      </x:c>
      <x:c r="K733" s="21" t="str">
        <x:f>IFERROR(HYPERLINK("https://www.thedailystar.net/business/news/trade-thru-benapole-land-port-suspended-2037137","The Daily Star"),"The Daily Star")</x:f>
        <x:v>The Daily Star</x:v>
      </x:c>
      <x:c r="L733" s="21" t="str">
        <x:f>IFERROR(HYPERLINK("https://www.thedailystar.net/business/port-and-shipping/news/import-export-through-benapole-suspended-due-petrapole-port-workers-strike-2036929","The Daily Star"),"The Daily Star")</x:f>
        <x:v>The Daily Star</x:v>
      </x:c>
      <x:c r="M733" s="21" t="str">
        <x:f>IFERROR(HYPERLINK("https://www.unb.com.bd/category/Bangladesh/trade-hallted-for-day-2-in-benapole-port/64245","United News of Bangladesh"),"United News of Bangladesh")</x:f>
        <x:v>United News of Bangladesh</x:v>
      </x:c>
      <x:c r="N733" s="4" t="str">
        <x:v>https://www.thedailystar.net/business/news/trade-thru-benapole-land-port-suspended-2037137
https://www.thedailystar.net/business/port-and-shipping/news/import-export-through-benapole-suspended-due-petrapole-port-workers-strike-2036929
https://www.unb.com.bd/category/Bangladesh/trade-hallted-for-day-2-in-benapole-port/64245
https://www.dhakatribune.com/amp/bangladesh/237443/trade-resumes-through-benapole-port-after-2-days%E2%80%99
https://unb.com.bd/category/Bangladesh/trade-hallted-for-day-2-in-benapole-port/64245</x:v>
      </x:c>
      <x:c r="O733" s="4" t="str">
        <x:v>Source 1: full text
Source 2: full text
Source 3: indexed extract</x:v>
      </x:c>
      <x:c r="P733" s="20" t="n">
        <x:v>1</x:v>
      </x:c>
      <x:c r="Q733" s="4" t="str">
        <x:v>South Asia</x:v>
      </x:c>
      <x:c r="R733" s="4" t="str">
        <x:v>Included</x:v>
      </x:c>
    </x:row>
    <x:row r="734" ht="162" hidden="0" customHeight="1">
      <x:c r="A734" s="16" t="str">
        <x:v>REC50-R12-003</x:v>
      </x:c>
      <x:c r="B734" s="4" t="str">
        <x:v>Petrapole–Benapole port-user freight strike, January–February 2022</x:v>
      </x:c>
      <x:c r="C734" s="4" t="str">
        <x:v>India; Bangladesh</x:v>
      </x:c>
      <x:c r="D734" s="4" t="str">
        <x:v>Petrapole / Benapole
Only the named international land-port goods interchange, at the stated phase scope</x:v>
      </x:c>
      <x:c r="E734" s="4" t="str">
        <x:v>Cross-border goods traffic
Direction: Both freight directions unless the phase states otherwise
Exceptions: Internal loading, unloading and goods delivery continued; passenger treatment unestablished</x:v>
      </x:c>
      <x:c r="F734" s="4" t="str">
        <x:v>REC50-R12-003-P1 — Observed operation
Bilateral freight exchange at Petrapole–Benapole during the January–February 2022 port-user strike
Start: 2022-01-31.
Observed scoped reopening: 2022-02-05.
5 calendar-day difference; scoped endpoint only</x:v>
      </x:c>
      <x:c r="G734" s="4" t="str">
        <x:v>Trade and protectionism / Trade and transport protests
Source-attributed reason; see qualification
Applies to: Scope and phases stated below; no primary rationale or universal overlap inferred
Port users protested entry-document requirements and alleged manager harassment affecting commercial access; no state protectionist motive is inferred.</x:v>
      </x:c>
      <x:c r="H734" s="4" t="str">
        <x:v>REC50-R12-003-P1: Retain the 31 January morning to 5 February morning goods-service interval: contemporary Daily Star onset and actual resumption are corroborated by Times of India’s Monday chronology and Petrapole manager’s Saturday truck counts. Indian Awaaz instead retrospectively says since 1 February and reports most unions called off on Thursday, with Friday a holiday before Saturday trade. That alternative wording remains disclosed; formal strike withdrawal is not first resumed passage. Five calendar days is not five active strike days, five scheduled trading days lost or a measured 120 hours. Internal loading/unloading continued; passenger closure is not established. Daily Star reports share one interview channel; the TOI manager is a different named official.
scope / exact timing / source limitations / geography: Day-level actual goods onset and restoration remain supported as 31 January and 5 February. Indian Awaaz retrospectively dates suspension from 1 February and separates Thursday union withdrawal from Saturday resumption after Friday’s holiday; exact active-strike time, lost operating days, passenger treatment and detailed exceptions remain unestablished.</x:v>
      </x:c>
      <x:c r="I734" s="4" t="str">
        <x:v>Full-record source audit (REC50-R20); accepted qualification; evidence limits retained.</x:v>
      </x:c>
      <x:c r="J734" s="18" t="d">
        <x:v>2026-10-25T00:00:00.000Z</x:v>
      </x:c>
      <x:c r="K734" s="21" t="str">
        <x:f>IFERROR(HYPERLINK("https://www.thedailystar.net/business/economy/industries/ports-and-shipping/news/trade-through-benapole-suspended-indefinitely-2951426","The Daily Star"),"The Daily Star")</x:f>
        <x:v>The Daily Star</x:v>
      </x:c>
      <x:c r="L734" s="21" t="str">
        <x:f>IFERROR(HYPERLINK("https://www.thedailystar.net/business/news/strike-petrapole-trade-through-benapole-port-resumes-after-5-days-2954821","The Daily Star"),"The Daily Star")</x:f>
        <x:v>The Daily Star</x:v>
      </x:c>
      <x:c r="M734" s="21" t="str">
        <x:f>IFERROR(HYPERLINK("https://theindianawaaz.com/export-import-resumes-at-india-bangladesh-border-point-at-benapole/","The Indian Awaaz"),"The Indian Awaaz")</x:f>
        <x:v>The Indian Awaaz</x:v>
      </x:c>
      <x:c r="N734" s="4" t="str">
        <x:v>https://www.thedailystar.net/business/economy/industries/ports-and-shipping/news/trade-through-benapole-suspended-indefinitely-2951426
https://www.thedailystar.net/business/news/strike-petrapole-trade-through-benapole-port-resumes-after-5-days-2954821
https://theindianawaaz.com/export-import-resumes-at-india-bangladesh-border-point-at-benapole/
https://timesofindia.indiatimes.com/city/kolkata/trucks-roll-out-as-petrapole-strike-ends/articleshow/89375090.cms
https://timesofindia.indiatimes.com/city/kolkata/high-level-meet-held-to-end-petrapole-stir/amp_articleshow/89309209.cms</x:v>
      </x:c>
      <x:c r="O734" s="4" t="str">
        <x:v>Source 1: full text
Source 2: full text
Source 3: full text</x:v>
      </x:c>
      <x:c r="P734" s="20" t="n">
        <x:v>1</x:v>
      </x:c>
      <x:c r="Q734" s="4" t="str">
        <x:v>South Asia</x:v>
      </x:c>
      <x:c r="R734" s="4" t="str">
        <x:v>Included</x:v>
      </x:c>
    </x:row>
    <x:row r="735" ht="138" hidden="0" customHeight="1">
      <x:c r="A735" s="16" t="str">
        <x:v>REC50-R12-004</x:v>
      </x:c>
      <x:c r="B735" s="4" t="str">
        <x:v>Petrapole–Benapole truck-association freight strike, late July 2019</x:v>
      </x:c>
      <x:c r="C735" s="4" t="str">
        <x:v>India; Bangladesh</x:v>
      </x:c>
      <x:c r="D735" s="4" t="str">
        <x:v>Petrapole / Benapole
Only the named international land-port goods interchange, at the stated phase scope</x:v>
      </x:c>
      <x:c r="E735" s="4" t="str">
        <x:v>Cross-border goods traffic
Direction: Both freight directions unless the phase states otherwise
Exceptions: Travellers and internal goods delivery reported unaffected</x:v>
      </x:c>
      <x:c r="F735" s="4" t="str">
        <x:v>REC50-R12-004-P1 — Observed operation
Late-July 2019 truck-association stoppage of Petrapole–Benapole goods exchange
Start: 2019-07-30.
Last confirmed: 2019-07-30. Reopening is not established.
dated evidence; numeric duration withheld; see qualification</x:v>
      </x:c>
      <x:c r="G735" s="4" t="str">
        <x:v>Trade and protectionism / Trade and transport protests
Source-attributed reason; see qualification
Applies to: Scope and phases stated below; no primary rationale or universal overlap inferred
Truck associations attributed their refusal to alleged harassment of drivers and handling problems; these are attributed commercial grievances, not established wrongdoing by every named group.</x:v>
      </x:c>
      <x:c r="H735" s="4" t="str">
        <x:v>REC50-R12-004-P1: UNB explicitly reports actual freight suspension from Tuesday morning in a July 30 dispatch. Its extracted page omits the year; the 2019 episode match uses the dated contemporary Daily Star report, same crossing, actors and grievances, and the matching Tuesday. This supports a day-precise 30 July onset/status observation rather than the former 29–30 July metadata bound. Daily Star’s 30 July publication/31 July update and previous-morning wording remain recorded source ambiguity; SAWTEE repeats that same originating account. No actual reopening, later confirmed closure or continuous subsequent restriction is established.
scope / exact timing / source limitations / geography: The former 29 versus 30 July onset bound is proposed for resolution to 30 July using the UNB actual-onset dispatch, with its missing-year metadata limitation stated. Actual resumption and later continuity remain unknown; a page update is not an observation.</x:v>
      </x:c>
      <x:c r="I735" s="4" t="str">
        <x:v>Full-record source audit (REC50-R20); accepted corrections; evidence limits retained.</x:v>
      </x:c>
      <x:c r="J735" s="18" t="d">
        <x:v>2026-10-25T00:00:00.000Z</x:v>
      </x:c>
      <x:c r="K735" s="21" t="str">
        <x:f>IFERROR(HYPERLINK("https://www.thedailystar.net/business/news/indian-strike-halts-trade-benapole-1779451","The Daily Star"),"The Daily Star")</x:f>
        <x:v>The Daily Star</x:v>
      </x:c>
      <x:c r="L735" s="21" t="str">
        <x:f>IFERROR(HYPERLINK("https://sawtee.org/newsletters/07_Trade_Climate_Change_and_Development_Monitor-July_2019.pdf","SAWTEE"),"SAWTEE")</x:f>
        <x:v>SAWTEE</x:v>
      </x:c>
      <x:c r="M735" s="21" t="str">
        <x:f>IFERROR(HYPERLINK("https://www.unb.com.bd/category/Bangladesh/export-import-through-benapole-suspended-over-indian-truckers-strike/24820","United News of Bangladesh"),"United News of Bangladesh")</x:f>
        <x:v>United News of Bangladesh</x:v>
      </x:c>
      <x:c r="N735" s="4" t="str">
        <x:v>https://www.thedailystar.net/business/news/indian-strike-halts-trade-benapole-1779451
https://sawtee.org/newsletters/07_Trade_Climate_Change_and_Development_Monitor-July_2019.pdf
https://www.unb.com.bd/category/Bangladesh/export-import-through-benapole-suspended-over-indian-truckers-strike/24820</x:v>
      </x:c>
      <x:c r="O735" s="4" t="str">
        <x:v>Source 1: full text
Source 2: full text
Source 3: full text</x:v>
      </x:c>
      <x:c r="P735" s="20" t="n">
        <x:v>1</x:v>
      </x:c>
      <x:c r="Q735" s="4" t="str">
        <x:v>South Asia</x:v>
      </x:c>
      <x:c r="R735" s="4" t="str">
        <x:v>Included</x:v>
      </x:c>
    </x:row>
    <x:row r="736" ht="90" hidden="0" customHeight="1">
      <x:c r="A736" s="16" t="str">
        <x:v>REC50-R12-005</x:v>
      </x:c>
      <x:c r="B736" s="4" t="str">
        <x:v>Hili goods strike over trading permissions and facilities, August–September 2026</x:v>
      </x:c>
      <x:c r="C736" s="4" t="str">
        <x:v>India; Bangladesh</x:v>
      </x:c>
      <x:c r="D736" s="4" t="str">
        <x:v>Hili
Only the named international land-port goods interchange, at the stated phase scope</x:v>
      </x:c>
      <x:c r="E736" s="4" t="str">
        <x:v>Cross-border goods traffic
Direction: Both freight directions unless the phase states otherwise
Exceptions: Passport holders continued to cross according to immigration and trade reports</x:v>
      </x:c>
      <x:c r="F736" s="4" t="str">
        <x:v>REC50-R12-005-P1 — Observed operation
Bilateral goods interchange at Hili during the August–September 2026 exporters strike
Start: 2026-08-30.
Observed scoped reopening: 2026-09-05.
6 calendar-day difference; scoped endpoint only</x:v>
      </x:c>
      <x:c r="G736" s="4" t="str">
        <x:v>Trade and protectionism / Trade and transport protests
Source-attributed reason; see qualification
Applies to: Scope and phases stated below; no primary rationale or universal overlap inferred
The association sought broader commodity permissions and parity in trading facilities; no unrelated national security or health rationale is assigned.</x:v>
      </x:c>
      <x:c r="H736" s="4" t="str">
        <x:v>REC50-R12-005-P1: 30 August to 5 September gives six-calendar-day difference. One report calls it five days and morning resumption; others say noon/12:15. Retain the common calendar dates but do not select an exact clock duration. Passport-holder passage remained normal.
scope / exact timing / source limitations / geography: Reconcile conflicting first-truck clock and retrospective day-count descriptions; customs and association logs would establish a more precise duration.</x:v>
      </x:c>
      <x:c r="I736" s="4" t="str">
        <x:v>Full-record source audit (REC50-R45); retained with recorded qualifications; evidence limits retained.</x:v>
      </x:c>
      <x:c r="J736" s="18" t="d">
        <x:v>2026-10-25T00:00:00.000Z</x:v>
      </x:c>
      <x:c r="K736" s="21" t="str">
        <x:f>IFERROR(HYPERLINK("https://unb.com.bd/category/Bangladesh/indian-exporters-strike-halts-trade-at-hili-land-port/194189","United News of Bangladesh"),"United News of Bangladesh")</x:f>
        <x:v>United News of Bangladesh</x:v>
      </x:c>
      <x:c r="L736" s="21" t="str">
        <x:f>IFERROR(HYPERLINK("https://www.bssnews.net/others/421339","Bangladesh Sangbad Sangstha"),"Bangladesh Sangbad Sangstha")</x:f>
        <x:v>Bangladesh Sangbad Sangstha</x:v>
      </x:c>
      <x:c r="M736" s="21" t="str">
        <x:f>IFERROR(HYPERLINK("https://bdnews24.com/business/26136f913446","bdnews24.com"),"bdnews24.com")</x:f>
        <x:v>bdnews24.com</x:v>
      </x:c>
      <x:c r="N736" s="4" t="str">
        <x:v>https://unb.com.bd/category/Bangladesh/indian-exporters-strike-halts-trade-at-hili-land-port/194189
https://www.bssnews.net/others/421339
https://bdnews24.com/business/26136f913446
https://en.sarabangla.net/news/post-25578/hili-land-port-resumes-trade-after-5-day-halt/</x:v>
      </x:c>
      <x:c r="O736" s="4" t="str">
        <x:v>Source 1: full text
Source 2: full text
Source 3: full text</x:v>
      </x:c>
      <x:c r="P736" s="20" t="n">
        <x:v>1</x:v>
      </x:c>
      <x:c r="Q736" s="4" t="str">
        <x:v>South Asia</x:v>
      </x:c>
      <x:c r="R736" s="4" t="str">
        <x:v>Included</x:v>
      </x:c>
    </x:row>
    <x:row r="737" ht="138" hidden="0" customHeight="1">
      <x:c r="A737" s="16" t="str">
        <x:v>REC50-R12-006</x:v>
      </x:c>
      <x:c r="B737" s="4" t="str">
        <x:v>NBR reform-strike freight shutdown at Sonamasjid and Benapole, June 2025</x:v>
      </x:c>
      <x:c r="C737" s="4" t="str">
        <x:v>India; Bangladesh</x:v>
      </x:c>
      <x:c r="D737" s="4" t="str">
        <x:v>Sonamasjid / Mahadipur; Benapole / Petrapole
Only the named international land-port goods interchange, at the stated phase scope</x:v>
      </x:c>
      <x:c r="E737" s="4" t="str">
        <x:v>Named land-port freight operations
Direction: Both freight directions unless the phase states otherwise
Exceptions: Passenger treatment is not established; earlier partial work stoppages and later backlog clearance differ from the complete shutdown</x:v>
      </x:c>
      <x:c r="F737" s="4" t="str">
        <x:v>REC50-R12-006-P1 — Observed operation
Sonamasjid / Mahadipur freight operations during the complete NBR strike shutdown of 28–30 June 2025
Start: 2025-06-28.
Observed scoped reopening: 2025-06-30.
2 calendar-day difference; scoped endpoint only
REC50-R12-006-P2 — Observed operation
Benapole / Petrapole freight operations during the complete NBR strike shutdown of 28–30 June 2025
Start: 2025-06-28.
Observed scoped reopening: 2025-06-30.
2 calendar-day difference; scoped endpoint only</x:v>
      </x:c>
      <x:c r="G737" s="4" t="str">
        <x:v>Policy and socioeconomic demands / Jobs, services and livelihoods
Source-attributed reason; see qualification
Applies to: Scope and phases stated below; no primary rationale or universal overlap inferred
Sources attribute staff reform, promotion, neutrality and dignity demands to the NBR movement. The shared campaign is one parent with two separately sourced facility phases; no national all-border geometry.</x:v>
      </x:c>
      <x:c r="H737" s="4" t="str">
        <x:v>REC50-R12-006-P1: Saturday and Sunday immediately before Monday 30 June are 28–29 June. Two-calendar-day difference covers the reported complete shutdown. Earlier partial pen-down hours are not extended into a continuously closed week. No passenger restriction or all-port coverage is inferred.
REC50-R12-006-P2: Saturday and Sunday immediately before Monday 30 June are 28–29 June. Two-calendar-day difference covers the reported complete shutdown. Earlier partial pen-down hours are not extended into a continuously closed week. No passenger restriction or all-port coverage is inferred.
scope / exact timing / source limitations / geography: Primary strike/port logs could confirm precise hours and traffic exceptions; any earlier partial stoppages require separate evidence and must not inflate the two-day spells.</x:v>
      </x:c>
      <x:c r="I737" s="4" t="str">
        <x:v>Full-record source audit (REC50-R25); retained with recorded qualifications; evidence limits retained.</x:v>
      </x:c>
      <x:c r="J737" s="18" t="d">
        <x:v>2026-10-25T00:00:00.000Z</x:v>
      </x:c>
      <x:c r="K737" s="21" t="str">
        <x:f>IFERROR(HYPERLINK("https://www.bssnews.net/others/287703","Bangladesh Sangbad Sangstha"),"Bangladesh Sangbad Sangstha")</x:f>
        <x:v>Bangladesh Sangbad Sangstha</x:v>
      </x:c>
      <x:c r="L737" s="21" t="str">
        <x:f>IFERROR(HYPERLINK("https://www.jagonews24.com/en/biz-econ/news/83763","Jago News 24"),"Jago News 24")</x:f>
        <x:v>Jago News 24</x:v>
      </x:c>
      <x:c r="M737" s="21"/>
      <x:c r="N737" s="4" t="str">
        <x:v>https://www.bssnews.net/others/287703
https://www.jagonews24.com/en/biz-econ/news/83763</x:v>
      </x:c>
      <x:c r="O737" s="4" t="str">
        <x:v>Source 1: full text
Source 2: full text</x:v>
      </x:c>
      <x:c r="P737" s="20" t="n">
        <x:v>2</x:v>
      </x:c>
      <x:c r="Q737" s="4" t="str">
        <x:v>South Asia</x:v>
      </x:c>
      <x:c r="R737" s="4" t="str">
        <x:v>Included</x:v>
      </x:c>
    </x:row>
    <x:row r="738" ht="126" hidden="0" customHeight="1">
      <x:c r="A738" s="16" t="str">
        <x:v>REC50-R13-001</x:v>
      </x:c>
      <x:c r="B738" s="4" t="str">
        <x:v>Dehiba/Wazen mourning-related service suspension, April 2018</x:v>
      </x:c>
      <x:c r="C738" s="4" t="str">
        <x:v>Libya; Tunisia</x:v>
      </x:c>
      <x:c r="D738" s="4" t="str">
        <x:v>Dehiba / Wazen
Dehiba / Wazen; named crossing and stated cohort only</x:v>
      </x:c>
      <x:c r="E738" s="4" t="str">
        <x:v>Ordinary crossing users; detailed passenger and freight categories not enumerated
Direction: Not separately specified
Exceptions: Exceptional and urgent cases were allowed during the mourning closure, according to the 16 April afternoon report.</x:v>
      </x:c>
      <x:c r="F738" s="4" t="str">
        <x:v>REC50-R13-001-P1 — Observed operation
Ordinary crossing service at Dehiba/Wazen during mourning for the crossing commander, excluding exceptional and urgent passage
Start: 2018-04-13.
Observed scoped reopening: 2018-04-16.
3 calendar-day difference; scoped endpoint only</x:v>
      </x:c>
      <x:c r="G738" s="4" t="str">
        <x:v>Administration and service operation / Temporary service suspension
Source-attributed reason or explicitly unresolved, as described below
Applies to: REC50-R13-001-P1
The stated occasion is mourning after the crossing commander’s death. Existing temporary-service-suspension coding covers this administrative occasion; the pursuit context is not converted into a security or smuggling rationale.</x:v>
      </x:c>
      <x:c r="H738" s="4" t="str">
        <x:v>REC50-R13-001-P1: Ordinary crossing service was reportedly suspended from Friday 13 April until restoration on Monday 16 April 2018, while exceptional and urgent passage remained possible. The date difference is three calendar days, not measured 72 hours. Detailed passenger/freight categories and exact first-passage clocks remain unspecified.
Timing / scope / rationale: Recover a movement-specific notice or gate account to enumerate ordinary passenger/freight cohorts and the admitted exceptional or urgent cases; no precise first-passage clock is established.
Phase geography: All proposed phases remain unlocated.</x:v>
      </x:c>
      <x:c r="I738" s="4" t="str">
        <x:v>Full-record source audit (REC50-R20); retained with recorded qualifications; evidence limits retained.</x:v>
      </x:c>
      <x:c r="J738" s="18" t="d">
        <x:v>2026-10-25T00:00:00.000Z</x:v>
      </x:c>
      <x:c r="K738" s="21" t="str">
        <x:f>IFERROR(HYPERLINK("https://www.mosaiquefm.net/mobile/fr/actualite-regional-tunisie/326244/reouverture-du-passage-de-dehiba-wazen","Mosaïque FM / TAP"),"Mosaïque FM / TAP")</x:f>
        <x:v>Mosaïque FM / TAP</x:v>
      </x:c>
      <x:c r="L738" s="21" t="str">
        <x:f>IFERROR(HYPERLINK("https://www.mosaiquefm.net/fr/actualite-regional-tunisie/325994/le-passage-du-dehiba-wazen-ferme-pour-le-4e-jour-consecutif","Mosaïque FM"),"Mosaïque FM")</x:f>
        <x:v>Mosaïque FM</x:v>
      </x:c>
      <x:c r="M738" s="21"/>
      <x:c r="N738" s="4" t="str">
        <x:v>https://www.mosaiquefm.net/mobile/fr/actualite-regional-tunisie/326244/reouverture-du-passage-de-dehiba-wazen
https://www.mosaiquefm.net/fr/actualite-regional-tunisie/325994/le-passage-du-dehiba-wazen-ferme-pour-le-4e-jour-consecutif</x:v>
      </x:c>
      <x:c r="O738" s="4" t="str">
        <x:v>Source 1: full text
Source 2: indexed extract</x:v>
      </x:c>
      <x:c r="P738" s="20" t="n">
        <x:v>1</x:v>
      </x:c>
      <x:c r="Q738" s="4" t="str">
        <x:v>North Africa</x:v>
      </x:c>
      <x:c r="R738" s="4" t="str">
        <x:v>Included</x:v>
      </x:c>
    </x:row>
    <x:row r="739" ht="102" hidden="0" customHeight="1">
      <x:c r="A739" s="16" t="str">
        <x:v>REC50-R13-002</x:v>
      </x:c>
      <x:c r="B739" s="4" t="str">
        <x:v>Dehiba/Wazen protest-related interruption and restoration, August 2018</x:v>
      </x:c>
      <x:c r="C739" s="4" t="str">
        <x:v>Libya; Tunisia</x:v>
      </x:c>
      <x:c r="D739" s="4" t="str">
        <x:v>Dehiba / Wazen
Dehiba / Wazen; named crossing and stated cohort only</x:v>
      </x:c>
      <x:c r="E739" s="4" t="str">
        <x:v>Passengers and goods
Direction: Not separately specified
Exceptions: No exception list supplied</x:v>
      </x:c>
      <x:c r="F739" s="4" t="str">
        <x:v>REC50-R13-002-P1 — Observed operation
Passenger and goods passage through Wazen/Dehiba interrupted during Tunisian-side protests
Start: unknown.
Observed scoped reopening: by 2018-08-12; earliest bound unknown.
dated evidence; numeric duration withheld; see qualification</x:v>
      </x:c>
      <x:c r="G739" s="4" t="str">
        <x:v>Uncoded
Source-attributed reason or explicitly unresolved, as described below
Applies to: REC50-R13-002-P1
Protests and securing the road are reported, but the protesters’ demands and a distinct restricting-authority rationale are not stated. Do not infer a trade or socioeconomic purpose from protest alone.</x:v>
      </x:c>
      <x:c r="H739" s="4" t="str">
        <x:v>REC50-R13-002-P1: The mayor confirms normal passenger and goods movement by 12 August 2018 after a reported three-day closure. The exact onset and first restoration day, initial restricting actor and protest demands remain unknown. The reported length is not converted into a numeric duration.
Timing / scope / rationale: Establish the actual onset and first restoration day, who stopped passage at the post or on its approach, the obstruction scope, and the stated protest demands.
Phase geography: All proposed phases remain unlocated.</x:v>
      </x:c>
      <x:c r="I739" s="4" t="str">
        <x:v>Full-record source audit (REC50-R35); retained with recorded qualifications; evidence limits retained.</x:v>
      </x:c>
      <x:c r="J739" s="18" t="d">
        <x:v>2026-10-25T00:00:00.000Z</x:v>
      </x:c>
      <x:c r="K739" s="21" t="str">
        <x:f>IFERROR(HYPERLINK("https://lana.gov.ly/post.php?id=135759&amp;lang=en","Libyan News Agency"),"Libyan News Agency")</x:f>
        <x:v>Libyan News Agency</x:v>
      </x:c>
      <x:c r="L739" s="21"/>
      <x:c r="M739" s="21"/>
      <x:c r="N739" s="4" t="str">
        <x:v>https://lana.gov.ly/post.php?id=135759&amp;lang=en</x:v>
      </x:c>
      <x:c r="O739" s="4" t="str">
        <x:v>Source 1: full text</x:v>
      </x:c>
      <x:c r="P739" s="20" t="n">
        <x:v>1</x:v>
      </x:c>
      <x:c r="Q739" s="4" t="str">
        <x:v>North Africa</x:v>
      </x:c>
      <x:c r="R739" s="4" t="str">
        <x:v>Included</x:v>
      </x:c>
    </x:row>
    <x:row r="740" ht="102" hidden="0" customHeight="1">
      <x:c r="A740" s="16" t="str">
        <x:v>REC50-R13-003</x:v>
      </x:c>
      <x:c r="B740" s="4" t="str">
        <x:v>Dehiba/Wazen same-day travel restriction with returning-national exceptions, August 2023</x:v>
      </x:c>
      <x:c r="C740" s="4" t="str">
        <x:v>Libya; Tunisia</x:v>
      </x:c>
      <x:c r="D740" s="4" t="str">
        <x:v>Dehiba / Wazen
Dehiba / Wazen; named crossing and stated cohort only</x:v>
      </x:c>
      <x:c r="E740" s="4" t="str">
        <x:v>Passenger travel other than the stated returning nationals
Direction: Libya to Tunisia and Tunisia to Libya, depending on nationality
Exceptions: Tunisians returning to Tunisia; Libyans leaving Tunisia for Libya</x:v>
      </x:c>
      <x:c r="F740" s="4" t="str">
        <x:v>REC50-R13-003-P1 — Observed operation
Dehiba/Wazen travel other than Tunisians returning to Tunisia and Libyans returning to Libya
Start: 2023-08-10.
Observed scoped reopening: 2023-08-10.
dated evidence; numeric duration withheld; see qualification</x:v>
      </x:c>
      <x:c r="G740" s="4" t="str">
        <x:v>Uncoded
Source-attributed reason or explicitly unresolved, as described below
Applies to: REC50-R13-003-P1
The report gives no stated reason. Nationality exceptions do not establish migration-control purpose.</x:v>
      </x:c>
      <x:c r="H740" s="4" t="str">
        <x:v>REC50-R13-003-P1: A correspondent reports a 14:00–22:00 interruption on 10 August 2023, while nationals returning home could pass. This is a same-day scoped restriction: numeric whole-day duration is withheld, and the source is an indexed extract after two failed direct requests.
Timing / scope / rationale: Recover an accessible full report or official notice to confirm the indexed clocks, cohorts and unstated rationale.
Phase geography: All proposed phases remain unlocated.</x:v>
      </x:c>
      <x:c r="I740" s="4" t="str">
        <x:v>Full-record source audit (REC50-R30); retained with recorded qualifications; evidence limits retained.</x:v>
      </x:c>
      <x:c r="J740" s="18" t="d">
        <x:v>2026-10-25T00:00:00.000Z</x:v>
      </x:c>
      <x:c r="K740" s="21" t="str">
        <x:f>IFERROR(HYPERLINK("https://www.mosaiquefm.net/mobile/fr/national-tunisie/1183304/dhehiba-ouazen-reprise-du-trafic","Mosaïque FM"),"Mosaïque FM")</x:f>
        <x:v>Mosaïque FM</x:v>
      </x:c>
      <x:c r="L740" s="21"/>
      <x:c r="M740" s="21"/>
      <x:c r="N740" s="4" t="str">
        <x:v>https://www.mosaiquefm.net/mobile/fr/national-tunisie/1183304/dhehiba-ouazen-reprise-du-trafic</x:v>
      </x:c>
      <x:c r="O740" s="4" t="str">
        <x:v>Source 1: indexed extract</x:v>
      </x:c>
      <x:c r="P740" s="20" t="n">
        <x:v>1</x:v>
      </x:c>
      <x:c r="Q740" s="4" t="str">
        <x:v>North Africa</x:v>
      </x:c>
      <x:c r="R740" s="4" t="str">
        <x:v>Included</x:v>
      </x:c>
    </x:row>
    <x:row r="741" ht="126" hidden="0" customHeight="1">
      <x:c r="A741" s="16" t="str">
        <x:v>REC50-R13-004</x:v>
      </x:c>
      <x:c r="B741" s="4" t="str">
        <x:v>Dehiba/Wazen reported commercial interruption, December 2023</x:v>
      </x:c>
      <x:c r="C741" s="4" t="str">
        <x:v>Libya; Tunisia</x:v>
      </x:c>
      <x:c r="D741" s="4" t="str">
        <x:v>Dehiba / Wazen
Dehiba / Wazen; named crossing and stated cohort only</x:v>
      </x:c>
      <x:c r="E741" s="4" t="str">
        <x:v>Commercial traffic; specific commodities and direction not enumerated
Direction: Not separately specified
Exceptions: Ordinary passenger traffic was unaffected, according to Business News.</x:v>
      </x:c>
      <x:c r="F741" s="4" t="str">
        <x:v>REC50-R13-004-P1 — Observed operation
Commercial traffic through Dehiba/Wazen interrupted by the Libyan side; ordinary passenger traffic unaffected
Start: unknown.
Observed scoped reopening: 2023-12-30.
dated evidence; numeric duration withheld; see qualification</x:v>
      </x:c>
      <x:c r="G741" s="4" t="str">
        <x:v>Uncoded
Source-attributed reason or explicitly unresolved, as described below
Applies to: REC50-R13-004-P1
The article explicitly says no official explanation was given. Commercial consequences do not imply a trade-protection purpose.</x:v>
      </x:c>
      <x:c r="H741" s="4" t="str">
        <x:v>REC50-R13-004-P1: Commercial traffic through Dehiba/Wazen was reportedly restored on 30 December 2023 after a reported two-day interruption; Tunisie Numérique specifies Saturday morning. Business News says ordinary passenger traffic was unaffected. Exact onset, commodity and directional detail, the underlying informants and official reason remain unresolved; numeric duration is withheld.
Timing / scope / rationale: Find an attributed official or field account establishing the exact onset, commodity and directional coverage, and basis of the reported commercial restoration; retain the unnamed-informant qualification. Ordinary passenger traffic is reported unaffected.
Phase geography: All proposed phases remain unlocated.</x:v>
      </x:c>
      <x:c r="I741" s="4" t="str">
        <x:v>Full-record source audit (REC50-R45); retained with recorded qualifications; evidence limits retained.</x:v>
      </x:c>
      <x:c r="J741" s="18" t="d">
        <x:v>2026-10-25T00:00:00.000Z</x:v>
      </x:c>
      <x:c r="K741" s="21" t="str">
        <x:f>IFERROR(HYPERLINK("https://www.tunisienumerique.com/reprise-de-lactivite-commerciale-au-poste-frontalier-de-dhehiba/","Tunisie Numérique"),"Tunisie Numérique")</x:f>
        <x:v>Tunisie Numérique</x:v>
      </x:c>
      <x:c r="L741" s="21" t="str">
        <x:f>IFERROR(HYPERLINK("https://businessnews.com.tn/2023/12/30/article-1202984/1202984/","Business News Tunisia"),"Business News Tunisia")</x:f>
        <x:v>Business News Tunisia</x:v>
      </x:c>
      <x:c r="M741" s="21"/>
      <x:c r="N741" s="4" t="str">
        <x:v>https://www.tunisienumerique.com/reprise-de-lactivite-commerciale-au-poste-frontalier-de-dhehiba/
https://businessnews.com.tn/2023/12/30/article-1202984/1202984/</x:v>
      </x:c>
      <x:c r="O741" s="4" t="str">
        <x:v>Source 1: full text; partial metadata
Source 2: full text</x:v>
      </x:c>
      <x:c r="P741" s="20" t="n">
        <x:v>1</x:v>
      </x:c>
      <x:c r="Q741" s="4" t="str">
        <x:v>North Africa</x:v>
      </x:c>
      <x:c r="R741" s="4" t="str">
        <x:v>Included</x:v>
      </x:c>
    </x:row>
    <x:row r="742" ht="150" hidden="0" customHeight="1">
      <x:c r="A742" s="16" t="str">
        <x:v>REC50-R13-005</x:v>
      </x:c>
      <x:c r="B742" s="4" t="str">
        <x:v>Rafah passenger closure with staged directional restoration, August 2021</x:v>
      </x:c>
      <x:c r="C742" s="4" t="str">
        <x:v>Egypt; Palestine (Gaza)</x:v>
      </x:c>
      <x:c r="D742" s="4" t="str">
        <x:v>Rafah
Rafah; named crossing and stated cohort only</x:v>
      </x:c>
      <x:c r="E742" s="4" t="str">
        <x:v>Passenger movement, split by direction
Direction: Egypt to Gaza; Gaza to Egypt
Exceptions: Incoming stranded Palestinians allowed from 26 August; separate aid and Salah Ad Din commercial routes are not treated as closed by these phases.</x:v>
      </x:c>
      <x:c r="F742" s="4" t="str">
        <x:v>REC50-R13-005-P1 — Observed operation
Rafah Egypt-to-Gaza entry of Palestinians stranded in Egypt
Start: 2021-08-23.
Observed scoped reopening: 2021-08-26.
3 calendar-day difference; scoped endpoint only
REC50-R13-005-P2 — Observed operation
Rafah outgoing passenger passage from Gaza to Egypt
Start: 2021-08-23.
Observed scoped reopening: 2021-08-29.
6 calendar-day difference; scoped endpoint only</x:v>
      </x:c>
      <x:c r="G742" s="4" t="str">
        <x:v>Uncoded
Source-attributed reason or explicitly unresolved, as described below
Applies to: REC50-R13-005-P1; REC50-R13-005-P2
AFP reports that Egypt supplied no official reason. Political-punishment context is not promoted into an official rationale.</x:v>
      </x:c>
      <x:c r="H742" s="4" t="str">
        <x:v>REC50-R13-005-P1: Three calendar-date days to scoped incoming return; not unrestricted access for all passenger categories or a closure of Salah Ad Din goods traffic.
REC50-R13-005-P2: Six calendar-date days to reported outgoing restoration, not six lost scheduled operating days. The intermediate weekend schedule was not separately audited. AA’s relative-date phrase about incoming reopening conflicts with the more explicit OCHA/AFP 26 August date; no continuous daily gate tally is claimed.
Timing / scope / rationale: If analysing lost operating days, obtain the exceptional order and daily schedule; reconcile AA’s relative-date wording without changing the explicit 26 August incoming date.
Phase geography: All proposed phases remain unlocated.</x:v>
      </x:c>
      <x:c r="I742" s="4" t="str">
        <x:v>Full-record source audit (REC50-R20); retained with recorded qualifications; evidence limits retained.</x:v>
      </x:c>
      <x:c r="J742" s="18" t="d">
        <x:v>2026-10-25T00:00:00.000Z</x:v>
      </x:c>
      <x:c r="K742" s="21" t="str">
        <x:f>IFERROR(HYPERLINK("https://www.ochaopt.org/content/response-escalation-opt-situation-report-no-9-august-2021","UN OCHA oPt"),"UN OCHA oPt")</x:f>
        <x:v>UN OCHA oPt</x:v>
      </x:c>
      <x:c r="L742" s="21" t="str">
        <x:f>IFERROR(HYPERLINK("https://www.timesofisrael.com/egypt-reopens-gaza-crossing-after-4-days-as-israel-eases-restrictions/","The Times of Israel / AFP"),"The Times of Israel / AFP")</x:f>
        <x:v>The Times of Israel / AFP</x:v>
      </x:c>
      <x:c r="M742" s="21" t="str">
        <x:f>IFERROR(HYPERLINK("https://www.aa.com.tr/en/middle-east/egypt-reopens-gaza-crossing-after-closure/2349650","Anadolu Agency"),"Anadolu Agency")</x:f>
        <x:v>Anadolu Agency</x:v>
      </x:c>
      <x:c r="N742" s="4" t="str">
        <x:v>https://www.ochaopt.org/content/response-escalation-opt-situation-report-no-9-august-2021
https://www.timesofisrael.com/egypt-reopens-gaza-crossing-after-4-days-as-israel-eases-restrictions/
https://www.aa.com.tr/en/middle-east/egypt-reopens-gaza-crossing-after-closure/2349650</x:v>
      </x:c>
      <x:c r="O742" s="4" t="str">
        <x:v>Source 1: full text
Source 2: full text
Source 3: full text</x:v>
      </x:c>
      <x:c r="P742" s="20" t="n">
        <x:v>2</x:v>
      </x:c>
      <x:c r="Q742" s="4" t="str">
        <x:v>North Africa</x:v>
      </x:c>
      <x:c r="R742" s="4" t="str">
        <x:v>Included</x:v>
      </x:c>
    </x:row>
    <x:row r="743" ht="78" hidden="0" customHeight="1">
      <x:c r="A743" s="16" t="str">
        <x:v>REC50-R13-006</x:v>
      </x:c>
      <x:c r="B743" s="4" t="str">
        <x:v>Kerem Shalom commercial closure during tunnel destruction, January 2018</x:v>
      </x:c>
      <x:c r="C743" s="4" t="str">
        <x:v>Israel; Palestine (Gaza)</x:v>
      </x:c>
      <x:c r="D743" s="4" t="str">
        <x:v>Kerem Shalom / Karm Abu Salem
Kerem Shalom / Karm Abu Salem; named crossing and stated cohort only</x:v>
      </x:c>
      <x:c r="E743" s="4" t="str">
        <x:v>Commercial goods, aid and fuel entering Gaza
Direction: Israel to Gaza
Exceptions: No item-specific exception established; no passenger scope claimed</x:v>
      </x:c>
      <x:c r="F743" s="4" t="str">
        <x:v>REC50-R13-006-P1 — Observed operation
Kerem Shalom / Karm Abu Salem commercial entry from Israel into Gaza during a tunnel-neutralisation operation
Start: 2018-01-14.
Observed scoped reopening: 2018-01-16.
2 calendar-day difference; scoped endpoint only</x:v>
      </x:c>
      <x:c r="G743" s="4" t="str">
        <x:v>Security / Public order and immediate safety
Source-attributed reason or explicitly unresolved, as described below
Applies to: REC50-R13-006-P1
The IDF explicitly states maintaining safety around the crossing. Allegations about the tunnel and actor responsibility remain attributed; no unrecorded additional rationale is inferred.</x:v>
      </x:c>
      <x:c r="H743" s="4" t="str">
        <x:v>REC50-R13-006-P1: Reported Kerem Shalom commercial closure from 14 January to reopening on 16 January 2018 gives a two-day calendar difference. The army’s 15 January plan is supported by WAFA’s subsequent reopening report; no passenger or exact-hour inference is made.
Phase geography: All proposed phases remain unlocated.</x:v>
      </x:c>
      <x:c r="I743" s="4" t="str">
        <x:v>Full-record source audit (REC50-R35); retained with recorded qualifications; evidence limits retained.</x:v>
      </x:c>
      <x:c r="J743" s="18" t="d">
        <x:v>2026-10-25T00:00:00.000Z</x:v>
      </x:c>
      <x:c r="K743" s="21" t="str">
        <x:f>IFERROR(HYPERLINK("https://www.idf.il/en/mini-sites/hamas/thwarting-hamas-terror-one-tunnel-at-a-time/","Israel Defense Forces"),"Israel Defense Forces")</x:f>
        <x:v>Israel Defense Forces</x:v>
      </x:c>
      <x:c r="L743" s="21" t="str">
        <x:f>IFERROR(HYPERLINK("https://www.timesofisrael.com/liveblog_entry/idf-says-gaza-crossing-to-reopen-after-closure-during-tunnel-destruction/","The Times of Israel"),"The Times of Israel")</x:f>
        <x:v>The Times of Israel</x:v>
      </x:c>
      <x:c r="M743" s="21" t="str">
        <x:f>IFERROR(HYPERLINK("https://english.wafa.ps/Pages/Details/92324","WAFA"),"WAFA")</x:f>
        <x:v>WAFA</x:v>
      </x:c>
      <x:c r="N743" s="4" t="str">
        <x:v>https://www.idf.il/en/mini-sites/hamas/thwarting-hamas-terror-one-tunnel-at-a-time/
https://www.timesofisrael.com/liveblog_entry/idf-says-gaza-crossing-to-reopen-after-closure-during-tunnel-destruction/
https://english.wafa.ps/Pages/Details/92324</x:v>
      </x:c>
      <x:c r="O743" s="4" t="str">
        <x:v>Source 1: full text
Source 2: indexed extract; full text
Source 3: full text</x:v>
      </x:c>
      <x:c r="P743" s="20" t="n">
        <x:v>1</x:v>
      </x:c>
      <x:c r="Q743" s="4" t="str">
        <x:v>Middle East</x:v>
      </x:c>
      <x:c r="R743" s="4" t="str">
        <x:v>Included</x:v>
      </x:c>
    </x:row>
    <x:row r="744" ht="102" hidden="0" customHeight="1">
      <x:c r="A744" s="16" t="str">
        <x:v>REC50-R13-007</x:v>
      </x:c>
      <x:c r="B744" s="4" t="str">
        <x:v>Kerem Shalom power-plant fuel suspension, June 2019</x:v>
      </x:c>
      <x:c r="C744" s="4" t="str">
        <x:v>Israel; Palestine (Gaza)</x:v>
      </x:c>
      <x:c r="D744" s="4" t="str">
        <x:v>Kerem Shalom / Karm Abu Salem
Kerem Shalom / Karm Abu Salem; named crossing and stated cohort only</x:v>
      </x:c>
      <x:c r="E744" s="4" t="str">
        <x:v>Fuel destined for Gaza’s sole power plant
Direction: Israel to Gaza
Exceptions: Other cargo and fuel destinations are not asserted to be restricted by this phase.</x:v>
      </x:c>
      <x:c r="F744" s="4" t="str">
        <x:v>REC50-R13-007-P1 — Observed operation
Fuel through Kerem Shalom for Gaza’s sole power plant
Start: 2019-06-25.
Observed scoped reopening: 2019-06-28.
3 calendar-day difference; scoped endpoint only</x:v>
      </x:c>
      <x:c r="G744" s="4" t="str">
        <x:v>Security / Armed attacks and terrorism
Source-attributed reason or explicitly unresolved, as described below
Applies to: REC50-R13-007-P1
COGAT-attributed reporting and the contemporaneous news accounts link the measure to incendiary-balloon attacks. The broad security/attack rationale is attributed, with no inference of an additional interstate or economic purpose.</x:v>
      </x:c>
      <x:c r="H744" s="4" t="str">
        <x:v>REC50-R13-007-P1: Power-plant fuel deliveries were interrupted from 25 June and reported restored on 28 June 2019: a three-day calendar difference for that commodity and destination. Other goods, other fuel users, passenger travel and the separate fishing-zone measure are outside scope.
Timing / scope / rationale: Retrieve the original COGAT statement or an accessible contemporary full article for the crossing-specific onset; currently this detail rests on an indexed secondary representation.
Phase geography: All proposed phases remain unlocated.</x:v>
      </x:c>
      <x:c r="I744" s="4" t="str">
        <x:v>Full-record source audit (REC50-R25); retained with recorded qualifications; evidence limits retained.</x:v>
      </x:c>
      <x:c r="J744" s="18" t="d">
        <x:v>2026-10-25T00:00:00.000Z</x:v>
      </x:c>
      <x:c r="K744" s="21" t="str">
        <x:f>IFERROR(HYPERLINK("https://www.aa.com.tr/en/middle-east/israel-allows-fuel-to-enter-gaza-after-3-day-hiatus-/1518180","Anadolu Agency"),"Anadolu Agency")</x:f>
        <x:v>Anadolu Agency</x:v>
      </x:c>
      <x:c r="L744" s="21" t="str">
        <x:f>IFERROR(HYPERLINK("https://www.voanews.com/a/middle-east_israel-eases-some-restrictions-gaza-unofficial-truce/6170781.html","Voice of America / Associated Press"),"Voice of America / Associated Press")</x:f>
        <x:v>Voice of America / Associated Press</x:v>
      </x:c>
      <x:c r="M744" s="21" t="str">
        <x:f>IFERROR(HYPERLINK("https://www.terrorism-info.org.il/en/news-terrorism-israeli-palestinian-conflict-june-19-25-2019/","Meir Amit Intelligence and Terrorism Information Center"),"Meir Amit Intelligence and Terrorism Information Center")</x:f>
        <x:v>Meir Amit Intelligence and Terrorism Information Center</x:v>
      </x:c>
      <x:c r="N744" s="4" t="str">
        <x:v>https://www.aa.com.tr/en/middle-east/israel-allows-fuel-to-enter-gaza-after-3-day-hiatus-/1518180
https://www.voanews.com/a/middle-east_israel-eases-some-restrictions-gaza-unofficial-truce/6170781.html
https://www.terrorism-info.org.il/en/news-terrorism-israeli-palestinian-conflict-june-19-25-2019/
https://www.terrorism-info.org.il/app/uploads/2019/06/E_138_19.pdf
https://www.jpost.com/breaking-news/israel-stops-fuel-supply-for-gaza-power-plant-through-kerem-shalom-593601/</x:v>
      </x:c>
      <x:c r="O744" s="4" t="str">
        <x:v>Source 1: full text
Source 2: full text
Source 3: indexed extract</x:v>
      </x:c>
      <x:c r="P744" s="20" t="n">
        <x:v>1</x:v>
      </x:c>
      <x:c r="Q744" s="4" t="str">
        <x:v>Middle East</x:v>
      </x:c>
      <x:c r="R744" s="4" t="str">
        <x:v>Included</x:v>
      </x:c>
    </x:row>
    <x:row r="745" ht="114" hidden="0" customHeight="1">
      <x:c r="A745" s="16" t="str">
        <x:v>REC50-R17-001</x:v>
      </x:c>
      <x:c r="B745" s="4" t="str">
        <x:v>Kaplanbek–Navoi reconstruction closure with limited passenger restoration in January 2025</x:v>
      </x:c>
      <x:c r="C745" s="4" t="str">
        <x:v>Kazakhstan; Uzbekistan</x:v>
      </x:c>
      <x:c r="D745" s="4" t="str">
        <x:v>Kaplanbek–Navoi (also Zangiota)</x:v>
      </x:c>
      <x:c r="E745" s="4" t="str">
        <x:v>Initial whole-post closure; phase limited to restored ordinary personal passage
Direction: Not directionally disaggregated in inspected sources
Exceptions: Passenger permission was initially limited; freight restoration remains separate.</x:v>
      </x:c>
      <x:c r="F745" s="4" t="str">
        <x:v>REC50-R17-001-P1 — Observed operation
Ordinary personal passage at Kaplanbek–Navoi/Zangiota; partial passenger restoration only
Start: by 2022-12-06; earliest bound unknown.
Observed scoped reopening: 2025-01-27 to 2025-01-29.
dated evidence; numeric duration withheld; see qualification</x:v>
      </x:c>
      <x:c r="G745" s="4" t="str">
        <x:v>Administration and service operation
Named government/customs authority notice or attributed statement
Applies to: REC50-R17-001-P1
Reconstruction/modernization and safety during those works are explicitly stated. Broad administrative code retained; no narrower new subcategory or inferred political motive.</x:v>
      </x:c>
      <x:c r="H745" s="4" t="str">
        <x:v>REC50-R17-001-P1: Closed by 6 December 2022; the earlier December 1 announcement is not an observed exact onset. Limited personal passage is supported between the January 27 technical opening and the January 29 report of a first passenger. February 5 full capacity was prospective, and freight restoration is separate. Unknown onset prevents a numeric duration.
Operational onset and phased passenger/freight restoration: Closed by 6 December 2022; the earlier December 1 announcement is not an observed exact onset. Limited personal passage is supported between the January 27 technical opening and the January 29 report of a first passenger. February 5 full capacity was prospective, and freight restoration is separate. Unknown onset prevents a numeric duration.</x:v>
      </x:c>
      <x:c r="I745" s="4" t="str">
        <x:v>Full-record source audit (REC50-R25); retained with recorded qualifications; evidence limits retained.</x:v>
      </x:c>
      <x:c r="J745" s="18" t="d">
        <x:v>2026-10-25T00:00:00.000Z</x:v>
      </x:c>
      <x:c r="K745" s="21" t="str">
        <x:f>IFERROR(HYPERLINK("https://www.zakon.kz/sobytiia/6031000-kgd-punkt-propuska-kaplanbek--zangiota-budet-polnostyu-zakryt-s-1-dekabrya.html","Zakon.kz"),"Zakon.kz")</x:f>
        <x:v>Zakon.kz</x:v>
      </x:c>
      <x:c r="L745" s="21" t="str">
        <x:f>IFERROR(HYPERLINK("https://kazpravda.kz/n/kaplanbek-zakryt-vremenno/","Kazakhstanskaya Pravda"),"Kazakhstanskaya Pravda")</x:f>
        <x:v>Kazakhstanskaya Pravda</x:v>
      </x:c>
      <x:c r="M745" s="21" t="str">
        <x:f>IFERROR(HYPERLINK("https://t.me/s/kgdmfrk/8534","Kazakhstan State Revenue Committee official Telegram channel"),"Kazakhstan State Revenue Committee official Telegram channel")</x:f>
        <x:v>Kazakhstan State Revenue Committee official Telegram channel</x:v>
      </x:c>
      <x:c r="N745" s="4" t="str">
        <x:v>https://www.zakon.kz/sobytiia/6031000-kgd-punkt-propuska-kaplanbek--zangiota-budet-polnostyu-zakryt-s-1-dekabrya.html
https://kazpravda.kz/n/kaplanbek-zakryt-vremenno/
https://t.me/s/kgdmfrk/8534
https://uz.kursiv.media/2025-01-29/kpp-navoi-vozobnovil-rabotu-foto/
https://t.me/customschannel/42573
https://www.inform.kz/amp/nazvana-data-otkritiya-punkta-propuska-zhibek-zholi-na-granitse-s-suzbekistanom-310ac2</x:v>
      </x:c>
      <x:c r="O745" s="4" t="str">
        <x:v>Source 1: full text
Source 2: full text
Source 3: full text</x:v>
      </x:c>
      <x:c r="P745" s="20" t="n">
        <x:v>1</x:v>
      </x:c>
      <x:c r="Q745" s="4" t="str">
        <x:v>Central Asia and Caucasus</x:v>
      </x:c>
      <x:c r="R745" s="4" t="str">
        <x:v>Included</x:v>
      </x:c>
    </x:row>
    <x:row r="746" ht="90" hidden="0" customHeight="1">
      <x:c r="A746" s="16" t="str">
        <x:v>REC50-R17-002</x:v>
      </x:c>
      <x:c r="B746" s="4" t="str">
        <x:v>Zhibek Zholy–Gishtkuprik reconstruction closure from February 2025</x:v>
      </x:c>
      <x:c r="C746" s="4" t="str">
        <x:v>Kazakhstan; Uzbekistan</x:v>
      </x:c>
      <x:c r="D746" s="4" t="str">
        <x:v>Zhibek Zholy–Gishtkuprik (Chernyaevka)</x:v>
      </x:c>
      <x:c r="E746" s="4" t="str">
        <x:v>Pedestrians and road vehicles using the paired post
Direction: Not directionally disaggregated in inspected sources
Exceptions: Alternative road crossings and rail remained distinct; no entire-national-frontier closure is inferred.</x:v>
      </x:c>
      <x:c r="F746" s="4" t="str">
        <x:v>REC50-R17-002-P1 — Observed operation
Zhibek Zholy–Gishtkuprik road crossing, pedestrians and vehicles
Start: 2025-02-05.
Last confirmed: 2026-09-29. Reopening is not established.
confirmed through 2026-09-29; at least 601 calendar-day difference; reopening unknown</x:v>
      </x:c>
      <x:c r="G746" s="4" t="str">
        <x:v>Administration and service operation
Named government/customs authority notice or attributed statement
Applies to: REC50-R17-002-P1
Reconstruction/modernization and safety during those works are explicitly stated. Broad administrative code retained; no narrower new subcategory or inferred political motive.</x:v>
      </x:c>
      <x:c r="H746" s="4" t="str">
        <x:v>REC50-R17-002-P1: Reported continuously closed from 5 February 2025 through 29 September 2026. Later reopening remains a plan. The lower bound measures calendar-date separation to the last-confirmed restriction, not a completed duration or current status after that observation.
Observed endpoint after last-confirmed restriction: Reported continuously closed from 5 February 2025 through 29 September 2026. Later reopening remains a plan. The lower bound measures calendar-date separation to the last-confirmed restriction, not a completed duration or current status after that observation.</x:v>
      </x:c>
      <x:c r="I746" s="4" t="str">
        <x:v>Full-record source audit (REC50-R45); retained with recorded qualifications; evidence limits retained.</x:v>
      </x:c>
      <x:c r="J746" s="18" t="d">
        <x:v>2026-10-25T00:00:00.000Z</x:v>
      </x:c>
      <x:c r="K746" s="21" t="str">
        <x:f>IFERROR(HYPERLINK("https://qazinform.com/news/kazakhstan-closes-zhibek-zholy-checkpoint-on-border-with-uzbekistan-0d2d25","Qazinform"),"Qazinform")</x:f>
        <x:v>Qazinform</x:v>
      </x:c>
      <x:c r="L746" s="21" t="str">
        <x:f>IFERROR(HYPERLINK("https://www.inform.kz/amp/nazvana-data-otkritiya-punkta-propuska-zhibek-zholi-na-granitse-s-suzbekistanom-310ac2","Kazinform"),"Kazinform")</x:f>
        <x:v>Kazinform</x:v>
      </x:c>
      <x:c r="M746" s="21" t="str">
        <x:f>IFERROR(HYPERLINK("https://kun.uz/en/news/2026/09/29/gishtkuprik-border-crossing-with-kazakhstan-to-reopen-by-year-end","Kun.uz"),"Kun.uz")</x:f>
        <x:v>Kun.uz</x:v>
      </x:c>
      <x:c r="N746" s="4" t="str">
        <x:v>https://qazinform.com/news/kazakhstan-closes-zhibek-zholy-checkpoint-on-border-with-uzbekistan-0d2d25
https://www.inform.kz/amp/nazvana-data-otkritiya-punkta-propuska-zhibek-zholi-na-granitse-s-suzbekistanom-310ac2
https://kun.uz/en/news/2026/09/29/gishtkuprik-border-crossing-with-kazakhstan-to-reopen-by-year-end</x:v>
      </x:c>
      <x:c r="O746" s="4" t="str">
        <x:v>Source 1: full text
Source 2: full text
Source 3: full text</x:v>
      </x:c>
      <x:c r="P746" s="20" t="n">
        <x:v>1</x:v>
      </x:c>
      <x:c r="Q746" s="4" t="str">
        <x:v>Central Asia and Caucasus</x:v>
      </x:c>
      <x:c r="R746" s="4" t="str">
        <x:v>Included</x:v>
      </x:c>
    </x:row>
    <x:row r="747" ht="138" hidden="0" customHeight="1">
      <x:c r="A747" s="16" t="str">
        <x:v>REC50-R17-003</x:v>
      </x:c>
      <x:c r="B747" s="4" t="str">
        <x:v>Tazhen–Daut Ata passenger and light-vehicle reconstruction restriction</x:v>
      </x:c>
      <x:c r="C747" s="4" t="str">
        <x:v>Kazakhstan; Uzbekistan</x:v>
      </x:c>
      <x:c r="D747" s="4" t="str">
        <x:v>Tazhen–Daut Ata</x:v>
      </x:c>
      <x:c r="E747" s="4" t="str">
        <x:v>Persons, passenger cars and buses; initial notice also covered freight vehicles up to 3.5 tonnes
Direction: Not directionally disaggregated in inspected sources
Exceptions: Heavy freight continued. The later numeric phase does not assume continuity of the under-3.5-tonne freight restriction.</x:v>
      </x:c>
      <x:c r="F747" s="4" t="str">
        <x:v>REC50-R17-003-P1 — Observed operation
Ordinary persons, passenger cars and buses at Tazhen–Daut Ata
Start: 2025-02-01.
Last confirmed: 2025-12-29. Reopening is not established.
confirmed through 2025-12-29; at least 331 calendar-day difference; reopening unknown</x:v>
      </x:c>
      <x:c r="G747" s="4" t="str">
        <x:v>Administration and service operation
Named government/customs authority notice or attributed statement
Applies to: REC50-R17-003-P1
Reconstruction/modernization and safety during those works are explicitly stated. Broad administrative code retained; no narrower new subcategory or inferred political motive.</x:v>
      </x:c>
      <x:c r="H747" s="4" t="str">
        <x:v>REC50-R17-003-P1: People, passenger cars and buses are reported restricted from 1 February through 29 December 2025. Tazhen technical commissioning did not restore paired passage because Daut Ata still restricted this cohort. Heavy freight continued. The original light-freight restriction is not silently carried into the later scoped phase. An undated retrieved NewTimes account is not used to advance the numeric last-confirmed date.
Paired passenger reopening and dated later observation: People, passenger cars and buses are reported restricted from 1 February through 29 December 2025. Tazhen technical commissioning did not restore paired passage because Daut Ata still restricted this cohort. Heavy freight continued. The original light-freight restriction is not silently carried into the later scoped phase. An undated retrieved NewTimes account is not used to advance the numeric last-confirmed date.</x:v>
      </x:c>
      <x:c r="I747" s="4" t="str">
        <x:v>Full-record source audit (REC50-R25); retained with recorded qualifications; evidence limits retained.</x:v>
      </x:c>
      <x:c r="J747" s="18" t="d">
        <x:v>2026-10-25T00:00:00.000Z</x:v>
      </x:c>
      <x:c r="K747" s="21" t="str">
        <x:f>IFERROR(HYPERLINK("https://www.gov.kz/org/kgd/press/news/details/927631?lang=ru","Kazakhstan State Revenue Committee"),"Kazakhstan State Revenue Committee")</x:f>
        <x:v>Kazakhstan State Revenue Committee</x:v>
      </x:c>
      <x:c r="L747" s="21" t="str">
        <x:f>IFERROR(HYPERLINK("https://www.gov.kz/org/kgd/press/news/details/998331?lang=ru","Kazakhstan State Revenue Committee"),"Kazakhstan State Revenue Committee")</x:f>
        <x:v>Kazakhstan State Revenue Committee</x:v>
      </x:c>
      <x:c r="M747" s="21" t="str">
        <x:f>IFERROR(HYPERLINK("https://www.inform.kz/amp/nazvana-data-otkritiya-punkta-propuska-zhibek-zholi-na-granitse-s-suzbekistanom-310ac2","Kazinform"),"Kazinform")</x:f>
        <x:v>Kazinform</x:v>
      </x:c>
      <x:c r="N747" s="4" t="str">
        <x:v>https://www.gov.kz/org/kgd/press/news/details/927631?lang=ru
https://www.gov.kz/org/kgd/press/news/details/998331?lang=ru
https://www.inform.kz/amp/nazvana-data-otkritiya-punkta-propuska-zhibek-zholi-na-granitse-s-suzbekistanom-310ac2
https://www.inform.kz/ru/uzbekistan-prodlevaet-ogranichenie-v-punkte-propuska-daut-ata-na-granitse-s-kazahstanom-1da583
https://newtimes.kz/obshchestvo/223184-nas-vysadili-iz-poezda-inostrantsy-s-velosipedami-zastriali-v-beineu
https://oxusroad.com/ru/destinations/nukus/</x:v>
      </x:c>
      <x:c r="O747" s="4" t="str">
        <x:v>Source 1: full text
Source 2: full text
Source 3: full text</x:v>
      </x:c>
      <x:c r="P747" s="20" t="n">
        <x:v>1</x:v>
      </x:c>
      <x:c r="Q747" s="4" t="str">
        <x:v>Central Asia and Caucasus</x:v>
      </x:c>
      <x:c r="R747" s="4" t="str">
        <x:v>Included</x:v>
      </x:c>
    </x:row>
    <x:row r="748" ht="354" hidden="0" customHeight="1">
      <x:c r="A748" s="16" t="str">
        <x:v>REC50-R17-004</x:v>
      </x:c>
      <x:c r="B748" s="4" t="str">
        <x:v>Atameken–Gulistan/Syrdarya and Kazygurt–S. Nazhimov shared reconstruction passenger restriction</x:v>
      </x:c>
      <x:c r="C748" s="4" t="str">
        <x:v>Kazakhstan; Uzbekistan</x:v>
      </x:c>
      <x:c r="D748" s="4" t="str">
        <x:v>Atameken–Gulistan/Uzbek Syrdarya; Kazygurt–S. Nadzhimov/Nazhimov</x:v>
      </x:c>
      <x:c r="E748" s="4" t="str">
        <x:v>Shared initial ban on persons, cars, buses and light freight; post-specific phases retain ordinary passenger scope
Direction: Not directionally disaggregated in inspected sources
Exceptions: Heavy freight remained permitted; unilateral commissioning did not establish paired passenger restoration.</x:v>
      </x:c>
      <x:c r="F748" s="4" t="str">
        <x:v>REC50-R17-004-P1 — Observed operation
Atameken–Gulistan/Uzbek Syrdarya ordinary personal passage under the shared reconstruction measure
Start: 2023-02-15.
Observed scoped reopening: by 2026-03-24; earliest bound unknown.
Last confirmed observation: 2025-11-25.
Contested: dated evidence; numeric duration withheld; see qualification
Held evidence: excluded from numeric duration and animation displays.
REC50-R17-004-P2 — Observed operation
Kazygurt–S. Nadzhimov/Nazhimov ordinary persons, cars and buses under the shared reconstruction measure
Start: 2023-02-15.
Last confirmed: 2025-11-25. Reopening is not established.
Contested: dated evidence; numeric duration withheld; see qualification
Held evidence: excluded from numeric duration and animation displays.</x:v>
      </x:c>
      <x:c r="G748" s="4" t="str">
        <x:v>Administration and service operation
Named government/customs authority notice or attributed statement
Applies to: REC50-R17-004-P1; REC50-R17-004-P2
Reconstruction/modernization and safety during those works are explicitly stated. Broad administrative code retained; no narrower new subcategory or inferred political motive.</x:v>
      </x:c>
      <x:c r="H748" s="4" t="str">
        <x:v>REC50-R17-004-P1: One February 15, 2023 measure covered Atameken and Kazygurt, with heavy freight continuing. Post-specific passenger restoration differs. November 2025 evidence still restricts persons at both; a December official commissioning report broadly claims uninterrupted passenger traffic. That contradiction and missing precise first-passage dates prevent continuous numeric durations. Atameken was commissioned on the Kazakh side in April 2025 while Uzbek personal-passage restrictions continued. Restoration is reported by March 24, 2026, not dated to that article day. The earliest endpoint remains unknown.
REC50-R17-004-P2: One February 15, 2023 measure covered Atameken and Kazygurt, with heavy freight continuing. Post-specific passenger restoration differs. November 2025 evidence still restricts persons at both; a December official commissioning report broadly claims uninterrupted passenger traffic. That contradiction and missing precise first-passage dates prevent continuous numeric durations. Kazygurt commissioning on December 12 does not identify the actual first restored ordinary-passenger day. No reopening date is assigned.
Atameken passenger continuity and first restored passage: One February 15, 2023 measure covered Atameken and Kazygurt, with heavy freight continuing. Post-specific passenger restoration differs. November 2025 evidence still restricts persons at both; a December official commissioning report broadly claims uninterrupted passenger traffic. That contradiction and missing precise first-passage dates prevent continuous numeric durations. Atameken was commissioned on the Kazakh side in April 2025 while Uzbek personal-passage restrictions continued. Restoration is reported by March 24, 2026, not dated to that article day. The earliest endpoint remains unknown.
Kazygurt actual passenger restoration: One February 15, 2023 measure covered Atameken and Kazygurt, with heavy freight continuing. Post-specific passenger restoration differs. November 2025 evidence still restricts persons at both; a December official commissioning report broadly claims uninterrupted passenger traffic. That contradiction and missing precise first-passage dates prevent continuous numeric durations. Kazygurt commissioning on December 12 does not identify the actual first restored ordinary-passenger day. No reopening date is assigned.</x:v>
      </x:c>
      <x:c r="I748" s="4" t="str">
        <x:v>Full-record source audit (REC50-R30); accepted qualification; evidence limits retained.</x:v>
      </x:c>
      <x:c r="J748" s="18" t="d">
        <x:v>2026-10-25T00:00:00.000Z</x:v>
      </x:c>
      <x:c r="K748" s="21" t="str">
        <x:f>IFERROR(HYPERLINK("https://www.gov.kz/org/kgd/press/news/details/508408?lang=ru","Kazakhstan State Revenue Committee"),"Kazakhstan State Revenue Committee")</x:f>
        <x:v>Kazakhstan State Revenue Committee</x:v>
      </x:c>
      <x:c r="L748" s="21" t="str">
        <x:f>IFERROR(HYPERLINK("https://www.gov.kz/org/kgd/press/news/details/542671?lang=ru","Kazakhstan State Revenue Committee"),"Kazakhstan State Revenue Committee")</x:f>
        <x:v>Kazakhstan State Revenue Committee</x:v>
      </x:c>
      <x:c r="M748" s="21" t="str">
        <x:f>IFERROR(HYPERLINK("https://www.inform.kz/amp/nazvana-data-otkritiya-punkta-propuska-zhibek-zholi-na-granitse-s-suzbekistanom-310ac2","Kazinform"),"Kazinform")</x:f>
        <x:v>Kazinform</x:v>
      </x:c>
      <x:c r="N748" s="4" t="str">
        <x:v>https://www.gov.kz/org/kgd/press/news/details/508408?lang=ru
https://www.gov.kz/org/kgd/press/news/details/542671?lang=ru
https://www.inform.kz/amp/nazvana-data-otkritiya-punkta-propuska-zhibek-zholi-na-granitse-s-suzbekistanom-310ac2
https://primeminister.kz/en/news/new-high-tech-border-crossing-points-kazygurt-and-temir-baba-opened-30844
https://daryo.uz/en/2026/03/24/syrdarya-customs-post-in-uzbekistan-reopens-after-kazakh-checkpoint-reconstruction/
https://t.me/customschannel/61214</x:v>
      </x:c>
      <x:c r="O748" s="4" t="str">
        <x:v>Source 1: full text
Source 2: indexed extract
Source 3: full text</x:v>
      </x:c>
      <x:c r="P748" s="20" t="n">
        <x:v>2</x:v>
      </x:c>
      <x:c r="Q748" s="4" t="str">
        <x:v>Central Asia and Caucasus</x:v>
      </x:c>
      <x:c r="R748" s="4" t="str">
        <x:v>Included</x:v>
      </x:c>
    </x:row>
    <x:row r="749" ht="138" hidden="0" customHeight="1">
      <x:c r="A749" s="16" t="str">
        <x:v>REC50-R17-006</x:v>
      </x:c>
      <x:c r="B749" s="4" t="str">
        <x:v>Ken-Sai–Uch-Kurgan inherited interruption and September 2024 reopening</x:v>
      </x:c>
      <x:c r="C749" s="4" t="str">
        <x:v>Kyrgyzstan; Uzbekistan</x:v>
      </x:c>
      <x:c r="D749" s="4" t="str">
        <x:v>Ken-Sai (Kensai)–Uch-Kurgan/Uch-Kurgon</x:v>
      </x:c>
      <x:c r="E749" s="4" t="str">
        <x:v>Multilateral road-post passage of people, vehicles, goods and animals at restoration
Direction: Not directionally disaggregated in inspected sources
Exceptions: Kara-Suu bilateral/daytime pedestrian rules do not apply to Ken-Sai. Intermediate historical openings remain unresolved.</x:v>
      </x:c>
      <x:c r="F749" s="4" t="str">
        <x:v>REC50-R17-006-P1 — Observed operation
Ken-Sai–Uch-Kurgan multilateral road-post traffic restored in September 2024
Start: unknown.
Observed scoped reopening: 2024-09-12.
Contested: dated evidence; numeric duration withheld; see qualification
Held evidence: excluded from numeric duration and animation displays.</x:v>
      </x:c>
      <x:c r="G749" s="4" t="str">
        <x:v>Uncoded
Original reason not established
Applies to: REC50-R17-006-P1
The sources establish interruption and restoration but do not establish the original official reason.</x:v>
      </x:c>
      <x:c r="H749" s="4" t="str">
        <x:v>REC50-R17-006-P1: A September 12, 2024 correspondent report documents Ken-Sai/Uch-Kurgan operating again and retrospectively describes non-operation since 2009. A guide gives intermediate 2016–2018 closures/reopenings, whose underlying identity and events remain unresolved. Exact onset and uninterrupted total duration are withheld; the September restoration is not transferred from Kara-Suu. The original official rationale is uncoded.
Inherited onset, intermediate openings and original rationale: A September 12, 2024 correspondent report documents Ken-Sai/Uch-Kurgan operating again and retrospectively describes non-operation since 2009. A guide gives intermediate 2016–2018 closures/reopenings, whose underlying identity and events remain unresolved. Exact onset and uninterrupted total duration are withheld; the September restoration is not transferred from Kara-Suu. The original official rationale is uncoded.</x:v>
      </x:c>
      <x:c r="I749" s="4" t="str">
        <x:v>Full-record source audit (REC50-R35); retained with recorded qualifications; evidence limits retained.</x:v>
      </x:c>
      <x:c r="J749" s="18" t="d">
        <x:v>2026-10-25T00:00:00.000Z</x:v>
      </x:c>
      <x:c r="K749" s="21" t="str">
        <x:f>IFERROR(HYPERLINK("https://www.azattyqasia.org/a/33117179.html","Azattyq / RFE-RL"),"Azattyq / RFE-RL")</x:f>
        <x:v>Azattyq / RFE-RL</x:v>
      </x:c>
      <x:c r="L749" s="21" t="str">
        <x:f>IFERROR(HYPERLINK("https://24.kg/english/304889_Ken-Sai_-_Avtodorozhny_checkpoint_resumes_work/","24.kg"),"24.kg")</x:f>
        <x:v>24.kg</x:v>
      </x:c>
      <x:c r="M749" s="21" t="str">
        <x:f>IFERROR(HYPERLINK("https://www.gov.kg/index.php/ru/post/s/24531-kyrgyzstan-menen-ozbekstandyn-mamlekettik-cek-arasyndagy-kairadan-zanydan-kurulgan-ken-sai-unaazol-zana-uc-kurgan-unaazol-kozomoldoo-otkoruu-punktary-acylyp-isi-zandandy","Kyrgyz Cabinet of Ministers"),"Kyrgyz Cabinet of Ministers")</x:f>
        <x:v>Kyrgyz Cabinet of Ministers</x:v>
      </x:c>
      <x:c r="N749" s="4" t="str">
        <x:v>https://www.azattyqasia.org/a/33117179.html
https://24.kg/english/304889_Ken-Sai_-_Avtodorozhny_checkpoint_resumes_work/
https://www.gov.kg/index.php/ru/post/s/24531-kyrgyzstan-menen-ozbekstandyn-mamlekettik-cek-arasyndagy-kairadan-zanydan-kurulgan-ken-sai-unaazol-zana-uc-kurgan-unaazol-kozomoldoo-otkoruu-punktary-acylyp-isi-zandandy
https://caravanistan.com/border-crossings/kyrgyzstan/
https://ucentralasia.edu.kg/media/efknojxr/uca-msri-briefuzbek-kr-border-areasrus.pdf</x:v>
      </x:c>
      <x:c r="O749" s="4" t="str">
        <x:v>Source 1: full text
Source 2: indexed extract
Source 3: indexed extract</x:v>
      </x:c>
      <x:c r="P749" s="20" t="n">
        <x:v>1</x:v>
      </x:c>
      <x:c r="Q749" s="4" t="str">
        <x:v>Central Asia and Caucasus</x:v>
      </x:c>
      <x:c r="R749" s="4" t="str">
        <x:v>Included</x:v>
      </x:c>
    </x:row>
    <x:row r="750" ht="102" hidden="0" customHeight="1">
      <x:c r="A750" s="16" t="str">
        <x:v>REC50-R18-001</x:v>
      </x:c>
      <x:c r="B750" s="4" t="str">
        <x:v>Cristo Redentor truckers’ protest obstruction during COVID testing delays, January 2022</x:v>
      </x:c>
      <x:c r="C750" s="4" t="str">
        <x:v>Argentina; Chile</x:v>
      </x:c>
      <x:c r="D750" s="4" t="str">
        <x:v>Cristo Redentor–Los Libertadores road crossing and Argentine approach
Named international crossing and its immediate approach; no whole-country outline is inferred.</x:v>
      </x:c>
      <x:c r="E750" s="4" t="str">
        <x:v>Freight vehicles deliberately obstructed by protesting truckers
Direction: Chile to Argentina is reported on 20 January; Argentina to Chile is reported on 26 January. Uniform bidirectional continuity is not established.
Exceptions: Health-control queues are a separate mechanism. The 29 January protocol change and 30 January general clearance report do not establish a direction-matched final protest endpoint.</x:v>
      </x:c>
      <x:c r="F750" s="4" t="str">
        <x:v>REC50-R18-001-P1 — Observed operation
Freight vehicles deliberately obstructed by protesting truckers at Cristo Redentor–Los Libertadores road crossing and Argentine approach
Start: 2022-01-20.
Last confirmed: 2022-01-26. Reopening is not established.
Contested: dated evidence; numeric duration withheld; see qualification
Held evidence: excluded from numeric duration and animation displays.</x:v>
      </x:c>
      <x:c r="G750" s="4" t="str">
        <x:v>Policy and socioeconomic demands / Opposition to health policies
Truckers objected to Chilean testing arrangements and their effects on work, according to El Territorio and direct Diario UNO interviews.
Applies to: REC50-R18-001-P1
Codes describe the stated demands of the actors imposing the protest obstruction. They do not adopt allegations as facts or recode the authorities’ response as the initiating rationale.</x:v>
      </x:c>
      <x:c r="H750" s="4" t="str">
        <x:v>REC50-R18-001-P1: Deliberate obstruction is documented on 20 and 26 January, with different affected directions. The final protest endpoint and uninterrupted continuity for one traffic cohort remain unestablished; numeric duration is withheld. Health-control queues are a separate mechanism. The 29 January protocol change and 30 January general clearance report do not establish a direction-matched final protest endpoint.
timing and continuity: Deliberate obstruction is documented on 20 and 26 January, with different affected directions. The final protest endpoint and uninterrupted continuity for one traffic cohort remain unestablished; numeric duration is withheld.</x:v>
      </x:c>
      <x:c r="I750" s="4" t="str">
        <x:v>Full-record source audit (REC50-R25); retained with recorded qualifications; evidence limits retained.</x:v>
      </x:c>
      <x:c r="J750" s="18" t="d">
        <x:v>2026-10-25T00:00:00.000Z</x:v>
      </x:c>
      <x:c r="K750" s="21" t="str">
        <x:f>IFERROR(HYPERLINK("https://www.elterritorio.com.ar/noticias/2022/01/21/735100-paralizados-en-el-paso-cristo-redentor","El Territorio"),"El Territorio")</x:f>
        <x:v>El Territorio</x:v>
      </x:c>
      <x:c r="L750" s="21" t="str">
        <x:f>IFERROR(HYPERLINK("https://www.diariouno.com.ar/politica/chile-duplicaria-la-atencion-la-aduana-pero-los-camioneros-no-cesaran-el-bloqueo-n992891","Diario UNO"),"Diario UNO")</x:f>
        <x:v>Diario UNO</x:v>
      </x:c>
      <x:c r="M750" s="21" t="str">
        <x:f>IFERROR(HYPERLINK("https://www.argentina.gob.ar/noticias/situacion-de-transportistas-en-paso-cristo-redentor-los-libertadores","Argentina Ministry of Security"),"Argentina Ministry of Security")</x:f>
        <x:v>Argentina Ministry of Security</x:v>
      </x:c>
      <x:c r="N750" s="4" t="str">
        <x:v>https://www.elterritorio.com.ar/noticias/2022/01/21/735100-paralizados-en-el-paso-cristo-redentor
https://www.diariouno.com.ar/politica/chile-duplicaria-la-atencion-la-aduana-pero-los-camioneros-no-cesaran-el-bloqueo-n992891
https://www.argentina.gob.ar/noticias/situacion-de-transportistas-en-paso-cristo-redentor-los-libertadores
https://www.emol.com/noticias/Internacional/2022/01/30/1045425/desbloquean-paso-camiones-vehiculos-detenidos.html</x:v>
      </x:c>
      <x:c r="O750" s="4" t="str">
        <x:v>Source 1: full text
Source 2: full text
Source 3: full text</x:v>
      </x:c>
      <x:c r="P750" s="20" t="n">
        <x:v>1</x:v>
      </x:c>
      <x:c r="Q750" s="4" t="str">
        <x:v>Americas</x:v>
      </x:c>
      <x:c r="R750" s="4" t="str">
        <x:v>Included</x:v>
      </x:c>
    </x:row>
    <x:row r="751" ht="90" hidden="0" customHeight="1">
      <x:c r="A751" s="16" t="str">
        <x:v>REC50-R18-002</x:v>
      </x:c>
      <x:c r="B751" s="4" t="str">
        <x:v>Yacuiba–Salvador Mazza bridge blockade over a sewer project, 29 May 2023</x:v>
      </x:c>
      <x:c r="C751" s="4" t="str">
        <x:v>Bolivia; Argentina</x:v>
      </x:c>
      <x:c r="D751" s="4" t="str">
        <x:v>Yacuiba–Salvador Mazza international bridge
Named international crossing and its immediate approach; no whole-country outline is inferred.</x:v>
      </x:c>
      <x:c r="E751" s="4" t="str">
        <x:v>Bridge traffic, with observed resumed passage specifically of passenger buses and small vehicles
Direction: Bridge access affected; first returning vehicles’ direction not separately reported.
Exceptions: No universal pedestrian ban is established; the first documented returning cohort is passenger buses and small vehicles.</x:v>
      </x:c>
      <x:c r="F751" s="4" t="str">
        <x:v>REC50-R18-002-P1 — Observed operation
Bridge traffic, with observed resumed passage specifically of passenger buses and small vehicles at Yacuiba–Salvador Mazza international bridge
Start: 2023-05-29.
Observed scoped reopening: 2023-05-29.
Same-day episode; no whole-day duration inferred; Agreement around midday on Monday 29 May; exact obstruction and first-vehicle clocks unknown.</x:v>
      </x:c>
      <x:c r="G751" s="4" t="str">
        <x:v>Policy and socioeconomic demands / Jobs, services and livelihoods
Residents demanded completion of a delayed sewer project, reported by El País and the local El Gran Chaco account.
Applies to: REC50-R18-002-P1
Codes describe the stated demands of the actors imposing the protest obstruction. They do not adopt allegations as facts or recode the authorities’ response as the initiating rationale.</x:v>
      </x:c>
      <x:c r="H751" s="4" t="str">
        <x:v>REC50-R18-002-P1: A morning blockade and resumed passenger-bus/small-vehicle passage after the Monday midday agreement are documented on 29 May. This is a same-day episode; the announced 24 hours is not used as its duration. No universal pedestrian ban is established; the first documented returning cohort is passenger buses and small vehicles.</x:v>
      </x:c>
      <x:c r="I751" s="4" t="str">
        <x:v>Full-record source audit (REC50-R45); retained with recorded qualifications; evidence limits retained.</x:v>
      </x:c>
      <x:c r="J751" s="18" t="d">
        <x:v>2026-10-25T00:00:00.000Z</x:v>
      </x:c>
      <x:c r="K751" s="21" t="str">
        <x:f>IFERROR(HYPERLINK("https://elpais.bo/tarija/20230529_bloquean-el-puente-internacional-en-yacuiba-por-un-proyecto-de-alcantarillado.html","El País Bolivia"),"El País Bolivia")</x:f>
        <x:v>El País Bolivia</x:v>
      </x:c>
      <x:c r="L751" s="21" t="str">
        <x:f>IFERROR(HYPERLINK("https://www.diarioelgranchaco.com/2023/05/el-puente-esta-expedito-autoridades.html","El Gran Chaco"),"El Gran Chaco")</x:f>
        <x:v>El Gran Chaco</x:v>
      </x:c>
      <x:c r="M751" s="21"/>
      <x:c r="N751" s="4" t="str">
        <x:v>https://elpais.bo/tarija/20230529_bloquean-el-puente-internacional-en-yacuiba-por-un-proyecto-de-alcantarillado.html
https://www.diarioelgranchaco.com/2023/05/el-puente-esta-expedito-autoridades.html</x:v>
      </x:c>
      <x:c r="O751" s="4" t="str">
        <x:v>Source 1: full text
Source 2: full text</x:v>
      </x:c>
      <x:c r="P751" s="20" t="n">
        <x:v>1</x:v>
      </x:c>
      <x:c r="Q751" s="4" t="str">
        <x:v>Americas</x:v>
      </x:c>
      <x:c r="R751" s="4" t="str">
        <x:v>Included</x:v>
      </x:c>
    </x:row>
    <x:row r="752" ht="102" hidden="0" customHeight="1">
      <x:c r="A752" s="16" t="str">
        <x:v>REC50-R18-003</x:v>
      </x:c>
      <x:c r="B752" s="4" t="str">
        <x:v>Yacuiba–Salvador Mazza bagayeros blockade over customs treatment, July 2023</x:v>
      </x:c>
      <x:c r="C752" s="4" t="str">
        <x:v>Bolivia; Argentina</x:v>
      </x:c>
      <x:c r="D752" s="4" t="str">
        <x:v>Yacuiba–Salvador Mazza international bridge
Named international crossing and its immediate approach; no whole-country outline is inferred.</x:v>
      </x:c>
      <x:c r="E752" s="4" t="str">
        <x:v>Freight passage disrupted by the bridge blockade; source also reports affected personal movement
Direction: Freight return is explicitly reported in both directions.
Exceptions: The evidence does not establish that every passenger or pedestrian was continuously excluded.</x:v>
      </x:c>
      <x:c r="F752" s="4" t="str">
        <x:v>REC50-R18-003-P1 — Observed operation
Freight passage disrupted by the bridge blockade; source also reports affected personal movement at Yacuiba–Salvador Mazza international bridge
Start: 2023-07-03.
Observed scoped reopening: 2023-07-04 to 2023-07-06.
1–3 calendar-day difference; scoped endpoint only</x:v>
      </x:c>
      <x:c r="G752" s="4" t="str">
        <x:v>Trade and protectionism / Trade and transport protests
Bagayeros demanded easier customs procedures and complained about seizures, according to their named leader and the consul’s reported mediation.
Applies to: REC50-R18-003-P1
Codes describe the stated demands of the actors imposing the protest obstruction. They do not adopt allegations as facts or recode the authorities’ response as the initiating rationale.</x:v>
      </x:c>
      <x:c r="H752" s="4" t="str">
        <x:v>REC50-R18-003-P1: The blockade began on Monday 3 July and remained active on 4 July. A 6 July report describes completed lifting and freight passage, without naming the lifting day. The scoped endpoint is bounded to 4–6 July: a 1–3 calendar-day difference, not an exact three-day or 72-hour closure. The evidence does not establish that every passenger or pedestrian was continuously excluded.
timing and continuity: The blockade began on Monday 3 July and remained active on 4 July. A 6 July report describes completed lifting and freight passage, without naming the lifting day. The scoped endpoint is bounded to 4–6 July: a 1–3 calendar-day difference, not an exact three-day or 72-hour closure.</x:v>
      </x:c>
      <x:c r="I752" s="4" t="str">
        <x:v>Full-record source audit (REC50-R35); retained with recorded qualifications; evidence limits retained.</x:v>
      </x:c>
      <x:c r="J752" s="18" t="d">
        <x:v>2026-10-25T00:00:00.000Z</x:v>
      </x:c>
      <x:c r="K752" s="21" t="str">
        <x:f>IFERROR(HYPERLINK("https://elpais.bo/tarija/20230704_bagayeros-cumplen-segundo-dia-de-bloqueo-del-puente-internacional-salvador-mazza-yacuiba.html","El País (Bolivia)"),"El País (Bolivia)")</x:f>
        <x:v>El País (Bolivia)</x:v>
      </x:c>
      <x:c r="L752" s="21" t="str">
        <x:f>IFERROR(HYPERLINK("https://tarija200.com/post/levantan-el-bloqueo-en-el-puente-internacional-en-la-frontera-de-yacuiba-salvador-mazza","Tarija 200 / Yacuiba Noticias"),"Tarija 200 / Yacuiba Noticias")</x:f>
        <x:v>Tarija 200 / Yacuiba Noticias</x:v>
      </x:c>
      <x:c r="M752" s="21"/>
      <x:c r="N752" s="4" t="str">
        <x:v>https://elpais.bo/tarija/20230704_bagayeros-cumplen-segundo-dia-de-bloqueo-del-puente-internacional-salvador-mazza-yacuiba.html
https://tarija200.com/post/levantan-el-bloqueo-en-el-puente-internacional-en-la-frontera-de-yacuiba-salvador-mazza</x:v>
      </x:c>
      <x:c r="O752" s="4" t="str">
        <x:v>Source 1: full text
Source 2: full text</x:v>
      </x:c>
      <x:c r="P752" s="20" t="n">
        <x:v>1</x:v>
      </x:c>
      <x:c r="Q752" s="4" t="str">
        <x:v>Americas</x:v>
      </x:c>
      <x:c r="R752" s="4" t="str">
        <x:v>Included</x:v>
      </x:c>
    </x:row>
    <x:row r="753" ht="126" hidden="0" customHeight="1">
      <x:c r="A753" s="16" t="str">
        <x:v>REC50-R18-004</x:v>
      </x:c>
      <x:c r="B753" s="4" t="str">
        <x:v>Yacuiba–Salvador Mazza health-workers’ blockade with negotiated passage, July 2024</x:v>
      </x:c>
      <x:c r="C753" s="4" t="str">
        <x:v>Bolivia; Argentina</x:v>
      </x:c>
      <x:c r="D753" s="4" t="str">
        <x:v>Yacuiba–Salvador Mazza international bridge
Named international crossing and its immediate approach; no whole-country outline is inferred.</x:v>
      </x:c>
      <x:c r="E753" s="4" t="str">
        <x:v>Vehicles including international buses and freight, with documented temporary authorised passage
Direction: Both directions were affected; the 22 July negotiated cohort travelled toward Argentina.
Exceptions: The Defensoría documents a temporary 22 July pause for three international buses and 15 light vehicles. Broader and repeated exceptions are not fully reconstructed.</x:v>
      </x:c>
      <x:c r="F753" s="4" t="str">
        <x:v>REC50-R18-004-P1 — Intermittent regime
Vehicles including international buses and freight, with documented temporary authorised passage at Yacuiba–Salvador Mazza international bridge
Start: 2024-07-15 to 2024-07-22.
Observed scoped reopening: 2024-07-28.
Contested: Intermittent regime envelope; total closed days unknown
Held evidence: excluded from numeric duration and animation displays.</x:v>
      </x:c>
      <x:c r="G753" s="4" t="str">
        <x:v>Policy and socioeconomic demands / Jobs, services and livelihoods
Health workers sought secure employment, additional funded health posts and benefits. Their demands are recorded by Visión 360 and the mediating Defensoría.
Applies to: REC50-R18-004-P1
Codes describe the stated demands of the actors imposing the protest obstruction. They do not adopt allegations as facts or recode the authorities’ response as the initiating rationale.</x:v>
      </x:c>
      <x:c r="H753" s="4" t="str">
        <x:v>REC50-R18-004-P1: Contemporaneous evidence places the bridge blockade on 22 July; ANF later says 15 July. Both possibilities remain as contested onset bounds. A temporary passage on 22 July and general vehicle return after 28 July police clearance are documented, so neither six nor thirteen days is an established continuous all-traffic duration. The Defensoría documents a temporary 22 July pause for three international buses and 15 light vehicles. Broader and repeated exceptions are not fully reconstructed.
timing and continuity: Contemporaneous evidence places the bridge blockade on 22 July; ANF later says 15 July. Both possibilities remain as contested onset bounds. A temporary passage on 22 July and general vehicle return after 28 July police clearance are documented, so neither six nor thirteen days is an established continuous all-traffic duration.</x:v>
      </x:c>
      <x:c r="I753" s="4" t="str">
        <x:v>Full-record source audit (REC50-R25); retained with recorded qualifications; evidence limits retained.</x:v>
      </x:c>
      <x:c r="J753" s="18" t="d">
        <x:v>2026-10-25T00:00:00.000Z</x:v>
      </x:c>
      <x:c r="K753" s="21" t="str">
        <x:f>IFERROR(HYPERLINK("https://noticiasfides.com/nacional/sociedad/policia-desbloquea-puente-internacional-yacuiba-salvador-mazza-personal-de-salud-denuncia-agresiones","Agencia de Noticias Fides"),"Agencia de Noticias Fides")</x:f>
        <x:v>Agencia de Noticias Fides</x:v>
      </x:c>
      <x:c r="L753" s="21" t="str">
        <x:f>IFERROR(HYPERLINK("https://elpais.bo/tarija/20240728_policias-desbloquean-el-puente-internacional-yacuiba-salvador-mazza.html","El País, Bolivia"),"El País, Bolivia")</x:f>
        <x:v>El País, Bolivia</x:v>
      </x:c>
      <x:c r="M753" s="21" t="str">
        <x:f>IFERROR(HYPERLINK("https://www.vision360.bo/noticias/2024/07/22/8630-trabajadores-de-salud-autoconvocados-bloquean-el-puente-internacional-en-yacuiba","Visión 360"),"Visión 360")</x:f>
        <x:v>Visión 360</x:v>
      </x:c>
      <x:c r="N753" s="4" t="str">
        <x:v>https://noticiasfides.com/nacional/sociedad/policia-desbloquea-puente-internacional-yacuiba-salvador-mazza-personal-de-salud-denuncia-agresiones
https://elpais.bo/tarija/20240728_policias-desbloquean-el-puente-internacional-yacuiba-salvador-mazza.html
https://www.vision360.bo/noticias/2024/07/22/8630-trabajadores-de-salud-autoconvocados-bloquean-el-puente-internacional-en-yacuiba
https://www.defensoria.gob.bo/oficinas/prensa/defensoria-del-pueblo-viabiliza-cuarto-intermedio-para-el-paso-de-vehiculos-en-el-puente-internacional</x:v>
      </x:c>
      <x:c r="O753" s="4" t="str">
        <x:v>Source 1: full text
Source 2: full text
Source 3: full text</x:v>
      </x:c>
      <x:c r="P753" s="20" t="n">
        <x:v>1</x:v>
      </x:c>
      <x:c r="Q753" s="4" t="str">
        <x:v>Americas</x:v>
      </x:c>
      <x:c r="R753" s="4" t="str">
        <x:v>Included</x:v>
      </x:c>
    </x:row>
    <x:row r="754" ht="114" hidden="0" customHeight="1">
      <x:c r="A754" s="16" t="str">
        <x:v>REC50-R18-005</x:v>
      </x:c>
      <x:c r="B754" s="4" t="str">
        <x:v>Yacuiba–Salvador Mazza civic freight-access blockade during pandemic restrictions, May–June 2021</x:v>
      </x:c>
      <x:c r="C754" s="4" t="str">
        <x:v>Bolivia; Argentina</x:v>
      </x:c>
      <x:c r="D754" s="4" t="str">
        <x:v>Yacuiba–Salvador Mazza international bridge
Named international crossing and its immediate approach; no whole-country outline is inferred.</x:v>
      </x:c>
      <x:c r="E754" s="4" t="str">
        <x:v>Access for permitted international freight through the binational bridge
Direction: The report describes the route used for both inbound and outbound international freight.
Exceptions: Continuing pandemic passenger restrictions are outside this protest phase. Reports about Bermejo and Villazón are not automatically merged into this crossing’s interval.</x:v>
      </x:c>
      <x:c r="F754" s="4" t="str">
        <x:v>REC50-R18-005-P1 — Observed operation
Access for permitted international freight through the binational bridge at Yacuiba–Salvador Mazza international bridge
Start: 2021-05-31.
Observed scoped reopening: by 2021-06-02; earliest bound unknown.
dated evidence; numeric duration withheld; see qualification</x:v>
      </x:c>
      <x:c r="G754" s="4" t="str">
        <x:v>Policy and socioeconomic demands / Jobs, services and livelihoods
Civic leader Raúl Hilarión and El Deber describe demands for reopening commerce, jobs, economic activity, vaccination and health posts.
Applies to: REC50-R18-005-P1
Codes describe the stated demands of the actors imposing the protest obstruction. They do not adopt allegations as facts or recode the authorities’ response as the initiating rationale.</x:v>
      </x:c>
      <x:c r="H754" s="4" t="str">
        <x:v>REC50-R18-005-P1: The reported protest began on Monday 31 May. Access for international freight had been cleared by the report published on 2 June, but the exact lifting day is unstated. Numeric duration is withheld and no ordinary passenger reopening is asserted. Continuing pandemic passenger restrictions are outside this protest phase. Reports about Bermejo and Villazón are not automatically merged into this crossing’s interval.
timing and continuity: The reported protest began on Monday 31 May. Access for international freight had been cleared by the report published on 2 June, but the exact lifting day is unstated. Numeric duration is withheld and no ordinary passenger reopening is asserted.</x:v>
      </x:c>
      <x:c r="I754" s="4" t="str">
        <x:v>Full-record source audit (REC50-R45); retained with recorded qualifications; evidence limits retained.</x:v>
      </x:c>
      <x:c r="J754" s="18" t="d">
        <x:v>2026-10-25T00:00:00.000Z</x:v>
      </x:c>
      <x:c r="K754" s="21" t="str">
        <x:f>IFERROR(HYPERLINK("https://eldeber.com.bo/tarija/civicos-de-yacuiba-y-san-jose-de-pocitos-levantan-bloqueo-en-puente-binacional-pero-se-mantiene-la-p_233942/","El Deber"),"El Deber")</x:f>
        <x:v>El Deber</x:v>
      </x:c>
      <x:c r="L754" s="21"/>
      <x:c r="M754" s="21"/>
      <x:c r="N754" s="4" t="str">
        <x:v>https://eldeber.com.bo/tarija/civicos-de-yacuiba-y-san-jose-de-pocitos-levantan-bloqueo-en-puente-binacional-pero-se-mantiene-la-p_233942/</x:v>
      </x:c>
      <x:c r="O754" s="4" t="str">
        <x:v>Source 1: full text</x:v>
      </x:c>
      <x:c r="P754" s="20" t="n">
        <x:v>1</x:v>
      </x:c>
      <x:c r="Q754" s="4" t="str">
        <x:v>Americas</x:v>
      </x:c>
      <x:c r="R754" s="4" t="str">
        <x:v>Included</x:v>
      </x:c>
    </x:row>
    <x:row r="755" ht="126" hidden="0" customHeight="1">
      <x:c r="A755" s="16" t="str">
        <x:v>REC50-R18-006</x:v>
      </x:c>
      <x:c r="B755" s="4" t="str">
        <x:v>Yacuiba–Salvador Mazza bagayeros trade-rule blockade with freight exceptions, July 2017</x:v>
      </x:c>
      <x:c r="C755" s="4" t="str">
        <x:v>Bolivia; Argentina</x:v>
      </x:c>
      <x:c r="D755" s="4" t="str">
        <x:v>Yacuiba–Salvador Mazza international bridge and immediate access
Named international crossing and its immediate approach; no whole-country outline is inferred.</x:v>
      </x:c>
      <x:c r="E755" s="4" t="str">
        <x:v>Freight access under a protest blockade with negotiated perishable-cargo passage
Direction: Freight obstruction and negotiated passage are reported in both directions.
Exceptions: Erbol reports passage of 30 trucks toward Argentina and 30 into Bolivia before the blockade continued; the interval cannot represent uninterrupted prohibition of all freight.</x:v>
      </x:c>
      <x:c r="F755" s="4" t="str">
        <x:v>REC50-R18-006-P1 — Intermittent regime
Freight access under a protest blockade with negotiated perishable-cargo passage at Yacuiba–Salvador Mazza international bridge and immediate access
Start: 2017-07-17.
Observed scoped reopening: 2017-07-25 to 2017-07-26.
Intermittent regime envelope; total closed days unknown</x:v>
      </x:c>
      <x:c r="G755" s="4" t="str">
        <x:v>Trade and protectionism / Trade and transport protests
Named bagayeros leaders sought customs treatment comparable to large importers and described threatened livelihoods, in the Radio Parapetí/Erbol interview and the attributed El Tribuno report.
Applies to: REC50-R18-006-P1
Codes describe the stated demands of the actors imposing the protest obstruction. They do not adopt allegations as facts or recode the authorities’ response as the initiating rationale.</x:v>
      </x:c>
      <x:c r="H755" s="4" t="str">
        <x:v>REC50-R18-006-P1: The 21 July contemporary interview anchors onset to Monday 17 July and documents perishable-freight exceptions. Lifting was communicated on 25 July; a report published on 26 July describes actual freight passage without its calendar day. Final-return bounds are 25–26 July, with no continuous-duration calculation. Erbol reports passage of 30 trucks toward Argentina and 30 into Bolivia before the blockade continued; the interval cannot represent uninterrupted prohibition of all freight.
timing and continuity: The 21 July contemporary interview anchors onset to Monday 17 July and documents perishable-freight exceptions. Lifting was communicated on 25 July; a report published on 26 July describes actual freight passage without its calendar day. Final-return bounds are 25–26 July, with no continuous-duration calculation.</x:v>
      </x:c>
      <x:c r="I755" s="4" t="str">
        <x:v>Full-record source audit (REC50-R25); retained with recorded qualifications; evidence limits retained.</x:v>
      </x:c>
      <x:c r="J755" s="18" t="d">
        <x:v>2026-10-25T00:00:00.000Z</x:v>
      </x:c>
      <x:c r="K755" s="21" t="str">
        <x:f>IFERROR(HYPERLINK("https://derechos.org/nizkor/arg/doc/bagayeros13.html","Equipo Nizkor, republishing El Tribuno"),"Equipo Nizkor, republishing El Tribuno")</x:f>
        <x:v>Equipo Nizkor, republishing El Tribuno</x:v>
      </x:c>
      <x:c r="L755" s="21" t="str">
        <x:f>IFERROR(HYPERLINK("https://anteriorportal.erbol.com.bo/noticia/regional/21072017/bagalleros_cumplen_quinto_dia_de_bloqueo_en_yacuiba","Erbol Digital archive / Radio Parapetí"),"Erbol Digital archive / Radio Parapetí")</x:f>
        <x:v>Erbol Digital archive / Radio Parapetí</x:v>
      </x:c>
      <x:c r="M755" s="21" t="str">
        <x:f>IFERROR(HYPERLINK("https://ibce.org.bo/principales-noticias-bolivia/noticias-nacionales-detalle.php?fecha=2017-07-26&amp;id=78718&amp;idPeriodico=4","Instituto Boliviano de Comercio Exterior news digest"),"Instituto Boliviano de Comercio Exterior news digest")</x:f>
        <x:v>Instituto Boliviano de Comercio Exterior news digest</x:v>
      </x:c>
      <x:c r="N755" s="4" t="str">
        <x:v>https://derechos.org/nizkor/arg/doc/bagayeros13.html
https://anteriorportal.erbol.com.bo/noticia/regional/21072017/bagalleros_cumplen_quinto_dia_de_bloqueo_en_yacuiba
https://ibce.org.bo/principales-noticias-bolivia/noticias-nacionales-detalle.php?fecha=2017-07-26&amp;id=78718&amp;idPeriodico=4</x:v>
      </x:c>
      <x:c r="O755" s="4" t="str">
        <x:v>Source 1: full text
Source 2: full text
Source 3: full text</x:v>
      </x:c>
      <x:c r="P755" s="20" t="n">
        <x:v>1</x:v>
      </x:c>
      <x:c r="Q755" s="4" t="str">
        <x:v>Americas</x:v>
      </x:c>
      <x:c r="R755" s="4" t="str">
        <x:v>Included</x:v>
      </x:c>
    </x:row>
    <x:row r="756" ht="66" hidden="0" customHeight="1">
      <x:c r="A756" s="16" t="str">
        <x:v>REC50-R21-001</x:v>
      </x:c>
      <x:c r="B756" s="4" t="str">
        <x:v>Wazen–Dehiba approach protest and restored people and goods passage, February 2021</x:v>
      </x:c>
      <x:c r="C756" s="4" t="str">
        <x:v>Libya; Tunisia</x:v>
      </x:c>
      <x:c r="D756" s="4" t="str">
        <x:v>Wazen–Dehiba crossing and Tunisian approach
Named crossing and documented approach obstruction; no whole-country closure or outline inferred.</x:v>
      </x:c>
      <x:c r="E756" s="4" t="str">
        <x:v>People and goods passage
Direction: Not separately enumerated.
Exceptions: Exemptions are not reported; do not assume none.</x:v>
      </x:c>
      <x:c r="F756" s="4" t="str">
        <x:v>REC50-R21-001-P1 — Observed operation
People and goods passage at Wazen–Dehiba crossing and Tunisian approach
Start: 2021-02-13.
Observed scoped reopening: 2021-02-14.
1 calendar-day difference; scoped endpoint only</x:v>
      </x:c>
      <x:c r="G756" s="4" t="str">
        <x:v>Trade and protectionism / Trade and transport protests
Reported protester demand, relayed by LANA
Applies to: REC50-R21-001-P1
The source attributes demands for resumed goods flow to protesters; this is not an official government rationale.</x:v>
      </x:c>
      <x:c r="H756" s="4" t="str">
        <x:v>REC50-R21-001-P1: One LANA report quoting a crossing source. The deliberate road obstruction and return of passage are linked; no exhaustive exemptions or direction list is supplied.</x:v>
      </x:c>
      <x:c r="I756" s="4" t="str">
        <x:v>Full-record source audit (REC50-R40); retained with recorded qualifications; evidence limits retained.</x:v>
      </x:c>
      <x:c r="J756" s="18" t="d">
        <x:v>2026-10-25T00:00:00.000Z</x:v>
      </x:c>
      <x:c r="K756" s="21" t="str">
        <x:f>IFERROR(HYPERLINK("https://lana.gov.ly/post.php?id=190933&amp;lang=en","Libyan News Agency"),"Libyan News Agency")</x:f>
        <x:v>Libyan News Agency</x:v>
      </x:c>
      <x:c r="L756" s="21"/>
      <x:c r="M756" s="21"/>
      <x:c r="N756" s="4" t="str">
        <x:v>https://lana.gov.ly/post.php?id=190933&amp;lang=en</x:v>
      </x:c>
      <x:c r="O756" s="4" t="str">
        <x:v>Source 1: full text</x:v>
      </x:c>
      <x:c r="P756" s="20" t="n">
        <x:v>1</x:v>
      </x:c>
      <x:c r="Q756" s="4" t="str">
        <x:v>North Africa</x:v>
      </x:c>
      <x:c r="R756" s="4" t="str">
        <x:v>Included</x:v>
      </x:c>
    </x:row>
    <x:row r="757" ht="150" hidden="0" customHeight="1">
      <x:c r="A757" s="16" t="str">
        <x:v>REC50-R21-002</x:v>
      </x:c>
      <x:c r="B757" s="4" t="str">
        <x:v>Ras Jedir trade and development protest campaign, December 2016–January 2017</x:v>
      </x:c>
      <x:c r="C757" s="4" t="str">
        <x:v>Libya; Tunisia</x:v>
      </x:c>
      <x:c r="D757" s="4" t="str">
        <x:v>Ras Jedir crossing and Ben Guerdane approach
Named crossing and documented approach obstruction; no whole-country closure or outline inferred.</x:v>
      </x:c>
      <x:c r="E757" s="4" t="str">
        <x:v>Non-exempt passenger, vehicle and goods passage, varying by phase
Direction: Phase-specific; January traffic to and from Libya is explicit.
Exceptions: December: emergencies and Libyans returning home. January: ambulances and emergency cases.</x:v>
      </x:c>
      <x:c r="F757" s="4" t="str">
        <x:v>REC50-R21-002-P1 — Observed operation
Non-exempt passenger and goods passage at Ras Jedir crossing and Ben Guerdane approach
Start: 2016-12-13.
Last confirmed: 2016-12-14. Reopening is not established.
confirmed through 2016-12-14; at least 1 calendar-day difference; reopening unknown
REC50-R21-002-P2 — Observed operation
Non-emergency vehicle passage to and from Libya at Ras Jedir crossing and Ben Guerdane approach
Start: unknown.
Observed scoped reopening: 2017-01-23.
Last confirmed observation: 2017-01-22.
dated evidence; numeric duration withheld; see qualification</x:v>
      </x:c>
      <x:c r="G757" s="4" t="str">
        <x:v>Trade and protectionism / Trade and transport protests
Reported demands of traders and residents
Applies to: REC50-R21-002-P1; REC50-R21-002-P2
Demands concern freer cross-border trade and disputed customs restrictions; alleged abuses and promised tax concessions are not adopted as verified facts.
Policy and socioeconomic demands / Jobs, services and livelihoods
Reported development and investment demands
Applies to: REC50-R21-002-P1; REC50-R21-002-P2
Development demands are documented alongside trade demands; neither is assigned an exclusive causal role.</x:v>
      </x:c>
      <x:c r="H757" s="4" t="str">
        <x:v>REC50-R21-002-P1: Emergency cases and Libyans returning home could pass. The two-week sit-in history is not the closure onset. Later repeated openings prevent extending this spell into January.
REC50-R21-002-P2: Ambulances and emergencies were exceptions. The 17 January deal did not itself restore traffic. The campaign included repeated openings; December-to-January continuity is not asserted.
phase boundaries and continuity: Two distinct scoped observations within one protest campaign: December blockage confirmed 13–14 December with unknown endpoint; January closure confirmed on 22 January and actual resumption on 23 January with unknown onset. No continuous cross-month duration.</x:v>
      </x:c>
      <x:c r="I757" s="4" t="str">
        <x:v>Full-record source audit (REC50-R35); retained with recorded qualifications; evidence limits retained.</x:v>
      </x:c>
      <x:c r="J757" s="18" t="d">
        <x:v>2026-10-25T00:00:00.000Z</x:v>
      </x:c>
      <x:c r="K757" s="21" t="str">
        <x:f>IFERROR(HYPERLINK("https://directinfo.webmanagercenter.com/2016/12/14/tunisie-medenine-le-passage-frontalier-de-ras-jedir-bloque-par-des-sit-inneurs-de-ben-guerdane/","DirectInfo / TAP"),"DirectInfo / TAP")</x:f>
        <x:v>DirectInfo / TAP</x:v>
      </x:c>
      <x:c r="L757" s="21" t="str">
        <x:f>IFERROR(HYPERLINK("https://www.webdo.tn/fr/actualite/national/tunisie-passage-frontalier-de-ras-jedir-bloque-sit-inneurs/161398/","Webdo / TAP"),"Webdo / TAP")</x:f>
        <x:v>Webdo / TAP</x:v>
      </x:c>
      <x:c r="M757" s="21" t="str">
        <x:f>IFERROR(HYPERLINK("https://libyaherald.com/2017/01/traffic-finally-moving-at-ras-jedir-border-crossing","Libya Herald"),"Libya Herald")</x:f>
        <x:v>Libya Herald</x:v>
      </x:c>
      <x:c r="N757" s="4" t="str">
        <x:v>https://directinfo.webmanagercenter.com/2016/12/14/tunisie-medenine-le-passage-frontalier-de-ras-jedir-bloque-par-des-sit-inneurs-de-ben-guerdane/
https://www.webdo.tn/fr/actualite/national/tunisie-passage-frontalier-de-ras-jedir-bloque-sit-inneurs/161398/
https://libyaherald.com/2017/01/traffic-finally-moving-at-ras-jedir-border-crossing
https://www.webdo.tn/fr/actualite/national/agitations-a-ben-guerdane-a-cause-poste-frontalier-de-ras-jedir/161042/</x:v>
      </x:c>
      <x:c r="O757" s="4" t="str">
        <x:v>Source 1: indexed extract
Source 2: full text
Source 3: full text</x:v>
      </x:c>
      <x:c r="P757" s="20" t="n">
        <x:v>2</x:v>
      </x:c>
      <x:c r="Q757" s="4" t="str">
        <x:v>North Africa</x:v>
      </x:c>
      <x:c r="R757" s="4" t="str">
        <x:v>Included</x:v>
      </x:c>
    </x:row>
    <x:row r="758" ht="78" hidden="0" customHeight="1">
      <x:c r="A758" s="16" t="str">
        <x:v>REC50-R21-003</x:v>
      </x:c>
      <x:c r="B758" s="4" t="str">
        <x:v>Dehiba–Wazen development and employment protest closure, April–May 2017</x:v>
      </x:c>
      <x:c r="C758" s="4" t="str">
        <x:v>Libya; Tunisia</x:v>
      </x:c>
      <x:c r="D758" s="4" t="str">
        <x:v>Dehiba–Wazen crossing and Tunisian approach
Named crossing and documented approach obstruction; no whole-country closure or outline inferred.</x:v>
      </x:c>
      <x:c r="E758" s="4" t="str">
        <x:v>Ordinary crossing access through the blocked road and locked gates
Direction: Not separately enumerated.
Exceptions: Exemptions are not established by the inspected reports.</x:v>
      </x:c>
      <x:c r="F758" s="4" t="str">
        <x:v>REC50-R21-003-P1 — Observed operation
Ordinary crossing access through the blocked road and locked gates at Dehiba–Wazen crossing and Tunisian approach
Start: 2017-04-24.
Observed scoped reopening: 2017-05-08.
14 calendar-day difference; scoped endpoint only</x:v>
      </x:c>
      <x:c r="G758" s="4" t="str">
        <x:v>Policy and socioeconomic demands / Jobs, services and livelihoods
Reported protester demands for development and employment
Applies to: REC50-R21-003-P1
The source reports social and employment demands, including solidarity with the Kamour protest; no unreported official rationale is assigned.</x:v>
      </x:c>
      <x:c r="H758" s="4" t="str">
        <x:v>REC50-R21-003-P1: The endpoint is the governor’s reported return of activity, not merely the meeting decision. Cohorts and exemptions are not exhaustively enumerated. Both reports come from one publisher.</x:v>
      </x:c>
      <x:c r="I758" s="4" t="str">
        <x:v>New-record source research (REC50-R21); accepted addition; evidence limits retained.</x:v>
      </x:c>
      <x:c r="J758" s="18" t="d">
        <x:v>2026-10-25T00:00:00.000Z</x:v>
      </x:c>
      <x:c r="K758" s="21" t="str">
        <x:f>IFERROR(HYPERLINK("https://www.tunisien.tn/تونس/إعادة-فتح-معبر-الذهيبة-وازن-بعد-غلقه-لأ","Tunisien.tn"),"Tunisien.tn")</x:f>
        <x:v>Tunisien.tn</x:v>
      </x:c>
      <x:c r="L758" s="21" t="str">
        <x:f>IFERROR(HYPERLINK("https://www.tunisien.tn/تونس/تواصل-غلق-معبر-الذهيبة-وازن-لليوم-الخا","Tunisien.tn"),"Tunisien.tn")</x:f>
        <x:v>Tunisien.tn</x:v>
      </x:c>
      <x:c r="M758" s="21"/>
      <x:c r="N758" s="4" t="str">
        <x:v>https://www.tunisien.tn/تونس/إعادة-فتح-معبر-الذهيبة-وازن-بعد-غلقه-لأ
https://www.tunisien.tn/تونس/تواصل-غلق-معبر-الذهيبة-وازن-لليوم-الخا</x:v>
      </x:c>
      <x:c r="O758" s="4" t="str">
        <x:v>Source 1: full text
Source 2: full text</x:v>
      </x:c>
      <x:c r="P758" s="20" t="n">
        <x:v>1</x:v>
      </x:c>
      <x:c r="Q758" s="4" t="str">
        <x:v>North Africa</x:v>
      </x:c>
      <x:c r="R758" s="4" t="str">
        <x:v>Included</x:v>
      </x:c>
    </x:row>
    <x:row r="759" ht="258" hidden="0" customHeight="1">
      <x:c r="A759" s="16" t="str">
        <x:v>REC50-R21-004</x:v>
      </x:c>
      <x:c r="B759" s="4" t="str">
        <x:v>Dehiba–Wazen goods-seizure protest and protective vehicle restrictions, November–December 2017</x:v>
      </x:c>
      <x:c r="C759" s="4" t="str">
        <x:v>Libya; Tunisia</x:v>
      </x:c>
      <x:c r="D759" s="4" t="str">
        <x:v>Dehiba–Wazen crossing and approach road
Named crossing and documented approach obstruction; no whole-country closure or outline inferred.</x:v>
      </x:c>
      <x:c r="E759" s="4" t="str">
        <x:v>Vehicle and ordinary commercial/social passage under varying restrictions
Direction: Source-specific; Libyan vehicles entering Tunisia are a named protected cohort.
Exceptions: Returning Tunisian and Libyan nationals were allowed; an undated account also describes some women passing after leaving goods behind.</x:v>
      </x:c>
      <x:c r="F759" s="4" t="str">
        <x:v>REC50-R21-004-P1 — Observed operation
Non-exempt vehicle and ordinary commercial/social passage, with source-specific exceptions at Dehiba–Wazen crossing and approach road
Start: unknown.
Last confirmed: 2017-12-06. Reopening is not established.
Contested: dated evidence; numeric duration withheld; see qualification
Held evidence: excluded from numeric duration and animation displays.</x:v>
      </x:c>
      <x:c r="G759" s="4" t="str">
        <x:v>Trade and protectionism / Trade and transport protests
Reported protester demands concerning seized goods
Applies to: REC50-R21-004-P1
The goods dispute explains protest obstruction; the lawfulness of the seizures is not independently determined.
Security / Public order and immediate safety
Official explanation attributed to Wazen mayor Mohamed Sannam in a direct broadcaster interview
Applies to: REC50-R21-004-P1
Protection of threatened Libyan travellers is the stated reason for the Libyan-side restriction; it remains separate from protesters’ demands.</x:v>
      </x:c>
      <x:c r="H759" s="4" t="str">
        <x:v>REC50-R21-004-P1: The removed 23 November road barrier, checkpoint restrictions and later road threats are not assumed to be one uninterrupted all-cohort spell. Third-, tenth- and fifteen-day wording is inconsistent. The 7 December report is prospective. Returning nationals were permitted; some women passed without their goods.
phase boundaries and continuity: Restrictions are documented on 24 November and by the mayor on 5 December, with continued restricted passage and a next-day reopening plan reported on 6 December. A consistent onset and actual final return are unknown; no numeric duration is calculated.</x:v>
      </x:c>
      <x:c r="I759" s="4" t="str">
        <x:v>Full-record source audit (REC50-R40); retained with recorded qualifications; evidence limits retained.</x:v>
      </x:c>
      <x:c r="J759" s="18" t="d">
        <x:v>2026-10-25T00:00:00.000Z</x:v>
      </x:c>
      <x:c r="K759" s="21" t="str">
        <x:f>IFERROR(HYPERLINK("https://tunisien.tn/تونس/تواصل-اغلاق-معبر-ذهيبة-وازن-الحدودي","Tunisien.tn / TAP"),"Tunisien.tn / TAP")</x:f>
        <x:v>Tunisien.tn / TAP</x:v>
      </x:c>
      <x:c r="L759" s="21" t="str">
        <x:f>IFERROR(HYPERLINK("https://tunisien.tn/تونس/اليوم-معبر-ذهيبة-وازن-يستأنف-نشاطه-م","Tunisien.tn"),"Tunisien.tn")</x:f>
        <x:v>Tunisien.tn</x:v>
      </x:c>
      <x:c r="M759" s="21" t="str">
        <x:f>IFERROR(HYPERLINK("https://alwasat.ly/news/libya/150588","Al Wasat / Al Arab"),"Al Wasat / Al Arab")</x:f>
        <x:v>Al Wasat / Al Arab</x:v>
      </x:c>
      <x:c r="N759" s="4" t="str">
        <x:v>https://tunisien.tn/تونس/تواصل-اغلاق-معبر-ذهيبة-وازن-الحدودي
https://tunisien.tn/تونس/اليوم-معبر-ذهيبة-وازن-يستأنف-نشاطه-م
https://alwasat.ly/news/libya/150588
https://libyaalahrar.tv/2017/12/05/استمرار-إغلاق-معبر-ذهيبة-وازن-بين-ليبي/
https://ar.webmanagercenter.com/2017/12/06/209645/تونس-عودة-حركة-العبور-إلى-معبر-ذهيبة-و/
https://libyaalahrar.tv/2017/12/05/%D8%A7%D8%B3%D8%AA%D9%85%D8%B1%D8%A7%D8%B1-%D8%A5%D8%BA%D9%84%D8%A7%D9%82-%D9%85%D8%B9%D8%A8%D8%B1-%D8%B0%D9%87%D9%8A%D8%A8%D8%A9-%D9%88%D8%A7%D8%B2%D9%86-%D8%A8%D9%8A%D9%86-%D9%84%D9%8A%D8%A8%D9%8A/
https://tunisien.tn/%D8%AA%D9%88%D9%86%D8%B3/%D8%AA%D9%88%D8%A7%D8%B5%D9%84-%D8%A7%D8%BA%D9%84%D8%A7%D9%82-%D9%85%D8%B9%D8%A8%D8%B1-%D8%B0%D9%87%D9%8A%D8%A8%D8%A9-%D9%88%D8%A7%D8%B2%D9%86-%D8%A7%D9%84%D8%AD%D8%AF%D9%88%D8%AF%D9%8A
https://tunisien.tn/%D8%AA%D9%88%D9%86%D8%B3/%D8%A7%D9%84%D9%8A%D9%88%D9%85-%D9%85%D8%B9%D8%A8%D8%B1-%D8%B0%D9%87%D9%8A%D8%A8%D8%A9-%D9%88%D8%A7%D8%B2%D9%86-%D9%8A%D8%B3%D8%AA%D8%A3%D9%86%D9%81-%D9%86%D8%B4%D8%A7%D8%B7%D9%87-%D9%85
https://ar.webmanagercenter.com/2017/12/06/209645/%D8%AA%D9%88%D9%86%D8%B3-%D8%B9%D9%88%D8%AF%D8%A9-%D8%AD%D8%B1%D9%83%D8%A9-%D8%A7%D9%84%D8%B9%D8%A8%D9%88%D8%B1-%D8%A5%D9%84%D9%89-%D9%85%D8%B9%D8%A8%D8%B1-%D8%B0%D9%87%D9%8A%D8%A8%D8%A9-%D9%88/</x:v>
      </x:c>
      <x:c r="O759" s="4" t="str">
        <x:v>Source 1: full text
Source 2: full text
Source 3: full text</x:v>
      </x:c>
      <x:c r="P759" s="20" t="n">
        <x:v>1</x:v>
      </x:c>
      <x:c r="Q759" s="4" t="str">
        <x:v>North Africa</x:v>
      </x:c>
      <x:c r="R759" s="4" t="str">
        <x:v>Included</x:v>
      </x:c>
    </x:row>
    <x:row r="760" ht="102" hidden="0" customHeight="1">
      <x:c r="A760" s="16" t="str">
        <x:v>REC50-R22-002</x:v>
      </x:c>
      <x:c r="B760" s="4" t="str">
        <x:v>Norway restricts temporary entry of Russian-registered passenger cars, October 2023</x:v>
      </x:c>
      <x:c r="C760" s="4" t="str">
        <x:v>Norway; Russia</x:v>
      </x:c>
      <x:c r="D760" s="4" t="str">
        <x:v>Storskog; no other land crossing is independently located in this round
Norwegian external import regime, explicitly applicable to the Storskog land crossing.</x:v>
      </x:c>
      <x:c r="E760" s="4" t="str">
        <x:v>Non-exempt Russian-registered passenger cars with nine or fewer seats, including temporary imports
Direction: Into Norway
Exceptions: Vehicles with ten or more seats remain possible. Specified Norwegian/EEA citizen-owned and qualifying family vehicles are excepted under the notice’s citizenship and permanent-residence conditions; humanitarian, diplomatic, international-organisation and state-courier vehicles also have specified exceptions.</x:v>
      </x:c>
      <x:c r="F760" s="4" t="str">
        <x:v>REC50-R22-002-P1 — Formal policy
Non-exempt Russian-registered passenger vehicles entering Norway, including at Storskog
Start: 2023-10-03.
Last confirmed: 2024-05-23. Reopening is not established.
Formal policy: confirmed through 2024-05-23; at least 233 calendar-day difference; reopening unknown</x:v>
      </x:c>
      <x:c r="G760" s="4" t="str">
        <x:v>Interstate disputes and pressure / Sanctions and coercive pressure
Attributed official justification
Applies to: The specified policy or cargo-restriction regime; no claim of a single primary rationale.
The foreign minister explicitly frames the measure as sanctions intended to reduce resources for Russia’s war. This codes the stated official purpose.</x:v>
      </x:c>
      <x:c r="H760" s="4" t="str">
        <x:v>REC50-R22-002-P1: The vehicle rule is distinct from the May 2024 personal-admission policy. Specified exceptions remain; no final lifting or uninterrupted refusal of all cars is established.
Scoped endpoint, operational observations and historical exceptions: The vehicle rule is distinct from the May 2024 personal-admission policy. Specified exceptions remain; no final lifting or uninterrupted refusal of all cars is established.</x:v>
      </x:c>
      <x:c r="I760" s="4" t="str">
        <x:v>Full-record source audit (REC50-R30); retained with recorded qualifications; evidence limits retained.</x:v>
      </x:c>
      <x:c r="J760" s="18" t="d">
        <x:v>2026-10-25T00:00:00.000Z</x:v>
      </x:c>
      <x:c r="K760" s="21" t="str">
        <x:f>IFERROR(HYPERLINK("https://www.regjeringen.no/en/whats-new/norway-is-tightening-its-restrictive-measures-against-russia/id2996416/","Norwegian Ministry of Foreign Affairs"),"Norwegian Ministry of Foreign Affairs")</x:f>
        <x:v>Norwegian Ministry of Foreign Affairs</x:v>
      </x:c>
      <x:c r="L760" s="21" t="str">
        <x:f>IFERROR(HYPERLINK("https://www.regjeringen.no/contentassets/6110d52dbbc443b1bca9cf2c3c649120/instruction-gi_062024.pdf","Norwegian Ministry of Justice and Public Security"),"Norwegian Ministry of Justice and Public Security")</x:f>
        <x:v>Norwegian Ministry of Justice and Public Security</x:v>
      </x:c>
      <x:c r="M760" s="21"/>
      <x:c r="N760" s="4" t="str">
        <x:v>https://www.regjeringen.no/en/whats-new/norway-is-tightening-its-restrictive-measures-against-russia/id2996416/
https://www.regjeringen.no/contentassets/6110d52dbbc443b1bca9cf2c3c649120/instruction-gi_062024.pdf</x:v>
      </x:c>
      <x:c r="O760" s="4" t="str">
        <x:v>Source 1: full text
Source 2: full text</x:v>
      </x:c>
      <x:c r="P760" s="20" t="n">
        <x:v>1</x:v>
      </x:c>
      <x:c r="Q760" s="4" t="str">
        <x:v>Europe</x:v>
      </x:c>
      <x:c r="R760" s="4" t="str">
        <x:v>Included</x:v>
      </x:c>
    </x:row>
    <x:row r="761" ht="90" hidden="0" customHeight="1">
      <x:c r="A761" s="16" t="str">
        <x:v>REC50-R22-003</x:v>
      </x:c>
      <x:c r="B761" s="4" t="str">
        <x:v>Finland restricts entry of Russian-registered passenger vehicles, September 2023</x:v>
      </x:c>
      <x:c r="C761" s="4" t="str">
        <x:v>Finland; Russia; Norway</x:v>
      </x:c>
      <x:c r="D761" s="4" t="str">
        <x:v>Russian–Finnish and Norwegian–Finnish land-border posts; individual coordinates not reviewed
Finnish external-EU import controls at the eastern and Norwegian frontiers; a nationality rule or whole-country perimeter closure is not inferred.</x:v>
      </x:c>
      <x:c r="E761" s="4" t="str">
        <x:v>Non-exempt Russian-registered vehicles principally under commodity code 8703, including passenger cars, camper vans and small minibuses
Direction: Into Finland / the EU
Exceptions: Specified EU/EEA citizens permanently resident in Russia, including dual citizens, and their family members are excepted, as are diplomatic vehicles and vehicles used for humanitarian entry. Individual admission requirements remain separate.</x:v>
      </x:c>
      <x:c r="F761" s="4" t="str">
        <x:v>REC50-R22-003-P1 — Formal policy
Non-exempt Russian-registered passenger-vehicle imports through Finland’s external-EU borders
Start: 2023-09-16.
Last confirmed: unknown. Reopening is not established.
Formal policy: dated evidence; numeric duration withheld; see qualification</x:v>
      </x:c>
      <x:c r="G761" s="4" t="str">
        <x:v>Interstate disputes and pressure / Sanctions and coercive pressure
Attributed official justification
Applies to: The specified policy or cargo-restriction regime; no claim of a single primary rationale.
Finnish authorities explicitly identify EU-sanctions implementation and uniform enforcement. This does not establish that a car owner personally supports the Russian government.</x:v>
      </x:c>
      <x:c r="H761" s="4" t="str">
        <x:v>REC50-R22-003-P1: Both the Russian and Norwegian external-EU land frontiers are expressly within scope. The existing-car removal deadline is not reopening, and later physical road-post closures must remain separate.
Scoped endpoint, operational observations and historical exceptions: Both the Russian and Norwegian external-EU land frontiers are expressly within scope. The existing-car removal deadline is not reopening, and later physical road-post closures must remain separate.</x:v>
      </x:c>
      <x:c r="I761" s="4" t="str">
        <x:v>Full-record source audit (REC50-R30); retained with recorded qualifications; evidence limits retained.</x:v>
      </x:c>
      <x:c r="J761" s="18" t="d">
        <x:v>2026-10-25T00:00:00.000Z</x:v>
      </x:c>
      <x:c r="K761" s="21" t="str">
        <x:f>IFERROR(HYPERLINK("https://valtioneuvosto.fi/en/-/10184/restrictions-on-import-of-vehicles-registered-in-russia","Finnish Ministry for Foreign Affairs"),"Finnish Ministry for Foreign Affairs")</x:f>
        <x:v>Finnish Ministry for Foreign Affairs</x:v>
      </x:c>
      <x:c r="L761" s="21" t="str">
        <x:f>IFERROR(HYPERLINK("https://www.sttinfo.fi/tiedote/70022378/cars-registered-in-russia-can-no-longer-enter-finland-as-of-midnight-today?lang=en","Finnish Customs (Tulli), distributed through STTinfo"),"Finnish Customs (Tulli), distributed through STTinfo")</x:f>
        <x:v>Finnish Customs (Tulli), distributed through STTinfo</x:v>
      </x:c>
      <x:c r="M761" s="21"/>
      <x:c r="N761" s="4" t="str">
        <x:v>https://valtioneuvosto.fi/en/-/10184/restrictions-on-import-of-vehicles-registered-in-russia
https://www.sttinfo.fi/tiedote/70022378/cars-registered-in-russia-can-no-longer-enter-finland-as-of-midnight-today?lang=en</x:v>
      </x:c>
      <x:c r="O761" s="4" t="str">
        <x:v>Source 1: full text
Source 2: full text</x:v>
      </x:c>
      <x:c r="P761" s="20" t="n">
        <x:v>1</x:v>
      </x:c>
      <x:c r="Q761" s="4" t="str">
        <x:v>Europe</x:v>
      </x:c>
      <x:c r="R761" s="4" t="str">
        <x:v>Included</x:v>
      </x:c>
    </x:row>
    <x:row r="762" ht="90" hidden="0" customHeight="1">
      <x:c r="A762" s="16" t="str">
        <x:v>REC50-R22-004</x:v>
      </x:c>
      <x:c r="B762" s="4" t="str">
        <x:v>Estonia restricts Russian-registered vehicle entry at its external border, September 2023</x:v>
      </x:c>
      <x:c r="C762" s="4" t="str">
        <x:v>Estonia; Russia</x:v>
      </x:c>
      <x:c r="D762" s="4" t="str">
        <x:v>Estonian external-border crossings; individual gates not enumerated in this source-led phase
Entry at Estonia’s external border; no individual crossing coordinates or internal-EU restriction is inferred.</x:v>
      </x:c>
      <x:c r="E762" s="4" t="str">
        <x:v>Russian-registered motor vehicles subject to the announced import restriction
Direction: Into Estonia / the EU from the external border
Exceptions: Outbound and internal-EU crossings remain possible; a person may cross without the vehicle if otherwise entitled. The updated FAQ names diplomatic and special-vehicle exceptions, but their full historical timing is unestablished.</x:v>
      </x:c>
      <x:c r="F762" s="4" t="str">
        <x:v>REC50-R22-004-P1 — Formal policy
Russian-registered vehicle entry at Estonia’s external border
Start: 2023-09-13.
Last confirmed: unknown. Reopening is not established.
Formal policy: dated evidence; numeric duration withheld; see qualification</x:v>
      </x:c>
      <x:c r="G762" s="4" t="str">
        <x:v>Interstate disputes and pressure / Sanctions and coercive pressure
Attributed official justification
Applies to: The specified policy or cargo-restriction regime; no claim of a single primary rationale.
The interior minister explicitly describes imposing a cost on Russia’s aggression and seeking withdrawal from Ukraine. This is attributed official policy reasoning.</x:v>
      </x:c>
      <x:c r="H762" s="4" t="str">
        <x:v>REC50-R22-004-P1: The main article separates vehicles from people and preserves outbound/internal-EU crossing. Its evolving FAQ contains later material, so present exception wording is not backdated wholesale to the launch.
Scoped endpoint, operational observations and historical exceptions: The main article separates vehicles from people and preserves outbound/internal-EU crossing. Its evolving FAQ contains later material, so present exception wording is not backdated wholesale to the launch.</x:v>
      </x:c>
      <x:c r="I762" s="4" t="str">
        <x:v>Targeted source review (REC50-R48); retained with recorded qualifications; evidence limits retained.</x:v>
      </x:c>
      <x:c r="J762" s="18" t="d">
        <x:v>2026-10-25T00:00:00.000Z</x:v>
      </x:c>
      <x:c r="K762" s="21" t="str">
        <x:f>IFERROR(HYPERLINK("https://www.emta.ee/en/news/estonia-prohibits-entry-russian-motor-vehicles","Estonian Tax and Customs Board"),"Estonian Tax and Customs Board")</x:f>
        <x:v>Estonian Tax and Customs Board</x:v>
      </x:c>
      <x:c r="L762" s="21" t="str">
        <x:f>IFERROR(HYPERLINK("https://www.siseministeerium.ee/en/news/estonia-prohibits-entry-russian-motor-vehicles","Estonian Ministry of the Interior"),"Estonian Ministry of the Interior")</x:f>
        <x:v>Estonian Ministry of the Interior</x:v>
      </x:c>
      <x:c r="M762" s="21"/>
      <x:c r="N762" s="4" t="str">
        <x:v>https://www.emta.ee/en/news/estonia-prohibits-entry-russian-motor-vehicles
https://www.siseministeerium.ee/en/news/estonia-prohibits-entry-russian-motor-vehicles</x:v>
      </x:c>
      <x:c r="O762" s="4" t="str">
        <x:v>Source 1: full text
Source 2: full text</x:v>
      </x:c>
      <x:c r="P762" s="20" t="n">
        <x:v>1</x:v>
      </x:c>
      <x:c r="Q762" s="4" t="str">
        <x:v>Europe</x:v>
      </x:c>
      <x:c r="R762" s="4" t="str">
        <x:v>Included</x:v>
      </x:c>
    </x:row>
    <x:row r="763" ht="78" hidden="0" customHeight="1">
      <x:c r="A763" s="16" t="str">
        <x:v>REC50-R22-005</x:v>
      </x:c>
      <x:c r="B763" s="4" t="str">
        <x:v>Norway restricts Russian road-transport undertakings at Storskog, April 2022</x:v>
      </x:c>
      <x:c r="C763" s="4" t="str">
        <x:v>Norway; Russia</x:v>
      </x:c>
      <x:c r="D763" s="4" t="str">
        <x:v>Storskog
Norwegian road-carrier prohibition with documented application to the Storskog route toward Tromsø and Barentsburg.</x:v>
      </x:c>
      <x:c r="E763" s="4" t="str">
        <x:v>Non-exempt road-transport undertakings established in Russia
Direction: Russian-carrier road goods transport into Norway; the underlying national rule is broader than this observed route
Exceptions: Specified journeys begun before 29 April have conditional grace through 7 May; universal mail and authorised specified goods remain excepted. Unrestricted carriage by a different eligible operator is not the same cohort.</x:v>
      </x:c>
      <x:c r="F763" s="4" t="str">
        <x:v>REC50-R22-005-P1 — Formal policy
Norwegian prohibition on non-exempt Russian-established road carriers, with Storskog implementation evidence
Start: 2022-04-29.
Last confirmed: 2022-07-06. Reopening is not established.
Formal policy: confirmed through 2022-07-06; at least 68 calendar-day difference; reopening unknown</x:v>
      </x:c>
      <x:c r="G763" s="4" t="str">
        <x:v>Interstate disputes and pressure / Sanctions and coercive pressure
Attributed official justification
Applies to: The specified policy or cargo-restriction regime; no claim of a single primary rationale.
The government expressly identifies coordinated sanctions intended to pressure the Russian regime and reduce its ability to finance the war.</x:v>
      </x:c>
      <x:c r="H763" s="4" t="str">
        <x:v>REC50-R22-005-P1: Goods carried by a Norwegian operator later passed; that is not a reopening for Russian-established carriers. The final carrier-rule endpoint remains unknown.
Scoped endpoint, operational observations and historical exceptions: Goods carried by a Norwegian operator later passed; that is not a reopening for Russian-established carriers. The final carrier-rule endpoint remains unknown.</x:v>
      </x:c>
      <x:c r="I763" s="4" t="str">
        <x:v>Full-record source audit (REC50-R30); retained with recorded qualifications; evidence limits retained.</x:v>
      </x:c>
      <x:c r="J763" s="18" t="d">
        <x:v>2026-10-25T00:00:00.000Z</x:v>
      </x:c>
      <x:c r="K763" s="21" t="str">
        <x:f>IFERROR(HYPERLINK("https://www.regjeringen.no/en/whats-new/new-sanctions-against-russia-incorporated-into-norwegian-law/id2910809/","Norwegian Ministries of Foreign Affairs and Industry, Commerce and Fisheries"),"Norwegian Ministries of Foreign Affairs and Industry, Commerce and Fisheries")</x:f>
        <x:v>Norwegian Ministries of Foreign Affairs and Industry, Commerce and Fisheries</x:v>
      </x:c>
      <x:c r="L763" s="21" t="str">
        <x:f>IFERROR(HYPERLINK("https://e24.no/naeringsliv/i/x8aral/russland-faar-likevel-sende-varer-fra-norge-til-svalbard-bekrefter-ud-til-nrk","E24"),"E24")</x:f>
        <x:v>E24</x:v>
      </x:c>
      <x:c r="M763" s="21"/>
      <x:c r="N763" s="4" t="str">
        <x:v>https://www.regjeringen.no/en/whats-new/new-sanctions-against-russia-incorporated-into-norwegian-law/id2910809/
https://e24.no/naeringsliv/i/x8aral/russland-faar-likevel-sende-varer-fra-norge-til-svalbard-bekrefter-ud-til-nrk</x:v>
      </x:c>
      <x:c r="O763" s="4" t="str">
        <x:v>Source 1: full text
Source 2: full text</x:v>
      </x:c>
      <x:c r="P763" s="20" t="n">
        <x:v>1</x:v>
      </x:c>
      <x:c r="Q763" s="4" t="str">
        <x:v>Europe</x:v>
      </x:c>
      <x:c r="R763" s="4" t="str">
        <x:v>Included</x:v>
      </x:c>
    </x:row>
    <x:row r="764" ht="162" hidden="0" customHeight="1">
      <x:c r="A764" s="16" t="str">
        <x:v>REC50-R22-006</x:v>
      </x:c>
      <x:c r="B764" s="4" t="str">
        <x:v>Lithuania restricts selected sanctioned Kaliningrad rail cargo, June–July 2022</x:v>
      </x:c>
      <x:c r="C764" s="4" t="str">
        <x:v>Lithuania; Russia; Belarus (rail transit approach)</x:v>
      </x:c>
      <x:c r="D764" s="4" t="str">
        <x:v>Kena is named for a cement train; other transit gates are not inferred from the national corridor label
Specified goods in rail transit through Lithuania between mainland Russia and Kaliningrad; Kena is documented for returning cement cargo. No universal Kaliningrad blockade or full Lithuanian border closure is inferred.</x:v>
      </x:c>
      <x:c r="E764" s="4" t="str">
        <x:v>Selected sanctioned rail commodities, with steel/ferrous policy evidence and a separately evidenced cement return
Direction: Mainland Russia toward Kaliningrad for the observed return; the formal regime concerns transit to and from Kaliningrad
Exceptions: Passengers and non-sanctioned goods continued. Conditional essential-goods rail transit later used commodity quotas; luxury, military/dual-use and road-transport limitations were not universally lifted.</x:v>
      </x:c>
      <x:c r="F764" s="4" t="str">
        <x:v>REC50-R22-006-P1 — Formal policy
Initial steel and ferrous-metal rail-transit restriction through Lithuania to/from Kaliningrad
Start: 2022-06-17.
Last confirmed: 2022-06-20. Reopening is not established.
Formal policy: dated evidence; numeric duration withheld; see qualification
REC50-R22-006-P2 — Observed operation
Cement cargo returning by rail through Lithuania to Kaliningrad, including a Kena-checked train
Start: unknown.
Observed scoped reopening: by 2022-07-26; earliest bound unknown.
dated evidence; numeric duration withheld; see qualification</x:v>
      </x:c>
      <x:c r="G764" s="4" t="str">
        <x:v>Interstate disputes and pressure / Sanctions and coercive pressure
Attributed official justification
Applies to: The specified policy or cargo-restriction regime; no claim of a single primary rationale.
Lithuania attributes the commodity restrictions to implementation of EU sanctions. Competing blockade descriptions are interested-party characterisations, not an additional proven rationale or a universal traffic scope.</x:v>
      </x:c>
      <x:c r="H764" s="4" t="str">
        <x:v>REC50-R22-006-P1: This is an initial policy observation, not an assertion that the original regime continued indefinitely. No observed steel-train start/end pair or final duration is established.
REC50-R22-006-P2: The 10 July cement legal date stays in source evidence and is not copied into an observed start. The 22 July permission is not the endpoint. The earlier five-wagon first/second-train discrepancy remains explicit; return of cement does not reopen every commodity.
Scoped endpoint, operational observations and historical exceptions: 13 July guidance and 22 July operator permission are not observed reopening dates. The early five-wagon “first train” is later described as the second; exact first cement passage is unknown. Passengers and non-sanctioned freight continued.</x:v>
      </x:c>
      <x:c r="I764" s="4" t="str">
        <x:v>Full-record source audit (REC50-R30); accepted qualification; evidence limits retained.</x:v>
      </x:c>
      <x:c r="J764" s="18" t="d">
        <x:v>2026-10-25T00:00:00.000Z</x:v>
      </x:c>
      <x:c r="K764" s="21" t="str">
        <x:f>IFERROR(HYPERLINK("https://www.urm.lt/en/news/928/statement-on-the-transit-of-sanctioned-goods-by-rail-to-and-from-kaliningrad:35022","Lithuanian Ministry of Foreign Affairs"),"Lithuanian Ministry of Foreign Affairs")</x:f>
        <x:v>Lithuanian Ministry of Foreign Affairs</x:v>
      </x:c>
      <x:c r="L764" s="21" t="str">
        <x:f>IFERROR(HYPERLINK("https://doc.ltg.lt/en/About%20us/Reports/2022/Annual/KFA_LTG_2022_EU.pdf","Lietuvos Geležinkeliai (LTG)"),"Lietuvos Geležinkeliai (LTG)")</x:f>
        <x:v>Lietuvos Geležinkeliai (LTG)</x:v>
      </x:c>
      <x:c r="M764" s="21" t="str">
        <x:f>IFERROR(HYPERLINK("https://www.lrt.lt/en/news-in-english/19/1745645/lithuanian-railways-resumes-transit-of-sanctioned-goods-to-kaliningrad","LRT / BNS"),"LRT / BNS")</x:f>
        <x:v>LRT / BNS</x:v>
      </x:c>
      <x:c r="N764" s="4" t="str">
        <x:v>https://www.urm.lt/en/news/928/statement-on-the-transit-of-sanctioned-goods-by-rail-to-and-from-kaliningrad:35022
https://doc.ltg.lt/en/About%20us/Reports/2022/Annual/KFA_LTG_2022_EU.pdf
https://www.lrt.lt/en/news-in-english/19/1745645/lithuanian-railways-resumes-transit-of-sanctioned-goods-to-kaliningrad
https://www.lrt.lt/en/news-in-english/19/1738198/sanctioned-goods-to-kaliningrad-can-transit-lithuania-by-rail-says-brussels
https://ec.europa.eu/commission/presscorner/detail/en/ip_22_4507
https://www.lrt.lt/en/news-in-english/19/1746506/first-russian-train-with-sanctioned-goods-reaches-lithuanian-border-as-kaliningrad-transit-resumes
https://www.baltictimes.com/first_train_with_sanctioned_russian_goods_transits_via_lithuania_to_kaliningrad/
https://interfax.com/newsroom/top-stories/81659/</x:v>
      </x:c>
      <x:c r="O764" s="4" t="str">
        <x:v>Source 1: full text
Source 2: full text
Source 3: full text</x:v>
      </x:c>
      <x:c r="P764" s="20" t="n">
        <x:v>2</x:v>
      </x:c>
      <x:c r="Q764" s="4" t="str">
        <x:v>Europe</x:v>
      </x:c>
      <x:c r="R764" s="4" t="str">
        <x:v>Included</x:v>
      </x:c>
    </x:row>
    <x:row r="765" ht="114" hidden="0" customHeight="1">
      <x:c r="A765" s="16" t="str">
        <x:v>REC50-R23-001</x:v>
      </x:c>
      <x:c r="B765" s="4" t="str">
        <x:v>Ghulam Khan inherited restriction and March 2018 freight restoration</x:v>
      </x:c>
      <x:c r="C765" s="4" t="str">
        <x:v>Pakistan; Afghanistan</x:v>
      </x:c>
      <x:c r="D765" s="4" t="str">
        <x:v>Ghulam Khan</x:v>
      </x:c>
      <x:c r="E765" s="4" t="str">
        <x:v>Commercial freight from Pakistan into Afghanistan
Direction: Pakistan to Afghanistan; later import schedule is contextual
Exceptions: Later exports/imports followed different weekly schedules; passenger restoration was not established.</x:v>
      </x:c>
      <x:c r="F765" s="4" t="str">
        <x:v>REC50-R23-001-P1 — Observed operation
Ghulam Khan freight from Pakistan into Afghanistan at first reported March 2018 return
Start: unknown.
Observed scoped reopening: 2018-03-09.
Last confirmed observation: 2018-03-05.
dated evidence; numeric duration withheld; see qualification</x:v>
      </x:c>
      <x:c r="G765" s="4" t="str">
        <x:v>Security / Armed attacks and terrorism
Reported reason attributed to the authority or reporting source
Applies to: REC50-R23-001-P1
Sources explicitly link the original closure to the operation against militants. This is a reported security explanation, not proof of all underlying purposes.</x:v>
      </x:c>
      <x:c r="H765" s="4" t="str">
        <x:v>REC50-R23-001-P1: Loaded freight entered Afghanistan on 9 March 2018. The inherited onset is reported only as 2014/June 2014; no exact date or continuously closed total is assigned. March 7 was a plan. Later April-trial/May-formal-opening wording does not replace actual March passage. The subsequent weekly export/import schedule does not imply universal reopening.
Historical onset and intermediate operation: Loaded freight entered Afghanistan on 9 March 2018. The inherited onset is reported only as 2014/June 2014; no exact date or continuously closed total is assigned. March 7 was a plan. Later April-trial/May-formal-opening wording does not replace actual March passage. The subsequent weekly export/import schedule does not imply universal reopening.</x:v>
      </x:c>
      <x:c r="I765" s="4" t="str">
        <x:v>Targeted source review (REC50-R44); retained with recorded qualifications; evidence limits retained.</x:v>
      </x:c>
      <x:c r="J765" s="18" t="d">
        <x:v>2026-10-25T00:00:00.000Z</x:v>
      </x:c>
      <x:c r="K765" s="21" t="str">
        <x:f>IFERROR(HYPERLINK("https://radio.gov.pk/09-03-2018/ghulam-khan-check-post-in-nwa-reopens-for-pak-afghan-trade","Radio Pakistan"),"Radio Pakistan")</x:f>
        <x:v>Radio Pakistan</x:v>
      </x:c>
      <x:c r="L765" s="21" t="str">
        <x:f>IFERROR(HYPERLINK("https://www.thenews.com.pk/print/290613-ghulam-khan-border-crossing-reopened","The News International"),"The News International")</x:f>
        <x:v>The News International</x:v>
      </x:c>
      <x:c r="M765" s="21" t="str">
        <x:f>IFERROR(HYPERLINK("https://h.aa.com.tr/en/asia-pacific/pakistan-reopens-key-trade-route-with-afghanistan/1133889","Anadolu Agency"),"Anadolu Agency")</x:f>
        <x:v>Anadolu Agency</x:v>
      </x:c>
      <x:c r="N765" s="4" t="str">
        <x:v>https://radio.gov.pk/09-03-2018/ghulam-khan-check-post-in-nwa-reopens-for-pak-afghan-trade
https://www.thenews.com.pk/print/290613-ghulam-khan-border-crossing-reopened
https://h.aa.com.tr/en/asia-pacific/pakistan-reopens-key-trade-route-with-afghanistan/1133889
https://www.dawn.com/news/1393192/ghulam-khan-route-to-open-on-7th</x:v>
      </x:c>
      <x:c r="O765" s="4" t="str">
        <x:v>Source 1: full text
Source 2: full text
Source 3: full text</x:v>
      </x:c>
      <x:c r="P765" s="20" t="n">
        <x:v>1</x:v>
      </x:c>
      <x:c r="Q765" s="4" t="str">
        <x:v>South Asia</x:v>
      </x:c>
      <x:c r="R765" s="4" t="str">
        <x:v>Included</x:v>
      </x:c>
    </x:row>
    <x:row r="766" ht="78" hidden="0" customHeight="1">
      <x:c r="A766" s="16" t="str">
        <x:v>REC50-R23-002</x:v>
      </x:c>
      <x:c r="B766" s="4" t="str">
        <x:v>Kharlachi COVID goods restriction, March–July 2020</x:v>
      </x:c>
      <x:c r="C766" s="4" t="str">
        <x:v>Pakistan; Afghanistan</x:v>
      </x:c>
      <x:c r="D766" s="4" t="str">
        <x:v>Kharlachi</x:v>
      </x:c>
      <x:c r="E766" s="4" t="str">
        <x:v>Commercial goods trade
Direction: Both directions or unspecified in the reports
Exceptions: Other Pakistan–Afghanistan crossings reopened earlier; their dates do not set this post’s dates. Passenger scope remains outside the phase.</x:v>
      </x:c>
      <x:c r="F766" s="4" t="str">
        <x:v>REC50-R23-002-P1 — Observed operation
Kharlachi bilateral goods trade during the 2020 COVID restriction
Start: 2020-03-15.
Observed scoped reopening: 2020-07-11.
118 calendar-day difference; scoped endpoint only</x:v>
      </x:c>
      <x:c r="G766" s="4" t="str">
        <x:v>Health and biosecurity / Human disease control
Reported reason attributed to the authority or reporting source
Applies to: REC50-R23-002-P1
The restriction is explicitly reported as a COVID containment measure; later traders’ livelihood complaints are consequences, not an additional closure rationale.</x:v>
      </x:c>
      <x:c r="H766" s="4" t="str">
        <x:v>REC50-R23-002-P1: 118 calendar-day difference for the reported Kharlachi goods restriction from 15 March to 11 July 2020. March 15 comes from a retrospective named-trader account, supported by continuing June restriction and July reopening reports; it is not imported from another crossing. No passenger endpoint or measured elapsed-hour precision is claimed.</x:v>
      </x:c>
      <x:c r="I766" s="4" t="str">
        <x:v>Targeted source review (REC50-R44); retained with recorded qualifications; evidence limits retained.</x:v>
      </x:c>
      <x:c r="J766" s="18" t="d">
        <x:v>2026-10-25T00:00:00.000Z</x:v>
      </x:c>
      <x:c r="K766" s="21" t="str">
        <x:f>IFERROR(HYPERLINK("https://www.dawn.com/news/1565641/kurram-traders-want-kharlachi-border-crossing-reopened","Dawn"),"Dawn")</x:f>
        <x:v>Dawn</x:v>
      </x:c>
      <x:c r="L766" s="21" t="str">
        <x:f>IFERROR(HYPERLINK("https://www.dawn.com/news/1568453","Dawn"),"Dawn")</x:f>
        <x:v>Dawn</x:v>
      </x:c>
      <x:c r="M766" s="21" t="str">
        <x:f>IFERROR(HYPERLINK("https://www.arabnews.pk/pakistan/pakistans-move-to-reopen-border-will-strengthen-business-ties-says-afghan-special-envoy-1703731","Arab News Pakistan"),"Arab News Pakistan")</x:f>
        <x:v>Arab News Pakistan</x:v>
      </x:c>
      <x:c r="N766" s="4" t="str">
        <x:v>https://www.dawn.com/news/1565641/kurram-traders-want-kharlachi-border-crossing-reopened
https://www.dawn.com/news/1568453
https://www.arabnews.pk/pakistan/pakistans-move-to-reopen-border-will-strengthen-business-ties-says-afghan-special-envoy-1703731</x:v>
      </x:c>
      <x:c r="O766" s="4" t="str">
        <x:v>Source 1: full text
Source 2: full text
Source 3: full text</x:v>
      </x:c>
      <x:c r="P766" s="20" t="n">
        <x:v>1</x:v>
      </x:c>
      <x:c r="Q766" s="4" t="str">
        <x:v>South Asia</x:v>
      </x:c>
      <x:c r="R766" s="4" t="str">
        <x:v>Included</x:v>
      </x:c>
    </x:row>
    <x:row r="767" ht="114" hidden="0" customHeight="1">
      <x:c r="A767" s="16" t="str">
        <x:v>REC50-R23-003</x:v>
      </x:c>
      <x:c r="B767" s="4" t="str">
        <x:v>Chaman commercial interruption and July 2021 freight restoration</x:v>
      </x:c>
      <x:c r="C767" s="4" t="str">
        <x:v>Pakistan; Afghanistan</x:v>
      </x:c>
      <x:c r="D767" s="4" t="str">
        <x:v>Chaman / Spin Boldak</x:v>
      </x:c>
      <x:c r="E767" s="4" t="str">
        <x:v>Commercial freight; returnee pedestrian exceptions are separate
Direction: Pakistan to Afghanistan for directly reported restored freight
Exceptions: Temporary returnee passage did not restore commercial trade. July and August 2021 episodes remain separate.</x:v>
      </x:c>
      <x:c r="F767" s="4" t="str">
        <x:v>REC50-R23-003-P1 — Observed operation
Chaman/Spin Boldak commercial freight into Afghanistan restored in July 2021
Start: unknown.
Observed scoped reopening: 2021-07-26.
Last confirmed observation: 2021-07-25.
dated evidence; numeric duration withheld; see qualification</x:v>
      </x:c>
      <x:c r="G767" s="4" t="str">
        <x:v>Uncoded
Original official reason not established
Applies to: REC50-R23-003-P1
Armed fighting and changing control are documented context. The precise restricting authority’s official explanation was not established, so no security or political purpose is inferred from context alone.</x:v>
      </x:c>
      <x:c r="H767" s="4" t="str">
        <x:v>REC50-R23-003-P1: Freight entering Afghanistan resumed on 26 July 2021. Trade was still restricted during the July 25 returnee-only opening. Conflicting earlier-this-month/month-long descriptions and earlier passenger exceptions leave the exact commercial onset unresolved. No continuous duration is calculated or joined to the separate August 2021 document dispute.
Commercial onset and official rationale: Freight entering Afghanistan resumed on 26 July 2021. Trade was still restricted during the July 25 returnee-only opening. Conflicting earlier-this-month/month-long descriptions and earlier passenger exceptions leave the exact commercial onset unresolved. No continuous duration is calculated or joined to the separate August 2021 document dispute.</x:v>
      </x:c>
      <x:c r="I767" s="4" t="str">
        <x:v>Full-record source audit (REC50-R30); retained with recorded qualifications; evidence limits retained.</x:v>
      </x:c>
      <x:c r="J767" s="18" t="d">
        <x:v>2026-10-25T00:00:00.000Z</x:v>
      </x:c>
      <x:c r="K767" s="21" t="str">
        <x:f>IFERROR(HYPERLINK("https://www.euronews.com/2021/07/26/us-afghanistan-conflict-pakistan","Reuters via Euronews"),"Reuters via Euronews")</x:f>
        <x:v>Reuters via Euronews</x:v>
      </x:c>
      <x:c r="L767" s="21" t="str">
        <x:f>IFERROR(HYPERLINK("https://www.brecorder.com/news/40108969","NNI via Business Recorder"),"NNI via Business Recorder")</x:f>
        <x:v>NNI via Business Recorder</x:v>
      </x:c>
      <x:c r="M767" s="21"/>
      <x:c r="N767" s="4" t="str">
        <x:v>https://www.euronews.com/2021/07/26/us-afghanistan-conflict-pakistan
https://www.brecorder.com/news/40108969</x:v>
      </x:c>
      <x:c r="O767" s="4" t="str">
        <x:v>Source 1: full text
Source 2: full text</x:v>
      </x:c>
      <x:c r="P767" s="20" t="n">
        <x:v>1</x:v>
      </x:c>
      <x:c r="Q767" s="4" t="str">
        <x:v>South Asia</x:v>
      </x:c>
      <x:c r="R767" s="4" t="str">
        <x:v>Included</x:v>
      </x:c>
    </x:row>
    <x:row r="768" ht="138" hidden="0" customHeight="1">
      <x:c r="A768" s="16" t="str">
        <x:v>REC50-R23-004</x:v>
      </x:c>
      <x:c r="B768" s="4" t="str">
        <x:v>Chaman December 2022 clash interruption with disputed reopening day</x:v>
      </x:c>
      <x:c r="C768" s="4" t="str">
        <x:v>Pakistan; Afghanistan</x:v>
      </x:c>
      <x:c r="D768" s="4" t="str">
        <x:v>Chaman / Spin Boldak</x:v>
      </x:c>
      <x:c r="E768" s="4" t="str">
        <x:v>Reported border traffic; trade and civilian restoration are described separately
Direction: Both directions or unspecified in the reports
Exceptions: Different reports describe general passage, goods and civilian traffic; first restoration is not securely aligned.</x:v>
      </x:c>
      <x:c r="F768" s="4" t="str">
        <x:v>REC50-R23-004-P1 — Observed operation
Chaman/Spin Boldak crossing interruption during the December 11, 2022 clash
Start: 2022-12-11.
Observed scoped reopening: 2022-12-11 to 2022-12-13.
Contested: dated evidence; numeric duration withheld; see qualification
Held evidence: excluded from numeric duration and animation displays.</x:v>
      </x:c>
      <x:c r="G768" s="4" t="str">
        <x:v>Uncoded
Original official reason not established
Applies to: REC50-R23-004-P1
The clash and temporary interruption are reported, but an agreed closure rationale and responsible initiating actor are not established. Competing accusations are not converted into a single official rationale.</x:v>
      </x:c>
      <x:c r="H768" s="4" t="str">
        <x:v>REC50-R23-004-P1: Closure occurred on 11 December 2022, but first restoration remains contested: Reuters reports Sunday reopening after several hours, Arab News describes Monday trade return, and Al Jazeera frames Tuesday reopening while its official quote establishes normal status that day. Bounds 11–13 December retain the conflict; no numeric or same-day duration is admitted and no uninterrupted two-day closure is asserted.
First restored traffic and separate brief interruptions: Closure occurred on 11 December 2022, but first restoration remains contested: Reuters reports Sunday reopening after several hours, Arab News describes Monday trade return, and Al Jazeera frames Tuesday reopening while its official quote establishes normal status that day. Bounds 11–13 December retain the conflict; no numeric or same-day duration is admitted and no uninterrupted two-day closure is asserted.</x:v>
      </x:c>
      <x:c r="I768" s="4" t="str">
        <x:v>New-record source research (REC50-R23); accepted addition; evidence limits retained.</x:v>
      </x:c>
      <x:c r="J768" s="18" t="d">
        <x:v>2026-10-25T00:00:00.000Z</x:v>
      </x:c>
      <x:c r="K768" s="21" t="str">
        <x:f>IFERROR(HYPERLINK("https://www.euronews.com/2022/12/12/pakistan-afghanistan","Reuters via Euronews"),"Reuters via Euronews")</x:f>
        <x:v>Reuters via Euronews</x:v>
      </x:c>
      <x:c r="L768" s="21" t="str">
        <x:f>IFERROR(HYPERLINK("https://www.arabnews.pk/pakistan/pm-sharif-condemns-unfortunate-shelling-at-pak-afghan-chaman-border-2214736","Arab News Pakistan"),"Arab News Pakistan")</x:f>
        <x:v>Arab News Pakistan</x:v>
      </x:c>
      <x:c r="M768" s="21" t="str">
        <x:f>IFERROR(HYPERLINK("https://www.aljazeera.com/news/2022/12/13/pakistan-afghanistan-border-crossing-reopens-after-deadly-firing","Al Jazeera"),"Al Jazeera")</x:f>
        <x:v>Al Jazeera</x:v>
      </x:c>
      <x:c r="N768" s="4" t="str">
        <x:v>https://www.euronews.com/2022/12/12/pakistan-afghanistan
https://www.arabnews.pk/pakistan/pm-sharif-condemns-unfortunate-shelling-at-pak-afghan-chaman-border-2214736
https://www.aljazeera.com/news/2022/12/13/pakistan-afghanistan-border-crossing-reopens-after-deadly-firing</x:v>
      </x:c>
      <x:c r="O768" s="4" t="str">
        <x:v>Source 1: full text
Source 2: full text
Source 3: full text</x:v>
      </x:c>
      <x:c r="P768" s="20" t="n">
        <x:v>1</x:v>
      </x:c>
      <x:c r="Q768" s="4" t="str">
        <x:v>South Asia</x:v>
      </x:c>
      <x:c r="R768" s="4" t="str">
        <x:v>Included</x:v>
      </x:c>
    </x:row>
    <x:row r="769" ht="78" hidden="0" customHeight="1">
      <x:c r="A769" s="16" t="str">
        <x:v>REC50-R23-005</x:v>
      </x:c>
      <x:c r="B769" s="4" t="str">
        <x:v>Chaman restriction for the September 2019 Afghan presidential election</x:v>
      </x:c>
      <x:c r="C769" s="4" t="str">
        <x:v>Pakistan; Afghanistan</x:v>
      </x:c>
      <x:c r="D769" s="4" t="str">
        <x:v>Chaman / Spin Boldak</x:v>
      </x:c>
      <x:c r="E769" s="4" t="str">
        <x:v>Ordinary people, vehicles and goods; emergency patients excepted
Direction: Both directions or unspecified in the reports
Exceptions: Emergency patients exempt under the reported national measure; phase is limited to ordinary Chaman traffic.</x:v>
      </x:c>
      <x:c r="F769" s="4" t="str">
        <x:v>REC50-R23-005-P1 — Observed operation
Ordinary cross-border traffic at Chaman during the September 2019 Afghan presidential-election closure
Start: 2019-09-27.
Observed scoped reopening: 2019-09-29.
2 calendar-day difference; scoped endpoint only</x:v>
      </x:c>
      <x:c r="G769" s="4" t="str">
        <x:v>Electoral politics / Election administration and security
Reported reason attributed to the authority or reporting source
Applies to: REC50-R23-005-P1
The government restriction is explicitly attributed to security for Afghanistan’s presidential election. No additional political pressure or regime-change purpose is inferred.</x:v>
      </x:c>
      <x:c r="H769" s="4" t="str">
        <x:v>REC50-R23-005-P1: 2 calendar-day difference for ordinary Chaman traffic from Friday 27 September to the reported reopening on 29 September 2019. The government window was September 27–28 for Afghan election security, with emergency patients exempt. The endpoint report covers all bilateral crossings; the phase uses Chaman’s specifically reported actual onset. This is not a measured 48-hour claim.</x:v>
      </x:c>
      <x:c r="I769" s="4" t="str">
        <x:v>Full-record source audit (REC50-R50); retained with recorded qualifications; evidence limits retained.</x:v>
      </x:c>
      <x:c r="J769" s="18" t="d">
        <x:v>2026-10-25T00:00:00.000Z</x:v>
      </x:c>
      <x:c r="K769" s="21" t="str">
        <x:f>IFERROR(HYPERLINK("https://www.dawn.com/news/1507770/chaman-border-closed-due-to-afghan-polls","Dawn"),"Dawn")</x:f>
        <x:v>Dawn</x:v>
      </x:c>
      <x:c r="L769" s="21" t="str">
        <x:f>IFERROR(HYPERLINK("https://english.aaj.tv/news/10458102/pak-afghan-border-crossings-reopened-for-trade-traffic","Aaj English / INP"),"Aaj English / INP")</x:f>
        <x:v>Aaj English / INP</x:v>
      </x:c>
      <x:c r="M769" s="21"/>
      <x:c r="N769" s="4" t="str">
        <x:v>https://www.dawn.com/news/1507770/chaman-border-closed-due-to-afghan-polls
https://english.aaj.tv/news/10458102/pak-afghan-border-crossings-reopened-for-trade-traffic</x:v>
      </x:c>
      <x:c r="O769" s="4" t="str">
        <x:v>Source 1: full text
Source 2: full text</x:v>
      </x:c>
      <x:c r="P769" s="20" t="n">
        <x:v>1</x:v>
      </x:c>
      <x:c r="Q769" s="4" t="str">
        <x:v>South Asia</x:v>
      </x:c>
      <x:c r="R769" s="4" t="str">
        <x:v>Included</x:v>
      </x:c>
    </x:row>
    <x:row r="770" ht="138" hidden="0" customHeight="1">
      <x:c r="A770" s="16" t="str">
        <x:v>REC50-R23-006</x:v>
      </x:c>
      <x:c r="B770" s="4" t="str">
        <x:v>Angoor Adda commercial restriction observations and document-rule dispute, 2024</x:v>
      </x:c>
      <x:c r="C770" s="4" t="str">
        <x:v>Pakistan; Afghanistan</x:v>
      </x:c>
      <x:c r="D770" s="4" t="str">
        <x:v>Angoor Adda / Angur Ada</x:v>
      </x:c>
      <x:c r="E770" s="4" t="str">
        <x:v>Commercial trade; travel complaints are context, not a verified universal passenger ban
Direction: Both directions or unspecified in the reports
Exceptions: January reports disagree about vehicles. April service demands and December document complaints do not establish a continuous universal ban or the same imposing actor.</x:v>
      </x:c>
      <x:c r="F770" s="4" t="str">
        <x:v>REC50-R23-006-P1 — Observed operation
Angoor Adda commercial restriction observations amid document-rule disputes and reopening demands
Start: unknown.
Last confirmed: 2024-12-18. Reopening is not established.
Contested: dated evidence; numeric duration withheld; see qualification
Held evidence: excluded from numeric duration and animation displays.</x:v>
      </x:c>
      <x:c r="G770" s="4" t="str">
        <x:v>Uncoded
Original official reason not established
Applies to: REC50-R23-006-P1
Protesters connect restrictions to document requirements and demand services or exemptions. The inspected accounts do not establish the original government rationale or that the service protesters themselves closed the gate; those demands are not automatically coded as the restriction’s purpose.</x:v>
      </x:c>
      <x:c r="H770" s="4" t="str">
        <x:v>REC50-R23-006-P1: Trade restriction is reported at Angoor Adda on 15 April and 18 December 2024, but these observations do not establish one continuous spell. A January ministry restoration account conflicts with the same-date logistics bulletin. Retrospective fourteen-month trade and five-month sit-in descriptions are not onset dates. Start and endpoint stay blank; December 18 is only the latest inspected restriction observation. The original official rationale remains unestablished.
Restriction sequence, actor and official rationale: Trade restriction is reported at Angoor Adda on 15 April and 18 December 2024, but these observations do not establish one continuous spell. A January ministry restoration account conflicts with the same-date logistics bulletin. Retrospective fourteen-month trade and five-month sit-in descriptions are not onset dates. Start and endpoint stay blank; December 18 is only the latest inspected restriction observation. The original official rationale remains unestablished.</x:v>
      </x:c>
      <x:c r="I770" s="4" t="str">
        <x:v>Full-record source audit (REC50-R40); retained with recorded qualifications; evidence limits retained.</x:v>
      </x:c>
      <x:c r="J770" s="18" t="d">
        <x:v>2026-10-25T00:00:00.000Z</x:v>
      </x:c>
      <x:c r="K770" s="21" t="str">
        <x:f>IFERROR(HYPERLINK("https://epaper.dawn.com/DetailImage.php?StoryImage=16_04_2024_008_005","Dawn"),"Dawn")</x:f>
        <x:v>Dawn</x:v>
      </x:c>
      <x:c r="L770" s="21" t="str">
        <x:f>IFERROR(HYPERLINK("https://www.dawn.com/news/1879577/closure-of-angoor-adda-border-protested","Dawn"),"Dawn")</x:f>
        <x:v>Dawn</x:v>
      </x:c>
      <x:c r="M770" s="21" t="str">
        <x:f>IFERROR(HYPERLINK("https://swn.af/en/2024/01/afghanistan-pakistan-border-crossings-reopen-after-eleven-day-closure/","Salam Watandar"),"Salam Watandar")</x:f>
        <x:v>Salam Watandar</x:v>
      </x:c>
      <x:c r="N770" s="4" t="str">
        <x:v>https://epaper.dawn.com/DetailImage.php?StoryImage=16_04_2024_008_005
https://www.dawn.com/news/1879577/closure-of-angoor-adda-border-protested
https://swn.af/en/2024/01/afghanistan-pakistan-border-crossings-reopen-after-eleven-day-closure/
https://logcluster.org/en/node/45647</x:v>
      </x:c>
      <x:c r="O770" s="4" t="str">
        <x:v>Source 1: full text
Source 2: full text
Source 3: full text</x:v>
      </x:c>
      <x:c r="P770" s="20" t="n">
        <x:v>1</x:v>
      </x:c>
      <x:c r="Q770" s="4" t="str">
        <x:v>South Asia</x:v>
      </x:c>
      <x:c r="R770" s="4" t="str">
        <x:v>Included</x:v>
      </x:c>
    </x:row>
    <x:row r="771" ht="114" hidden="0" customHeight="1">
      <x:c r="A771" s="16" t="str">
        <x:v>REC50-R26-001</x:v>
      </x:c>
      <x:c r="B771" s="4" t="str">
        <x:v>Kasumbalesa border-service obstruction and freight restoration, August2018</x:v>
      </x:c>
      <x:c r="C771" s="4" t="str">
        <x:v>Democratic Republic of the Congo; Zambia</x:v>
      </x:c>
      <x:c r="D771" s="4" t="str">
        <x:v>Kasumbalesa</x:v>
      </x:c>
      <x:c r="E771" s="4" t="str">
        <x:v>Import/export vehicles through the official post; approach restrictions are supporting context
Direction: Both directions for the selected import/export vehicles
Exceptions: Informal passage and precise elapsed hours were not established.</x:v>
      </x:c>
      <x:c r="F771" s="4" t="str">
        <x:v>REC50-R26-001-P1 — Observed operation
Kasumbalesa Congolese-side border-service obstruction and import/export vehicle return
Start: 2018-08-03.
Observed scoped reopening: 2018-08-04.
1 calendar-day difference; scoped endpoint only</x:v>
      </x:c>
      <x:c r="G771" s="4" t="str">
        <x:v>Uncoded
Official reason unresolved; political allegations not adopted
Applies to: REC50-R26-001-P1
The official reason was not recovered. Reports associate the event with Katumbi’s attempted return, but the allegation is not coded as established government intent.</x:v>
      </x:c>
      <x:c r="H771" s="4" t="str">
        <x:v>REC50-R26-001-P1: One calendar-day difference from the reported August3 border-service obstruction to August4 import/export return. This is not proof of an elapsed 24-hour closure or complete exclusion of informal movement. The official closure rationale remains unexplained; political allegations are not adopted as fact.
Official reason for the August2018 closure: One calendar-day difference from the reported August3 border-service obstruction to August4 import/export return. This is not proof of an elapsed 24-hour closure or complete exclusion of informal movement. The official closure rationale remains unexplained; political allegations are not adopted as fact.</x:v>
      </x:c>
      <x:c r="I771" s="4" t="str">
        <x:v>Full-record source audit (REC50-R35); retained with recorded qualifications; evidence limits retained.</x:v>
      </x:c>
      <x:c r="J771" s="18" t="d">
        <x:v>2026-10-25T00:00:00.000Z</x:v>
      </x:c>
      <x:c r="K771" s="21" t="str">
        <x:f>IFERROR(HYPERLINK("https://www.radiookapi.net/node/183941","Radio Okapi"),"Radio Okapi")</x:f>
        <x:v>Radio Okapi</x:v>
      </x:c>
      <x:c r="L771" s="21" t="str">
        <x:f>IFERROR(HYPERLINK("https://actualite.cd/2018/08/03/rdc-la-route-de-kasumbalesa-vers-la-frontiere-rdczambie-bloquee","Actualite.cd"),"Actualite.cd")</x:f>
        <x:v>Actualite.cd</x:v>
      </x:c>
      <x:c r="M771" s="21" t="str">
        <x:f>IFERROR(HYPERLINK("https://jambordc.info/rdc-7-oddh-condamnent-la-fermeture-de-la-frontiere-de-kasumbalesa-et-parlent-dune-atteinte-a-la-liberte-communique/","Jambordc.info"),"Jambordc.info")</x:f>
        <x:v>Jambordc.info</x:v>
      </x:c>
      <x:c r="N771" s="4" t="str">
        <x:v>https://www.radiookapi.net/node/183941
https://actualite.cd/2018/08/03/rdc-la-route-de-kasumbalesa-vers-la-frontiere-rdczambie-bloquee
https://jambordc.info/rdc-7-oddh-condamnent-la-fermeture-de-la-frontiere-de-kasumbalesa-et-parlent-dune-atteinte-a-la-liberte-communique/</x:v>
      </x:c>
      <x:c r="O771" s="4" t="str">
        <x:v>Source 1: indexed extract
Source 2: full text
Source 3: indexed extract; full text</x:v>
      </x:c>
      <x:c r="P771" s="20" t="n">
        <x:v>1</x:v>
      </x:c>
      <x:c r="Q771" s="4" t="str">
        <x:v>Southern and Central Africa</x:v>
      </x:c>
      <x:c r="R771" s="4" t="str">
        <x:v>Included</x:v>
      </x:c>
    </x:row>
    <x:row r="772" ht="114" hidden="0" customHeight="1">
      <x:c r="A772" s="16" t="str">
        <x:v>REC50-R26-002</x:v>
      </x:c>
      <x:c r="B772" s="4" t="str">
        <x:v>Kasumbalesa truck-driver blockade, March2019</x:v>
      </x:c>
      <x:c r="C772" s="4" t="str">
        <x:v>Democratic Republic of the Congo; Zambia</x:v>
      </x:c>
      <x:c r="D772" s="4" t="str">
        <x:v>Kasumbalesa</x:v>
      </x:c>
      <x:c r="E772" s="4" t="str">
        <x:v>Commercial import and export trucks
Direction: Import and export truck movement in both directions
Exceptions: Small pedestrian traders resumed limited passage before the truck endpoint.</x:v>
      </x:c>
      <x:c r="F772" s="4" t="str">
        <x:v>REC50-R26-002-P1 — Observed operation
Kasumbalesa Zambian-side driver blockade of import/export trucks
Start: 2019-03-23.
Observed scoped reopening: 2019-03-26.
3 calendar-day difference; scoped endpoint only</x:v>
      </x:c>
      <x:c r="G772" s="4" t="str">
        <x:v>Security / Public order and immediate safety
Explicit source-attributed reason; restricting actor and access limits stated
Applies to: REC50-R26-002-P1
Drivers explicitly demanded protection from insecurity and harassment. This is an attributed safety demand by the obstructing actors, not a certified account of each attack. The trade-protest subtype is not inferred merely because truck drivers protested; no specific trade-rule or charge demand was established.</x:v>
      </x:c>
      <x:c r="H772" s="4" t="str">
        <x:v>REC50-R26-002-P1: Three calendar-day difference for import/export truck passage, March23–26. Limited pedestrian passage had already resumed by March25 and is not included in this interval. The sources attribute the obstruction to drivers’ safety and harassment complaints; they do not independently adjudicate every alleged attack.</x:v>
      </x:c>
      <x:c r="I772" s="4" t="str">
        <x:v>New-record source research (REC50-R26); accepted addition; evidence limits retained.</x:v>
      </x:c>
      <x:c r="J772" s="18" t="d">
        <x:v>2026-10-25T00:00:00.000Z</x:v>
      </x:c>
      <x:c r="K772" s="21" t="str">
        <x:f>IFERROR(HYPERLINK("https://www.radiookapi.net/2019/03/25/actualite/societe/haut-katanga-les-chauffeurs-zambiens-bloquent-la-frontiere-de","Radio Okapi"),"Radio Okapi")</x:f>
        <x:v>Radio Okapi</x:v>
      </x:c>
      <x:c r="L772" s="21" t="str">
        <x:f>IFERROR(HYPERLINK("https://www.radiookapi.net/2019/03/27/actualite/societe/lubumbashi-reouverture-des-frontieres-entre-la-rdc-et-la-zambie","Radio Okapi"),"Radio Okapi")</x:f>
        <x:v>Radio Okapi</x:v>
      </x:c>
      <x:c r="M772" s="21"/>
      <x:c r="N772" s="4" t="str">
        <x:v>https://www.radiookapi.net/2019/03/25/actualite/societe/haut-katanga-les-chauffeurs-zambiens-bloquent-la-frontiere-de
https://www.radiookapi.net/2019/03/27/actualite/societe/lubumbashi-reouverture-des-frontieres-entre-la-rdc-et-la-zambie</x:v>
      </x:c>
      <x:c r="O772" s="4" t="str">
        <x:v>Source 1: full text
Source 2: full text</x:v>
      </x:c>
      <x:c r="P772" s="20" t="n">
        <x:v>1</x:v>
      </x:c>
      <x:c r="Q772" s="4" t="str">
        <x:v>Southern and Central Africa</x:v>
      </x:c>
      <x:c r="R772" s="4" t="str">
        <x:v>Included</x:v>
      </x:c>
    </x:row>
    <x:row r="773" ht="114" hidden="0" customHeight="1">
      <x:c r="A773" s="16" t="str">
        <x:v>REC50-R26-003</x:v>
      </x:c>
      <x:c r="B773" s="4" t="str">
        <x:v>Kasumbalesa Zambia-entry restriction on ordinary traders observed March2020</x:v>
      </x:c>
      <x:c r="C773" s="4" t="str">
        <x:v>Democratic Republic of the Congo; Zambia</x:v>
      </x:c>
      <x:c r="D773" s="4" t="str">
        <x:v>Kasumbalesa</x:v>
      </x:c>
      <x:c r="E773" s="4" t="str">
        <x:v>Ordinary small cross-border traders; no blanket cargo closure is claimed
Direction: DRC to Zambia for the observed small-trader cohort
Exceptions: DRC import/export truck exemptions and April1 freight return do not date this ordinary-trader endpoint.</x:v>
      </x:c>
      <x:c r="F773" s="4" t="str">
        <x:v>REC50-R26-003-P1 — Observed operation
Kasumbalesa ordinary small-trader entry into Zambia observed restricted on March27,2020
Start: unknown.
Last confirmed: 2020-03-27. Reopening is not established.
dated evidence; numeric duration withheld; see qualification</x:v>
      </x:c>
      <x:c r="G773" s="4" t="str">
        <x:v>Health and biosecurity / Human disease control
Explicit source-attributed reason; restricting actor and access limits stated
Applies to: REC50-R26-003-P1
Actualite.cd attributes the Zambian decision to coronavirus prevention. The original Zambian order was not retrieved; no additional commercial or political rationale is inferred.</x:v>
      </x:c>
      <x:c r="H773" s="4" t="str">
        <x:v>REC50-R26-003-P1: Small traders were denied entry to Zambia on March27,2020. Exact onset and reopening remain unknown. Later March28 onset wording and April1 truck restoration do not align with this cohort; DRC truck exemptions and earlier driver refusal further prevent a blanket four-day cargo duration. March27 is a dated observation, not an invented onset.
Small-trader onset, endpoint and cargo distinction: Small traders were denied entry to Zambia on March27,2020. Exact onset and reopening remain unknown. Later March28 onset wording and April1 truck restoration do not align with this cohort; DRC truck exemptions and earlier driver refusal further prevent a blanket four-day cargo duration. March27 is a dated observation, not an invented onset.</x:v>
      </x:c>
      <x:c r="I773" s="4" t="str">
        <x:v>Full-record source audit (REC50-R40); retained with recorded qualifications; evidence limits retained.</x:v>
      </x:c>
      <x:c r="J773" s="18" t="d">
        <x:v>2026-10-25T00:00:00.000Z</x:v>
      </x:c>
      <x:c r="K773" s="21" t="str">
        <x:f>IFERROR(HYPERLINK("https://actualite.cd/index.php/2020/03/27/covid-19-la-zambie-ferme-sa-frontiere-du-cote-de-kasumbalesa-par-prevention","Actualite.cd"),"Actualite.cd")</x:f>
        <x:v>Actualite.cd</x:v>
      </x:c>
      <x:c r="L773" s="21" t="str">
        <x:f>IFERROR(HYPERLINK("https://www.adiac-congo.com/content/rdc-zambie-le-poste-frontalier-de-kasumbalesa-reprend-du-service-115011","Agence d’Information d’Afrique Centrale"),"Agence d’Information d’Afrique Centrale")</x:f>
        <x:v>Agence d’Information d’Afrique Centrale</x:v>
      </x:c>
      <x:c r="M773" s="21" t="str">
        <x:f>IFERROR(HYPERLINK("https://www.radiookapi.net/2020/03/29/actualite/sante/haut-katanga-la-frontiere-de-kasumbalesa-fermee-0","Radio Okapi"),"Radio Okapi")</x:f>
        <x:v>Radio Okapi</x:v>
      </x:c>
      <x:c r="N773" s="4" t="str">
        <x:v>https://actualite.cd/index.php/2020/03/27/covid-19-la-zambie-ferme-sa-frontiere-du-cote-de-kasumbalesa-par-prevention
https://www.adiac-congo.com/content/rdc-zambie-le-poste-frontalier-de-kasumbalesa-reprend-du-service-115011
https://www.radiookapi.net/2020/03/29/actualite/sante/haut-katanga-la-frontiere-de-kasumbalesa-fermee-0
https://www.radiookapi.net/node/200913
https://www.tradebarriers.org/complaint/NTB-000-950
https://paulshalala.blogspot.com/2020/03/?m=0</x:v>
      </x:c>
      <x:c r="O773" s="4" t="str">
        <x:v>Source 1: full text
Source 2: full text; indexed extract
Source 3: full text; indexed extract</x:v>
      </x:c>
      <x:c r="P773" s="20" t="n">
        <x:v>1</x:v>
      </x:c>
      <x:c r="Q773" s="4" t="str">
        <x:v>Southern and Central Africa</x:v>
      </x:c>
      <x:c r="R773" s="4" t="str">
        <x:v>Included</x:v>
      </x:c>
    </x:row>
    <x:row r="774" ht="114" hidden="0" customHeight="1">
      <x:c r="A774" s="16" t="str">
        <x:v>REC50-R26-004</x:v>
      </x:c>
      <x:c r="B774" s="4" t="str">
        <x:v>Karombo and Goli customs-service peace protest observed May2020</x:v>
      </x:c>
      <x:c r="C774" s="4" t="str">
        <x:v>Democratic Republic of the Congo; Uganda</x:v>
      </x:c>
      <x:c r="D774" s="4" t="str">
        <x:v>Karombo; Goli / Anzida, Mahagi</x:v>
      </x:c>
      <x:c r="E774" s="4" t="str">
        <x:v>DGDA, OCC and related border-service processing; wider passenger/vehicle scope unverified
Direction: Not separately established
Exceptions: The report establishes service offices closed, not a universal prohibition on passengers or all informal movements.</x:v>
      </x:c>
      <x:c r="F774" s="4" t="str">
        <x:v>REC50-R26-004-P1 — Observed operation
Karombo and Goli/Anzida border customs-service stoppage observed May14,2020
Start: unknown.
Last confirmed: 2020-05-14. Reopening is not established.
dated evidence; numeric duration withheld; see qualification</x:v>
      </x:c>
      <x:c r="G774" s="4" t="str">
        <x:v>Security / Public order and immediate safety
Explicit source-attributed reason; restricting actor and access limits stated
Applies to: REC50-R26-004-P1
The named civil-society coordinator explicitly describes a demand to restore peace and local safety. This is the appeal’s attributed reason, not an inferred government security rationale or proof of a particular armed group’s responsibility.</x:v>
      </x:c>
      <x:c r="H774" s="4" t="str">
        <x:v>REC50-R26-004-P1: Customs and control offices at Karombo and Goli/Anzida were reported closed on May14,2020 in response to one civil-society stop-work appeal. This is one common episode, with no invented first day or reopening. The account does not establish all-passenger denial, every individual truck movement or later continued closure.
Service stoppage onset, return and affected traffic: Customs and control offices at Karombo and Goli/Anzida were reported closed on May14,2020 in response to one civil-society stop-work appeal. This is one common episode, with no invented first day or reopening. The account does not establish all-passenger denial, every individual truck movement or later continued closure.</x:v>
      </x:c>
      <x:c r="I774" s="4" t="str">
        <x:v>New-record source research (REC50-R26); accepted addition; evidence limits retained.</x:v>
      </x:c>
      <x:c r="J774" s="18" t="d">
        <x:v>2026-10-25T00:00:00.000Z</x:v>
      </x:c>
      <x:c r="K774" s="21" t="str">
        <x:f>IFERROR(HYPERLINK("https://7sur7.cd/2020/05/14/ituri-insecurite-les-activites-douanieres-larret-au-poste-frontalier-de-mahagi-pour","7sur7.cd"),"7sur7.cd")</x:f>
        <x:v>7sur7.cd</x:v>
      </x:c>
      <x:c r="L774" s="21"/>
      <x:c r="M774" s="21"/>
      <x:c r="N774" s="4" t="str">
        <x:v>https://7sur7.cd/2020/05/14/ituri-insecurite-les-activites-douanieres-larret-au-poste-frontalier-de-mahagi-pour</x:v>
      </x:c>
      <x:c r="O774" s="4" t="str">
        <x:v>Source 1: indexed extract</x:v>
      </x:c>
      <x:c r="P774" s="20" t="n">
        <x:v>1</x:v>
      </x:c>
      <x:c r="Q774" s="4" t="str">
        <x:v>Great Lakes</x:v>
      </x:c>
      <x:c r="R774" s="4" t="str">
        <x:v>Included</x:v>
      </x:c>
    </x:row>
    <x:row r="775" ht="210" hidden="0" customHeight="1">
      <x:c r="A775" s="16" t="str">
        <x:v>REC50-R26-005</x:v>
      </x:c>
      <x:c r="B775" s="4" t="str">
        <x:v>Uganda–DRC Ebola ordinary-travel rule and Kasindi–Mpondwe observations,2026</x:v>
      </x:c>
      <x:c r="C775" s="4" t="str">
        <x:v>Uganda; Democratic Republic of the Congo</x:v>
      </x:c>
      <x:c r="D775" s="4" t="str">
        <x:v>Uganda–DRC border formal rule; Kasindi / Mpondwe observed operational scope</x:v>
      </x:c>
      <x:c r="E775" s="4" t="str">
        <x:v>See phase-specific ordinary-movement and exception cohorts
Direction: See separately scoped formal and operational phases
Exceptions: Authorised response, humanitarian, food/cargo and security cohorts exempt; documented transit agents and later medical referrals reported separately.</x:v>
      </x:c>
      <x:c r="F775" s="4" t="str">
        <x:v>REC50-R26-005-P1 — Formal policy
Uganda May27,2026 formal restriction on nonexempt movement to and from DRC
Start: 2026-05-27.
Last confirmed: 2026-05-28. Reopening is not established.
Formal policy: confirmed through 2026-05-28; at least 1 calendar-day difference; reopening unknown
REC50-R26-005-P2 — Observed operation
Kasindi–Mpondwe ordinary cross-border movement observations during the 2026 Ebola response
Start: unknown.
Last confirmed: 2026-10-15. Reopening is not established.
dated evidence; numeric duration withheld; see qualification</x:v>
      </x:c>
      <x:c r="G775" s="4" t="str">
        <x:v>Health and biosecurity / Human disease control
Explicit source-attributed reason; restricting actor and access limits stated
Applies to: REC50-R26-005-P1; REC50-R26-005-P2
The signed Ugandan notice explicitly attributes the measure to limiting cross-border Ebola risk. The operational sources describe the same health restrictions, without proving a continuous spell or excluding every exception.</x:v>
      </x:c>
      <x:c r="H775" s="4" t="str">
        <x:v>REC50-R26-005-P1: Formal Uganda–DRC ordinary-movement restriction commenced immediately in the signed May27,2026 notice and was reported current on May28. Cargo, response, humanitarian and security exceptions are explicit. The one-day minimum is a formal-policy date difference only; no expiry, physical onset or operational duration is inferred. The June15 certificate notice is unrelated to repeal.
REC50-R26-005-P2: Ordinary-trader restrictions at Kasindi–Mpondwe are reported on May29 and July14; August18 documents a medical-referral permission, not general reopening. The October15 journalist visit found cargo crossing while ordinary markets and public transport remained suspended. These are dated observations, not a proved continuous May–October spell. Actual onset and reopening stay unknown; Ebola-free announcements and a June certificate notice are not endpoints.
Matched operational onset/return and formal amendment: Ordinary-trader restrictions at Kasindi–Mpondwe are reported on May29 and July14; August18 documents a medical-referral permission, not general reopening. The October15 journalist visit found cargo crossing while ordinary markets and public transport remained suspended. These are dated observations, not a proved continuous May–October spell. Actual onset and reopening stay unknown; Ebola-free announcements and a June certificate notice are not endpoints.</x:v>
      </x:c>
      <x:c r="I775" s="4" t="str">
        <x:v>New-record source research (REC50-R26); accepted addition; evidence limits retained.</x:v>
      </x:c>
      <x:c r="J775" s="18" t="d">
        <x:v>2026-10-25T00:00:00.000Z</x:v>
      </x:c>
      <x:c r="K775" s="21" t="str">
        <x:f>IFERROR(HYPERLINK("https://health.go.ug/download/press-statement-on-evd-update-27th-may-2026?download=1","Uganda Ministry of Health"),"Uganda Ministry of Health")</x:f>
        <x:v>Uganda Ministry of Health</x:v>
      </x:c>
      <x:c r="L775" s="21" t="str">
        <x:f>IFERROR(HYPERLINK("https://govinfohub.go.ug/index.php/2026/05/28/uganda-tightens-cross-border-controls-amid-rising-ebola-risk-from-drc/","Uganda Printing and Publishing Corporation government information hub"),"Uganda Printing and Publishing Corporation government information hub")</x:f>
        <x:v>Uganda Printing and Publishing Corporation government information hub</x:v>
      </x:c>
      <x:c r="M775" s="21" t="str">
        <x:f>IFERROR(HYPERLINK("https://www.monitor.co.ug/uganda/news/national/uganda-closes-border-with-drc-over-escalating-cases-of-ebola-5475742","Daily Monitor"),"Daily Monitor")</x:f>
        <x:v>Daily Monitor</x:v>
      </x:c>
      <x:c r="N775" s="4" t="str">
        <x:v>https://health.go.ug/download/press-statement-on-evd-update-27th-may-2026?download=1
https://govinfohub.go.ug/index.php/2026/05/28/uganda-tightens-cross-border-controls-amid-rising-ebola-risk-from-drc/
https://www.monitor.co.ug/uganda/news/national/uganda-closes-border-with-drc-over-escalating-cases-of-ebola-5475742
https://health.go.ug/download/press-release-15th-june-2026-ebola-travel-advisory?download=1
https://acp.cd/province/ebola-au-nord-kivu-inquietude-generalisee-pour-la-fermeture-de-la-frontiere-de-kasindi/
https://acp.cd/province/ebola-au-nord-kivu-la-fermeture-frontaliere-ougandaise-asphyxie-leconomie-locale-a-kasindi/
https://acp.cd/province/rdc-ouganda-lallegement-des-mesures-de-restriction-frontaliere-face-a-ebola-salue-a-kasindi/
https://www.monitor.co.ug/uganda/news/national/ebola-restrictions-hurt-businesses-at-kasese-mpondwe-border-5632728
https://ubc.go.ug/2026/05/21/no-local-ebola-cases-recorded-in-uganda-as-recovered-congolese-patient-tests-negative/</x:v>
      </x:c>
      <x:c r="O775" s="4" t="str">
        <x:v>Source 1: full text
Source 2: full text
Source 3: indexed extract</x:v>
      </x:c>
      <x:c r="P775" s="20" t="n">
        <x:v>2</x:v>
      </x:c>
      <x:c r="Q775" s="4" t="str">
        <x:v>Great Lakes</x:v>
      </x:c>
      <x:c r="R775" s="4" t="str">
        <x:v>Included</x:v>
      </x:c>
    </x:row>
    <x:row r="776" ht="102" hidden="0" customHeight="1">
      <x:c r="A776" s="16" t="str">
        <x:v>REC50-R27-001</x:v>
      </x:c>
      <x:c r="B776" s="4" t="str">
        <x:v>Bagratashen–Sadakhlo trucker protest over grain-road rules, September 2018</x:v>
      </x:c>
      <x:c r="C776" s="4" t="str">
        <x:v>Armenia; Georgia</x:v>
      </x:c>
      <x:c r="D776" s="4" t="str">
        <x:v>Bagratashen–Sadakhlo
Named crossing or its access; no whole-country closure or new outline inferred.</x:v>
      </x:c>
      <x:c r="E776" s="4" t="str">
        <x:v>Reported trucker obstruction of checkpoint access; affected vehicle categories are not exhaustively identified
Direction: Direction and nationality of actually obstructed traffic are not established.
Exceptions: Customs permitted the protest; traffic exemptions are not enumerated.</x:v>
      </x:c>
      <x:c r="F776" s="4" t="str">
        <x:v>REC50-R27-001-P1 — Observed operation
Reported trucker obstruction of checkpoint access; affected vehicle categories are not exhaustively identified at Bagratashen–Sadakhlo
Start: 2018-09-15.
Observed scoped reopening: 2018-09-15.
dated evidence; numeric duration withheld; see qualification</x:v>
      </x:c>
      <x:c r="G776" s="4" t="str">
        <x:v>Trade and protectionism / Trade and transport protests
Named Armenian customs spokesperson describing the truckers’ grievance
Applies to: REC50-R27-001-P1
Truckers opposed a proposed Georgian grain-road transport ban. This is a protest demand, not a separately verified government protectionist closure.</x:v>
      </x:c>
      <x:c r="H776" s="4" t="str">
        <x:v>REC50-R27-001-P1: The named customs spokesperson reports a blockage and later open status while saying customs permitted the protest and its objective was not to obstruct customs operations. Retain that distinction; no general passenger ban, all-lane customs shutdown or proven Georgian-truck-only rule is asserted.
Scope and endpoint qualification: Clarify the actually obstructed traffic and service scope while preserving the spokesperson’s qualification about customs operations. Geography remains unlocated pending separate challenge. This is original coverage research, not a full-record audit.</x:v>
      </x:c>
      <x:c r="I776" s="4" t="str">
        <x:v>Full-record source audit (REC50-R35); retained with recorded qualifications; evidence limits retained.</x:v>
      </x:c>
      <x:c r="J776" s="18" t="d">
        <x:v>2026-10-25T00:00:00.000Z</x:v>
      </x:c>
      <x:c r="K776" s="21" t="str">
        <x:f>IFERROR(HYPERLINK("https://news.am/en/news/471209","NEWS.am"),"NEWS.am")</x:f>
        <x:v>NEWS.am</x:v>
      </x:c>
      <x:c r="L776" s="21" t="str">
        <x:f>IFERROR(HYPERLINK("https://news.am/eng/news/471178.html","NEWS.am reporting Zhamanak"),"NEWS.am reporting Zhamanak")</x:f>
        <x:v>NEWS.am reporting Zhamanak</x:v>
      </x:c>
      <x:c r="M776" s="21"/>
      <x:c r="N776" s="4" t="str">
        <x:v>https://news.am/en/news/471209
https://news.am/eng/news/471178.html</x:v>
      </x:c>
      <x:c r="O776" s="4" t="str">
        <x:v>Source 1: full text
Source 2: indexed extract; full text</x:v>
      </x:c>
      <x:c r="P776" s="20" t="n">
        <x:v>1</x:v>
      </x:c>
      <x:c r="Q776" s="4" t="str">
        <x:v>Central Asia and Caucasus</x:v>
      </x:c>
      <x:c r="R776" s="4" t="str">
        <x:v>Included</x:v>
      </x:c>
    </x:row>
    <x:row r="777" ht="90" hidden="0" customHeight="1">
      <x:c r="A777" s="16" t="str">
        <x:v>REC50-R27-002</x:v>
      </x:c>
      <x:c r="B777" s="4" t="str">
        <x:v>Agarak trucker blockade over Iranian fuel and paperwork rules, November 2024</x:v>
      </x:c>
      <x:c r="C777" s="4" t="str">
        <x:v>Armenia; Iran</x:v>
      </x:c>
      <x:c r="D777" s="4" t="str">
        <x:v>Agarak / Meghri on the Armenia–Iran route
Named crossing or its access; no whole-country closure or new outline inferred.</x:v>
      </x:c>
      <x:c r="E777" s="4" t="str">
        <x:v>Crossing access obstructed by Armenian truck drivers; exact passenger and freight exemptions are unknown
Direction: Blockade direction is not separately specified; later individual returns into Armenia are not a general endpoint.
Exceptions: Affected cohorts and exemptions are not exhaustively established; individual returns are separately reported.</x:v>
      </x:c>
      <x:c r="F777" s="4" t="str">
        <x:v>REC50-R27-002-P1 — Observed operation
Crossing access obstructed by Armenian truck drivers; exact passenger and freight exemptions are unknown at Agarak / Meghri on the Armenia–Iran route
Start: unknown.
Last confirmed: 2024-11-17. Reopening is not established.
dated evidence; numeric duration withheld; see qualification</x:v>
      </x:c>
      <x:c r="G777" s="4" t="str">
        <x:v>Trade and protectionism / Trade and transport protests
Drivers’ reported grievances in Sputnik interviews and contemporary reporting
Applies to: REC50-R27-002-P1
Drivers objected to diesel prices and Persian-only border documents. The claimed Iranian rules are reported grievances; their complete legal basis is not independently verified.</x:v>
      </x:c>
      <x:c r="H777" s="4" t="str">
        <x:v>REC50-R27-002-P1: Do not join the 17 November blockage, 20 November driver interviews and 26 November diplomatic response into one continuous closure. A driver’s reported return after paying for fuel and another’s return without his truck do not establish general clearance.
Scope and endpoint qualification: Find a dated onset and an explicit general clearance or continued-blockage account, with traffic and direction scope. Do not treat fuel queues as the protest duration. Geography remains unlocated pending separate challenge. This is original coverage research, not a full-record audit.</x:v>
      </x:c>
      <x:c r="I777" s="4" t="str">
        <x:v>Full-record source audit (REC50-R50); retained with recorded qualifications; evidence limits retained.</x:v>
      </x:c>
      <x:c r="J777" s="18" t="d">
        <x:v>2026-10-25T00:00:00.000Z</x:v>
      </x:c>
      <x:c r="K777" s="21" t="str">
        <x:f>IFERROR(HYPERLINK("https://www.amnews.am/language/en/economy-eng-35/","AMNews"),"AMNews")</x:f>
        <x:v>AMNews</x:v>
      </x:c>
      <x:c r="L777" s="21" t="str">
        <x:f>IFERROR(HYPERLINK("https://am.sputniknews.ru/20241117/armyanskie-voditeli-perekryli-dvizhenie-s-iranom-na-kpp-agarak-chto-proizoshlo--83092048.html","Sputnik Armenia"),"Sputnik Armenia")</x:f>
        <x:v>Sputnik Armenia</x:v>
      </x:c>
      <x:c r="M777" s="21" t="str">
        <x:f>IFERROR(HYPERLINK("https://am.sputniknews.ru/20241120/novye-tseny-na-toplivo-na-granitse-irana-s-chem-stolknulis-voditeli-armyanskikh-gruzovikov-83201692.html","Sputnik Armenia"),"Sputnik Armenia")</x:f>
        <x:v>Sputnik Armenia</x:v>
      </x:c>
      <x:c r="N777" s="4" t="str">
        <x:v>https://www.amnews.am/language/en/economy-eng-35/
https://am.sputniknews.ru/20241117/armyanskie-voditeli-perekryli-dvizhenie-s-iranom-na-kpp-agarak-chto-proizoshlo--83092048.html
https://am.sputniknews.ru/20241120/novye-tseny-na-toplivo-na-granitse-irana-s-chem-stolknulis-voditeli-armyanskikh-gruzovikov-83201692.html
https://news.am/en/news/854261</x:v>
      </x:c>
      <x:c r="O777" s="4" t="str">
        <x:v>Source 1: full text
Source 2: full text
Source 3: full text</x:v>
      </x:c>
      <x:c r="P777" s="20" t="n">
        <x:v>1</x:v>
      </x:c>
      <x:c r="Q777" s="4" t="str">
        <x:v>Central Asia and Caucasus</x:v>
      </x:c>
      <x:c r="R777" s="4" t="str">
        <x:v>Included</x:v>
      </x:c>
    </x:row>
    <x:row r="778" ht="162" hidden="0" customHeight="1">
      <x:c r="A778" s="16" t="str">
        <x:v>REC50-R27-003</x:v>
      </x:c>
      <x:c r="B778" s="4" t="str">
        <x:v>Enguri departure restriction during Georgian election runoffs, October 2021</x:v>
      </x:c>
      <x:c r="C778" s="4" t="str">
        <x:v>Georgia / Abkhazia</x:v>
      </x:c>
      <x:c r="D778" s="4" t="str">
        <x:v>Enguri bridge
Named crossing or its access; no whole-country closure or new outline inferred.</x:v>
      </x:c>
      <x:c r="E778" s="4" t="str">
        <x:v>Ordinary departures from Abkhazia, excluding people needing medical assistance
Direction: Abkhazia to Georgian government-controlled territory; no reverse-direction ban established.
Exceptions: People needing medical assistance were excepted in the SSG account.</x:v>
      </x:c>
      <x:c r="F778" s="4" t="str">
        <x:v>REC50-R27-003-P1 — Announced window
Ordinary departures from Abkhazia, excluding people needing medical assistance at Enguri bridge
Start: 2021-10-28.
Scheduled endpoint: 2021-10-30.
Ordered window: dated evidence; numeric duration withheld; see qualification
REC50-R44-ENGURI-P1 — Observed operation
Ordinary departure restriction at Enguri, with restoration reported by 1 November 2021
Start: 2021-10-28.
Observed scoped reopening: by 2021-11-01; earliest bound unknown.
dated evidence; numeric duration withheld; see qualification</x:v>
      </x:c>
      <x:c r="G778" s="4" t="str">
        <x:v>Electoral politics / Election administration and security
Election-related context attributed to the Georgian State Security Service, not a directly obtained imposing-authority statement
Applies to: REC50-R27-003-P1 and REC50-R44-ENGURI-P1; overlapping schedule and operational evidence for the same episode, not additive durations.
The SSG links the restriction to the Georgian local-election runoff. This qualified electoral classification does not adopt its criticism as a proven Abkhaz official rationale or add a separate Security code.</x:v>
      </x:c>
      <x:c r="H778" s="4" t="str">
        <x:v>REC50-R27-003-P1: The 28–30 October dates remain the reported inclusive restriction schedule. Rustavi 2 confirms that ordinary departures were possible by 1 November, but does not date the first resumed passage. Medical exceptions and departure-only scope remain; no exact operational duration or 30 October observed reopening is assigned.
REC50-R44-ENGURI-P1: The 28–30 October dates remain the reported inclusive restriction schedule. Rustavi 2 confirms that ordinary departures were possible by 1 November, but does not date the first resumed passage. Medical exceptions and departure-only scope remain; no exact operational duration or 30 October observed reopening is assigned.
Scope and endpoint qualification: Ordinary departures were possible by 1 November, but first return and continuous enforcement remain unknown. The imposing authority’s original instruction and separately reviewed geography are still absent.</x:v>
      </x:c>
      <x:c r="I778" s="4" t="str">
        <x:v>Targeted source review (REC50-R44); accepted qualification; evidence limits retained.</x:v>
      </x:c>
      <x:c r="J778" s="18" t="d">
        <x:v>2026-10-25T00:00:00.000Z</x:v>
      </x:c>
      <x:c r="K778" s="21" t="str">
        <x:f>IFERROR(HYPERLINK("https://civil.ge/archives/450654","Civil Georgia"),"Civil Georgia")</x:f>
        <x:v>Civil Georgia</x:v>
      </x:c>
      <x:c r="L778" s="21" t="str">
        <x:f>IFERROR(HYPERLINK("https://1tv.ge/lang/ru/news/sgb-de-fakto-vlasti-okkupirovannoj-abkhazii-ogranichili-vezd-na-territoriju-kontroliruemuju-centralnoj-vlastju/","Georgian First Channel / 1TV"),"Georgian First Channel / 1TV")</x:f>
        <x:v>Georgian First Channel / 1TV</x:v>
      </x:c>
      <x:c r="M778" s="21" t="str">
        <x:f>IFERROR(HYPERLINK("https://civil.ge/ru/archives/450807","Civil Georgia, Russian edition"),"Civil Georgia, Russian edition")</x:f>
        <x:v>Civil Georgia, Russian edition</x:v>
      </x:c>
      <x:c r="N778" s="4" t="str">
        <x:v>https://civil.ge/archives/450654
https://1tv.ge/lang/ru/news/sgb-de-fakto-vlasti-okkupirovannoj-abkhazii-ogranichili-vezd-na-territoriju-kontroliruemuju-centralnoj-vlastju/
https://civil.ge/ru/archives/450807
https://rustavi2.ge/en/news/213677</x:v>
      </x:c>
      <x:c r="O778" s="4" t="str">
        <x:v>Source 1: full text
Source 2: full text
Source 3: indexed extract</x:v>
      </x:c>
      <x:c r="P778" s="20" t="n">
        <x:v>2</x:v>
      </x:c>
      <x:c r="Q778" s="4" t="str">
        <x:v>Central Asia and Caucasus</x:v>
      </x:c>
      <x:c r="R778" s="4" t="str">
        <x:v>Included</x:v>
      </x:c>
    </x:row>
    <x:row r="779" ht="186" hidden="0" customHeight="1">
      <x:c r="A779" s="16" t="str">
        <x:v>REC50-R28-001</x:v>
      </x:c>
      <x:c r="B779" s="4" t="str">
        <x:v>Myawaddy–Mae Sot bridge restrictions during April 2024 fighting</x:v>
      </x:c>
      <x:c r="C779" s="4" t="str">
        <x:v>Myanmar; Thailand</x:v>
      </x:c>
      <x:c r="D779" s="4" t="str">
        <x:v>Myawaddy–Mae Sot Friendship Bridge II; Friendship Bridge I
Friendship Bridges I and II only, with separate cargo and passenger-document scopes</x:v>
      </x:c>
      <x:c r="E779" s="4" t="str">
        <x:v>Cargo trucks and a separate temporary-border-pass passenger cohort
Direction: Phase-specific; no universal two-way passenger closure
Exceptions: Passport holders reportedly allowed by the Thai side; contrary Myanmar-side suspension reports remain. Generic return travel is not treated as the temporary-pass endpoint.</x:v>
      </x:c>
      <x:c r="F779" s="4" t="str">
        <x:v>REC50-R28-001-P1 — Observed operation
Cargo at Myawaddy–Mae Sot Friendship Bridge II during April 2024 fighting; disputed closure onset, observed truck return on 30 April.
Start: 2024-04-11 to 2024-04-20.
Observed scoped reopening: 2024-04-30.
Contested: dated evidence; numeric duration withheld; see qualification
Held evidence: excluded from numeric duration and animation displays.
REC50-R28-001-P2 — Observed operation
Observed refusal of temporary-border-pass and pass-booklet travel from Myanmar into Thailand at Friendship Bridge I on 21 April 2024.
Start: 2024-04-21.
Last confirmed: 2024-04-21. Reopening is not established.
Contested: dated evidence; numeric duration withheld; see qualification
Held evidence: excluded from numeric duration and animation displays.</x:v>
      </x:c>
      <x:c r="G779" s="4" t="str">
        <x:v>Security / Armed conflict and military confrontation
Reported reason
Applies to: REC50-R28-001-P1 cargo closure
RFA and DVB link the cargo shutdown to fighting. This is reported causation, not a recovered official justification; it is not automatically assigned to the separate document-control phase.</x:v>
      </x:c>
      <x:c r="H779" s="4" t="str">
        <x:v>REC50-R28-001-P1: The 11–20 April bounds preserve conflicting accounts, not a probabilistic date estimate. Duration is held: neither a ten-day headline nor a majority of reports resolves the start or imposing side. The endpoint is scoped truck resumption, not full normal trade.
REC50-R28-001-P2: No common all-passenger cohort or uninterrupted spell is established. Generic 27 April reopening and travel from Thailand do not prove the return of Thai admission for temporary-pass holders. The document restriction’s official rationale remains unresolved; fighting context is not assigned as an additional migration motive.
scope; chronology; attribution; geography: Different onset dates and imposing-side accounts are preserved. The 27 April passenger reopening does not establish restored Thai admission for temporary-pass holders; no six- or ten-day complete duration is claimed.</x:v>
      </x:c>
      <x:c r="I779" s="4" t="str">
        <x:v>Full-record source audit (REC50-R40); retained with recorded qualifications; evidence limits retained.</x:v>
      </x:c>
      <x:c r="J779" s="18" t="d">
        <x:v>2026-10-25T00:00:00.000Z</x:v>
      </x:c>
      <x:c r="K779" s="21" t="str">
        <x:f>IFERROR(HYPERLINK("https://www.rfa.org/english/news/myanmar/myanmar-thai-border-reopens-04302024074334.html","Radio Free Asia"),"Radio Free Asia")</x:f>
        <x:v>Radio Free Asia</x:v>
      </x:c>
      <x:c r="L779" s="21" t="str">
        <x:f>IFERROR(HYPERLINK("https://eng.mizzima.com/2024/04/23/9252","Mizzima"),"Mizzima")</x:f>
        <x:v>Mizzima</x:v>
      </x:c>
      <x:c r="M779" s="21" t="str">
        <x:f>IFERROR(HYPERLINK("https://www.gnlm.com.mm/border-trade-resumes-after-friendship-bridges-reopened/","Global New Light of Myanmar"),"Global New Light of Myanmar")</x:f>
        <x:v>Global New Light of Myanmar</x:v>
      </x:c>
      <x:c r="N779" s="4" t="str">
        <x:v>https://www.rfa.org/english/news/myanmar/myanmar-thai-border-reopens-04302024074334.html
https://eng.mizzima.com/2024/04/23/9252
https://www.gnlm.com.mm/border-trade-resumes-after-friendship-bridges-reopened/
https://english.dvb.no/myanmar-thailand-friendship-bridge-no-2-reopens-after-9-month-long-closure/
https://elevenmyanmar.com/news/myawady-mae-sot-border-crossing-tightened-temporary-passes-suspended
https://english.dvb.no/thai-burma-bridge-reopens-after-fighting-in-myawaddy-subsides-regime-counterattack-kills-two/
https://cnimyanmar.com/index.php/english-edition/21637-myawaddy-no-1-bridge-closed-indefinitely</x:v>
      </x:c>
      <x:c r="O779" s="4" t="str">
        <x:v>Source 1: full text
Source 2: indexed extract
Source 3: indexed extract</x:v>
      </x:c>
      <x:c r="P779" s="20" t="n">
        <x:v>2</x:v>
      </x:c>
      <x:c r="Q779" s="4" t="str">
        <x:v>East and Southeast Asia and Oceania</x:v>
      </x:c>
      <x:c r="R779" s="4" t="str">
        <x:v>Included</x:v>
      </x:c>
    </x:row>
    <x:row r="780" ht="138" hidden="0" customHeight="1">
      <x:c r="A780" s="16" t="str">
        <x:v>REC50-R28-002</x:v>
      </x:c>
      <x:c r="B780" s="4" t="str">
        <x:v>Maungdaw–Teknaf river-cargo halt and first wood-shipment return, April 2025–May 2026</x:v>
      </x:c>
      <x:c r="C780" s="4" t="str">
        <x:v>Myanmar; Bangladesh</x:v>
      </x:c>
      <x:c r="D780" s="4" t="str">
        <x:v>Maungdaw river departure area / Teknaf land-port jetty; coordinate not approved
Maungdaw-to-Teknaf Naf River border-cargo corridor; coastal Yangon/Sittwe shipping excluded</x:v>
      </x:c>
      <x:c r="E780" s="4" t="str">
        <x:v>Maungdaw-origin river cargo; first observed return is one wood consignment
Direction: Myanmar to Bangladesh; the endpoint does not establish reverse exports
Exceptions: No claim of all commodities, passengers, maritime cargo, regular sailing or full normal trade.</x:v>
      </x:c>
      <x:c r="F780" s="4" t="str">
        <x:v>REC50-R28-002-P1 — Observed operation
Maungdaw-origin river cargo arriving at Teknaf land port, ending at the first reported wood-laden boat return on 1 May 2026.
Start: 2025-04-12.
Observed scoped reopening: 2026-05-01.
384 calendar-day difference; scoped endpoint only</x:v>
      </x:c>
      <x:c r="G780" s="4" t="str">
        <x:v>Trade and protectionism / Customs and transport rules
Reported reason
Applies to: REC50-R28-002-P1
Named port/trade representatives describe tax, commission and cargo-approval obstacles. This records an attributed trade-rule dispute, not an established official protectionist purpose or a recovered AA/junta declaration.</x:v>
      </x:c>
      <x:c r="H780" s="4" t="str">
        <x:v>REC50-R28-002-P1: The 384-day value is a difference between calendar dates to a first scoped cargo return, not measured hours or proof that the whole onset day was closed. The 14 April 2026 announcement is not the endpoint. Reverse exports, all commodities and regular service remain unestablished. Yangon/Sittwe coastal shipping is excluded; the actor and stated-reason sequence remains attributed and unresolved.
scope; chronology; attribution; geography: The 384-day value is a difference between calendar dates to a first scoped cargo return, not measured hours or proof that the whole onset day was closed. The 14 April 2026 announcement is not the endpoint. Reverse exports, all commodities and regular service remain unestablished. Yangon/Sittwe coastal shipping is excluded; the actor and stated-reason sequence remains attributed and unresolved.</x:v>
      </x:c>
      <x:c r="I780" s="4" t="str">
        <x:v>Targeted source review (REC50-R44); retained with recorded qualifications; evidence limits retained.</x:v>
      </x:c>
      <x:c r="J780" s="18" t="d">
        <x:v>2026-10-25T00:00:00.000Z</x:v>
      </x:c>
      <x:c r="K780" s="21" t="str">
        <x:f>IFERROR(HYPERLINK("https://www.jagonews24.com/en/biz-econ/news/83051","Jago News"),"Jago News")</x:f>
        <x:v>Jago News</x:v>
      </x:c>
      <x:c r="L780" s="21" t="str">
        <x:f>IFERROR(HYPERLINK("https://bdnews24.com/bangladesh/b4933a72a017","bdnews24.com"),"bdnews24.com")</x:f>
        <x:v>bdnews24.com</x:v>
      </x:c>
      <x:c r="M780" s="21" t="str">
        <x:f>IFERROR(HYPERLINK("https://www.tbsnews.net/bangladesh/wood-laden-boat-myanmar-docks-teknaf-ending-year-long-halt-1426816","The Business Standard"),"The Business Standard")</x:f>
        <x:v>The Business Standard</x:v>
      </x:c>
      <x:c r="N780" s="4" t="str">
        <x:v>https://www.jagonews24.com/en/biz-econ/news/83051
https://bdnews24.com/bangladesh/b4933a72a017
https://www.tbsnews.net/bangladesh/wood-laden-boat-myanmar-docks-teknaf-ending-year-long-halt-1426816
https://www.dhakatribune.com/amp/bangladesh/foreign-affairs/371904/myanmar-suspends-trade-from-yangon-to-teknaf</x:v>
      </x:c>
      <x:c r="O780" s="4" t="str">
        <x:v>Source 1: full text
Source 2: full text
Source 3: full text</x:v>
      </x:c>
      <x:c r="P780" s="20" t="n">
        <x:v>1</x:v>
      </x:c>
      <x:c r="Q780" s="4" t="str">
        <x:v>East and Southeast Asia and Oceania</x:v>
      </x:c>
      <x:c r="R780" s="4" t="str">
        <x:v>Included</x:v>
      </x:c>
    </x:row>
    <x:row r="781" ht="162" hidden="0" customHeight="1">
      <x:c r="A781" s="16" t="str">
        <x:v>REC50-R28-003</x:v>
      </x:c>
      <x:c r="B781" s="4" t="str">
        <x:v>Singkhon–Mawtaung formal opening and goods-transfer restrictions, 2026</x:v>
      </x:c>
      <x:c r="C781" s="4" t="str">
        <x:v>Thailand; Myanmar</x:v>
      </x:c>
      <x:c r="D781" s="4" t="str">
        <x:v>Singkhon–Mawtaung / Ban Mudong border area; exact binding unlocated
Singkhon / Mawtaung-Mudong counterpart and designated limited goods-transfer area</x:v>
      </x:c>
      <x:c r="E781" s="4" t="str">
        <x:v>Normal checkpoint authorisations and a separately described limited goods-transfer schedule
Direction: Phase-specific Thai–Myanmar trade and passage permissions
Exceptions: Proposed mobile-vendor/small agricultural trade and emergency medical pathways; April goods permission retains written notice and customs conditions.</x:v>
      </x:c>
      <x:c r="F781" s="4" t="str">
        <x:v>REC50-R28-003-P1 — Formal policy
Singkhon formal opening unavailable at the 21 January 2026 provincial meeting; limited community trade and emergency medical pathways discussed separately.
Start: unknown.
Last confirmed: 2026-01-21. Reopening is not established.
Formal policy: dated evidence; numeric duration withheld; see qualification
REC50-R28-003-P2 — Formal policy
Singkhon goods-transfer schedule restricted to Tuesday and Saturday mornings before a formal relaxation effective 17 April 2026.
Start: unknown.
Policy endpoint: 2026-04-17.
Formal policy: dated evidence; numeric duration withheld; see qualification</x:v>
      </x:c>
      <x:c r="G781" s="4" t="str">
        <x:v>Security / Armed conflict and military confrontation
Attributed official explanation
Applies to: REC50-R28-003-P1; REC50-R28-003-P2
Provincial meeting and governor accounts connect restrictions to fighting opposite Singkhon and the later relaxation to calmer conditions; the attribution is to those officials.
Administration and service operation
Attributed official explanation
Applies to: REC50-R28-003-P1 only
Officials explain that normal opening cannot proceed without a lawful counterpart and coordination/certification mechanism. No narrower taxonomy subcategory or undisclosed political motive is invented.</x:v>
      </x:c>
      <x:c r="H781" s="4" t="str">
        <x:v>REC50-R28-003-P1: This is dated policy evidence, not observed universal cessation. Neither the last tin-import approval on 20 October 2025 nor later incomplete applications establish a general start date. No continuous interval is inferred across the later schedule and July planning report.
REC50-R28-003-P2: The endpoint is a legal relaxation only; no first truck or trader passage is documented. A July meeting still discusses possible general reopening, so April permission must not become a universal operational endpoint. The relationship between the January observation and the later schedule is not a proven continuous spell.
scope; chronology; attribution; geography: The schedule’s onset and its relationship to the January policy are unknown. April permission is not an observed full checkpoint reopening; July preparations do not supply a new closure date or prove continuous closure.</x:v>
      </x:c>
      <x:c r="I781" s="4" t="str">
        <x:v>Full-record source audit (REC50-R40); retained with recorded qualifications; evidence limits retained.</x:v>
      </x:c>
      <x:c r="J781" s="18" t="d">
        <x:v>2026-10-25T00:00:00.000Z</x:v>
      </x:c>
      <x:c r="K781" s="21" t="str">
        <x:f>IFERROR(HYPERLINK("https://huahintoday.com/hua-hin-news/thai-myanmar-border-security-meeting-held-in-prachuap-khiri-khan/","Hua Hin Today"),"Hua Hin Today")</x:f>
        <x:v>Hua Hin Today</x:v>
      </x:c>
      <x:c r="L781" s="21" t="str">
        <x:f>IFERROR(HYPERLINK("https://www.topnews.co.th/news/1462495","TopNews"),"TopNews")</x:f>
        <x:v>TopNews</x:v>
      </x:c>
      <x:c r="M781" s="21" t="str">
        <x:f>IFERROR(HYPERLINK("https://www.dailynews.co.th/news/5791785/","Daily News Thailand"),"Daily News Thailand")</x:f>
        <x:v>Daily News Thailand</x:v>
      </x:c>
      <x:c r="N781" s="4" t="str">
        <x:v>https://huahintoday.com/hua-hin-news/thai-myanmar-border-security-meeting-held-in-prachuap-khiri-khan/
https://www.topnews.co.th/news/1462495
https://www.dailynews.co.th/news/5791785/
https://huahintoday.com/hua-hin-news/singkhon-border-checkpoint-reopening-preparations-reviewed/</x:v>
      </x:c>
      <x:c r="O781" s="4" t="str">
        <x:v>Source 1: full text
Source 2: full text
Source 3: full text</x:v>
      </x:c>
      <x:c r="P781" s="20" t="n">
        <x:v>2</x:v>
      </x:c>
      <x:c r="Q781" s="4" t="str">
        <x:v>East and Southeast Asia and Oceania</x:v>
      </x:c>
      <x:c r="R781" s="4" t="str">
        <x:v>Included</x:v>
      </x:c>
    </x:row>
    <x:row r="782" ht="150" hidden="0" customHeight="1">
      <x:c r="A782" s="16" t="str">
        <x:v>REC50-R31-001</x:v>
      </x:c>
      <x:c r="B782" s="4" t="str">
        <x:v>Pharr and Ysleta trucker blockades against added Texas inspections, April 2022</x:v>
      </x:c>
      <x:c r="C782" s="4" t="str">
        <x:v>Mexico; United States</x:v>
      </x:c>
      <x:c r="D782" s="4" t="str">
        <x:v>Pharr–Reynosa and Ysleta–Zaragoza international bridges</x:v>
      </x:c>
      <x:c r="E782" s="4" t="str">
        <x:v>Commercial lanes obstructed by trucker protesters
Direction: Two separately scoped facility phases.
Exceptions: Ysleta personal vehicles and pedestrians were reported unaffected; other exceptions are not exhaustively listed.</x:v>
      </x:c>
      <x:c r="F782" s="4" t="str">
        <x:v>REC50-R31-001-P1 — Observed operation
Commercial lanes obstructed by trucker protesters at Pharr–Reynosa International Bridge
Start: 2022-04-11.
Observed scoped reopening: 2022-04-13.
2 calendar-day difference; scoped endpoint only
REC50-R31-001-P2 — Observed operation
Commercial lanes obstructed by trucker protesters at Ysleta–Zaragoza International Bridge
Start: 2022-04-11.
Observed scoped reopening: 2022-04-12 to 2022-04-13.
1–2 calendar-day difference; scoped endpoint only</x:v>
      </x:c>
      <x:c r="G782" s="4" t="str">
        <x:v>Trade and protectionism / Trade and transport protests
Reported trucker grievance; named CBP accounts establish operational endpoints
Applies to: REC50-R31-001-P1; REC50-R31-001-P2
Truckers opposed additional inspections and the resulting waits. Texas’s own migration/security rationale is not substituted for the protest demand.</x:v>
      </x:c>
      <x:c r="H782" s="4" t="str">
        <x:v>REC50-R31-001-P1: The scoped blockade ended with CBP-reported commercial resumption. Enhanced Texas inspections continued. KSAT’s driver-trip accounts appear under Progreso reporting; they are not treated as proof either of complete Pharr exclusion or uninterrupted Pharr passage. Exact exemptions and clock duration remain uncertain.
REC50-R31-001-P2: Maier dates protest removal to late 12 April; the same report describes operating return on 13 April. These descriptions bound the endpoint without assuming when the first truck passed. Passenger and pedestrian movement was reported unaffected by this commercial blockade.
Scope, timing precision and geography qualification: Clarify any authorised commercial passage during the Pharr blockade and the first actual Ysleta return; do not sum the overlapping facility phases. Geometry remains unlocated. Original coverage research is not a full-record audit.</x:v>
      </x:c>
      <x:c r="I782" s="4" t="str">
        <x:v>Full-record source audit (REC50-R40); retained with recorded qualifications; evidence limits retained.</x:v>
      </x:c>
      <x:c r="J782" s="18" t="d">
        <x:v>2026-10-25T00:00:00.000Z</x:v>
      </x:c>
      <x:c r="K782" s="21" t="str">
        <x:f>IFERROR(HYPERLINK("https://www.texastribune.org/2022/04/11/texas-border-inspections-truckers-protest/","The Texas Tribune"),"The Texas Tribune")</x:f>
        <x:v>The Texas Tribune</x:v>
      </x:c>
      <x:c r="L782" s="21" t="str">
        <x:f>IFERROR(HYPERLINK("https://www.ksat.com/news/local/2022/04/14/blockade-ends-in-pharr-reynosa-bridge-dps-inspections-continue/","KSAT"),"KSAT")</x:f>
        <x:v>KSAT</x:v>
      </x:c>
      <x:c r="M782" s="21" t="str">
        <x:f>IFERROR(HYPERLINK("https://www.freightwaves.com/news/truck-drivers-from-mexico-end-blockade-of-texas-bridges","FreightWaves"),"FreightWaves")</x:f>
        <x:v>FreightWaves</x:v>
      </x:c>
      <x:c r="N782" s="4" t="str">
        <x:v>https://www.texastribune.org/2022/04/11/texas-border-inspections-truckers-protest/
https://www.ksat.com/news/local/2022/04/14/blockade-ends-in-pharr-reynosa-bridge-dps-inspections-continue/
https://www.freightwaves.com/news/truck-drivers-from-mexico-end-blockade-of-texas-bridges</x:v>
      </x:c>
      <x:c r="O782" s="4" t="str">
        <x:v>Source 1: full text
Source 2: full text
Source 3: full text</x:v>
      </x:c>
      <x:c r="P782" s="20" t="n">
        <x:v>2</x:v>
      </x:c>
      <x:c r="Q782" s="4" t="str">
        <x:v>Americas</x:v>
      </x:c>
      <x:c r="R782" s="4" t="str">
        <x:v>Included</x:v>
      </x:c>
    </x:row>
    <x:row r="783" ht="90" hidden="0" customHeight="1">
      <x:c r="A783" s="16" t="str">
        <x:v>REC50-R31-002</x:v>
      </x:c>
      <x:c r="B783" s="4" t="str">
        <x:v>BOTA cargo-service suspension for migrant processing, April 2023</x:v>
      </x:c>
      <x:c r="C783" s="4" t="str">
        <x:v>Mexico; United States</x:v>
      </x:c>
      <x:c r="D783" s="4" t="str">
        <x:v>Bridge of the Americas (BOTA) cargo lot, El Paso</x:v>
      </x:c>
      <x:c r="E783" s="4" t="str">
        <x:v>CBP cargo-lot commercial services
Direction: The CBP cargo-service notice does not enumerate a direction split; no passenger or all-bridge shutdown is inferred.
Exceptions: Other cargo ports and passenger services are not closed by the cited BOTA notice.</x:v>
      </x:c>
      <x:c r="F783" s="4" t="str">
        <x:v>REC50-R31-002-P1 — Formal policy
CBP cargo-lot commercial services at Bridge of the Americas, El Paso
Start: 2023-04-14.
Policy endpoint: 2023-04-18.
Formal policy: 4 calendar-day difference; operational continuity not established</x:v>
      </x:c>
      <x:c r="G783" s="4" t="str">
        <x:v>Migration / Processing capacity
Explicit CBP service-notice rationale
Applies to: REC50-R31-002-P1
CBP attributes the temporary commercial-service suspension to processing an influx of migrants.</x:v>
      </x:c>
      <x:c r="H783" s="4" t="str">
        <x:v>REC50-R31-002-P1: The service notices establish effective dates. Normal Saturday closure is separately stated in the restoration notice; this is not four lost working days, a passenger closure, or a closure of every listed contact port.
Scope, timing precision and geography qualification: Obtain contemporaneous first refusal and actual cargo resumption before treating the formal service period as operational duration. Geometry remains unlocated. Original coverage research is not a full-record audit.</x:v>
      </x:c>
      <x:c r="I783" s="4" t="str">
        <x:v>Targeted source review (REC50-R44); completed with unresolved evidence; evidence limits retained.</x:v>
      </x:c>
      <x:c r="J783" s="18" t="d">
        <x:v>2026-10-25T00:00:00.000Z</x:v>
      </x:c>
      <x:c r="K783" s="21" t="str">
        <x:f>IFERROR(HYPERLINK("https://content.govdelivery.com/accounts/USDHSCBP/bulletins/354cf2f","U.S. Customs and Border Protection"),"U.S. Customs and Border Protection")</x:f>
        <x:v>U.S. Customs and Border Protection</x:v>
      </x:c>
      <x:c r="L783" s="21" t="str">
        <x:f>IFERROR(HYPERLINK("https://content.govdelivery.com/accounts/USDHSCBP/bulletins/3558dca","U.S. Customs and Border Protection"),"U.S. Customs and Border Protection")</x:f>
        <x:v>U.S. Customs and Border Protection</x:v>
      </x:c>
      <x:c r="M783" s="21" t="str">
        <x:f>IFERROR(HYPERLINK("https://content.govdelivery.com/attachments/USDHSCBP/2023/04/18/file_attachments/2470649/TIN_FY-2023-2400-04_April%2017%2C%202023.pdf","U.S. Customs and Border Protection"),"U.S. Customs and Border Protection")</x:f>
        <x:v>U.S. Customs and Border Protection</x:v>
      </x:c>
      <x:c r="N783" s="4" t="str">
        <x:v>https://content.govdelivery.com/accounts/USDHSCBP/bulletins/354cf2f
https://content.govdelivery.com/accounts/USDHSCBP/bulletins/3558dca
https://content.govdelivery.com/attachments/USDHSCBP/2023/04/18/file_attachments/2470649/TIN_FY-2023-2400-04_April%2017%2C%202023.pdf</x:v>
      </x:c>
      <x:c r="O783" s="4" t="str">
        <x:v>Source 1: full text
Source 2: full text
Source 3: indexed extract</x:v>
      </x:c>
      <x:c r="P783" s="20" t="n">
        <x:v>1</x:v>
      </x:c>
      <x:c r="Q783" s="4" t="str">
        <x:v>Americas</x:v>
      </x:c>
      <x:c r="R783" s="4" t="str">
        <x:v>Included</x:v>
      </x:c>
    </x:row>
    <x:row r="784" ht="78" hidden="0" customHeight="1">
      <x:c r="A784" s="16" t="str">
        <x:v>REC50-R31-003</x:v>
      </x:c>
      <x:c r="B784" s="4" t="str">
        <x:v>Pharr northbound farmer protest interruption, May 2024</x:v>
      </x:c>
      <x:c r="C784" s="4" t="str">
        <x:v>Mexico; United States</x:v>
      </x:c>
      <x:c r="D784" s="4" t="str">
        <x:v>Pharr–Reynosa International Bridge</x:v>
      </x:c>
      <x:c r="E784" s="4" t="str">
        <x:v>Reported northbound bridge circulation
Direction: Reynosa, Mexico, toward the United States.
Exceptions: No exhaustive exemption or affected-vehicle list is supplied.</x:v>
      </x:c>
      <x:c r="F784" s="4" t="str">
        <x:v>REC50-R31-003-P1 — Observed operation
Reported northbound bridge circulation at Pharr–Reynosa International Bridge
Start: 2024-05-29.
Observed scoped reopening: 2024-05-29.
dated evidence; numeric duration withheld; see qualification</x:v>
      </x:c>
      <x:c r="G784" s="4" t="str">
        <x:v>Policy and socioeconomic demands / Jobs, services and livelihoods
Reported farmer demand with named union representative
Applies to: REC50-R31-003-P1
Producers sought fair grain prices and farm subsidies. Their comparison with U.S. support is attributed, not an independently established trade-policy finding.</x:v>
      </x:c>
      <x:c r="H784" s="4" t="str">
        <x:v>REC50-R31-003-P1: Vehicle categories are not exhaustively identified. The bridge stoppage is distinguished from the earlier road gathering and caravan.
Scope, timing precision and geography qualification: Clarify affected vehicle categories and exact bridge-interruption onset if further evidence becomes available. Geometry remains unlocated. Original coverage research is not a full-record audit.</x:v>
      </x:c>
      <x:c r="I784" s="4" t="str">
        <x:v>New-record source research (REC50-R31); accepted addition; evidence limits retained.</x:v>
      </x:c>
      <x:c r="J784" s="18" t="d">
        <x:v>2026-10-25T00:00:00.000Z</x:v>
      </x:c>
      <x:c r="K784" s="21" t="str">
        <x:f>IFERROR(HYPERLINK("https://www.krgv.com/news/agricultores-bloquean-carretera-cerca-al-puente-internacional-pharr-reynosa","KRGV Noticias"),"KRGV Noticias")</x:f>
        <x:v>KRGV Noticias</x:v>
      </x:c>
      <x:c r="L784" s="21"/>
      <x:c r="M784" s="21"/>
      <x:c r="N784" s="4" t="str">
        <x:v>https://www.krgv.com/news/agricultores-bloquean-carretera-cerca-al-puente-internacional-pharr-reynosa</x:v>
      </x:c>
      <x:c r="O784" s="4" t="str">
        <x:v>Source 1: full text</x:v>
      </x:c>
      <x:c r="P784" s="20" t="n">
        <x:v>1</x:v>
      </x:c>
      <x:c r="Q784" s="4" t="str">
        <x:v>Americas</x:v>
      </x:c>
      <x:c r="R784" s="4" t="str">
        <x:v>Included</x:v>
      </x:c>
    </x:row>
    <x:row r="785" ht="78" hidden="0" customHeight="1">
      <x:c r="A785" s="16" t="str">
        <x:v>REC50-R31-004</x:v>
      </x:c>
      <x:c r="B785" s="4" t="str">
        <x:v>Pharr agricultural compensation protest, July 2025</x:v>
      </x:c>
      <x:c r="C785" s="4" t="str">
        <x:v>Mexico; United States</x:v>
      </x:c>
      <x:c r="D785" s="4" t="str">
        <x:v>Pharr–Reynosa International Bridge</x:v>
      </x:c>
      <x:c r="E785" s="4" t="str">
        <x:v>Freight and private-vehicle access obstructed at the entry gates
Direction: Mexico toward Pharr, United States.
Exceptions: No exhaustive authorised-passage exceptions are established.</x:v>
      </x:c>
      <x:c r="F785" s="4" t="str">
        <x:v>REC50-R31-004-P1 — Observed operation
Freight and private-vehicle access obstructed at the entry gates at Pharr–Reynosa International Bridge
Start: 2025-07-11.
Observed scoped reopening: 2025-07-11.
dated evidence; numeric duration withheld; see qualification</x:v>
      </x:c>
      <x:c r="G785" s="4" t="str">
        <x:v>Policy and socioeconomic demands / Jobs, services and livelihoods
Reported producer demands; named local reporting
Applies to: REC50-R31-004-P1
Producers sought sorghum-price compensation and payment of previous agricultural support. This is an attributed livelihood demand.</x:v>
      </x:c>
      <x:c r="H785" s="4" t="str">
        <x:v>REC50-R31-004-P1: Only the dated 11 July spell is admitted. An earlier Monday recurrence, road protests and a proposed temporary release do not establish continuous closure through the week.
Scope, timing precision and geography qualification: Resolve the earlier Monday recurrence separately and reconcile exact start/temporary-release clocks; do not merge the week into one continuous closure. Geometry remains unlocated. Original coverage research is not a full-record audit.</x:v>
      </x:c>
      <x:c r="I785" s="4" t="str">
        <x:v>Full-record source audit (REC50-R40); retained with recorded qualifications; evidence limits retained.</x:v>
      </x:c>
      <x:c r="J785" s="18" t="d">
        <x:v>2026-10-25T00:00:00.000Z</x:v>
      </x:c>
      <x:c r="K785" s="21" t="str">
        <x:f>IFERROR(HYPERLINK("https://www.nmas.com.mx/tamaulipas/internacional/bloqueo-puente-reynosa-pharr-productores-agricolas-detienen-paso-de-unidades-de-carga/","N+"),"N+")</x:f>
        <x:v>N+</x:v>
      </x:c>
      <x:c r="L785" s="21" t="str">
        <x:f>IFERROR(HYPERLINK("https://horacero.com.mx/reynosa/ceden-productores-a-presion-reabren-puente-reynosa-pharr","Hora Cero"),"Hora Cero")</x:f>
        <x:v>Hora Cero</x:v>
      </x:c>
      <x:c r="M785" s="21" t="str">
        <x:f>IFERROR(HYPERLINK("https://www.notigape.com/productores-bloquean-de-nuevo-el-puente-pharr/284294","NotiGAPE"),"NotiGAPE")</x:f>
        <x:v>NotiGAPE</x:v>
      </x:c>
      <x:c r="N785" s="4" t="str">
        <x:v>https://www.nmas.com.mx/tamaulipas/internacional/bloqueo-puente-reynosa-pharr-productores-agricolas-detienen-paso-de-unidades-de-carga/
https://horacero.com.mx/reynosa/ceden-productores-a-presion-reabren-puente-reynosa-pharr
https://www.notigape.com/productores-bloquean-de-nuevo-el-puente-pharr/284294
https://eldiariomx.com/2025/07/11/bloquean-productores-puente-reynosa/</x:v>
      </x:c>
      <x:c r="O785" s="4" t="str">
        <x:v>Source 1: full text
Source 2: full text
Source 3: indexed extract</x:v>
      </x:c>
      <x:c r="P785" s="20" t="n">
        <x:v>1</x:v>
      </x:c>
      <x:c r="Q785" s="4" t="str">
        <x:v>Americas</x:v>
      </x:c>
      <x:c r="R785" s="4" t="str">
        <x:v>Included</x:v>
      </x:c>
    </x:row>
    <x:row r="786" ht="90" hidden="0" customHeight="1">
      <x:c r="A786" s="16" t="str">
        <x:v>REC50-R31-005</x:v>
      </x:c>
      <x:c r="B786" s="4" t="str">
        <x:v>Seaway bridge-system access protest over pipeline and arrests, February 2020</x:v>
      </x:c>
      <x:c r="C786" s="4" t="str">
        <x:v>Canada; United States</x:v>
      </x:c>
      <x:c r="D786" s="4" t="str">
        <x:v>Seaway International Bridge system and North Channel Cornwall–Cornwall Island approach</x:v>
      </x:c>
      <x:c r="E786" s="4" t="str">
        <x:v>Non-emergency bridge-system traffic interrupted by a North Channel protest
Direction: Both northbound and southbound traffic, as reported in the tribal-police statement.
Exceptions: Emergencies permitted; local non-emergency traffic was not exempt according to the quoted tribal-police statement.</x:v>
      </x:c>
      <x:c r="F786" s="4" t="str">
        <x:v>REC50-R31-005-P1 — Observed operation
Non-emergency bridge-system traffic interrupted by a North Channel protest at Seaway International Bridge system / Cornwall–Cornwall Island approach
Start: 2020-02-07.
Observed scoped reopening: 2020-02-07.
dated evidence; numeric duration withheld; see qualification</x:v>
      </x:c>
      <x:c r="G786" s="4" t="str">
        <x:v>Policy and socioeconomic demands / Rights and other policy grievances
Reported protest rationale and named community spokesperson account
Applies to: REC50-R31-005-P1
The protest concerned the British Columbia pipeline dispute and arrests linked to Wet’suwet’en opposition. No separate official security rationale is inferred.</x:v>
      </x:c>
      <x:c r="H786" s="4" t="str">
        <x:v>REC50-R31-005-P1: Emergency passage remained permitted. Physical obstruction of the North Channel approach is not an invented location on the international boundary. Community participation does not imply official tribal sponsorship.
Scope, timing precision and geography qualification: Inspect the original tribal-police/MCA operating notices if available; preserve emergency passage and the distinction between approach and boundary crossing. Geometry remains unlocated. Original coverage research is not a full-record audit.</x:v>
      </x:c>
      <x:c r="I786" s="4" t="str">
        <x:v>New-record source research (REC50-R31); accepted addition; evidence limits retained.</x:v>
      </x:c>
      <x:c r="J786" s="18" t="d">
        <x:v>2026-10-25T00:00:00.000Z</x:v>
      </x:c>
      <x:c r="K786" s="21" t="str">
        <x:f>IFERROR(HYPERLINK("https://www.cornwallseawaynews.com/local/pipeline-protest-on-seaway-bridge-stops-traffic/","Cornwall Seaway News"),"Cornwall Seaway News")</x:f>
        <x:v>Cornwall Seaway News</x:v>
      </x:c>
      <x:c r="L786" s="21" t="str">
        <x:f>IFERROR(HYPERLINK("https://www.wwnytv.com/2020/02/18/members-saint-regis-mohawk-community-were-part-bridge-protests/","WWNY"),"WWNY")</x:f>
        <x:v>WWNY</x:v>
      </x:c>
      <x:c r="M786" s="21" t="str">
        <x:f>IFERROR(HYPERLINK("https://www.cornwallnewswatch.com/2020/02/07/seaway-bridge-closed-to-traffic-due-to-protest/","Cornwall Newswatch"),"Cornwall Newswatch")</x:f>
        <x:v>Cornwall Newswatch</x:v>
      </x:c>
      <x:c r="N786" s="4" t="str">
        <x:v>https://www.cornwallseawaynews.com/local/pipeline-protest-on-seaway-bridge-stops-traffic/
https://www.wwnytv.com/2020/02/18/members-saint-regis-mohawk-community-were-part-bridge-protests/
https://www.cornwallnewswatch.com/2020/02/07/seaway-bridge-closed-to-traffic-due-to-protest/</x:v>
      </x:c>
      <x:c r="O786" s="4" t="str">
        <x:v>Source 1: indexed extract
Source 2: full text
Source 3: full text</x:v>
      </x:c>
      <x:c r="P786" s="20" t="n">
        <x:v>1</x:v>
      </x:c>
      <x:c r="Q786" s="4" t="str">
        <x:v>Americas</x:v>
      </x:c>
      <x:c r="R786" s="4" t="str">
        <x:v>Included</x:v>
      </x:c>
    </x:row>
    <x:row r="787" ht="90" hidden="0" customHeight="1">
      <x:c r="A787" s="16" t="str">
        <x:v>REC50-R32-001</x:v>
      </x:c>
      <x:c r="B787" s="4" t="str">
        <x:v>Colombia territorial-election ordered land and river border window, October 2023</x:v>
      </x:c>
      <x:c r="C787" s="4" t="str">
        <x:v>Colombia</x:v>
      </x:c>
      <x:c r="D787" s="4" t="str">
        <x:v>All authorised land and river posts in the rule; Rumichaca, Mataje and San Miguel named in local advance reports
Authorised Colombian land and river border posts; named Ecuador-frontier announcements do not demonstrate operation at every post.</x:v>
      </x:c>
      <x:c r="E787" s="4" t="str">
        <x:v>Ordinary passage through authorised border posts; named local notices specify pedestrians and vehicles
Direction: Both directions in the local named-post notices; national policy scope is broader than those observations
Exceptions: Force majeure and unforeseen emergencies, as stated in Article 31; implementation not independently observed</x:v>
      </x:c>
      <x:c r="F787" s="4" t="str">
        <x:v>REC50-R32-001-P1 — Announced window
Colombia’s authorised land and river border posts under Article 31 of decree 1702; local preannouncements explicitly name Rumichaca, Mataje and San Miguel.
Start: 2023-10-28.
Scheduled endpoint: 2023-10-29.
Ordered window: 1 calendar-day difference; actual end not established</x:v>
      </x:c>
      <x:c r="G787" s="4" t="str">
        <x:v>Electoral politics / Election administration and security
Attributed official justification
Applies to: REC50-R32-001-P1
The decree expressly concerns electoral guarantees and public order for the territorial election. This is the government’s stated purpose, not independent evidence of necessity.</x:v>
      </x:c>
      <x:c r="H787" s="4" t="str">
        <x:v>REC50-R32-001-P1: This is a 22-hour ordered window, not a complete operational spell. The one-day calendar difference between the dates must not be described as more than 24 hours of observed closure. Force-majeure and unforeseen-emergency exceptions remain. The separate alcohol ban ends later and supplies no border endpoint.
scope; operational chronology; geography: The rule provides a schedule only. The longer alcohol prohibition is distinct, and the possible later electoral runoff does not create another border phase.</x:v>
      </x:c>
      <x:c r="I787" s="4" t="str">
        <x:v>Targeted source review (REC50-R44); completed with unresolved evidence; evidence limits retained.</x:v>
      </x:c>
      <x:c r="J787" s="18" t="d">
        <x:v>2026-10-25T00:00:00.000Z</x:v>
      </x:c>
      <x:c r="K787" s="21" t="str">
        <x:f>IFERROR(HYPERLINK("https://www.registraduria.gov.co/IMG/pdf/20231024_decreto-1702_2023.pdf","Colombian national government / Registraduria official PDF"),"Colombian national government / Registraduria official PDF")</x:f>
        <x:v>Colombian national government / Registraduria official PDF</x:v>
      </x:c>
      <x:c r="L787" s="21" t="str">
        <x:f>IFERROR(HYPERLINK("https://www.mininterior.gov.co/noticias/gobierno-nacional-expide-decreto-de-garantias-electorales-y-de-orden-publico-en-el-pais-durante-las-elecciones-territoriales-de-2023/","Colombia Ministry of the Interior"),"Colombia Ministry of the Interior")</x:f>
        <x:v>Colombia Ministry of the Interior</x:v>
      </x:c>
      <x:c r="M787" s="21" t="str">
        <x:f>IFERROR(HYPERLINK("https://www.eluniverso.com/noticias/ecuador/colombia-suspendera-la-movilidad-por-el-puente-internacional-de-rumichaca-el-fin-de-semana-por-elecciones-nota/?outputType=amp","El Universo"),"El Universo")</x:f>
        <x:v>El Universo</x:v>
      </x:c>
      <x:c r="N787" s="4" t="str">
        <x:v>https://www.registraduria.gov.co/IMG/pdf/20231024_decreto-1702_2023.pdf
https://www.mininterior.gov.co/noticias/gobierno-nacional-expide-decreto-de-garantias-electorales-y-de-orden-publico-en-el-pais-durante-las-elecciones-territoriales-de-2023/
https://www.eluniverso.com/noticias/ecuador/colombia-suspendera-la-movilidad-por-el-puente-internacional-de-rumichaca-el-fin-de-semana-por-elecciones-nota/?outputType=amp
https://www.radioipiales.co/2023/10/cierre-de-la-frontera-desde-el-sabado-2/</x:v>
      </x:c>
      <x:c r="O787" s="4" t="str">
        <x:v>Source 1: full text
Source 2: indexed extract
Source 3: full text</x:v>
      </x:c>
      <x:c r="P787" s="20" t="n">
        <x:v>1</x:v>
      </x:c>
      <x:c r="Q787" s="4" t="str">
        <x:v>Americas</x:v>
      </x:c>
      <x:c r="R787" s="4" t="str">
        <x:v>Included</x:v>
      </x:c>
    </x:row>
    <x:row r="788" ht="102" hidden="0" customHeight="1">
      <x:c r="A788" s="16" t="str">
        <x:v>REC50-R32-002</x:v>
      </x:c>
      <x:c r="B788" s="4" t="str">
        <x:v>Venezuela–Colombia election restriction and San Antonio return, May 2025</x:v>
      </x:c>
      <x:c r="C788" s="4" t="str">
        <x:v>Venezuela; Colombia</x:v>
      </x:c>
      <x:c r="D788" s="4" t="str">
        <x:v>San Antonio principal customs access; bridge identity is not independently resolved from the body of the reopening report
Venezuelan side of the Colombia frontier; the complete operational phase is limited to the reported San Antonio customs access.</x:v>
      </x:c>
      <x:c r="E788" s="4" t="str">
        <x:v>Ordinary pedestrians and vehicles at the reported access
Direction: Frontier passage with separate directional clocks not established; Colombia’s own offices remained open
Exceptions: Humanitarian corridor remained available; no universal passenger or freight exclusion is inferred</x:v>
      </x:c>
      <x:c r="F788" s="4" t="str">
        <x:v>REC50-R32-002-P1 — Observed operation
Ordinary pedestrian and vehicle passage at San Antonio’s principal customs access on the Venezuela–Colombia frontier during the May 2025 election restriction.
Start: 2025-05-23.
Observed scoped reopening: 2025-05-27.
4 calendar-day difference; scoped endpoint only</x:v>
      </x:c>
      <x:c r="G788" s="4" t="str">
        <x:v>Electoral politics / Election administration and security
Attributed official justification
Applies to: REC50-R32-002-P1
Migración Colombia attributes the Venezuelan closure instruction to the 25 May electoral process. No unverified threat or conspiracy allegation is added.</x:v>
      </x:c>
      <x:c r="H788" s="4" t="str">
        <x:v>REC50-R32-002-P1: Four calendar days to a scoped reported return, not 96 measured hours or proof that every frontier gate and traffic class stopped. The announced rule expired at 23:59 on 26 May; ordinary morning opening may explain the 27 May return, so a legal extension is not inferred. Humanitarian movements remain exceptions. No Brazil-frontier interval is assigned.
scope; operational chronology; geography: The policy expiry late on 26 May is not the operational endpoint. Morning return on 27 May does not prove the rule was legally extended. Other posts, goods cohorts and the Brazil frontier require their own evidence.</x:v>
      </x:c>
      <x:c r="I788" s="4" t="str">
        <x:v>New-record source research (REC50-R32); accepted addition; evidence limits retained.</x:v>
      </x:c>
      <x:c r="J788" s="18" t="d">
        <x:v>2026-10-25T00:00:00.000Z</x:v>
      </x:c>
      <x:c r="K788" s="21" t="str">
        <x:f>IFERROR(HYPERLINK("https://portal.migracioncolombia.gov.co/detalle-noticia?cHash=4efdf873d9743b33889a669da35a023f&amp;tx_news_pi1%5Baction%5D=detail&amp;tx_news_pi1%5Bcontroller%5D=News&amp;tx_news_pi1%5Bnews%5D=279","Migración Colombia"),"Migración Colombia")</x:f>
        <x:v>Migración Colombia</x:v>
      </x:c>
      <x:c r="L788" s="21" t="str">
        <x:f>IFERROR(HYPERLINK("https://primicia.com.ve/nacion/reabren-frontera-entre-venezuela-y-colombia/","Primicia / Diario La Nación"),"Primicia / Diario La Nación")</x:f>
        <x:v>Primicia / Diario La Nación</x:v>
      </x:c>
      <x:c r="M788" s="21"/>
      <x:c r="N788" s="4" t="str">
        <x:v>https://portal.migracioncolombia.gov.co/detalle-noticia?cHash=4efdf873d9743b33889a669da35a023f&amp;tx_news_pi1%5Baction%5D=detail&amp;tx_news_pi1%5Bcontroller%5D=News&amp;tx_news_pi1%5Bnews%5D=279
https://primicia.com.ve/nacion/reabren-frontera-entre-venezuela-y-colombia/</x:v>
      </x:c>
      <x:c r="O788" s="4" t="str">
        <x:v>Source 1: full text
Source 2: full text</x:v>
      </x:c>
      <x:c r="P788" s="20" t="n">
        <x:v>1</x:v>
      </x:c>
      <x:c r="Q788" s="4" t="str">
        <x:v>Americas</x:v>
      </x:c>
      <x:c r="R788" s="4" t="str">
        <x:v>Included</x:v>
      </x:c>
    </x:row>
    <x:row r="789" ht="162" hidden="0" customHeight="1">
      <x:c r="A789" s="16" t="str">
        <x:v>REC50-R32-003</x:v>
      </x:c>
      <x:c r="B789" s="4" t="str">
        <x:v>Venezuela–Colombia municipal-election restriction at San Antonio, July 2025</x:v>
      </x:c>
      <x:c r="C789" s="4" t="str">
        <x:v>Venezuela; Colombia</x:v>
      </x:c>
      <x:c r="D789" s="4" t="str">
        <x:v>San Antonio del Táchira customs / Simón Bolívar bridge towards La Parada, Colombia
Venezuelan-side San Antonio customs access to Simón Bolívar bridge; wider named-bridge reporting is retained without transferring the local operational evidence to every gate.</x:v>
      </x:c>
      <x:c r="E789" s="4" t="str">
        <x:v>Ordinary pedestrian and vehicle passage at the San Antonio customs access to Simón Bolívar bridge; medical, ambulance and repatriation passage excepted
Direction: Passage through the Venezuelan-side gate; no independently separated arrival/departure first-passage clocks
Exceptions: Medical patients towards Colombia, ambulance transfer and coffin repatriation are documented; a complete list of all legal exceptions is not established.</x:v>
      </x:c>
      <x:c r="F789" s="4" t="str">
        <x:v>REC50-R32-003-P1 — Observed operation
San Antonio customs access to Simón Bolívar bridge between Venezuela and Colombia; ordinary pedestrians and vehicles, excluding documented humanitarian passage.
Start: 2025-07-26.
Observed scoped reopening: 2025-07-28.
2 calendar-day difference; scoped endpoint only</x:v>
      </x:c>
      <x:c r="G789" s="4" t="str">
        <x:v>Electoral politics / Election administration and security
Attributed official justification
Applies to: REC50-R32-003-P1
The readable gazette summary gives electoral and popular-consultation security as the official purpose. It does not prove the operational necessity or that every post was closed.</x:v>
      </x:c>
      <x:c r="H789" s="4" t="str">
        <x:v>REC50-R32-003-P1: The earlier 25–28 July instruction concerned strict controls. Local reporting supports ordinary passage being restricted on 26–27 July and returning on 28 July at San Antonio. The two-calendar-day difference is not a measurement of 48 elapsed hours. Medical passage, ambulance transfers and repatriation remained possible. Broader Friday-onset and Monday-night accounts are preserved as conflicting general reports and are not the chronology of this narrowed phase. Other gates, cargo-specific permission and Brazil require separate evidence; geographic coordinates remain unapproved.
scope; operational chronology; geography: The earlier 25–28 July instruction concerned strict controls. Local reporting supports ordinary passage being restricted on 26–27 July and returning on 28 July at San Antonio. The two-calendar-day difference is not a measurement of 48 elapsed hours. Medical passage, ambulance transfers and repatriation remained possible. Broader Friday-onset and Monday-night accounts are preserved as conflicting general reports and are not the chronology of this narrowed phase. Other gates, cargo-specific permission and Brazil require separate evidence; geographic coordinates remain unapproved.</x:v>
      </x:c>
      <x:c r="I789" s="4" t="str">
        <x:v>New-record source research (REC50-R32); accepted addition; evidence limits retained.</x:v>
      </x:c>
      <x:c r="J789" s="18" t="d">
        <x:v>2026-10-25T00:00:00.000Z</x:v>
      </x:c>
      <x:c r="K789" s="21" t="str">
        <x:f>IFERROR(HYPERLINK("https://dateas.s3.eu-west-2.amazonaws.com/gaceta-oficial-venezuela-extraordinario/2025/07/gaceta-oficial-venezuela-extraordinario-2025-07-23.pdf","Venezuelan official gazette; third-party copy hosted by Dateas"),"Venezuelan official gazette; third-party copy hosted by Dateas")</x:f>
        <x:v>Venezuelan official gazette; third-party copy hosted by Dateas</x:v>
      </x:c>
      <x:c r="L789" s="21" t="str">
        <x:f>IFERROR(HYPERLINK("https://caracol.com.co/2025/07/24/gobierno-de-venezuela-anuncio-el-cierre-de-frontera-a-partir-de-este-viernes/","Caracol Radio"),"Caracol Radio")</x:f>
        <x:v>Caracol Radio</x:v>
      </x:c>
      <x:c r="M789" s="21" t="str">
        <x:f>IFERROR(HYPERLINK("https://ciudadmcy.info.ve/reabierta-frontera-colombo-venezolana-tras-elecciones-municipales","Ciudad MCY / VTV"),"Ciudad MCY / VTV")</x:f>
        <x:v>Ciudad MCY / VTV</x:v>
      </x:c>
      <x:c r="N789" s="4" t="str">
        <x:v>https://dateas.s3.eu-west-2.amazonaws.com/gaceta-oficial-venezuela-extraordinario/2025/07/gaceta-oficial-venezuela-extraordinario-2025-07-23.pdf
https://caracol.com.co/2025/07/24/gobierno-de-venezuela-anuncio-el-cierre-de-frontera-a-partir-de-este-viernes/
https://ciudadmcy.info.ve/reabierta-frontera-colombo-venezolana-tras-elecciones-municipales
https://www.semana.com/nacion/cucuta/articulo/venezuela-reabre-frontera-con-colombia-tras-cierre-temporal-por-elecciones-municipales/202512/
https://fronteradigital.com.ve/index.php/entrada/61787
https://www.el-carabobeno.com/reabierta-la-frontera-en-el-estado-tachira-tras-48-horas-por-elecciones-municipales/
https://eldiario.com/2025/07/25/control-fronteras-de-venezuela-elecciones-municipales/
https://fronteraysociedad.org/120-pacientes-un-trasbordo-y-una-repatriacion-por-el-canal-humanitario-habilitado-por-venezuela-tras-el-cierre-de-frontera-por-las-elecciones-municipales/</x:v>
      </x:c>
      <x:c r="O789" s="4" t="str">
        <x:v>Source 1: partial metadata
Source 2: full text
Source 3: full text</x:v>
      </x:c>
      <x:c r="P789" s="20" t="n">
        <x:v>1</x:v>
      </x:c>
      <x:c r="Q789" s="4" t="str">
        <x:v>Americas</x:v>
      </x:c>
      <x:c r="R789" s="4" t="str">
        <x:v>Included</x:v>
      </x:c>
    </x:row>
    <x:row r="790" ht="90" hidden="0" customHeight="1">
      <x:c r="A790" s="16" t="str">
        <x:v>REC50-R33-001</x:v>
      </x:c>
      <x:c r="B790" s="4" t="str">
        <x:v>Sonamasjid freight holiday for Durga Puja, September–October 2022</x:v>
      </x:c>
      <x:c r="C790" s="4" t="str">
        <x:v>Bangladesh; India</x:v>
      </x:c>
      <x:c r="D790" s="4" t="str">
        <x:v>Sonamasjid</x:v>
      </x:c>
      <x:c r="E790" s="4" t="str">
        <x:v>Import/export freight; observed India-to-Bangladesh truck return
Direction: Both directions for the specified freight; see each phase for any narrower scope.
Exceptions: Internal loading and unloading of imported goods continued; passenger treatment not established.</x:v>
      </x:c>
      <x:c r="F790" s="4" t="str">
        <x:v>REC50-R33-001-P1 — Observed operation
Cross-border goods interchange through Sonamasjid during the local Puja holiday
Start: 2022-09-30.
Observed scoped reopening: 2022-10-08.
8 calendar-day difference; scoped endpoint only</x:v>
      </x:c>
      <x:c r="G790" s="4" t="str">
        <x:v>Administration and service operation / Temporary service suspension
Named C&amp;F official attributes the freight halt to Puja and weekly holidays.
Applies to: Only the specified phase and named local decision.
Reported reasons are attributed; no motive inferred from the wider regional context.</x:v>
      </x:c>
      <x:c r="H790" s="4" t="str">
        <x:v>REC50-R33-001-P1: Eight calendar-date differences for bilateral freight interchange; internal loading/unloading continued and passenger closure is not established. UNB advance and return reports share the same named C&amp;F official. No measured-hour precision or geometry is claimed.
scope; continuity; endpoint; geography: Eight calendar-date differences for bilateral freight interchange; internal loading/unloading continued and passenger closure is not established. UNB advance and return reports share the same named C&amp;F official. No measured-hour precision or geometry is claimed.</x:v>
      </x:c>
      <x:c r="I790" s="4" t="str">
        <x:v>Full-record source audit (REC50-R50); retained with recorded qualifications; evidence limits retained.</x:v>
      </x:c>
      <x:c r="J790" s="18" t="d">
        <x:v>2026-10-25T00:00:00.000Z</x:v>
      </x:c>
      <x:c r="K790" s="21" t="str">
        <x:f>IFERROR(HYPERLINK("https://www.unb.com.bd/category/Bangladesh/trade-via-sonamasjid-land-port-resumes/102129","United News of Bangladesh"),"United News of Bangladesh")</x:f>
        <x:v>United News of Bangladesh</x:v>
      </x:c>
      <x:c r="L790" s="21" t="str">
        <x:f>IFERROR(HYPERLINK("https://unb.com.bd/category/bangladesh/trade-via-sonamasjid-land-port-to-remain-suspended-for-8-days/101642","United News of Bangladesh"),"United News of Bangladesh")</x:f>
        <x:v>United News of Bangladesh</x:v>
      </x:c>
      <x:c r="M790" s="21"/>
      <x:c r="N790" s="4" t="str">
        <x:v>https://www.unb.com.bd/category/Bangladesh/trade-via-sonamasjid-land-port-resumes/102129
https://unb.com.bd/category/bangladesh/trade-via-sonamasjid-land-port-to-remain-suspended-for-8-days/101642</x:v>
      </x:c>
      <x:c r="O790" s="4" t="str">
        <x:v>Source 1: full text
Source 2: full text</x:v>
      </x:c>
      <x:c r="P790" s="20" t="n">
        <x:v>1</x:v>
      </x:c>
      <x:c r="Q790" s="4" t="str">
        <x:v>South Asia</x:v>
      </x:c>
      <x:c r="R790" s="4" t="str">
        <x:v>Included</x:v>
      </x:c>
    </x:row>
    <x:row r="791" ht="114" hidden="0" customHeight="1">
      <x:c r="A791" s="16" t="str">
        <x:v>REC50-R33-002</x:v>
      </x:c>
      <x:c r="B791" s="4" t="str">
        <x:v>Hili freight holiday for Durga Puja, September–October 2022</x:v>
      </x:c>
      <x:c r="C791" s="4" t="str">
        <x:v>Bangladesh; India</x:v>
      </x:c>
      <x:c r="D791" s="4" t="str">
        <x:v>Hili</x:v>
      </x:c>
      <x:c r="E791" s="4" t="str">
        <x:v>Import/export freight
Direction: Both directions for the specified freight; see each phase for any narrower scope.
Exceptions: Passport-visa immigration remained normal throughout.</x:v>
      </x:c>
      <x:c r="F791" s="4" t="str">
        <x:v>REC50-R33-002-P1 — Observed operation
Bilateral goods interchange at Hili during the local Puja holiday
Start: 2022-09-30.
Observed scoped reopening: 2022-10-08.
8 calendar-day difference; scoped endpoint only</x:v>
      </x:c>
      <x:c r="G791" s="4" t="str">
        <x:v>Administration and service operation / Temporary service suspension
C&amp;F and customs officials attribute the halt to Puja and weekly holidays.
Applies to: Only the specified phase and named local decision.
Reported reasons are attributed; no motive inferred from the wider regional context.</x:v>
      </x:c>
      <x:c r="H791" s="4" t="str">
        <x:v>REC50-R33-002-P1: Eight calendar-date differences for freight only; immigration continued normally. RisingBD advance wording gives 29 September, contrary to both the 30 September contemporaneous report and explicit retrospective BSS 30 September–7 October dates; the latter pair supports the adopted onset. Shared officials are not independent confirmations.
scope; continuity; endpoint; geography: Eight calendar-date differences for freight only; immigration continued normally. RisingBD advance wording gives 29 September, contrary to both the 30 September contemporaneous report and explicit retrospective BSS 30 September–7 October dates; the latter pair supports the adopted onset. Shared officials are not independent confirmations.</x:v>
      </x:c>
      <x:c r="I791" s="4" t="str">
        <x:v>New-record source research (REC50-R33); accepted addition; evidence limits retained.</x:v>
      </x:c>
      <x:c r="J791" s="18" t="d">
        <x:v>2026-10-25T00:00:00.000Z</x:v>
      </x:c>
      <x:c r="K791" s="21" t="str">
        <x:f>IFERROR(HYPERLINK("https://www.unb.com.bd/category/Bangladesh/durga-puja-hili-land-port-closes-for-trade-till-oct-8/101718","United News of Bangladesh"),"United News of Bangladesh")</x:f>
        <x:v>United News of Bangladesh</x:v>
      </x:c>
      <x:c r="L791" s="21" t="str">
        <x:f>IFERROR(HYPERLINK("https://www.bssnews.net/news/86846","Bangladesh Sangbad Sangstha"),"Bangladesh Sangbad Sangstha")</x:f>
        <x:v>Bangladesh Sangbad Sangstha</x:v>
      </x:c>
      <x:c r="M791" s="21" t="str">
        <x:f>IFERROR(HYPERLINK("https://www.risingbd.com/english/country/news/89860","RisingBD"),"RisingBD")</x:f>
        <x:v>RisingBD</x:v>
      </x:c>
      <x:c r="N791" s="4" t="str">
        <x:v>https://www.unb.com.bd/category/Bangladesh/durga-puja-hili-land-port-closes-for-trade-till-oct-8/101718
https://www.bssnews.net/news/86846
https://www.risingbd.com/english/country/news/89860</x:v>
      </x:c>
      <x:c r="O791" s="4" t="str">
        <x:v>Source 1: full text
Source 2: full text
Source 3: full text</x:v>
      </x:c>
      <x:c r="P791" s="20" t="n">
        <x:v>1</x:v>
      </x:c>
      <x:c r="Q791" s="4" t="str">
        <x:v>South Asia</x:v>
      </x:c>
      <x:c r="R791" s="4" t="str">
        <x:v>Included</x:v>
      </x:c>
    </x:row>
    <x:row r="792" ht="162" hidden="0" customHeight="1">
      <x:c r="A792" s="16" t="str">
        <x:v>REC50-R33-003</x:v>
      </x:c>
      <x:c r="B792" s="4" t="str">
        <x:v>Banglabandha–Phulbari freight holiday and observed restoration, September–October 2022</x:v>
      </x:c>
      <x:c r="C792" s="4" t="str">
        <x:v>Bangladesh; India</x:v>
      </x:c>
      <x:c r="D792" s="4" t="str">
        <x:v>Banglabandha / Phulbari</x:v>
      </x:c>
      <x:c r="E792" s="4" t="str">
        <x:v>Import/export freight including onward Nepal and Bhutan trade
Direction: Both directions for the specified freight; see each phase for any narrower scope.
Exceptions: Traveller movement in both directions continued.</x:v>
      </x:c>
      <x:c r="F792" s="4" t="str">
        <x:v>REC50-R33-003-P1 — Announced window
Freight exchange through Banglabandha–Phulbari under the local trader holiday arrangement
Start: 2022-09-30.
Scheduled endpoint: 2022-10-10.
Ordered window: 10 calendar-day difference; actual end not established
REC50-R44-BANGLABANDHA-P1 — Observed operation
Banglabandha–Phulbari freight interchange during the September–October 2022 holiday
Start: 2022-09-30.
Observed scoped reopening: 2022-10-10.
10 calendar-day difference; scoped endpoint only</x:v>
      </x:c>
      <x:c r="G792" s="4" t="str">
        <x:v>Administration and service operation / Temporary service suspension
Named trader groups and port officials attribute the arrangement to Puja and Eid-e-Miladunnabi.
Applies to: REC50-R33-003-P1 and REC50-R44-BANGLABANDHA-P1; overlapping schedule and operational evidence for the same episode, not additive durations.
Reported reasons are attributed; no motive inferred from the wider regional context.</x:v>
      </x:c>
      <x:c r="H792" s="4" t="str">
        <x:v>REC50-R33-003-P1: The original September 30–October 10 schedule is retained. A local October 10 report now confirms completed morning freight restart after September 30–October 9 interruption, supporting a linked ten-calendar-day operational phase. The advance eleven-day shorthand remains conflicting; passengers continued and Nepal/Bhutan remain onward trading partners.
REC50-R44-BANGLABANDHA-P1: Ten calendar-date differences, not measured hours. The actual-return account dates the holiday September 30–October 9 and restart October 10; advance eleven-day wording is not adopted. Travellers continued. Onward Nepal/Bhutan trade does not create additional adjoining boundaries.
scope; continuity; endpoint; geography: Freight return on October 10 is supported by a substantive local report. Exact first-vehicle clocks, a fully separate official archive and reviewed geography remain unresolved; the advance eleven-day shorthand is preserved as a source discrepancy.</x:v>
      </x:c>
      <x:c r="I792" s="4" t="str">
        <x:v>Targeted source review (REC50-R44); accepted corrections; evidence limits retained.</x:v>
      </x:c>
      <x:c r="J792" s="18" t="d">
        <x:v>2026-10-25T00:00:00.000Z</x:v>
      </x:c>
      <x:c r="K792" s="21" t="str">
        <x:f>IFERROR(HYPERLINK("https://www.dhakatribune.com/bangladesh/295032/trade-via-banglabandha-land-port-to-remain","Dhaka Tribune / UNB"),"Dhaka Tribune / UNB")</x:f>
        <x:v>Dhaka Tribune / UNB</x:v>
      </x:c>
      <x:c r="L792" s="21" t="str">
        <x:f>IFERROR(HYPERLINK("https://www.thedailystar.net/business/news/trade-banglabandha-land-port-remain-suspended-11-days-3131951","The Daily Star"),"The Daily Star")</x:f>
        <x:v>The Daily Star</x:v>
      </x:c>
      <x:c r="M792" s="21" t="str">
        <x:f>IFERROR(HYPERLINK("https://www.ajkerpatrika.com/bangladesh/panchagarh/ajpeld1usxcrl","Ajker Patrika"),"Ajker Patrika")</x:f>
        <x:v>Ajker Patrika</x:v>
      </x:c>
      <x:c r="N792" s="4" t="str">
        <x:v>https://www.dhakatribune.com/bangladesh/295032/trade-via-banglabandha-land-port-to-remain
https://www.thedailystar.net/business/news/trade-banglabandha-land-port-remain-suspended-11-days-3131951
https://www.ajkerpatrika.com/bangladesh/panchagarh/ajpeld1usxcrl
https://online-bn.thedailystar.net/news/bangladesh/news-402816</x:v>
      </x:c>
      <x:c r="O792" s="4" t="str">
        <x:v>Source 1: full text
Source 2: full text
Source 3: full text</x:v>
      </x:c>
      <x:c r="P792" s="20" t="n">
        <x:v>2</x:v>
      </x:c>
      <x:c r="Q792" s="4" t="str">
        <x:v>South Asia</x:v>
      </x:c>
      <x:c r="R792" s="4" t="str">
        <x:v>Included</x:v>
      </x:c>
    </x:row>
    <x:row r="793" ht="90" hidden="0" customHeight="1">
      <x:c r="A793" s="16" t="str">
        <x:v>REC50-R33-004</x:v>
      </x:c>
      <x:c r="B793" s="4" t="str">
        <x:v>Benapole–Petrapole announced freight holiday for Durga Puja, October 2022</x:v>
      </x:c>
      <x:c r="C793" s="4" t="str">
        <x:v>Bangladesh; India</x:v>
      </x:c>
      <x:c r="D793" s="4" t="str">
        <x:v>Benapole / Petrapole</x:v>
      </x:c>
      <x:c r="E793" s="4" t="str">
        <x:v>Import/export freight
Direction: Both directions for the specified freight; see each phase for any narrower scope.
Exceptions: Passenger immigration and unloading goods already inside the port continued.</x:v>
      </x:c>
      <x:c r="F793" s="4" t="str">
        <x:v>REC50-R33-004-P1 — Announced window
Cross-border goods interchange at Benapole–Petrapole under the October Puja holiday
Start: 2022-10-02.
Scheduled endpoint: 2022-10-06.
Ordered window: 4 calendar-day difference; actual end not established</x:v>
      </x:c>
      <x:c r="G793" s="4" t="str">
        <x:v>Administration and service operation / Temporary service suspension
Petrapole C&amp;F official attributes the halt to Durga Puja vacation.
Applies to: Only the specified phase and named local decision.
Reported reasons are attributed; no motive inferred from the wider regional context.</x:v>
      </x:c>
      <x:c r="H793" s="4" t="str">
        <x:v>REC50-R33-004-P1: Trade suspension was observed on Sunday 2 October, but 6 October reopening was still prospective. Passenger movement and unloading previously imported goods continued. The planned four-day window is excluded from complete operational durations.
scope; continuity; endpoint; geography: Trade suspension was observed on Sunday 2 October, but 6 October reopening was still prospective. Passenger movement and unloading previously imported goods continued. The planned four-day window is excluded from complete operational durations.</x:v>
      </x:c>
      <x:c r="I793" s="4" t="str">
        <x:v>Targeted source review (REC50-R44); completed with unresolved evidence; evidence limits retained.</x:v>
      </x:c>
      <x:c r="J793" s="18" t="d">
        <x:v>2026-10-25T00:00:00.000Z</x:v>
      </x:c>
      <x:c r="K793" s="21" t="str">
        <x:f>IFERROR(HYPERLINK("https://www.dhakatribune.com/bangladesh/277674/durga-puja-holidays-trade-through-benapole-port","Dhaka Tribune / UNB-origin report"),"Dhaka Tribune / UNB-origin report")</x:f>
        <x:v>Dhaka Tribune / UNB-origin report</x:v>
      </x:c>
      <x:c r="L793" s="21" t="str">
        <x:f>IFERROR(HYPERLINK("https://unb.com.bd/category/bangladesh/durga-puja-holidays-trade-through-benapole-port-to-remain-suspended-till-oct-5/101810","United News of Bangladesh"),"United News of Bangladesh")</x:f>
        <x:v>United News of Bangladesh</x:v>
      </x:c>
      <x:c r="M793" s="21"/>
      <x:c r="N793" s="4" t="str">
        <x:v>https://www.dhakatribune.com/bangladesh/277674/durga-puja-holidays-trade-through-benapole-port
https://unb.com.bd/category/bangladesh/durga-puja-holidays-trade-through-benapole-port-to-remain-suspended-till-oct-5/101810</x:v>
      </x:c>
      <x:c r="O793" s="4" t="str">
        <x:v>Source 1: full text
Source 2: indexed extract</x:v>
      </x:c>
      <x:c r="P793" s="20" t="n">
        <x:v>1</x:v>
      </x:c>
      <x:c r="Q793" s="4" t="str">
        <x:v>South Asia</x:v>
      </x:c>
      <x:c r="R793" s="4" t="str">
        <x:v>Included</x:v>
      </x:c>
    </x:row>
    <x:row r="794" ht="90" hidden="0" customHeight="1">
      <x:c r="A794" s="16" t="str">
        <x:v>REC50-R33-005</x:v>
      </x:c>
      <x:c r="B794" s="4" t="str">
        <x:v>Jamunaha election closure order, February 2022</x:v>
      </x:c>
      <x:c r="C794" s="4" t="str">
        <x:v>Nepal; India</x:v>
      </x:c>
      <x:c r="D794" s="4" t="str">
        <x:v>Jamunaha</x:v>
      </x:c>
      <x:c r="E794" s="4" t="str">
        <x:v>Human and vehicle passage
Direction: Cross-border directions not separately specified
Exceptions: Not established in the inspected announcement.</x:v>
      </x:c>
      <x:c r="F794" s="4" t="str">
        <x:v>REC50-R33-005-P1 — Announced window
Jamunaha border point in Nepalgunj during the Uttar Pradesh assembly election window
Start: 2022-02-25.
Scheduled endpoint: 2022-02-28.
Ordered window: 3 calendar-day difference; actual end not established</x:v>
      </x:c>
      <x:c r="G794" s="4" t="str">
        <x:v>Electoral politics / Election administration and security
Banke police superintendent explicitly links the order to Uttar Pradesh assembly polls.
Applies to: Only the specified phase and named local decision.
Reported reasons are attributed; no motive inferred from the wider regional context.</x:v>
      </x:c>
      <x:c r="H794" s="4" t="str">
        <x:v>REC50-R33-005-P1: The police announcement sets a 60-hour window, 25 February 18:00 to 28 February 06:00. Three calendar-date differences do not establish three 24-hour blocks. Actual implementation, exceptions and reopening were not independently observed in this bounded review.
scope; continuity; endpoint; geography: The police announcement sets a 60-hour window, 25 February 18:00 to 28 February 06:00. Three calendar-date differences do not establish three 24-hour blocks. Actual implementation, exceptions and reopening were not independently observed in this bounded review.</x:v>
      </x:c>
      <x:c r="I794" s="4" t="str">
        <x:v>Targeted source review (REC50-R44); completed with unresolved evidence; evidence limits retained.</x:v>
      </x:c>
      <x:c r="J794" s="18" t="d">
        <x:v>2026-10-25T00:00:00.000Z</x:v>
      </x:c>
      <x:c r="K794" s="21" t="str">
        <x:f>IFERROR(HYPERLINK("https://english.khabarhub.com/2022/25/238818/","Khabarhub"),"Khabarhub")</x:f>
        <x:v>Khabarhub</x:v>
      </x:c>
      <x:c r="L794" s="21" t="str">
        <x:f>IFERROR(HYPERLINK("https://beta.gorkhapatraonline.com/arts/2022-02-24-58528","Gorkhapatra"),"Gorkhapatra")</x:f>
        <x:v>Gorkhapatra</x:v>
      </x:c>
      <x:c r="M794" s="21"/>
      <x:c r="N794" s="4" t="str">
        <x:v>https://english.khabarhub.com/2022/25/238818/
https://beta.gorkhapatraonline.com/arts/2022-02-24-58528</x:v>
      </x:c>
      <x:c r="O794" s="4" t="str">
        <x:v>Source 1: full text
Source 2: indexed extract</x:v>
      </x:c>
      <x:c r="P794" s="20" t="n">
        <x:v>1</x:v>
      </x:c>
      <x:c r="Q794" s="4" t="str">
        <x:v>South Asia</x:v>
      </x:c>
      <x:c r="R794" s="4" t="str">
        <x:v>Included</x:v>
      </x:c>
    </x:row>
    <x:row r="795" ht="198" hidden="0" customHeight="1">
      <x:c r="A795" s="16" t="str">
        <x:v>REC50-R33-006</x:v>
      </x:c>
      <x:c r="B795" s="4" t="str">
        <x:v>Benapole–Petrapole election and holiday restrictions, May 2024</x:v>
      </x:c>
      <x:c r="C795" s="4" t="str">
        <x:v>Bangladesh; India</x:v>
      </x:c>
      <x:c r="D795" s="4" t="str">
        <x:v>Benapole / Petrapole</x:v>
      </x:c>
      <x:c r="E795" s="4" t="str">
        <x:v>Freight and ordinary Bangladeshi passenger entry into India, separately phased
Direction: Both directions for the specified freight; see each phase for any narrower scope.
Exceptions: Medical/emergency passengers and returning Indian nationals excepted from the passenger ban.</x:v>
      </x:c>
      <x:c r="F795" s="4" t="str">
        <x:v>REC50-R33-006-P1 — Observed operation
Bilateral import/export freight through Benapole–Petrapole over the election/public-holiday shutdown
Start: 2024-05-18.
Observed scoped reopening: 2024-05-23.
5 calendar-day difference; scoped endpoint only
REC50-R33-006-P2 — Announced window
Restricted entry into India of ordinary Bangladeshi passport holders through Benapole–Petrapole
Start: 2024-05-17 to 2024-05-18.
Scheduled endpoint: 2024-05-21.
Contested: Ordered window: dated evidence; numeric duration withheld; see qualification
Held evidence: excluded from numeric duration and animation displays.</x:v>
      </x:c>
      <x:c r="G795" s="4" t="str">
        <x:v>Electoral politics / Election administration and security
Named immigration and C&amp;F officials link different restrictions to Lok Sabha and Bangladesh local elections.
Applies to: Only the specified phase and named local decision.
Reported reasons are attributed; no motive inferred from the wider regional context.
Administration and service operation / Temporary service suspension
C&amp;F vice president names the Buddha Purnima public holiday among freight-halt reasons.
Applies to: Only the specified phase and named local decision.
Reported reasons are attributed; no motive inferred from the wider regional context.</x:v>
      </x:c>
      <x:c r="H795" s="4" t="str">
        <x:v>REC50-R33-006-P1: Five calendar-date differences; no measured-hour precision. The report’s separate passenger dates do not define this freight interval.
REC50-R33-006-P2: Passenger timing remains disputed: May 18 reporting describes onset that day; other accounts give May 17 at 18:00. May 21 return was scheduled. Dhaka Times on May 23 says normal passenger travel had resumed that morning and the ban was lifted that Thursday, but also calls it a three-day restriction. That inconsistent report establishes later open status, not a safe first-return date or six-day continuous ban. Medical/emergency travellers and returning Indians were exceptions; freight’s May 23 endpoint is not transferred.
scope; continuity; endpoint; geography: Passenger timing remains disputed: May 18 reporting describes onset that day; other accounts give May 17 at 18:00. May 21 return was scheduled. Dhaka Times on May 23 says normal passenger travel had resumed that morning and the ban was lifted that Thursday, but also calls it a three-day restriction. That inconsistent report establishes later open status, not a safe first-return date or six-day continuous ban. Medical/emergency travellers and returning Indians were exceptions; freight’s May 23 endpoint is not transferred.</x:v>
      </x:c>
      <x:c r="I795" s="4" t="str">
        <x:v>Targeted source review (REC50-R44); accepted qualification; evidence limits retained.</x:v>
      </x:c>
      <x:c r="J795" s="18" t="d">
        <x:v>2026-10-25T00:00:00.000Z</x:v>
      </x:c>
      <x:c r="K795" s="21" t="str">
        <x:f>IFERROR(HYPERLINK("https://dailycountrytodaybd.com/story/petrapole-benapole-immigration-closed-for-three-days-due-to-election","Daily Country Today"),"Daily Country Today")</x:f>
        <x:v>Daily Country Today</x:v>
      </x:c>
      <x:c r="L795" s="21" t="str">
        <x:f>IFERROR(HYPERLINK("https://www.dhakatribune.com/bangladesh/347258/trade-with-india-through-benapole-resumes-after-5","Dhaka Tribune"),"Dhaka Tribune")</x:f>
        <x:v>Dhaka Tribune</x:v>
      </x:c>
      <x:c r="M795" s="21" t="str">
        <x:f>IFERROR(HYPERLINK("https://www.thedailystar.net/news/bangladesh/news/india-imposes-3-day-ban-bangladeshi-travellers-thru-benapole-3612726","The Daily Star"),"The Daily Star")</x:f>
        <x:v>The Daily Star</x:v>
      </x:c>
      <x:c r="N795" s="4" t="str">
        <x:v>https://dailycountrytodaybd.com/story/petrapole-benapole-immigration-closed-for-three-days-due-to-election
https://www.dhakatribune.com/bangladesh/347258/trade-with-india-through-benapole-resumes-after-5
https://www.thedailystar.net/news/bangladesh/news/india-imposes-3-day-ban-bangladeshi-travellers-thru-benapole-3612726
https://www.dhakatimes24.com/2024/05/23/354389
https://www.ajkerpatrika.com/bangladesh/jashore/ajpc333lli496</x:v>
      </x:c>
      <x:c r="O795" s="4" t="str">
        <x:v>Source 1: full text
Source 2: full text
Source 3: full text</x:v>
      </x:c>
      <x:c r="P795" s="20" t="n">
        <x:v>2</x:v>
      </x:c>
      <x:c r="Q795" s="4" t="str">
        <x:v>South Asia</x:v>
      </x:c>
      <x:c r="R795" s="4" t="str">
        <x:v>Included</x:v>
      </x:c>
    </x:row>
    <x:row r="796" ht="78" hidden="0" customHeight="1">
      <x:c r="A796" s="16" t="str">
        <x:v>REC50-R36-001</x:v>
      </x:c>
      <x:c r="B796" s="4" t="str">
        <x:v>Cameroon February 2020 legislative and municipal election land-border order</x:v>
      </x:c>
      <x:c r="C796" s="4" t="str">
        <x:v>Cameroon; Nigeria; Chad; Central African Republic; Republic of the Congo; Gabon; Equatorial Guinea</x:v>
      </x:c>
      <x:c r="D796" s="4" t="str">
        <x:v>Individual posts not identified
National land-border policy scope; no approved geometry</x:v>
      </x:c>
      <x:c r="E796" s="4" t="str">
        <x:v>Ordinary land-border movement
Direction: Entry and exit under national order
Exceptions: Exceptions have not been established for land passage unless explicitly stated in the phase.</x:v>
      </x:c>
      <x:c r="F796" s="4" t="str">
        <x:v>REC50-R36-001-P1 — Announced window
National land-border closure order; crossing-level operation not established
Start: 2020-02-07.
Scheduled endpoint: 2020-02-10.
Ordered window: 3 calendar-day difference; actual end not established</x:v>
      </x:c>
      <x:c r="G796" s="4" t="str">
        <x:v>Electoral politics / Election administration and security
Named ministry order as reported
Applies to: This ordered phase only
Election order is established; operational execution remains unverified.</x:v>
      </x:c>
      <x:c r="H796" s="4" t="str">
        <x:v>REC50-R36-001-P1: International flights are expressly exempted in the reported order. The February 8–9 domestic circulation ban is separate; no complete operational duration.
operational chronology; traffic scope; geography; source provenance: Actual implementation, affected traffic cohorts and post-specific reopening of the February 2020 election order remain unverified. International flights are expressly exempted; the domestic circulation ban is separate.</x:v>
      </x:c>
      <x:c r="I796" s="4" t="str">
        <x:v>Full-record source audit (REC50-R50); retained with recorded qualifications; evidence limits retained.</x:v>
      </x:c>
      <x:c r="J796" s="18" t="d">
        <x:v>2026-10-25T00:00:00.000Z</x:v>
      </x:c>
      <x:c r="K796" s="21" t="str">
        <x:f>IFERROR(HYPERLINK("https://www.xinhuanet.com/english/2020-02/08/c_138764561.htm","Xinhua"),"Xinhua")</x:f>
        <x:v>Xinhua</x:v>
      </x:c>
      <x:c r="L796" s="21"/>
      <x:c r="M796" s="21"/>
      <x:c r="N796" s="4" t="str">
        <x:v>https://www.xinhuanet.com/english/2020-02/08/c_138764561.htm</x:v>
      </x:c>
      <x:c r="O796" s="4" t="str">
        <x:v>Source 1: full text</x:v>
      </x:c>
      <x:c r="P796" s="20" t="n">
        <x:v>1</x:v>
      </x:c>
      <x:c r="Q796" s="4" t="str">
        <x:v>Southern and Central Africa</x:v>
      </x:c>
      <x:c r="R796" s="4" t="str">
        <x:v>Included</x:v>
      </x:c>
    </x:row>
    <x:row r="797" ht="114" hidden="0" customHeight="1">
      <x:c r="A797" s="16" t="str">
        <x:v>REC50-R36-002</x:v>
      </x:c>
      <x:c r="B797" s="4" t="str">
        <x:v>Cameroon October 2025 presidential-election land-border order</x:v>
      </x:c>
      <x:c r="C797" s="4" t="str">
        <x:v>Cameroon; Nigeria; Chad; Central African Republic; Republic of the Congo; Gabon; Equatorial Guinea</x:v>
      </x:c>
      <x:c r="D797" s="4" t="str">
        <x:v>Individual posts not identified
National land-border policy scope; no approved geometry</x:v>
      </x:c>
      <x:c r="E797" s="4" t="str">
        <x:v>Ordinary land-border movement
Direction: Entry and exit under national order
Exceptions: Exceptions have not been established for land passage unless explicitly stated in the phase.</x:v>
      </x:c>
      <x:c r="F797" s="4" t="str">
        <x:v>REC50-R36-002-P1 — Announced window
National land-border closure order; crossing-level operation not established
Start: 2025-10-10.
Scheduled endpoint: 2025-10-13.
Ordered window: 3 calendar-day difference; actual end not established</x:v>
      </x:c>
      <x:c r="G797" s="4" t="str">
        <x:v>Electoral politics / Election administration and security
Named ministry order as reported
Applies to: This ordered phase only
Election order is established; operational execution remains unverified.</x:v>
      </x:c>
      <x:c r="H797" s="4" t="str">
        <x:v>REC50-R36-002-P1: The 48/28-hour reporting discrepancy is retained; order text and another indexed report support the 48-hour schedule. No observed reopening; domestic transport exceptions do not automatically apply to the separate border article. The inspected order text is a user-uploaded Scribd reproduction; no official-host copy or signed-page image was independently verified.
operational chronology; traffic scope; geography; source provenance: Actual implementation, traffic cohorts and post-specific reopening of the October 2025 order remain unverified. The 48/28-hour discrepancy is retained, and the inspected order reproduction is an unauthenticated user upload. Domestic transport exceptions do not automatically apply to the separate border article.</x:v>
      </x:c>
      <x:c r="I797" s="4" t="str">
        <x:v>Full-record source audit (REC50-R45); retained with recorded qualifications; evidence limits retained.</x:v>
      </x:c>
      <x:c r="J797" s="18" t="d">
        <x:v>2026-10-25T00:00:00.000Z</x:v>
      </x:c>
      <x:c r="K797" s="21" t="str">
        <x:f>IFERROR(HYPERLINK("https://actucameroun.com/2025/10/10/presidentielle-2025-le-cameroun-ferme-ses-frontieres-48h-avant-le-scrutin/","Actu Cameroun"),"Actu Cameroun")</x:f>
        <x:v>Actu Cameroun</x:v>
      </x:c>
      <x:c r="L797" s="21" t="str">
        <x:f>IFERROR(HYPERLINK("https://www.scribd.com/document/931585252/Arrete-Du-Minat-10-10-2025","Scribd user upload"),"Scribd user upload")</x:f>
        <x:v>Scribd user upload</x:v>
      </x:c>
      <x:c r="M797" s="21" t="str">
        <x:f>IFERROR(HYPERLINK("https://www.lebledparle.com/scrutin-du-12-octobre-le-minat-verrouille-le-cameroun-pour-garantir-la-securite-electorale/","Le Bled Parle"),"Le Bled Parle")</x:f>
        <x:v>Le Bled Parle</x:v>
      </x:c>
      <x:c r="N797" s="4" t="str">
        <x:v>https://actucameroun.com/2025/10/10/presidentielle-2025-le-cameroun-ferme-ses-frontieres-48h-avant-le-scrutin/
https://www.scribd.com/document/931585252/Arrete-Du-Minat-10-10-2025
https://www.lebledparle.com/scrutin-du-12-octobre-le-minat-verrouille-le-cameroun-pour-garantir-la-securite-electorale/</x:v>
      </x:c>
      <x:c r="O797" s="4" t="str">
        <x:v>Source 1: full text
Source 2: full text
Source 3: indexed extract</x:v>
      </x:c>
      <x:c r="P797" s="20" t="n">
        <x:v>1</x:v>
      </x:c>
      <x:c r="Q797" s="4" t="str">
        <x:v>Southern and Central Africa</x:v>
      </x:c>
      <x:c r="R797" s="4" t="str">
        <x:v>Included</x:v>
      </x:c>
    </x:row>
    <x:row r="798" ht="78" hidden="0" customHeight="1">
      <x:c r="A798" s="16" t="str">
        <x:v>REC50-R36-003</x:v>
      </x:c>
      <x:c r="B798" s="4" t="str">
        <x:v>Republic of Congo July 2022 legislative and local election border order</x:v>
      </x:c>
      <x:c r="C798" s="4" t="str">
        <x:v>Republic of the Congo; Gabon; Cameroon; Central African Republic; Democratic Republic of the Congo; Angola</x:v>
      </x:c>
      <x:c r="D798" s="4" t="str">
        <x:v>Individual posts not identified
National land-border policy scope; no approved geometry</x:v>
      </x:c>
      <x:c r="E798" s="4" t="str">
        <x:v>Ordinary land-border movement
Direction: Entry and exit under national order
Exceptions: Exceptions have not been established for land passage unless explicitly stated in the phase.</x:v>
      </x:c>
      <x:c r="F798" s="4" t="str">
        <x:v>REC50-R36-003-P1 — Announced window
National land-border closure order; crossing-level operation not established
Start: 2022-07-10.
Scheduled endpoint: 2022-07-10.
Ordered window: 0 calendar-day difference; actual end not established</x:v>
      </x:c>
      <x:c r="G798" s="4" t="str">
        <x:v>Electoral politics / Election administration and security
Named ministry order as reported
Applies to: This ordered phase only
Election order is established; operational execution remains unverified.</x:v>
      </x:c>
      <x:c r="H798" s="4" t="str">
        <x:v>REC50-R36-003-P1: Twelve-hour ordered window; excluded from multi-day operational duration statistics. No extension to a different election round.
operational chronology; traffic scope; geography; source provenance: The July 2022 report establishes a twelve-hour ordered window only. Actual enforcement, affected traffic cohorts and return at particular crossing points are unverified; no extension to a different election round is established.</x:v>
      </x:c>
      <x:c r="I798" s="4" t="str">
        <x:v>New-record source research (REC50-R36); accepted addition; evidence limits retained.</x:v>
      </x:c>
      <x:c r="J798" s="18" t="d">
        <x:v>2026-10-25T00:00:00.000Z</x:v>
      </x:c>
      <x:c r="K798" s="21" t="str">
        <x:f>IFERROR(HYPERLINK("https://www.journaldebrazza.com/legislatives-et-locales-2022-les-frontieres-de-la-republique-du-congo-seront-fermees-ce-10-juillet-2022/","Journal de Brazza"),"Journal de Brazza")</x:f>
        <x:v>Journal de Brazza</x:v>
      </x:c>
      <x:c r="L798" s="21"/>
      <x:c r="M798" s="21"/>
      <x:c r="N798" s="4" t="str">
        <x:v>https://www.journaldebrazza.com/legislatives-et-locales-2022-les-frontieres-de-la-republique-du-congo-seront-fermees-ce-10-juillet-2022/</x:v>
      </x:c>
      <x:c r="O798" s="4" t="str">
        <x:v>Source 1: full text</x:v>
      </x:c>
      <x:c r="P798" s="20" t="n">
        <x:v>1</x:v>
      </x:c>
      <x:c r="Q798" s="4" t="str">
        <x:v>Southern and Central Africa</x:v>
      </x:c>
      <x:c r="R798" s="4" t="str">
        <x:v>Included</x:v>
      </x:c>
    </x:row>
    <x:row r="799" ht="102" hidden="0" customHeight="1">
      <x:c r="A799" s="16" t="str">
        <x:v>REC50-R36-004</x:v>
      </x:c>
      <x:c r="B799" s="4" t="str">
        <x:v>Cameroon movement restriction at Equatorial Guinea frontier during February 2023 fever outbreak</x:v>
      </x:c>
      <x:c r="C799" s="4" t="str">
        <x:v>Cameroon; Equatorial Guinea</x:v>
      </x:c>
      <x:c r="D799" s="4" t="str">
        <x:v>Not established; archival Kiossi photograph is not 2023 location evidence
Reported frontier movement restriction; precise extent unestablished</x:v>
      </x:c>
      <x:c r="E799" s="4" t="str">
        <x:v>Movement restriction; classes unspecified
Direction: Not separately established
Exceptions: Not established</x:v>
      </x:c>
      <x:c r="F799" s="4" t="str">
        <x:v>REC50-R36-004-P1 — Formal policy
Cameroonian restriction on movement along the Equatorial Guinea frontier; exact posts and traffic classes unestablished
Start: unknown.
Last confirmed: 2023-02-10. Reopening is not established.
Formal policy: dated evidence; numeric duration withheld; see qualification</x:v>
      </x:c>
      <x:c r="G799" s="4" t="str">
        <x:v>Health and biosecurity / Human disease control
Cameroon health ministry statement via Reuters
Applies to: Reported movement restriction only
Ministry-stated disease-importation concern, not an inferred motive.</x:v>
      </x:c>
      <x:c r="H799" s="4" t="str">
        <x:v>REC50-R36-004-P1: Restriction reported as imposed by February 10. Exact onset, duration, exceptions and lifting unestablished; neither all travel nor all named posts can be claimed closed. June outbreak termination would not prove border reopening.
operational chronology; traffic scope; geography; source provenance: The Cameroon–Equatorial Guinea fever restriction was reported by February 10, 2023, but exact onset, affected movement cohorts, named posts, exceptions and lifting remain unknown. An archival Kiossi photograph does not establish the affected post.</x:v>
      </x:c>
      <x:c r="I799" s="4" t="str">
        <x:v>Full-record source audit (REC50-R45); retained with recorded qualifications; evidence limits retained.</x:v>
      </x:c>
      <x:c r="J799" s="18" t="d">
        <x:v>2026-10-25T00:00:00.000Z</x:v>
      </x:c>
      <x:c r="K799" s="21" t="str">
        <x:f>IFERROR(HYPERLINK("https://www.voaafrica.com/a/cameroon-tightens-border-with-e-guinea-over-fever/6957119.html","Reuters / VOA Africa"),"Reuters / VOA Africa")</x:f>
        <x:v>Reuters / VOA Africa</x:v>
      </x:c>
      <x:c r="L799" s="21" t="str">
        <x:f>IFERROR(HYPERLINK("https://www.unmc.edu/healthsecurity/transmission/2023/02/14/cameroon-detects-two-suspected-cases-of-marburg-virus-near-eq-guinea/","Reuters / UNMC The Transmission"),"Reuters / UNMC The Transmission")</x:f>
        <x:v>Reuters / UNMC The Transmission</x:v>
      </x:c>
      <x:c r="M799" s="21"/>
      <x:c r="N799" s="4" t="str">
        <x:v>https://www.voaafrica.com/a/cameroon-tightens-border-with-e-guinea-over-fever/6957119.html
https://www.unmc.edu/healthsecurity/transmission/2023/02/14/cameroon-detects-two-suspected-cases-of-marburg-virus-near-eq-guinea/</x:v>
      </x:c>
      <x:c r="O799" s="4" t="str">
        <x:v>Source 1: full text
Source 2: indexed extract</x:v>
      </x:c>
      <x:c r="P799" s="20" t="n">
        <x:v>1</x:v>
      </x:c>
      <x:c r="Q799" s="4" t="str">
        <x:v>Southern and Central Africa</x:v>
      </x:c>
      <x:c r="R799" s="4" t="str">
        <x:v>Included</x:v>
      </x:c>
    </x:row>
    <x:row r="800" ht="102" hidden="0" customHeight="1">
      <x:c r="A800" s="16" t="str">
        <x:v>REC50-R38-001</x:v>
      </x:c>
      <x:c r="B800" s="4" t="str">
        <x:v>Erez additional passenger restriction, August 2018</x:v>
      </x:c>
      <x:c r="C800" s="4" t="str">
        <x:v>Israel; Palestine (Gaza)</x:v>
      </x:c>
      <x:c r="D800" s="4" t="str">
        <x:v>Erez / Beit Hanoun
Named Erez passenger terminal; no all-Gaza border inference</x:v>
      </x:c>
      <x:c r="E800" s="4" t="str">
        <x:v>Non-exempt eligible passengers; urgent medical and international-humanitarian exceptions excluded
Direction: Passenger passage through Erez; equal observed traffic by direction is not established
Exceptions: Urgent medical cases, international aid workers and foreign humanitarian representatives.</x:v>
      </x:c>
      <x:c r="F800" s="4" t="str">
        <x:v>REC50-R38-001-P1 — Observed operation
Previously eligible non-exempt passenger passage at Erez/Beit Hanoun
Start: 2018-08-19.
Observed scoped reopening: 2018-08-27.
8 calendar-day difference; scoped endpoint only</x:v>
      </x:c>
      <x:c r="G800" s="4" t="str">
        <x:v>Security / Public order and immediate safety
Reported Israeli defense-minister and authority explanation
Applies to: REC50-R38-001-P1
Codes the stated violence/calm rationale, without certifying claims about responsibility for all incidents.</x:v>
      </x:c>
      <x:c r="H800" s="4" t="str">
        <x:v>REC50-R38-001-P1: The 19–27 August 2018 interval describes the added restriction on previously eligible non-exempt Erez passengers, not Gaza’s entire border regime. Urgent medical, international aid and foreign-humanitarian exceptions continued. Eight calendar days is not an elapsed 192-hour measurement; earlier/later Kerem Shalom freight measures are distinct.
Exact clocks and exempt movement: Exact first resumed passage and complete exemption/direction inventory are absent. The later WAFA September recap uses a rough August duration inconsistent with these contemporaneous dated accounts.</x:v>
      </x:c>
      <x:c r="I800" s="4" t="str">
        <x:v>Full-record source audit (REC50-R50); retained with recorded qualifications; evidence limits retained.</x:v>
      </x:c>
      <x:c r="J800" s="18" t="d">
        <x:v>2026-10-25T00:00:00.000Z</x:v>
      </x:c>
      <x:c r="K800" s="21" t="str">
        <x:f>IFERROR(HYPERLINK("https://www.timesofisrael.com/palestinian-media-israel-closing-northern-gaza-border-crossing/amp/","The Times of Israel"),"The Times of Israel")</x:f>
        <x:v>The Times of Israel</x:v>
      </x:c>
      <x:c r="L800" s="21" t="str">
        <x:f>IFERROR(HYPERLINK("https://www.timesofisrael.com/israel-reopens-erez-crossing-with-gaza-after-period-of-relative-calm/amp/","The Times of Israel / AFP"),"The Times of Israel / AFP")</x:f>
        <x:v>The Times of Israel / AFP</x:v>
      </x:c>
      <x:c r="M800" s="21" t="str">
        <x:f>IFERROR(HYPERLINK("https://www.xinhuanet.com/english/2018-08/28/c_137423442.htm","Xinhua"),"Xinhua")</x:f>
        <x:v>Xinhua</x:v>
      </x:c>
      <x:c r="N800" s="4" t="str">
        <x:v>https://www.timesofisrael.com/palestinian-media-israel-closing-northern-gaza-border-crossing/amp/
https://www.timesofisrael.com/israel-reopens-erez-crossing-with-gaza-after-period-of-relative-calm/amp/
https://www.xinhuanet.com/english/2018-08/28/c_137423442.htm</x:v>
      </x:c>
      <x:c r="O800" s="4" t="str">
        <x:v>Source 1: full text
Source 2: full text
Source 3: indexed extract; full text</x:v>
      </x:c>
      <x:c r="P800" s="20" t="n">
        <x:v>1</x:v>
      </x:c>
      <x:c r="Q800" s="4" t="str">
        <x:v>Middle East</x:v>
      </x:c>
      <x:c r="R800" s="4" t="str">
        <x:v>Included</x:v>
      </x:c>
    </x:row>
    <x:row r="801" ht="150" hidden="0" customHeight="1">
      <x:c r="A801" s="16" t="str">
        <x:v>REC50-R38-002</x:v>
      </x:c>
      <x:c r="B801" s="4" t="str">
        <x:v>Erez repair closure and extended passenger restriction, September 2018</x:v>
      </x:c>
      <x:c r="C801" s="4" t="str">
        <x:v>Israel; Palestine (Gaza)</x:v>
      </x:c>
      <x:c r="D801" s="4" t="str">
        <x:v>Erez / Beit Hanoun
Named Erez passenger terminal</x:v>
      </x:c>
      <x:c r="E801" s="4" t="str">
        <x:v>Non-exempt eligible passengers, including business/training travellers still excluded on September 6
Direction: Gaza outward passenger restriction; exceptions and returnees remain source-specific
Exceptions: Humanitarian discretion; September 6 report also names patients, international organizations and West Bank returnees.</x:v>
      </x:c>
      <x:c r="F801" s="4" t="str">
        <x:v>REC50-R38-002-P1 — Formal policy
Formal additional restriction on non-exempt eligible Erez passenger access
Start: 2018-09-05.
Policy endpoint: 2018-09-13.
Formal policy: dated evidence; numeric duration withheld; see qualification</x:v>
      </x:c>
      <x:c r="G801" s="4" t="str">
        <x:v>Administration and service operation / Temporary service suspension
Army statement quoted by ToI
Applies to: REC50-R38-002-P1
The stated immediate closure purpose was repairing damaged terminal infrastructure; allegations about the damage remain attributed.
Security / Public order and immediate safety
Defense-minister announcement quoted by Judah Ari Gross
Applies to: REC50-R38-002-P1
The later extension was described as punitive following violence, with quiet on the security front linked to access. No additional unspoken purpose is inferred.</x:v>
      </x:c>
      <x:c r="H801" s="4" t="str">
        <x:v>REC50-R38-002-P1: Formal Erez restriction is documented from the 5 September announcement to the 13 September restoration confirmation, with a 6 September punitive extension. Humanitarian and other partial access differs by source, and ordinary holiday closures overlap. WAFA’s later Monday onset conflicts with its same-day Wednesday account; NAD’s September 13 closed status has an unresolved observation cutoff. No complete operational duration or first business/training passenger is claimed.
Operational onset, restoration and cohort timing: Formal Erez restriction is documented from the 5 September announcement to the 13 September restoration confirmation, with a 6 September punitive extension. Humanitarian and other partial access differs by source, and ordinary holiday closures overlap. WAFA’s later Monday onset conflicts with its same-day Wednesday account; NAD’s September 13 closed status has an unresolved observation cutoff. No complete operational duration or first business/training passenger is claimed.</x:v>
      </x:c>
      <x:c r="I801" s="4" t="str">
        <x:v>New-record source research (REC50-R38); accepted addition; evidence limits retained.</x:v>
      </x:c>
      <x:c r="J801" s="18" t="d">
        <x:v>2026-10-25T00:00:00.000Z</x:v>
      </x:c>
      <x:c r="K801" s="21" t="str">
        <x:f>IFERROR(HYPERLINK("https://english.wafa.ps/Pages/Details/95440","WAFA"),"WAFA")</x:f>
        <x:v>WAFA</x:v>
      </x:c>
      <x:c r="L801" s="21" t="str">
        <x:f>IFERROR(HYPERLINK("https://www.timesofisrael.com/israel-shutters-gaza-pedestrian-crossing-after-border-clashes/amp/","The Times of Israel"),"The Times of Israel")</x:f>
        <x:v>The Times of Israel</x:v>
      </x:c>
      <x:c r="M801" s="21" t="str">
        <x:f>IFERROR(HYPERLINK("https://english.wafa.ps/Pages/Details/95457","WAFA"),"WAFA")</x:f>
        <x:v>WAFA</x:v>
      </x:c>
      <x:c r="N801" s="4" t="str">
        <x:v>https://english.wafa.ps/Pages/Details/95440
https://www.timesofisrael.com/israel-shutters-gaza-pedestrian-crossing-after-border-clashes/amp/
https://english.wafa.ps/Pages/Details/95457
https://www.timesofisrael.com/israel-closes-gaza-border-till-next-thursday-blames-recent-riots/amp/
https://www.timesofisrael.com/israel-reopens-the-sole-gaza-crossing-for-people-after-repairs/amp/
https://www.nad.ps/en/violations-reports/daily-report/daily-report-september-13-2018</x:v>
      </x:c>
      <x:c r="O801" s="4" t="str">
        <x:v>Source 1: full text
Source 2: full text
Source 3: full text</x:v>
      </x:c>
      <x:c r="P801" s="20" t="n">
        <x:v>1</x:v>
      </x:c>
      <x:c r="Q801" s="4" t="str">
        <x:v>Middle East</x:v>
      </x:c>
      <x:c r="R801" s="4" t="str">
        <x:v>Included</x:v>
      </x:c>
    </x:row>
    <x:row r="802" ht="126" hidden="0" customHeight="1">
      <x:c r="A802" s="16" t="str">
        <x:v>REC50-R38-003</x:v>
      </x:c>
      <x:c r="B802" s="4" t="str">
        <x:v>Semalka traveller suspension with selected-cohort restoration, June 2021</x:v>
      </x:c>
      <x:c r="C802" s="4" t="str">
        <x:v>Syria; Iraq (Kurdistan Region)</x:v>
      </x:c>
      <x:c r="D802" s="4" t="str">
        <x:v>Semalka / Faysh Khabur (Fishkhabour)
Semalka–Faysh Khabur crossing only</x:v>
      </x:c>
      <x:c r="E802" s="4" t="str">
        <x:v>Non-exempt civilian passenger service; unaffected trade and excepted organization/foreign-residency departures excluded
Direction: Not fully disaggregated; the June 23 foreign-residency exception explicitly concerns departures toward the KRG
Exceptions: Trade unaffected; UN/humanitarian organizations and some foreign-residency departures excepted.</x:v>
      </x:c>
      <x:c r="F802" s="4" t="str">
        <x:v>REC50-R38-003-P1 — Observed operation
Semalka passenger-service interruption with cohort exceptions and selected-category restoration
Start: 2021-06-23.
Observed scoped reopening: 2021-06-28.
dated evidence; numeric duration withheld; see qualification</x:v>
      </x:c>
      <x:c r="G802" s="4" t="str">
        <x:v>Uncoded
Administration cites new KRG traveller measures
Applies to: REC50-R38-003-P1
This identifies the trigger but not a clear substantive purpose; no COVID, trade or interstate motive is inferred.</x:v>
      </x:c>
      <x:c r="H802" s="4" t="str">
        <x:v>REC50-R38-003-P1: The administration imposed a traveller suspension on 23 June and reported restored service on 28 June 2021, while trade, UN/humanitarian organizations and some foreign-residency departures were excepted. Because exemption descriptions vary and restored categories are not individually tracked, numeric operational duration is withheld. The 26 June announcement is a schedule, not the return itself.
Cohort continuity and reason: The administration imposed a traveller suspension on 23 June and reported restored service on 28 June 2021, while trade, UN/humanitarian organizations and some foreign-residency departures were excepted. Because exemption descriptions vary and restored categories are not individually tracked, numeric operational duration is withheld. The 26 June announcement is a schedule, not the return itself.</x:v>
      </x:c>
      <x:c r="I802" s="4" t="str">
        <x:v>Full-record source audit (REC50-R50); retained with recorded qualifications; evidence limits retained.</x:v>
      </x:c>
      <x:c r="J802" s="18" t="d">
        <x:v>2026-10-25T00:00:00.000Z</x:v>
      </x:c>
      <x:c r="K802" s="21" t="str">
        <x:f>IFERROR(HYPERLINK("https://npasyria.com/en/61303/","North Press Agency"),"North Press Agency")</x:f>
        <x:v>North Press Agency</x:v>
      </x:c>
      <x:c r="L802" s="21" t="str">
        <x:f>IFERROR(HYPERLINK("https://npasyria.com/en/61447/","North Press Agency"),"North Press Agency")</x:f>
        <x:v>North Press Agency</x:v>
      </x:c>
      <x:c r="M802" s="21" t="str">
        <x:f>IFERROR(HYPERLINK("https://npasyria.com/en/61555/","North Press Agency"),"North Press Agency")</x:f>
        <x:v>North Press Agency</x:v>
      </x:c>
      <x:c r="N802" s="4" t="str">
        <x:v>https://npasyria.com/en/61303/
https://npasyria.com/en/61447/
https://npasyria.com/en/61555/</x:v>
      </x:c>
      <x:c r="O802" s="4" t="str">
        <x:v>Source 1: full text
Source 2: full text
Source 3: full text</x:v>
      </x:c>
      <x:c r="P802" s="20" t="n">
        <x:v>1</x:v>
      </x:c>
      <x:c r="Q802" s="4" t="str">
        <x:v>Middle East</x:v>
      </x:c>
      <x:c r="R802" s="4" t="str">
        <x:v>Included</x:v>
      </x:c>
    </x:row>
    <x:row r="803" ht="126" hidden="0" customHeight="1">
      <x:c r="A803" s="16" t="str">
        <x:v>REC50-R38-004</x:v>
      </x:c>
      <x:c r="B803" s="4" t="str">
        <x:v>Semalka announced Iraqi-residency passenger restriction, September 2020</x:v>
      </x:c>
      <x:c r="C803" s="4" t="str">
        <x:v>Syria; Iraq (Kurdistan Region)</x:v>
      </x:c>
      <x:c r="D803" s="4" t="str">
        <x:v>Semalka / Faysh Khabur (Fishkhabour)
Named crossing and specified residency cohort</x:v>
      </x:c>
      <x:c r="E803" s="4" t="str">
        <x:v>Travellers with Iraqi/KRG residency, rather than all nationalities or all traffic
Direction: Northeast Syria to Kurdistan Region of Iraq
Exceptions: Other cohorts follow different notices; emergency access is described in the September 7 notice. No general trade closure is inferred.</x:v>
      </x:c>
      <x:c r="F803" s="4" t="str">
        <x:v>REC50-R38-004-P1 — Announced window
Announced Semalka restriction on passage of Iraqi/KRG residency holders toward Iraqi Kurdistan
Start: 2020-09-07.
Scheduled endpoint: unknown.
Ordered window: dated evidence; numeric duration withheld; see qualification</x:v>
      </x:c>
      <x:c r="G803" s="4" t="str">
        <x:v>Uncoded
Specific reason absent from the inspected notice
Applies to: REC50-R38-004-P1
Earlier COVID precautions are background and are not assumed to explain this particular residency distinction.</x:v>
      </x:c>
      <x:c r="H803" s="4" t="str">
        <x:v>REC50-R38-004-P1: This is an announced restriction for Iraqi-residency holders departing northeast Syria toward the KRG after the last permitted day of 6 September 2020. The intended start is 7 September, not publication on September 2. Actual enforcement and endpoint are unknown. The September 15 schedule for European-residency, medical and marriage cases does not establish restoration for this cohort.
Implementation, endpoint and specific rationale: This is an announced restriction for Iraqi-residency holders departing northeast Syria toward the KRG after the last permitted day of 6 September 2020. The intended start is 7 September, not publication on September 2. Actual enforcement and endpoint are unknown. The September 15 schedule for European-residency, medical and marriage cases does not establish restoration for this cohort.</x:v>
      </x:c>
      <x:c r="I803" s="4" t="str">
        <x:v>New-record source research (REC50-R38); accepted addition; evidence limits retained.</x:v>
      </x:c>
      <x:c r="J803" s="18" t="d">
        <x:v>2026-10-25T00:00:00.000Z</x:v>
      </x:c>
      <x:c r="K803" s="21" t="str">
        <x:f>IFERROR(HYPERLINK("https://npasyria.com/en/46193/","North Press Agency"),"North Press Agency")</x:f>
        <x:v>North Press Agency</x:v>
      </x:c>
      <x:c r="L803" s="21" t="str">
        <x:f>IFERROR(HYPERLINK("https://www.arknews.net/en/node/22670","ARK News / Rebaz"),"ARK News / Rebaz")</x:f>
        <x:v>ARK News / Rebaz</x:v>
      </x:c>
      <x:c r="M803" s="21" t="str">
        <x:f>IFERROR(HYPERLINK("https://npasyria.com/en/?p=45688","North Press Agency"),"North Press Agency")</x:f>
        <x:v>North Press Agency</x:v>
      </x:c>
      <x:c r="N803" s="4" t="str">
        <x:v>https://npasyria.com/en/46193/
https://www.arknews.net/en/node/22670
https://npasyria.com/en/?p=45688
https://syriacpress.com/blog/2020/09/07/semalka-border-crossing-to-reopen-for-weddings-medical-reasons-and-travel-to-europe-on-15-september/</x:v>
      </x:c>
      <x:c r="O803" s="4" t="str">
        <x:v>Source 1: full text
Source 2: full text
Source 3: full text</x:v>
      </x:c>
      <x:c r="P803" s="20" t="n">
        <x:v>1</x:v>
      </x:c>
      <x:c r="Q803" s="4" t="str">
        <x:v>Middle East</x:v>
      </x:c>
      <x:c r="R803" s="4" t="str">
        <x:v>Included</x:v>
      </x:c>
    </x:row>
    <x:row r="804" ht="282" hidden="0" customHeight="1">
      <x:c r="A804" s="16" t="str">
        <x:v>REC50-R38-005</x:v>
      </x:c>
      <x:c r="B804" s="4" t="str">
        <x:v>Rabia–al-Yarubiyah inherited interruption and formal reopening, April 2026</x:v>
      </x:c>
      <x:c r="C804" s="4" t="str">
        <x:v>Iraq; Syria</x:v>
      </x:c>
      <x:c r="D804" s="4" t="str">
        <x:v>Rabia / al-Yarubiyah (Yaarubiyah, Tel Kocher)
Rabia–al-Yarubiyah road crossing only</x:v>
      </x:c>
      <x:c r="E804" s="4" t="str">
        <x:v>Ordinary civilian and commercial access covered by the reopening; first fuel tanker passage unverified
Direction: Not directionally disaggregated; Iraq-to-Syria tanker movement remained prospective
Exceptions: UN humanitarian consignments and transshipment are documented in 2018–January 2020. Other exceptional traffic is incompletely reconstructed; no all-traffic continuous closure is claimed.</x:v>
      </x:c>
      <x:c r="F804" s="4" t="str">
        <x:v>REC50-R38-005-P1 — Formal policy
Endpoint-only formal restoration of ordinary civilian and commercial access at Rabia–al-Yarubiyah
Start: unknown.
Policy endpoint: 2026-04-20.
Formal policy: dated evidence; numeric duration withheld; see qualification
REC50-R47-R38-005-P1 — Observed operation
UN medical/humanitarian shipments through al-Yarubiyah from Iraq into northeast Syria after mandate removal
Start: unknown.
Last confirmed: 2020-01-16. Reopening is not established.
dated evidence; numeric duration withheld; see qualification</x:v>
      </x:c>
      <x:c r="G804" s="4" t="str">
        <x:v>Uncoded
Original closure rationale/order not recovered
Applies to: REC50-R38-005-P1
Conflict context is reported, while economic reasons for reopening are not recoded as the original closure rationale.</x:v>
      </x:c>
      <x:c r="H804" s="4" t="str">
        <x:v>REC50-R38-005-P1: Formal permission/restoration at Rabia–al-Yarubiyah is dated 20 April 2026. The inherited interruption is described only approximately and as largely closed; exact onset, continuous exclusion and original imposing order are unknown. Tanker convoys were still prospective in the contemporary Reuters report, so no first actual truck passage or operational duration is assigned. UN humanitarian consignments crossed during March 2018–January 2020, so the inherited restriction cannot mean uninterrupted exclusion of all traffic. The formal restriction on ordinary access is supported by attributed research about blocked reopening; its original order and onset remain unknown.
REC50-R47-R38-005-P1: Only the UN medical-service cessation is established. Neither the first missed shipment nor a matching service restoration is recovered. The parent’s inherited ordinary-access restriction and April 2026 formal return remain separate and do not end this UN phase.
Original interruption and actual first passage: Formal permission/restoration at Rabia–al-Yarubiyah is dated 20 April 2026. The inherited interruption is described only approximately and as largely closed; exact onset, continuous exclusion and original imposing order are unknown. Tanker convoys were still prospective in the contemporary Reuters report, so no first actual truck passage or operational duration is assigned. UN humanitarian consignments crossed during March 2018–January 2020, so the inherited restriction cannot mean uninterrupted exclusion of all traffic. The formal restriction on ordinary access is supported by attributed research about blocked reopening; its original order and onset remain unknown.
UN-service onset; endpoint; continuity: UN medical shipments had ended by January 16, 2020; exact first operational halt and matching service restoration are unknown. Ordinary civilian/commercial reopening is not the endpoint.</x:v>
      </x:c>
      <x:c r="I804" s="4" t="str">
        <x:v>Source-led phase addition (REC50-R47); accepted phase evidence; evidence limits retained.</x:v>
      </x:c>
      <x:c r="J804" s="18" t="d">
        <x:v>2026-10-25T00:00:00.000Z</x:v>
      </x:c>
      <x:c r="K804" s="21" t="str">
        <x:f>IFERROR(HYPERLINK("https://sana.sy/en/syria/2311750/","SANA"),"SANA")</x:f>
        <x:v>SANA</x:v>
      </x:c>
      <x:c r="L804" s="21" t="str">
        <x:f>IFERROR(HYPERLINK("https://www.aa.com.tr/en/middle-east/syria-reopens-key-border-crossing-with-iraq-after-13-year-closure/3912545","Anadolu Agency"),"Anadolu Agency")</x:f>
        <x:v>Anadolu Agency</x:v>
      </x:c>
      <x:c r="M804" s="21" t="str">
        <x:f>IFERROR(HYPERLINK("https://www.reuters.com/world/middle-east/iraq-reopens-rabia-border-crossing-boost-fuel-oil-exports-via-syria-2026-04-20/","Reuters"),"Reuters")</x:f>
        <x:v>Reuters</x:v>
      </x:c>
      <x:c r="N804" s="4" t="str">
        <x:v>https://sana.sy/en/syria/2311750/
https://www.aa.com.tr/en/middle-east/syria-reopens-key-border-crossing-with-iraq-after-13-year-closure/3912545
https://www.reuters.com/world/middle-east/iraq-reopens-rabia-border-crossing-boost-fuel-oil-exports-via-syria-2026-04-20/
https://carnegieendowment.org/middle-east/research/2021/07/the-making-of-the-kurdish-frontier-power-conflict-and-governance-in-the-iraqi-syrian-borderlands
https://www.securitycouncilreport.org/atf/cf/%7B65BFCF9B-6D27-4E9C-8CD3-CF6E4FF96FF9%7D/s_2020_139.pdf
https://press.un.org/en/2020/sc14074.doc.htm
https://www.un.org/sg/en/content/highlight/2020-01-16.html</x:v>
      </x:c>
      <x:c r="O804" s="4" t="str">
        <x:v>Source 1: full text
Source 2: full text
Source 3: full text</x:v>
      </x:c>
      <x:c r="P804" s="20" t="n">
        <x:v>2</x:v>
      </x:c>
      <x:c r="Q804" s="4" t="str">
        <x:v>Middle East</x:v>
      </x:c>
      <x:c r="R804" s="4" t="str">
        <x:v>Included</x:v>
      </x:c>
    </x:row>
    <x:row r="805" ht="114" hidden="0" customHeight="1">
      <x:c r="A805" s="16" t="str">
        <x:v>REC50-R41-001</x:v>
      </x:c>
      <x:c r="B805" s="4" t="str">
        <x:v>Ceke–Shiveekhuren coal-export restriction in late 2021 and limited return in May 2022</x:v>
      </x:c>
      <x:c r="C805" s="4" t="str">
        <x:v>Mongolia; China</x:v>
      </x:c>
      <x:c r="D805" s="4" t="str">
        <x:v>Shiveekhuren–Ceke</x:v>
      </x:c>
      <x:c r="E805" s="4" t="str">
        <x:v>Coal freight
Direction: Mongolia to China
Exceptions: The observed 25 May 2022 return allowed limited trial coal-truck movements. It does not establish normal capacity, other goods, passengers, or uninterrupted restriction for every exporter.</x:v>
      </x:c>
      <x:c r="F805" s="4" t="str">
        <x:v>REC50-R41-001-P1 — Observed operation
Coal exports through Shiveekhuren–Ceke during the late-2021 restriction and limited May 2022 return
Start: unknown.
Observed scoped reopening: 2022-05-25.
dated evidence; numeric duration withheld; see qualification</x:v>
      </x:c>
      <x:c r="G805" s="4" t="str">
        <x:v>Health and biosecurity / Human disease control
Sources attribute the stated crossing measures to COVID-19 prevention.
Applies to: Coal exports through Shiveekhuren–Ceke during the late-2021 restriction and limited May 2022 return
Health reason is source-attributed; no additional motive inferred.</x:v>
      </x:c>
      <x:c r="H805" s="4" t="str">
        <x:v>REC50-R41-001-P1: Port-onset timing is unresolved: mid-October reporting, late-October local measures and November company-export suspension are different descriptions. Mine shutdown is a separate event. The 25 May 2022 coal trial return was limited and is not full-capacity restoration. No numeric duration or unbroken all-exporter closure is inferred.
onset; endpoint; scope; continuity: Port-onset timing is unresolved: mid-October reporting, late-October local measures and November company-export suspension are different descriptions. Mine shutdown is a separate event. The 25 May 2022 coal trial return was limited and is not full-capacity restoration. No numeric duration or unbroken all-exporter closure is inferred.</x:v>
      </x:c>
      <x:c r="I805" s="4" t="str">
        <x:v>New-record source research (REC50-R41); accepted addition; evidence limits retained.</x:v>
      </x:c>
      <x:c r="J805" s="18" t="d">
        <x:v>2026-10-25T00:00:00.000Z</x:v>
      </x:c>
      <x:c r="K805" s="21" t="str">
        <x:f>IFERROR(HYPERLINK("https://6ix.com/news/southgobi-announces-fourth-quarter-and-full-year-2021-financial-and-operating-results-1","SouthGobi Resources via ACCESS / 6ix"),"SouthGobi Resources via ACCESS / 6ix")</x:f>
        <x:v>SouthGobi Resources via ACCESS / 6ix</x:v>
      </x:c>
      <x:c r="L805" s="21" t="str">
        <x:f>IFERROR(HYPERLINK("https://en.sxcoal.com/news/detail/4653271","Sxcoal, attributing MONTSAME"),"Sxcoal, attributing MONTSAME")</x:f>
        <x:v>Sxcoal, attributing MONTSAME</x:v>
      </x:c>
      <x:c r="M805" s="21"/>
      <x:c r="N805" s="4" t="str">
        <x:v>https://6ix.com/news/southgobi-announces-fourth-quarter-and-full-year-2021-financial-and-operating-results-1
https://en.sxcoal.com/news/detail/4653271</x:v>
      </x:c>
      <x:c r="O805" s="4" t="str">
        <x:v>Source 1: full text
Source 2: full text</x:v>
      </x:c>
      <x:c r="P805" s="20" t="n">
        <x:v>1</x:v>
      </x:c>
      <x:c r="Q805" s="4" t="str">
        <x:v>East Asia</x:v>
      </x:c>
      <x:c r="R805" s="4" t="str">
        <x:v>Included</x:v>
      </x:c>
    </x:row>
    <x:row r="806" ht="114" hidden="0" customHeight="1">
      <x:c r="A806" s="16" t="str">
        <x:v>REC50-R41-002</x:v>
      </x:c>
      <x:c r="B806" s="4" t="str">
        <x:v>Gashuunsukhait–Ganqimaodu coal interruption with disputed 30–31 August 2021 return</x:v>
      </x:c>
      <x:c r="C806" s="4" t="str">
        <x:v>Mongolia; China</x:v>
      </x:c>
      <x:c r="D806" s="4" t="str">
        <x:v>Gashuunsukhait–Ganqimaodu (Gantsmod)</x:v>
      </x:c>
      <x:c r="E806" s="4" t="str">
        <x:v>Coal freight
Direction: Mongolia to China
Exceptions: Coal freight only. Testing delays continued after the reported return; those delays do not establish a further closure. The two attributed accounts disagree between 30 and 31 August.</x:v>
      </x:c>
      <x:c r="F806" s="4" t="str">
        <x:v>REC50-R41-002-P1 — Observed operation
Gashuunsukhait–Ganqimaodu coal-export interruption preceding the reported August 2021 restart
Start: unknown.
Observed scoped reopening: 2021-08-30 to 2021-08-31.
Contested: dated evidence; numeric duration withheld; see qualification
Held evidence: excluded from numeric duration and animation displays.</x:v>
      </x:c>
      <x:c r="G806" s="4" t="str">
        <x:v>Health and biosecurity / Human disease control
Sources attribute the stated crossing measures to COVID-19 prevention.
Applies to: Gashuunsukhait–Ganqimaodu coal-export interruption preceding the reported August 2021 restart
Health reason is source-attributed; no additional motive inferred.</x:v>
      </x:c>
      <x:c r="H806" s="4" t="str">
        <x:v>REC50-R41-002-P1: The finance minister account dates coal return to 30 August 2021; the Bloomberg market-provider account dates it to 31 August. The bound preserves that disagreement. Onset is unknown; a reported fourteen-day halt is not subtracted from either return. Continued testing delays do not establish a further full closure.
onset; endpoint; scope; continuity: The finance minister account dates coal return to 30 August 2021; the Bloomberg market-provider account dates it to 31 August. The bound preserves that disagreement. Onset is unknown; a reported fourteen-day halt is not subtracted from either return. Continued testing delays do not establish a further full closure.</x:v>
      </x:c>
      <x:c r="I806" s="4" t="str">
        <x:v>New-record source research (REC50-R41); accepted addition; evidence limits retained.</x:v>
      </x:c>
      <x:c r="J806" s="18" t="d">
        <x:v>2026-10-25T00:00:00.000Z</x:v>
      </x:c>
      <x:c r="K806" s="21" t="str">
        <x:f>IFERROR(HYPERLINK("https://montsame.mn/en/read/273760","MONTSAME"),"MONTSAME")</x:f>
        <x:v>MONTSAME</x:v>
      </x:c>
      <x:c r="L806" s="21" t="str">
        <x:f>IFERROR(HYPERLINK("https://www.miningweekly.com/article/china-opens-border-to-mongolian-coal-but-market-remains-tight-2021-09-01","Bloomberg via Mining Weekly"),"Bloomberg via Mining Weekly")</x:f>
        <x:v>Bloomberg via Mining Weekly</x:v>
      </x:c>
      <x:c r="M806" s="21"/>
      <x:c r="N806" s="4" t="str">
        <x:v>https://montsame.mn/en/read/273760
https://www.miningweekly.com/article/china-opens-border-to-mongolian-coal-but-market-remains-tight-2021-09-01</x:v>
      </x:c>
      <x:c r="O806" s="4" t="str">
        <x:v>Source 1: full text
Source 2: full text</x:v>
      </x:c>
      <x:c r="P806" s="20" t="n">
        <x:v>1</x:v>
      </x:c>
      <x:c r="Q806" s="4" t="str">
        <x:v>East Asia</x:v>
      </x:c>
      <x:c r="R806" s="4" t="str">
        <x:v>Included</x:v>
      </x:c>
    </x:row>
    <x:row r="807" ht="138" hidden="0" customHeight="1">
      <x:c r="A807" s="16" t="str">
        <x:v>REC50-R41-003</x:v>
      </x:c>
      <x:c r="B807" s="4" t="str">
        <x:v>Tsagaannuur–Tashanta November 2020 freight closure window and petroleum exception</x:v>
      </x:c>
      <x:c r="C807" s="4" t="str">
        <x:v>Mongolia; Russia</x:v>
      </x:c>
      <x:c r="D807" s="4" t="str">
        <x:v>Tsagaannuur–Tashanta</x:v>
      </x:c>
      <x:c r="E807" s="4" t="str">
        <x:v>Road freight, with petroleum-only periodic exception
Direction: Paired road crossing; later reported fuel imports into Mongolia
Exceptions: Later petroleum-only access was described for the second and fourth weeks, including same-day return of empty trucks. The reported 23 November fuel entry and scheduled 24 November restart do not establish a general freight reopening.</x:v>
      </x:c>
      <x:c r="F807" s="4" t="str">
        <x:v>REC50-R41-003-P1 — Announced window
Freight component of the Tsagaannuur–Tashanta November 2020 closure agreement
Start: 2020-11-02.
Scheduled endpoint: 2020-11-23.
Ordered window: dated evidence; numeric duration withheld; see qualification</x:v>
      </x:c>
      <x:c r="G807" s="4" t="str">
        <x:v>Health and biosecurity / Human disease control
Sources attribute the stated crossing measures to COVID-19 prevention.
Applies to: Freight component of the Tsagaannuur–Tashanta November 2020 closure agreement
Health reason is source-attributed; no additional motive inferred.</x:v>
      </x:c>
      <x:c r="H807" s="4" t="str">
        <x:v>REC50-R41-003-P1: The primary notice supplies a 2–23 November 2020 ordered window. Its final-day boundary is not an observed reopening. Indexed NARTAM schedules oil-only access from 24 November, while an undated attributed report places fuel trucks on 23 November. Neither establishes general freight return; petroleum access is periodic and limited. Duration is withheld rather than treating a schedule as continuous operational closure.
onset; endpoint; scope; continuity: The primary notice supplies a 2–23 November 2020 ordered window. Its final-day boundary is not an observed reopening. Indexed NARTAM schedules oil-only access from 24 November, while an undated attributed report places fuel trucks on 23 November. Neither establishes general freight return; petroleum access is periodic and limited. Duration is withheld rather than treating a schedule as continuous operational closure.</x:v>
      </x:c>
      <x:c r="I807" s="4" t="str">
        <x:v>New-record source research (REC50-R41); accepted addition; evidence limits retained.</x:v>
      </x:c>
      <x:c r="J807" s="18" t="d">
        <x:v>2026-10-25T00:00:00.000Z</x:v>
      </x:c>
      <x:c r="K807" s="21" t="str">
        <x:f>IFERROR(HYPERLINK("https://www.rosgranstroy.ru/press-center/news/Priostanovlen-propusk-lic-i-transportnyh-sredstv-cherez-avtomobilnye-punkty-propuska-Tashanta-i-Handagayty-na-granice-s-Mongoliey-","Rosgranstroy"),"Rosgranstroy")</x:f>
        <x:v>Rosgranstroy</x:v>
      </x:c>
      <x:c r="L807" s="21" t="str">
        <x:f>IFERROR(HYPERLINK("https://www.pkf-ifs.mn/1102/nitem","PKF-IFS Mongolia"),"PKF-IFS Mongolia")</x:f>
        <x:v>PKF-IFS Mongolia</x:v>
      </x:c>
      <x:c r="M807" s="21" t="str">
        <x:f>IFERROR(HYPERLINK("https://wiki.unece.org/plugins/viewsource/viewpagesrc.action?pageId=101548480","UNECE wiki / NARTAM"),"UNECE wiki / NARTAM")</x:f>
        <x:v>UNECE wiki / NARTAM</x:v>
      </x:c>
      <x:c r="N807" s="4" t="str">
        <x:v>https://www.rosgranstroy.ru/press-center/news/Priostanovlen-propusk-lic-i-transportnyh-sredstv-cherez-avtomobilnye-punkty-propuska-Tashanta-i-Handagayty-na-granice-s-Mongoliey-
https://www.pkf-ifs.mn/1102/nitem
https://wiki.unece.org/plugins/viewsource/viewpagesrc.action?pageId=101548480</x:v>
      </x:c>
      <x:c r="O807" s="4" t="str">
        <x:v>Source 1: full text
Source 2: full text
Source 3: indexed extract</x:v>
      </x:c>
      <x:c r="P807" s="20" t="n">
        <x:v>1</x:v>
      </x:c>
      <x:c r="Q807" s="4" t="str">
        <x:v>East Asia</x:v>
      </x:c>
      <x:c r="R807" s="4" t="str">
        <x:v>Included</x:v>
      </x:c>
    </x:row>
    <x:row r="808" ht="246" hidden="0" customHeight="1">
      <x:c r="A808" s="16" t="str">
        <x:v>REC50-R42-001</x:v>
      </x:c>
      <x:c r="B808" s="4" t="str">
        <x:v>Bulgarian grain-grower road blocks at Ruse, Kardam and Vidin, March 2023</x:v>
      </x:c>
      <x:c r="C808" s="4" t="str">
        <x:v>Bulgaria; Romania</x:v>
      </x:c>
      <x:c r="D808" s="4" t="str">
        <x:v>Ruse / Giurgiu; Kardam / Negru Voda; Vidin / Calafat
Three named international road approaches, not the entire Romania frontier</x:v>
      </x:c>
      <x:c r="E808" s="4" t="str">
        <x:v>Road vehicles on the named approaches
Direction: Scope is phase-specific; symmetric direction detail is incomplete
Exceptions: No general pedestrian, emergency or cargo exemption inventory is supplied. Port actions are excluded.</x:v>
      </x:c>
      <x:c r="F808" s="4" t="str">
        <x:v>REC50-R42-001-P1 — Observed operation
Ruse / Giurgiu, Danube Bridge approach short farmer road block
Start: 2023-03-29.
Observed scoped reopening: 2023-03-29.
Same-day episode; no whole-day duration inferred; Ruse and Kardam described as nearly two hours; Vidin described as brief without a clock duration.
REC50-R42-001-P2 — Observed operation
Kardam / Negru Voda approach short farmer road block
Start: 2023-03-29.
Observed scoped reopening: 2023-03-29.
Same-day episode; no whole-day duration inferred; Ruse and Kardam described as nearly two hours; Vidin described as brief without a clock duration.
REC50-R42-001-P3 — Observed operation
Vidin / Calafat, international road to Danube Bridge 2 short farmer road block
Start: 2023-03-29.
Observed scoped reopening: 2023-03-29.
Same-day episode; no whole-day duration inferred; Ruse and Kardam described as nearly two hours; Vidin described as brief without a clock duration.</x:v>
      </x:c>
      <x:c r="G808" s="4" t="str">
        <x:v>Trade and protectionism / Trade and transport protests
Named producer representatives quoted by BNT
Applies to: All three March 29 road-block phases
The stated objection concerned Ukrainian agricultural imports and local marketing/prices; this is the protesters’ attributed purpose.
Policy and socioeconomic demands / Jobs, services and livelihoods
Named farmer representatives quoted by BNT
Applies to: All three March 29 road-block phases
Livelihood and support demands coexist with the trade objection; no universal primary motive is assigned.</x:v>
      </x:c>
      <x:c r="H808" s="4" t="str">
        <x:v>REC50-R42-001-P1: A brief completed road block on March 29 is described retrospectively. Exact clocks and complete vehicle/direction exceptions are not established. The reported roughly two-hour duration applies to Ruse/Kardam, not automatically Vidin. No whole-day or later continuous closure is inferred.
REC50-R42-001-P2: A brief completed road block on March 29 is described retrospectively. Exact clocks and complete vehicle/direction exceptions are not established. The reported roughly two-hour duration applies to Ruse/Kardam, not automatically Vidin. No whole-day or later continuous closure is inferred.
REC50-R42-001-P3: A brief completed road block on March 29 is described retrospectively. Exact clocks and complete vehicle/direction exceptions are not established. The reported roughly two-hour duration applies to Ruse/Kardam, not automatically Vidin. No whole-day or later continuous closure is inferred.
Crossing-specific timing and exceptions: Brief completed actions are supported, but direction/vehicle exceptions and exact first clearance are not fully disaggregated. Later protests are plans in the inspected material.</x:v>
      </x:c>
      <x:c r="I808" s="4" t="str">
        <x:v>New-record source research (REC50-R42); accepted addition; evidence limits retained.</x:v>
      </x:c>
      <x:c r="J808" s="18" t="d">
        <x:v>2026-10-25T00:00:00.000Z</x:v>
      </x:c>
      <x:c r="K808" s="21" t="str">
        <x:f>IFERROR(HYPERLINK("https://bnt.bg/news/bulgarian-farmers-block-roads-to-protest-duty-free-grain-imports-from-ukraine-316521news.html","Bulgarian National Television"),"Bulgarian National Television")</x:f>
        <x:v>Bulgarian National Television</x:v>
      </x:c>
      <x:c r="L808" s="21" t="str">
        <x:f>IFERROR(HYPERLINK("https://old-news.bnr.bg/en/post/101800895?page_1_3=6","Bulgarian National Radio"),"Bulgarian National Radio")</x:f>
        <x:v>Bulgarian National Radio</x:v>
      </x:c>
      <x:c r="M808" s="21"/>
      <x:c r="N808" s="4" t="str">
        <x:v>https://bnt.bg/news/bulgarian-farmers-block-roads-to-protest-duty-free-grain-imports-from-ukraine-316521news.html
https://old-news.bnr.bg/en/post/101800895?page_1_3=6</x:v>
      </x:c>
      <x:c r="O808" s="4" t="str">
        <x:v>Source 1: full text
Source 2: indexed extract</x:v>
      </x:c>
      <x:c r="P808" s="20" t="n">
        <x:v>3</x:v>
      </x:c>
      <x:c r="Q808" s="4" t="str">
        <x:v>Europe</x:v>
      </x:c>
      <x:c r="R808" s="4" t="str">
        <x:v>Included</x:v>
      </x:c>
    </x:row>
    <x:row r="809" ht="162" hidden="0" customHeight="1">
      <x:c r="A809" s="16" t="str">
        <x:v>REC50-R42-002</x:v>
      </x:c>
      <x:c r="B809" s="4" t="str">
        <x:v>Bulgarian farmer restrictions at Ruse and Kardam, September 2023</x:v>
      </x:c>
      <x:c r="C809" s="4" t="str">
        <x:v>Bulgaria; Romania</x:v>
      </x:c>
      <x:c r="D809" s="4" t="str">
        <x:v>Ruse / Giurgiu; Kardam / Negru Voda
Ruse and Kardam crossing approaches and resulting vehicle admission restrictions</x:v>
      </x:c>
      <x:c r="E809" s="4" t="str">
        <x:v>Ruse cars/trucks; Kardam all inbound vehicle types
Direction: Ruse both directions; Kardam entry into Bulgaria
Exceptions: No entire-frontier or pedestrian closure is inferred. Other listed protest sites are not automatically blocked gates.</x:v>
      </x:c>
      <x:c r="F809" s="4" t="str">
        <x:v>REC50-R42-002-P1 — Observed operation
Ruse–Giurgiu first reported September 18 farmer road block
Start: 2023-09-18.
Observed scoped reopening: 2023-09-18.
Same-day episode; no whole-day duration inferred; BNR describes a two-hour first action; no total daily closure time calculated.
REC50-R42-002-P2 — Observed operation
Kardam–Negru Voda vehicle entry restriction on September 18
Start: 2023-09-18.
Last confirmed: 2023-09-18. Reopening is not established.
dated evidence; numeric duration withheld; see qualification</x:v>
      </x:c>
      <x:c r="G809" s="4" t="str">
        <x:v>Policy and socioeconomic demands / Jobs, services and livelihoods
Ruse fruit-grower representatives quoted by BNR
Applies to: REC50-R42-002-P1
Unpaid frost compensation and producer support are attributed to these local participants, not automatically every group at Kardam.
Trade and protectionism / Trade and transport protests
Kardam protesters’ stated objection reported by Bgtourism
Applies to: REC50-R42-002-P2
Commercial producers obstructed passage to oppose removal of the Ukrainian grain-import prohibition. Code the attributed trade protest under the Codebook definition; this does not create a government import-control phase. Other complaints remain attributed context.</x:v>
      </x:c>
      <x:c r="H809" s="4" t="str">
        <x:v>REC50-R42-002-P1: The first reported two-hour Ruse block is a same-day action. A later afternoon repeat and daily extensions were planned; their occurrence is not assumed. The evening ministry-attributed report confirms restored Ruse road traffic without a first-passage clock.
REC50-R42-002-P2: Kardam entry denial is directly documented on September 18. The expected 14:00 finish is prospective, while the general evening all-roads-open report does not specifically confirm resumed vehicle admission at this gate. Actual endpoint remains unknown.
Kardam actual return and repeated Ruse action: Scheduled Kardam 14:00 finish and planned afternoon/daily Ruse repeats are not actual operational evidence.</x:v>
      </x:c>
      <x:c r="I809" s="4" t="str">
        <x:v>New-record source research (REC50-R42); accepted addition; evidence limits retained.</x:v>
      </x:c>
      <x:c r="J809" s="18" t="d">
        <x:v>2026-10-25T00:00:00.000Z</x:v>
      </x:c>
      <x:c r="K809" s="21" t="str">
        <x:f>IFERROR(HYPERLINK("https://www.politiadefrontiera.ro/ro/main/i-informare-trafic-restrictionat-la-puncte-de-trecere-a-frontierei-din-sudul-tarii-cauzate-de-protestele-fermierilor-bulgari-34780.html","Romanian Border Police"),"Romanian Border Police")</x:f>
        <x:v>Romanian Border Police</x:v>
      </x:c>
      <x:c r="L809" s="21" t="str">
        <x:f>IFERROR(HYPERLINK("https://bnrnews.bg/shumen/post/34525/dunav-most-pod-obsada","Bulgarian National Radio, Radio Shumen"),"Bulgarian National Radio, Radio Shumen")</x:f>
        <x:v>Bulgarian National Radio, Radio Shumen</x:v>
      </x:c>
      <x:c r="M809" s="21" t="str">
        <x:f>IFERROR(HYPERLINK("https://www.actualno.com/society/vsichki-blokirani-ot-protestirashtite-pytishta-veche-sa-otvoreni-news_2057876.html","Actualno.com"),"Actualno.com")</x:f>
        <x:v>Actualno.com</x:v>
      </x:c>
      <x:c r="N809" s="4" t="str">
        <x:v>https://www.politiadefrontiera.ro/ro/main/i-informare-trafic-restrictionat-la-puncte-de-trecere-a-frontierei-din-sudul-tarii-cauzate-de-protestele-fermierilor-bulgari-34780.html
https://bnrnews.bg/shumen/post/34525/dunav-most-pod-obsada
https://www.actualno.com/society/vsichki-blokirani-ot-protestirashtite-pytishta-veche-sa-otvoreni-news_2057876.html
https://bgtourism.bg/novini-zemedelskite-stopani-zatvorikha-granitsata-pri-selo-kardam-gkpp/</x:v>
      </x:c>
      <x:c r="O809" s="4" t="str">
        <x:v>Source 1: full text
Source 2: full text
Source 3: full text</x:v>
      </x:c>
      <x:c r="P809" s="20" t="n">
        <x:v>2</x:v>
      </x:c>
      <x:c r="Q809" s="4" t="str">
        <x:v>Europe</x:v>
      </x:c>
      <x:c r="R809" s="4" t="str">
        <x:v>Included</x:v>
      </x:c>
    </x:row>
    <x:row r="810" ht="409" hidden="0" customHeight="1">
      <x:c r="A810" s="16" t="str">
        <x:v>REC50-R42-003</x:v>
      </x:c>
      <x:c r="B810" s="4" t="str">
        <x:v>Bulgarian farmer crossing road blocks on February 6–7, 2024</x:v>
      </x:c>
      <x:c r="C810" s="4" t="str">
        <x:v>Bulgaria; Romania</x:v>
      </x:c>
      <x:c r="D810" s="4" t="str">
        <x:v>Giurgiu / Ruse; Calafat / Vidin; Vama Veche / Durankulak; Negru Voda / Kardam
Named Romania–Bulgaria road crossings and approaches</x:v>
      </x:c>
      <x:c r="E810" s="4" t="str">
        <x:v>Road vehicles; phase-specific class detail
Direction: Both directions where expressly reported; Vidin February 6 not disaggregated
Exceptions: Pedestrian and emergency exception inventory is not established. No full boundary closure is inferred.</x:v>
      </x:c>
      <x:c r="F810" s="4" t="str">
        <x:v>REC50-R42-003-P1 — Observed operation
Giurgiu–Ruse February 6 farmer blockade
Start: 2024-02-06.
Observed scoped reopening: 2024-02-06.
Same-day episode; no whole-day duration inferred; Approximately two hours as reported; no exact elapsed-time calculation.
REC50-R42-003-P2 — Observed operation
Vidin–Calafat February 6 farmer road block
Start: 2024-02-06.
Last confirmed: 2024-02-06. Reopening is not established.
dated evidence; numeric duration withheld; see qualification
REC50-R42-003-P3 — Observed operation
Giurgiu / Ruse February 7 short farmer blockade
Start: 2024-02-07.
Observed scoped reopening: 2024-02-07.
Same-day episode; no whole-day duration inferred; Several hours; headline nearly three hours. No exact gate-specific measurement.
REC50-R42-003-P4 — Observed operation
Calafat / Vidin February 7 short farmer blockade
Start: 2024-02-07.
Observed scoped reopening: 2024-02-07.
Same-day episode; no whole-day duration inferred; Several hours; headline nearly three hours. No exact gate-specific measurement.
REC50-R42-003-P5 — Observed operation
Vama Veche / Durankulak February 7 short farmer blockade
Start: 2024-02-07.
Observed scoped reopening: 2024-02-07.
Same-day episode; no whole-day duration inferred; Several hours; headline nearly three hours. No exact gate-specific measurement.
REC50-R42-003-P6 — Observed operation
Negru Voda / Kardam February 7 short farmer blockade
Start: 2024-02-07.
Observed scoped reopening: 2024-02-07.
Same-day episode; no whole-day duration inferred; Several hours; headline nearly three hours. No exact gate-specific measurement.</x:v>
      </x:c>
      <x:c r="G810" s="4" t="str">
        <x:v>Policy and socioeconomic demands / Jobs, services and livelihoods
Farmer associations quoted by RRA and protest demands reported by Euronews
Applies to: February 6–7 named crossing phases
Support, costs and agricultural policy demands are attributed to the protesters. No economic effect estimate or entire-frontier closure is inferred.</x:v>
      </x:c>
      <x:c r="H810" s="4" t="str">
        <x:v>REC50-R42-003-P1: The February 6 Ruse stop and its approximately two-hour duration are reported as completed. The actual 10:10 onset differs from the advertised 10:30 schedule. Neither queue time nor the later February 7 block is added to a continuous closure duration.
REC50-R42-003-P2: Vidin–Calafat was actually blocked on February 6, but the quoted 18:00 finish was an intention. A February 7 action does not prove either continuous overnight blockage or the first day’s endpoint.
REC50-R42-003-P3: The February 7 report describes completed several-hour blocks; its headline says nearly three hours. This is a separate daily action, not a continuous interval from February 6. No crossing-specific exact start/reopening clock or pedestrian scope is established.
REC50-R42-003-P4: The February 7 report describes completed several-hour blocks; its headline says nearly three hours. This is a separate daily action, not a continuous interval from February 6. No crossing-specific exact start/reopening clock or pedestrian scope is established.
REC50-R42-003-P5: The February 7 report describes completed several-hour blocks; its headline says nearly three hours. This is a separate daily action, not a continuous interval from February 6. No crossing-specific exact start/reopening clock or pedestrian scope is established.
REC50-R42-003-P6: The February 7 report describes completed several-hour blocks; its headline says nearly three hours. This is a separate daily action, not a continuous interval from February 6. No crossing-specific exact start/reopening clock or pedestrian scope is established.
First-day Vidin endpoint and gate-specific clocks: February 6 Vidin has only an intended finish. February 7 reported short actions do not resolve it or establish overnight continuity.</x:v>
      </x:c>
      <x:c r="I810" s="4" t="str">
        <x:v>New-record source research (REC50-R42); accepted addition; evidence limits retained.</x:v>
      </x:c>
      <x:c r="J810" s="18" t="d">
        <x:v>2026-10-25T00:00:00.000Z</x:v>
      </x:c>
      <x:c r="K810" s="21" t="str">
        <x:f>IFERROR(HYPERLINK("https://www.romania-actualitati.ro/stiri/protestele-fermierilor-bulgari-au-inchis-granita-cu-romania-id188411.html","Radio Romania Actualitati"),"Radio Romania Actualitati")</x:f>
        <x:v>Radio Romania Actualitati</x:v>
      </x:c>
      <x:c r="L810" s="21" t="str">
        <x:f>IFERROR(HYPERLINK("https://agerpres.ro/politic/2020/01/01/x--1244075","Agerpres"),"Agerpres")</x:f>
        <x:v>Agerpres</x:v>
      </x:c>
      <x:c r="M810" s="21" t="str">
        <x:f>IFERROR(HYPERLINK("https://www.euronews.ro/articole/protestele-fermierilor-bulgari-au-blocat-vamile-din-romania-punctele-calafat-giur","Euronews Romania"),"Euronews Romania")</x:f>
        <x:v>Euronews Romania</x:v>
      </x:c>
      <x:c r="N810" s="4" t="str">
        <x:v>https://www.romania-actualitati.ro/stiri/protestele-fermierilor-bulgari-au-inchis-granita-cu-romania-id188411.html
https://agerpres.ro/politic/2020/01/01/x--1244075
https://www.euronews.ro/articole/protestele-fermierilor-bulgari-au-blocat-vamile-din-romania-punctele-calafat-giur</x:v>
      </x:c>
      <x:c r="O810" s="4" t="str">
        <x:v>Source 1: full text
Source 2: full text
Source 3: full text</x:v>
      </x:c>
      <x:c r="P810" s="20" t="n">
        <x:v>6</x:v>
      </x:c>
      <x:c r="Q810" s="4" t="str">
        <x:v>Europe</x:v>
      </x:c>
      <x:c r="R810" s="4" t="str">
        <x:v>Included</x:v>
      </x:c>
    </x:row>
    <x:row r="811" ht="102" hidden="0" customHeight="1">
      <x:c r="A811" s="16" t="str">
        <x:v>REC50-R42-004</x:v>
      </x:c>
      <x:c r="B811" s="4" t="str">
        <x:v>Greek farmer vehicle blockade at Evzoni–Bogorodica, January–February 2017</x:v>
      </x:c>
      <x:c r="C811" s="4" t="str">
        <x:v>Greece; North Macedonia (then Macedonia / FYROM)</x:v>
      </x:c>
      <x:c r="D811" s="4" t="str">
        <x:v>Evzoni / Bogorodica
Evzoni road crossing, opposite Bogorodica</x:v>
      </x:c>
      <x:c r="E811" s="4" t="str">
        <x:v>Passenger and cargo motor vehicles
Direction: Both directions
Exceptions: Pedestrians reportedly could pass, based on the indexed Yeni Balkan reproduction. Dojran and Medzitlija remained alternatives.</x:v>
      </x:c>
      <x:c r="F811" s="4" t="str">
        <x:v>REC50-R42-004-P1 — Observed operation
Bogorodica–Evzoni passenger and cargo vehicle blockade
Start: 2017-01-30.
Observed scoped reopening: 2017-02-17.
18 calendar-day difference; scoped endpoint only</x:v>
      </x:c>
      <x:c r="G811" s="4" t="str">
        <x:v>Uncoded
Greek farmers’ protest against government is reported
Applies to: Vehicle phase
A source-specific substantive demand for this Evzoni action was not recovered in the bounded search; the Kulata policy explanation is not automatically transferred.</x:v>
      </x:c>
      <x:c r="H811" s="4" t="str">
        <x:v>REC50-R42-004-P1: The vehicle blockade is dated January 30–February 17 by onset, intermediate, morning-still-closed and actual restoration reports. Eighteen calendar days is not an elapsed-hour measurement. Several reports share AMSM origin. Pedestrian passage was separately reported and is excluded; no all-person or all-Greece frontier closure is claimed.
Original reporting chain, exceptions and specific purpose: The date interval has operational support; exact-hour measurement, direct-source pedestrian exception and Evzoni-specific substantive protest demands remain unresolved. Several nominal outlets share AMSM origin.</x:v>
      </x:c>
      <x:c r="I811" s="4" t="str">
        <x:v>New-record source research (REC50-R42); accepted addition; evidence limits retained.</x:v>
      </x:c>
      <x:c r="J811" s="18" t="d">
        <x:v>2026-10-25T00:00:00.000Z</x:v>
      </x:c>
      <x:c r="K811" s="21" t="str">
        <x:f>IFERROR(HYPERLINK("https://duma.mk/21651-2017-01-31-09-56-02/","Duma.mk"),"Duma.mk")</x:f>
        <x:v>Duma.mk</x:v>
      </x:c>
      <x:c r="L811" s="21" t="str">
        <x:f>IFERROR(HYPERLINK("https://meta.mk/shesti-den-blokada-na-evzoni-bogoroditsa/","Meta.mk"),"Meta.mk")</x:f>
        <x:v>Meta.mk</x:v>
      </x:c>
      <x:c r="M811" s="21" t="str">
        <x:f>IFERROR(HYPERLINK("https://duma.mk/21853-2017-02-17-08-56-38/","Duma.mk"),"Duma.mk")</x:f>
        <x:v>Duma.mk</x:v>
      </x:c>
      <x:c r="N811" s="4" t="str">
        <x:v>https://duma.mk/21651-2017-01-31-09-56-02/
https://meta.mk/shesti-den-blokada-na-evzoni-bogoroditsa/
https://duma.mk/21853-2017-02-17-08-56-38/
https://denar.mk/136064
https://www.ofae.gr/en/nea/driving-restrictions/sta/
https://www.carina.mk/index.php/en/2016-08-15-20-09-54/2016-08-15-15-05-05/1153-2017-02-20-14-19-31
https://avim.org.tr/tr/Bulten/EVZONI-SINIR-KAPISI-DUNDEN-ITIBAREN-KAPALI</x:v>
      </x:c>
      <x:c r="O811" s="4" t="str">
        <x:v>Source 1: full text
Source 2: full text
Source 3: full text</x:v>
      </x:c>
      <x:c r="P811" s="20" t="n">
        <x:v>1</x:v>
      </x:c>
      <x:c r="Q811" s="4" t="str">
        <x:v>Europe</x:v>
      </x:c>
      <x:c r="R811" s="4" t="str">
        <x:v>Included</x:v>
      </x:c>
    </x:row>
    <x:row r="812" ht="90" hidden="0" customHeight="1">
      <x:c r="A812" s="16" t="str">
        <x:v>REC50-R42-005</x:v>
      </x:c>
      <x:c r="B812" s="4" t="str">
        <x:v>Kalpaki farmer road blockade affecting Kakavia and Mertzani approaches, February 2024</x:v>
      </x:c>
      <x:c r="C812" s="4" t="str">
        <x:v>Greece; Albania</x:v>
      </x:c>
      <x:c r="D812" s="4" t="str">
        <x:v>Approach to Kakavia / Kakavija and Mertzani / Tre Urat
Kalpaki road approach serving two named international customs posts; exact barrier location unbound</x:v>
      </x:c>
      <x:c r="E812" s="4" t="str">
        <x:v>Non-exempt road vehicles
Direction: Road approach; exact crossing-direction inventory absent
Exceptions: Buses and vulnerable groups allowed; an intervening one-hour opening is explicit.</x:v>
      </x:c>
      <x:c r="F812" s="4" t="str">
        <x:v>REC50-R42-005-P1 — Intermittent regime
Kalpaki road approach serving Kakavia and Mertzani customs crossings
Start: 2024-02-20.
Last confirmed: 2024-02-20. Reopening is not established.
Intermittent regime envelope; total closed days unknown</x:v>
      </x:c>
      <x:c r="G812" s="4" t="str">
        <x:v>Uncoded
Farmers identified as the obstructing group
Applies to: REC50-R42-005-P1
No specific substantive demand is stated in the inspected local report; generic national farmer grievances are not inferred.</x:v>
      </x:c>
      <x:c r="H812" s="4" t="str">
        <x:v>REC50-R42-005-P1: ERT describes an intermittent blockade of the Kalpaki approach road to Kakavia and Mertzani, not closure of the customs facilities. A one-hour opening until 14:00 interrupts continuity. Buses and vulnerable groups could pass. Planned 23:00 finish and planned bypass blockage are not completed events.
Final endpoint, road scope and rationale: The source establishes actual interruption and an interim opening with exceptions, but not a completed final reopening, exact barrier footprint or specific demand.</x:v>
      </x:c>
      <x:c r="I812" s="4" t="str">
        <x:v>New-record source research (REC50-R42); accepted addition; evidence limits retained.</x:v>
      </x:c>
      <x:c r="J812" s="18" t="d">
        <x:v>2026-10-25T00:00:00.000Z</x:v>
      </x:c>
      <x:c r="K812" s="21" t="str">
        <x:f>IFERROR(HYPERLINK("https://www.ertnews.gr/perifereiakoi-stathmoi/ioanina/ipeiros-agrotes-ekleisan-ton-dromo-pou-odigei-sta-teloneia-kakkavias-kai-mertzanis/","ERT News"),"ERT News")</x:f>
        <x:v>ERT News</x:v>
      </x:c>
      <x:c r="L812" s="21"/>
      <x:c r="M812" s="21"/>
      <x:c r="N812" s="4" t="str">
        <x:v>https://www.ertnews.gr/perifereiakoi-stathmoi/ioanina/ipeiros-agrotes-ekleisan-ton-dromo-pou-odigei-sta-teloneia-kakkavias-kai-mertzanis/</x:v>
      </x:c>
      <x:c r="O812" s="4" t="str">
        <x:v>Source 1: full text</x:v>
      </x:c>
      <x:c r="P812" s="20" t="n">
        <x:v>1</x:v>
      </x:c>
      <x:c r="Q812" s="4" t="str">
        <x:v>Europe</x:v>
      </x:c>
      <x:c r="R812" s="4" t="str">
        <x:v>Included</x:v>
      </x:c>
    </x:row>
    <x:row r="813" ht="162" hidden="0" customHeight="1">
      <x:c r="A813" s="16" t="str">
        <x:v>REC50-R43-001</x:v>
      </x:c>
      <x:c r="B813" s="4" t="str">
        <x:v>Gambia restriction on Senegal-origin poultry imports during avian influenza, 2021</x:v>
      </x:c>
      <x:c r="C813" s="4" t="str">
        <x:v>Gambia; Senegal</x:v>
      </x:c>
      <x:c r="D813" s="4" t="str">
        <x:v>No named land post established
Origin-specific import policy on the Gambia–Senegal frontier; other affected origins not individually reconstructed</x:v>
      </x:c>
      <x:c r="E813" s="4" t="str">
        <x:v>Live poultry, chicken meat and eggs from restricted origins
Direction: Into Gambia
Exceptions: Unaffected countries remain permitted; no passenger or all-goods frontier closure inferred.</x:v>
      </x:c>
      <x:c r="F813" s="4" t="str">
        <x:v>REC50-R43-001-P1 — Formal policy
Gambian import prohibition on Senegal-origin poultry and poultry products, with other affected origins mentioned
Start: 2021-01-15.
Last confirmed: unknown. Reopening is not established.
Formal policy: dated evidence; numeric duration withheld; see qualification</x:v>
      </x:c>
      <x:c r="G813" s="4" t="str">
        <x:v>Health and biosecurity / Animal and plant disease control
Ministry attributes the measure to preventing avian-influenza introduction.
Applies to: Only the separately described policy/commodity phases
Source-attributed policy purpose; no operational closure or additional motive inferred.</x:v>
      </x:c>
      <x:c r="H813" s="4" t="str">
        <x:v>REC50-R43-001-P1: The Friday announcement date derives to 15 January 2021, not an observed land-gate denial. August reporting concerns a continuing Gambian chick restriction; hearsay about Senegal’s own rule is not a Gambian lifting. Affected origins and poultry products remain scoped. No continuous physical-closure interval or endpoint is established. The August source directly confirms the chick subgroup; it does not establish a same-date restatement for the full live-bird, meat, egg and affected-origin set. The combined phase’s Last confirmed field is therefore left empty.
effective scope; lifting; implementation; source provenance: The Friday announcement date derives to 15 January 2021, not an observed land-gate denial. August reporting concerns a continuing Gambian chick restriction; hearsay about Senegal’s own rule is not a Gambian lifting. Affected origins and poultry products remain scoped. No continuous physical-closure interval or endpoint is established. The August source directly confirms the chick subgroup; it does not establish a same-date restatement for the full live-bird, meat, egg and affected-origin set. The combined phase’s Last confirmed field is therefore left empty.</x:v>
      </x:c>
      <x:c r="I813" s="4" t="str">
        <x:v>New-record source research (REC50-R43); accepted addition; evidence limits retained.</x:v>
      </x:c>
      <x:c r="J813" s="18" t="d">
        <x:v>2026-10-25T00:00:00.000Z</x:v>
      </x:c>
      <x:c r="K813" s="21" t="str">
        <x:f>IFERROR(HYPERLINK("https://standard.gm/govt-bans-importation-of-chickens-from-senegal0/","The Standard, Gambia"),"The Standard, Gambia")</x:f>
        <x:v>The Standard, Gambia</x:v>
      </x:c>
      <x:c r="L813" s="21" t="str">
        <x:f>IFERROR(HYPERLINK("https://gna.org.gh/2021/01/special-for-cafs-the-gambia-bans-importation-of-live-birds-from-senegal-amid-bird-flu-outbreak/","Xinhua via Ghana News Agency"),"Xinhua via Ghana News Agency")</x:f>
        <x:v>Xinhua via Ghana News Agency</x:v>
      </x:c>
      <x:c r="M813" s="21" t="str">
        <x:f>IFERROR(HYPERLINK("https://poultryandlivestockafrica.com/gambia-poultry-owner-calls-on-government-to-reconsider-lifting-ban-on-importation-of-chicks/","Poultry and Livestock Africa"),"Poultry and Livestock Africa")</x:f>
        <x:v>Poultry and Livestock Africa</x:v>
      </x:c>
      <x:c r="N813" s="4" t="str">
        <x:v>https://standard.gm/govt-bans-importation-of-chickens-from-senegal0/
https://gna.org.gh/2021/01/special-for-cafs-the-gambia-bans-importation-of-live-birds-from-senegal-amid-bird-flu-outbreak/
https://poultryandlivestockafrica.com/gambia-poultry-owner-calls-on-government-to-reconsider-lifting-ban-on-importation-of-chicks/</x:v>
      </x:c>
      <x:c r="O813" s="4" t="str">
        <x:v>Source 1: full text
Source 2: full text
Source 3: full text</x:v>
      </x:c>
      <x:c r="P813" s="20" t="n">
        <x:v>1</x:v>
      </x:c>
      <x:c r="Q813" s="4" t="str">
        <x:v>West Africa</x:v>
      </x:c>
      <x:c r="R813" s="4" t="str">
        <x:v>Included</x:v>
      </x:c>
    </x:row>
    <x:row r="814" ht="114" hidden="0" customHeight="1">
      <x:c r="A814" s="16" t="str">
        <x:v>REC50-R43-002</x:v>
      </x:c>
      <x:c r="B814" s="4" t="str">
        <x:v>Mali cereal and cotton-input export suspension from December 2021</x:v>
      </x:c>
      <x:c r="C814" s="4" t="str">
        <x:v>Mali; foreign destinations not exhaustively identified</x:v>
      </x:c>
      <x:c r="D814" s="4" t="str">
        <x:v>No exhaustive land-post list established
National outward commodity policy in landlocked Mali; individual land-post implementation unresolved</x:v>
      </x:c>
      <x:c r="E814" s="4" t="str">
        <x:v>Cottonseed, cottonseed cake, millet, sorghum, maize and local rice
Direction: Outward from Mali
Exceptions: Local rice is explicitly named in the primary presentation; unrelated products and import rules are outside scope.</x:v>
      </x:c>
      <x:c r="F814" s="4" t="str">
        <x:v>REC50-R43-002-P1 — Formal policy
Mali exports of the listed cereals and cotton inputs under order 2021-5126/MIC-MEF-SG
Start: 2021-12-06.
Last confirmed: unknown. Reopening is not established.
Formal policy: dated evidence; numeric duration withheld; see qualification</x:v>
      </x:c>
      <x:c r="G814" s="4" t="str">
        <x:v>Trade and protectionism / Import, export and production controls
FAO and the Malian presentation attribute the export measure to protecting domestic food supply and prices.
Applies to: Only the separately described policy/commodity phases
Source-attributed policy purpose; no operational closure or additional motive inferred.</x:v>
      </x:c>
      <x:c r="H814" s="4" t="str">
        <x:v>REC50-R43-002-P1: The 6 December 2021 order is policy evidence. The later Malian government presentation specifies local rice and cottonseed/cake alongside cereals and says the measure remains in force, but its exact publication date is not verified. No date is derived from the filename, no continuous all-post enforcement inferred, and no endpoint established.
effective scope; lifting; implementation; source provenance: The 6 December 2021 order is policy evidence. The later Malian government presentation specifies local rice and cottonseed/cake alongside cereals and says the measure remains in force, but its exact publication date is not verified. No date is derived from the filename, no continuous all-post enforcement inferred, and no endpoint established.</x:v>
      </x:c>
      <x:c r="I814" s="4" t="str">
        <x:v>New-record source research (REC50-R43); accepted addition; evidence limits retained.</x:v>
      </x:c>
      <x:c r="J814" s="18" t="d">
        <x:v>2026-10-25T00:00:00.000Z</x:v>
      </x:c>
      <x:c r="K814" s="21" t="str">
        <x:f>IFERROR(HYPERLINK("https://www.fao.org/giews/food-prices/food-policies/detail/fr/c/1461003/","FAO GIEWS"),"FAO GIEWS")</x:f>
        <x:v>FAO GIEWS</x:v>
      </x:c>
      <x:c r="L814" s="21" t="str">
        <x:f>IFERROR(HYPERLINK("https://www.wto.org/english/tratop_e/agric_e/dd160523_mli_e.pdf","Mali Ministry of Industry and Trade, hosted by WTO"),"Mali Ministry of Industry and Trade, hosted by WTO")</x:f>
        <x:v>Mali Ministry of Industry and Trade, hosted by WTO</x:v>
      </x:c>
      <x:c r="M814" s="21"/>
      <x:c r="N814" s="4" t="str">
        <x:v>https://www.fao.org/giews/food-prices/food-policies/detail/fr/c/1461003/
https://www.wto.org/english/tratop_e/agric_e/dd160523_mli_e.pdf</x:v>
      </x:c>
      <x:c r="O814" s="4" t="str">
        <x:v>Source 1: full text
Source 2: full text</x:v>
      </x:c>
      <x:c r="P814" s="20" t="n">
        <x:v>1</x:v>
      </x:c>
      <x:c r="Q814" s="4" t="str">
        <x:v>West Africa</x:v>
      </x:c>
      <x:c r="R814" s="4" t="str">
        <x:v>Included</x:v>
      </x:c>
    </x:row>
    <x:row r="815" ht="282" hidden="0" customHeight="1">
      <x:c r="A815" s="16" t="str">
        <x:v>REC50-R43-003</x:v>
      </x:c>
      <x:c r="B815" s="4" t="str">
        <x:v>Burkina Faso grain-export authorisation and commodity restrictions, separately documented in 2021–2024</x:v>
      </x:c>
      <x:c r="C815" s="4" t="str">
        <x:v>Burkina Faso; foreign destinations not exhaustively identified</x:v>
      </x:c>
      <x:c r="D815" s="4" t="str">
        <x:v>No named post assigned by these policy documents
National outward commodity authorisation/export rules in landlocked Burkina Faso; post-level operation unresolved</x:v>
      </x:c>
      <x:c r="E815" s="4" t="str">
        <x:v>New permits for selected grains; later flour and grain/cowpea rules separately phased
Direction: Outward from Burkina Faso
Exceptions: The prior root co-author transcription describes a moratorium on new special export authorisations; that primary-dependent scope remains held because readable notice pixels were not recovered. Invalidity of existing permits is not established. Each later product list retains its own scope.</x:v>
      </x:c>
      <x:c r="F815" s="4" t="str">
        <x:v>REC50-R43-003-P1 — Announced window
Suspension of issuance of new special export authorisations for millet, maize and sorghum
Start: 2021-12-15.
Scheduled endpoint: unknown.
Contested: Ordered window: dated evidence; numeric duration withheld; see qualification
Held evidence: excluded from numeric duration and animation displays.
REC50-R43-003-P2 — Formal policy
Reported prohibition on exports of millet, maize and sorghum flour announced 23 February 2022
Start: unknown.
Last confirmed: 2022-02-23. Reopening is not established.
Formal policy: dated evidence; numeric duration withheld; see qualification
REC50-R43-003-P3 — Formal policy
November 2024 restatement of the national cowpea and specified cereal export prohibition
Start: unknown.
Last confirmed: 2024-11-13. Reopening is not established.
Formal policy: dated evidence; numeric duration withheld; see qualification</x:v>
      </x:c>
      <x:c r="G815" s="4" t="str">
        <x:v>Trade and protectionism / Import, export and production controls
FAO attributes domestic supply and price aims to the flour restriction and linked earlier grain measure. The November 2024 communiqué independently restates specified export controls without repeating that purpose.
Applies to: FAO-described earlier grain/flour measures; the November 2024 phase separately establishes an export-control rule, with no independently restated supply/price purpose.
Source-attributed policy purpose; no operational closure or additional motive inferred.</x:v>
      </x:c>
      <x:c r="H815" s="4" t="str">
        <x:v>REC50-R43-003-P1: New-permit moratorium only; existing permits are not stated to be void. Primary December date/scope differs from FAO’s January whole-grain summary. Image pixels are not preserved in the web JSON; root visual transcription remains explicit. The separate challenger could not recover the image: direct web open failed 502, the screenshot response exposed only an image marker, and byte retrieval failed 503. The root co-author’s claimed visual reading is preserved as an attributed transcription, not independently verified here. Primary-dependent date/scope fields remain held; no operational duration is assigned.
REC50-R43-003-P2: Announcement observation only. The exact operative start and lifting are not reconstructed, and this flour rule is not automatically continuous with whole-grain permit restrictions.
REC50-R43-003-P3: Neither the exact start for cowpea nor an unbroken link to 2021/2022 is established. Reported violations show that a legal prohibition is not universal physical stoppage.
effective scope; lifting; implementation; source provenance: Three policy observations remain separate. The primary December 2021 notice suspends NEW export permits, not proved cancellation of existing permits; it conflicts with FAO’s January 2021 blanket-ban chronology. The February 2022 flour announcement and November 2024 grain/cowpea restatement do not establish one continuous operational spell. Cowpea is not backdated to the cited December 2023 cereal notice. The separate challenger could not recover the image: direct web open failed 502, the screenshot response exposed only an image marker, and byte retrieval failed 503. The root co-author’s claimed visual reading is preserved as an attributed transcription, not independently verified here. Primary-dependent date/scope fields remain held; no operational duration is assigned.</x:v>
      </x:c>
      <x:c r="I815" s="4" t="str">
        <x:v>Full-record source audit (REC50-R50); accepted corrections; evidence limits retained.</x:v>
      </x:c>
      <x:c r="J815" s="18" t="d">
        <x:v>2026-10-25T00:00:00.000Z</x:v>
      </x:c>
      <x:c r="K815" s="21" t="str">
        <x:f>IFERROR(HYPERLINK("https://www.fao.org/giews/food-prices/food-policies/detail/fr/c/1492068/","FAO GIEWS / FPMA"),"FAO GIEWS / FPMA")</x:f>
        <x:v>FAO GIEWS / FPMA</x:v>
      </x:c>
      <x:c r="L815" s="21" t="str">
        <x:f>IFERROR(HYPERLINK("https://www.commerce.gov.bf/fileadmin/user_upload/storage/fichiers/COMMUNIQUE_SUSPENSION_DES_ASE_DE_MIL_MAI__S_ET_SORGHO.pdf","Burkina Faso commerce ministry"),"Burkina Faso commerce ministry")</x:f>
        <x:v>Burkina Faso commerce ministry</x:v>
      </x:c>
      <x:c r="M815" s="21" t="str">
        <x:f>IFERROR(HYPERLINK("https://www.actualite.bf/commerce-le-gouvernement-interdit-lexportation-du-niebe-et-des-cereales-au-burkina-faso/","Actualité / reproduced joint ministerial communiqué"),"Actualité / reproduced joint ministerial communiqué")</x:f>
        <x:v>Actualité / reproduced joint ministerial communiqué</x:v>
      </x:c>
      <x:c r="N815" s="4" t="str">
        <x:v>https://www.fao.org/giews/food-prices/food-policies/detail/fr/c/1492068/
https://www.commerce.gov.bf/fileadmin/user_upload/storage/fichiers/COMMUNIQUE_SUSPENSION_DES_ASE_DE_MIL_MAI__S_ET_SORGHO.pdf
https://www.actualite.bf/commerce-le-gouvernement-interdit-lexportation-du-niebe-et-des-cereales-au-burkina-faso/</x:v>
      </x:c>
      <x:c r="O815" s="4" t="str">
        <x:v>Source 1: full text
Source 2: full text; unavailable
Source 3: full text</x:v>
      </x:c>
      <x:c r="P815" s="20" t="n">
        <x:v>3</x:v>
      </x:c>
      <x:c r="Q815" s="4" t="str">
        <x:v>West Africa</x:v>
      </x:c>
      <x:c r="R815" s="4" t="str">
        <x:v>Included</x:v>
      </x:c>
    </x:row>
    <x:row r="816" ht="186" hidden="0" customHeight="1">
      <x:c r="A816" s="16" t="str">
        <x:v>REC50-R43-004</x:v>
      </x:c>
      <x:c r="B816" s="4" t="str">
        <x:v>Ghana grain-export restrictions: named land-station directive in 2022 and separate 2024 ban</x:v>
      </x:c>
      <x:c r="C816" s="4" t="str">
        <x:v>Ghana; neighbouring export destinations</x:v>
      </x:c>
      <x:c r="D816" s="4" t="str">
        <x:v>Tatale, Wonjuga, Bunkpurugu, Saboba (2022 directive only)
Four named land stations in the 2022 directive; national grain-export policy in the separate 2024 phase</x:v>
      </x:c>
      <x:c r="E816" s="4" t="str">
        <x:v>2022 grains and soybeans; 2024 corn and rice explicitly supported
Direction: Outward from Ghana
Exceptions: A licensing system is not assumed to prohibit every export; 2024 scope is not expanded to every crop threatened by the dry spell.</x:v>
      </x:c>
      <x:c r="F816" s="4" t="str">
        <x:v>REC50-R43-004-P1 — Formal policy
Grain and soybean export-prevention directive to Tatale, Wonjuga, Bunkpurugu and Saboba customs stations
Start: unknown.
Last confirmed: 2022-12-01. Reopening is not established.
Formal policy: dated evidence; numeric duration withheld; see qualification
REC50-R43-004-P2 — Formal policy
Grain-export prohibition announced 26 August 2024, with corn and rice explicitly supported
Start: 2024-08-26.
Last confirmed: unknown. Reopening is not established.
Formal policy: dated evidence; numeric duration withheld; see qualification</x:v>
      </x:c>
      <x:c r="G816" s="4" t="str">
        <x:v>Trade and protectionism / Import, export and production controls
Sources attribute the rules to domestic food security and supply for local uses.
Applies to: Only the separately described policy/commodity phases
Source-attributed policy purpose; no operational closure or additional motive inferred.</x:v>
      </x:c>
      <x:c r="H816" s="4" t="str">
        <x:v>REC50-R43-004-P1: The article’s retrospective onset/extensions are not converted to precise gate dates. Visible L.I.2467 purpose is export licensing, not sufficient evidence that all exports were banned.
REC50-R43-004-P2: Policy date and later report do not establish every-post enforcement. This separate 2024 observation is not spliced into the 2022 phase. Lifting remains unknown. The December report’s explicit continuing-status passage concerns corn; its broader grain wording and reference to the 2022 measure do not settle identical current rice coverage. Keep the combined corn/rice Last confirmed field empty and retain the corn-specific later observation in narrative.
effective scope; lifting; implementation; source provenance: The December 2022 named-post directive is a dated policy observation, not a verified first denial. The separately announced August 2024 grain ban includes corn and rice; threatened-crop lists are not automatically prohibited-product lists. Partial L.I.2467 text describes licensing and does not prove a blanket ban. No uninterrupted 2021–2024 closure or actual reopening is inferred. December continuing-status evidence is directly corn-specific; later rice status remains unresolved.</x:v>
      </x:c>
      <x:c r="I816" s="4" t="str">
        <x:v>New-record source research (REC50-R43); accepted addition; evidence limits retained.</x:v>
      </x:c>
      <x:c r="J816" s="18" t="d">
        <x:v>2026-10-25T00:00:00.000Z</x:v>
      </x:c>
      <x:c r="K816" s="21" t="str">
        <x:f>IFERROR(HYPERLINK("https://www.myjoyonline.com/enforce-ban-on-export-of-cereals-gra-to-customs-division/","MyJoyOnline"),"MyJoyOnline")</x:f>
        <x:v>MyJoyOnline</x:v>
      </x:c>
      <x:c r="L816" s="21" t="str">
        <x:f>IFERROR(HYPERLINK("https://www.judy.legal/legislation/akn/gh/act/li/2022/2467","Judy.legal, Ghana legislation metadata"),"Judy.legal, Ghana legislation metadata")</x:f>
        <x:v>Judy.legal, Ghana legislation metadata</x:v>
      </x:c>
      <x:c r="M816" s="21" t="str">
        <x:f>IFERROR(HYPERLINK("https://gna.org.gh/2024/08/govt-bans-export-of-grains-to-avert-potential-food-crises/","Ghana News Agency"),"Ghana News Agency")</x:f>
        <x:v>Ghana News Agency</x:v>
      </x:c>
      <x:c r="N816" s="4" t="str">
        <x:v>https://www.myjoyonline.com/enforce-ban-on-export-of-cereals-gra-to-customs-division/
https://www.judy.legal/legislation/akn/gh/act/li/2022/2467
https://gna.org.gh/2024/08/govt-bans-export-of-grains-to-avert-potential-food-crises/
https://apps.fas.usda.gov/newgainapi/api/Report/DownloadReportByFileName?fileName=Ghana+Grain+and+Feed+-+Update+-+2024_Accra_Ghana_GH2024-0015.pdf</x:v>
      </x:c>
      <x:c r="O816" s="4" t="str">
        <x:v>Source 1: full text
Source 2: partial metadata
Source 3: full text</x:v>
      </x:c>
      <x:c r="P816" s="20" t="n">
        <x:v>2</x:v>
      </x:c>
      <x:c r="Q816" s="4" t="str">
        <x:v>West Africa</x:v>
      </x:c>
      <x:c r="R816" s="4" t="str">
        <x:v>Included</x:v>
      </x:c>
    </x:row>
    <x:row r="817" ht="114" hidden="0" customHeight="1">
      <x:c r="A817" s="16" t="str">
        <x:v>REC50-R43-005</x:v>
      </x:c>
      <x:c r="B817" s="4" t="str">
        <x:v>Burkina Faso poultry-import restriction on Benin, Togo and Côte d’Ivoire origins, August 2021</x:v>
      </x:c>
      <x:c r="C817" s="4" t="str">
        <x:v>Burkina Faso; Benin; Togo; Côte d’Ivoire</x:v>
      </x:c>
      <x:c r="D817" s="4" t="str">
        <x:v>No individual crossing named
Named-origin poultry import policy with explicitly reinforced frontier controls</x:v>
      </x:c>
      <x:c r="E817" s="4" t="str">
        <x:v>Poultry and avian products from Benin, Togo and Côte d’Ivoire
Direction: Into Burkina Faso
Exceptions: No prohibition on unaffected origins, all cargo or ordinary travellers is inferred.</x:v>
      </x:c>
      <x:c r="F817" s="4" t="str">
        <x:v>REC50-R43-005-P1 — Formal policy
Burkina Faso import prohibition on poultry and avian products from the three named origins
Start: unknown.
Last confirmed: 2021-08-20. Reopening is not established.
Formal policy: dated evidence; numeric duration withheld; see qualification</x:v>
      </x:c>
      <x:c r="G817" s="4" t="str">
        <x:v>Health and biosecurity / Animal and plant disease control
Ministry attributes the restriction to avian-influenza risk from the named countries.
Applies to: Only the separately described policy/commodity phases
Source-attributed policy purpose; no operational closure or additional motive inferred.</x:v>
      </x:c>
      <x:c r="H817" s="4" t="str">
        <x:v>REC50-R43-005-P1: Friday derives to the 20 August 2021 ministry announcement, not a known first physical border denial. The measure covers only poultry and avian products from Benin, Togo and Côte d’Ivoire in this reconstruction. Frontier-control reinforcement supplies the land-policy nexus; lifting and all-post implementation remain unknown.
effective scope; lifting; implementation; source provenance: Friday derives to the 20 August 2021 ministry announcement, not a known first physical border denial. The measure covers only poultry and avian products from Benin, Togo and Côte d’Ivoire in this reconstruction. Frontier-control reinforcement supplies the land-policy nexus; lifting and all-post implementation remain unknown.</x:v>
      </x:c>
      <x:c r="I817" s="4" t="str">
        <x:v>Full-record source audit (REC50-R50); retained with recorded qualifications; evidence limits retained.</x:v>
      </x:c>
      <x:c r="J817" s="18" t="d">
        <x:v>2026-10-25T00:00:00.000Z</x:v>
      </x:c>
      <x:c r="K817" s="21" t="str">
        <x:f>IFERROR(HYPERLINK("https://h.aa.com.tr/fr/afrique/grippe-aviaire-le-burkina-interdit-limportation-de-la-volaille-en-provenance-du-b%C3%A9nin-du-togo-et-de-la-c%C3%B4te-d-ivoire/2341994","Anadolu Agency"),"Anadolu Agency")</x:f>
        <x:v>Anadolu Agency</x:v>
      </x:c>
      <x:c r="L817" s="21"/>
      <x:c r="M817" s="21"/>
      <x:c r="N817" s="4" t="str">
        <x:v>https://h.aa.com.tr/fr/afrique/grippe-aviaire-le-burkina-interdit-limportation-de-la-volaille-en-provenance-du-b%C3%A9nin-du-togo-et-de-la-c%C3%B4te-d-ivoire/2341994</x:v>
      </x:c>
      <x:c r="O817" s="4" t="str">
        <x:v>Source 1: full text</x:v>
      </x:c>
      <x:c r="P817" s="20" t="n">
        <x:v>1</x:v>
      </x:c>
      <x:c r="Q817" s="4" t="str">
        <x:v>West Africa</x:v>
      </x:c>
      <x:c r="R817" s="4" t="str">
        <x:v>Included</x:v>
      </x:c>
    </x:row>
    <x:row r="818" ht="138" hidden="0" customHeight="1">
      <x:c r="A818" s="16" t="str">
        <x:v>REC50-R46-001</x:v>
      </x:c>
      <x:c r="B818" s="4" t="str">
        <x:v>Namibia restriction on Botswana-origin animal products and potentially infectious materials, August 2022</x:v>
      </x:c>
      <x:c r="C818" s="4" t="str">
        <x:v>Namibia; Botswana</x:v>
      </x:c>
      <x:c r="D818" s="4" t="str">
        <x:v>No named post assigned
Origin-specific admission rule on Namibia’s Botswana frontier; no individual gate operation established</x:v>
      </x:c>
      <x:c r="E818" s="4" t="str">
        <x:v>FMD-susceptible animals, raw products and specified infectious feed/materials
Direction: Into Namibia
Exceptions: Sealed transit through Botswana is explicitly permitted under the stated conditions; no all-origin, all-goods or passenger closure inferred.</x:v>
      </x:c>
      <x:c r="F818" s="4" t="str">
        <x:v>REC50-R46-001-P1 — Formal policy
Namibian prohibition on Botswana-origin FMD-susceptible animals, raw products and specified potentially infectious materials
Start: unknown.
Last confirmed: 2022-08-31. Reopening is not established.
Formal policy: dated evidence; numeric duration withheld; see qualification</x:v>
      </x:c>
      <x:c r="G818" s="4" t="str">
        <x:v>Health and biosecurity / Animal and plant disease control
The veterinary authority attributes the measure to FMD risk in Botswana.
Applies to: Namibian prohibition on Botswana-origin FMD-susceptible animals, raw products and specified potentially infectious materials
Attributed reason applies only to the stated commodity, vessel or service; no further motive inferred.</x:v>
      </x:c>
      <x:c r="H818" s="4" t="str">
        <x:v>REC50-R46-001-P1: The report combines two notices issued 24/25 August, without clearly assigning a day to the Botswana measure. The 31 August policy observation is retained, with exact effective onset and lifting unknown. FMD-susceptible animal/product and feed restrictions are origin-specific; sealed third-country transit through Botswana is expressly allowed. Spain’s retroactive dates and Botswana’s internal standstill are not transferred.
effective onset; lifting; implementation; exceptions: The report combines two notices issued 24/25 August, without clearly assigning a day to the Botswana measure. The 31 August policy observation is retained, with exact effective onset and lifting unknown. FMD-susceptible animal/product and feed restrictions are origin-specific; sealed third-country transit through Botswana is expressly allowed. Spain’s retroactive dates and Botswana’s internal standstill are not transferred.</x:v>
      </x:c>
      <x:c r="I818" s="4" t="str">
        <x:v>New-record source research (REC50-R46); accepted addition; evidence limits retained.</x:v>
      </x:c>
      <x:c r="J818" s="18" t="d">
        <x:v>2026-10-25T00:00:00.000Z</x:v>
      </x:c>
      <x:c r="K818" s="21" t="str">
        <x:f>IFERROR(HYPERLINK("https://www.namibian.com.na/diseases-trigger-import-bans-from-botswana-spain/","The Namibian"),"The Namibian")</x:f>
        <x:v>The Namibian</x:v>
      </x:c>
      <x:c r="L818" s="21"/>
      <x:c r="M818" s="21"/>
      <x:c r="N818" s="4" t="str">
        <x:v>https://www.namibian.com.na/diseases-trigger-import-bans-from-botswana-spain/</x:v>
      </x:c>
      <x:c r="O818" s="4" t="str">
        <x:v>Source 1: full text</x:v>
      </x:c>
      <x:c r="P818" s="20" t="n">
        <x:v>1</x:v>
      </x:c>
      <x:c r="Q818" s="4" t="str">
        <x:v>Southern and Central Africa</x:v>
      </x:c>
      <x:c r="R818" s="4" t="str">
        <x:v>Included</x:v>
      </x:c>
    </x:row>
    <x:row r="819" ht="114" hidden="0" customHeight="1">
      <x:c r="A819" s="16" t="str">
        <x:v>REC50-R46-002</x:v>
      </x:c>
      <x:c r="B819" s="4" t="str">
        <x:v>Botswana restriction on Zimbabwe-origin livestock and related products, January 2026</x:v>
      </x:c>
      <x:c r="C819" s="4" t="str">
        <x:v>Botswana; Zimbabwe</x:v>
      </x:c>
      <x:c r="D819" s="4" t="str">
        <x:v>No named enforcement post established
Origin-specific international livestock/product admission policy; no single gate fixed</x:v>
      </x:c>
      <x:c r="E819" s="4" t="str">
        <x:v>Cloven-hoofed livestock and related products from Zimbabwe
Direction: Into Botswana
Exceptions: No all-origin import or general traveller prohibition inferred; Botswana internal disease-zone rules are not separate frontier phases.</x:v>
      </x:c>
      <x:c r="F819" s="4" t="str">
        <x:v>REC50-R46-002-P1 — Formal policy
Botswana prohibition on Zimbabwe-origin cloven-hoofed livestock and related products
Start: 2026-01-19.
Last confirmed: unknown. Reopening is not established.
Formal policy: dated evidence; numeric duration withheld; see qualification</x:v>
      </x:c>
      <x:c r="G819" s="4" t="str">
        <x:v>Health and biosecurity / Animal and plant disease control
The named veterinary official attributes the import measure to FMD risk near the Zimbabwe frontier.
Applies to: Botswana prohibition on Zimbabwe-origin cloven-hoofed livestock and related products
Attributed reason applies only to the stated commodity, vessel or service; no further motive inferred.</x:v>
      </x:c>
      <x:c r="H819" s="4" t="str">
        <x:v>REC50-R46-002-P1: The 19 January 2026 date is derived from Monday in the 20 January APA report and identifies the immediate-policy announcement, not an observed first gate denial. The substantive indexed article is the only inspected account; direct access returned 403. Domestic zones and cross-border import rules are not conflated. Lifting and post-level implementation remain unknown.
effective onset; lifting; implementation; exceptions: The 19 January 2026 date is derived from Monday in the 20 January APA report and identifies the immediate-policy announcement, not an observed first gate denial. The substantive indexed article is the only inspected account; direct access returned 403. Domestic zones and cross-border import rules are not conflated. Lifting and post-level implementation remain unknown.</x:v>
      </x:c>
      <x:c r="I819" s="4" t="str">
        <x:v>New-record source research (REC50-R46); accepted addition; evidence limits retained.</x:v>
      </x:c>
      <x:c r="J819" s="18" t="d">
        <x:v>2026-10-25T00:00:00.000Z</x:v>
      </x:c>
      <x:c r="K819" s="21" t="str">
        <x:f>IFERROR(HYPERLINK("https://apanews.net/botswana-bans-zimbabwe-livestock-over-fmd-outbreak/","African Press Agency"),"African Press Agency")</x:f>
        <x:v>African Press Agency</x:v>
      </x:c>
      <x:c r="L819" s="21"/>
      <x:c r="M819" s="21"/>
      <x:c r="N819" s="4" t="str">
        <x:v>https://apanews.net/botswana-bans-zimbabwe-livestock-over-fmd-outbreak/</x:v>
      </x:c>
      <x:c r="O819" s="4" t="str">
        <x:v>Source 1: indexed extract</x:v>
      </x:c>
      <x:c r="P819" s="20" t="n">
        <x:v>1</x:v>
      </x:c>
      <x:c r="Q819" s="4" t="str">
        <x:v>Southern and Central Africa</x:v>
      </x:c>
      <x:c r="R819" s="4" t="str">
        <x:v>Included</x:v>
      </x:c>
    </x:row>
    <x:row r="820" ht="114" hidden="0" customHeight="1">
      <x:c r="A820" s="16" t="str">
        <x:v>REC50-R46-003</x:v>
      </x:c>
      <x:c r="B820" s="4" t="str">
        <x:v>Botswana restriction on South African livestock and animal-product imports, January 2019</x:v>
      </x:c>
      <x:c r="C820" s="4" t="str">
        <x:v>Botswana; South Africa</x:v>
      </x:c>
      <x:c r="D820" s="4" t="str">
        <x:v>No named Botswana enforcement post assigned
Origin-specific Botswana import restriction; individual land gates not documented</x:v>
      </x:c>
      <x:c r="E820" s="4" t="str">
        <x:v>South-African-origin hoofed livestock and animal products
Direction: Into Botswana
Exceptions: Contaminated-area grasses, bedding and manure are separately scoped in the report; no universal import or passenger restriction inferred.</x:v>
      </x:c>
      <x:c r="F820" s="4" t="str">
        <x:v>REC50-R46-003-P1 — Formal policy
Botswana restriction on South-African-origin hoofed livestock and animal products during the January 2019 FMD episode
Start: unknown.
Last confirmed: 2019-01-11. Reopening is not established.
Formal policy: dated evidence; numeric duration withheld; see qualification</x:v>
      </x:c>
      <x:c r="G820" s="4" t="str">
        <x:v>Health and biosecurity / Animal and plant disease control
Botswana’s veterinary statement attributes the rule to the South African FMD outbreak.
Applies to: Botswana restriction on South-African-origin hoofed livestock and animal products during the January 2019 FMD episode
Attributed reason applies only to the stated commodity, vessel or service; no further motive inferred.</x:v>
      </x:c>
      <x:c r="H820" s="4" t="str">
        <x:v>REC50-R46-003-P1: Botswana’s restriction is established by the 11 January 2019 report, without an exact operative start. Its South-African-origin scope differs from the Zambian measure at Kazungula. USDA’s later review and South Africa’s 28 May disease declaration supply no Botswana-specific lifting; no unchanged all-product rule or physical enforcement is extended to those dates.
effective onset; lifting; implementation; exceptions: Botswana’s restriction is established by the 11 January 2019 report, without an exact operative start. Its South-African-origin scope differs from the Zambian measure at Kazungula. USDA’s later review and South Africa’s 28 May disease declaration supply no Botswana-specific lifting; no unchanged all-product rule or physical enforcement is extended to those dates.</x:v>
      </x:c>
      <x:c r="I820" s="4" t="str">
        <x:v>New-record source research (REC50-R46); accepted addition; evidence limits retained.</x:v>
      </x:c>
      <x:c r="J820" s="18" t="d">
        <x:v>2026-10-25T00:00:00.000Z</x:v>
      </x:c>
      <x:c r="K820" s="21" t="str">
        <x:f>IFERROR(HYPERLINK("https://www.newsday.co.zw/zimdecides18/article/60066/foot-and-mouth-zim-bots-ban-meat-imports-from-south-africa","NewsDay Zimbabwe"),"NewsDay Zimbabwe")</x:f>
        <x:v>NewsDay Zimbabwe</x:v>
      </x:c>
      <x:c r="L820" s="21" t="str">
        <x:f>IFERROR(HYPERLINK("https://apps.fas.usda.gov/newgainapi/api/report/downloadreportbyfilename?filename=FMD+Outbreak+Leads+to+Bans+on+Imports+of+Red+Meat+from+South+Africa_Pretoria_South+Africa+-+Republic+of_3-12-2019.pdf","USDA Foreign Agricultural Service, Pretoria"),"USDA Foreign Agricultural Service, Pretoria")</x:f>
        <x:v>USDA Foreign Agricultural Service, Pretoria</x:v>
      </x:c>
      <x:c r="M820" s="21" t="str">
        <x:f>IFERROR(HYPERLINK("https://www.gov.za/news/media-statements/agriculture-forestry-and-fisheries-gives-update-foot-and-mouth-disease-28-may","South African Department of Agriculture, Forestry and Fisheries"),"South African Department of Agriculture, Forestry and Fisheries")</x:f>
        <x:v>South African Department of Agriculture, Forestry and Fisheries</x:v>
      </x:c>
      <x:c r="N820" s="4" t="str">
        <x:v>https://www.newsday.co.zw/zimdecides18/article/60066/foot-and-mouth-zim-bots-ban-meat-imports-from-south-africa
https://apps.fas.usda.gov/newgainapi/api/report/downloadreportbyfilename?filename=FMD+Outbreak+Leads+to+Bans+on+Imports+of+Red+Meat+from+South+Africa_Pretoria_South+Africa+-+Republic+of_3-12-2019.pdf
https://www.gov.za/news/media-statements/agriculture-forestry-and-fisheries-gives-update-foot-and-mouth-disease-28-may</x:v>
      </x:c>
      <x:c r="O820" s="4" t="str">
        <x:v>Source 1: indexed extract
Source 2: full text
Source 3: full text</x:v>
      </x:c>
      <x:c r="P820" s="20" t="n">
        <x:v>1</x:v>
      </x:c>
      <x:c r="Q820" s="4" t="str">
        <x:v>Southern and Central Africa</x:v>
      </x:c>
      <x:c r="R820" s="4" t="str">
        <x:v>Included</x:v>
      </x:c>
    </x:row>
    <x:row r="821" ht="138" hidden="0" customHeight="1">
      <x:c r="A821" s="16" t="str">
        <x:v>REC50-R46-004</x:v>
      </x:c>
      <x:c r="B821" s="4" t="str">
        <x:v>Canawaima ferry regulatory sailing restriction in late August 2026</x:v>
      </x:c>
      <x:c r="C821" s="4" t="str">
        <x:v>Guyana; Suriname</x:v>
      </x:c>
      <x:c r="D821" s="4" t="str">
        <x:v>Moleson Creek–South Drain / Canawaima ferry service
Moleson Creek–South Drain ferry service on the Corentyne River</x:v>
      </x:c>
      <x:c r="E821" s="4" t="str">
        <x:v>Regulated ferry service; small-boat passengers excepted
Direction: Between Guyana and Suriname
Exceptions: Immigration processing for small-boat travel continued via Moleson Creek and New Nickerie; the entire river frontier was not closed.</x:v>
      </x:c>
      <x:c r="F821" s="4" t="str">
        <x:v>REC50-R46-004-P1 — Formal policy
Late-August 2026 regulatory suspension of Canawaima ferry operation on the Moleson Creek–South Drain service
Start: unknown.
Policy endpoint: 2026-08-28.
Last confirmed observation: 2026-08-25.
Formal policy: dated evidence; numeric duration withheld; see qualification</x:v>
      </x:c>
      <x:c r="G821" s="4" t="str">
        <x:v>Security / Public order and immediate safety
Government attributes the regulatory refusal and release to vessel safety and compliance.
Applies to: Late-August 2026 regulatory suspension of Canawaima ferry operation on the Moleson Creek–South Drain service
Attributed reason applies only to the stated commodity, vessel or service; no further motive inferred.</x:v>
      </x:c>
      <x:c r="H821" s="4" t="str">
        <x:v>REC50-R46-004-P1: The MAS regulatory restriction is confirmed in Guyana’s 25 August account, but its exact onset is not established by the 22 August technical-suspension report. The 28 August statement reports lifting of the vessel ban and future service resumption, not the first actual crossing. Small-boat immigration processing continued. The earlier return reported on 14 August belongs to a separate interruption.
effective onset; lifting; implementation; exceptions: The MAS regulatory restriction is confirmed in Guyana’s 25 August account, but its exact onset is not established by the 22 August technical-suspension report. The 28 August statement reports lifting of the vessel ban and future service resumption, not the first actual crossing. Small-boat immigration processing continued. The earlier return reported on 14 August belongs to a separate interruption.</x:v>
      </x:c>
      <x:c r="I821" s="4" t="str">
        <x:v>New-record source research (REC50-R46); accepted addition; evidence limits retained.</x:v>
      </x:c>
      <x:c r="J821" s="18" t="d">
        <x:v>2026-10-25T00:00:00.000Z</x:v>
      </x:c>
      <x:c r="K821" s="21" t="str">
        <x:f>IFERROR(HYPERLINK("https://dpi.gov.gy/statement-on-the-guyana-suriname-ferry-service-disruption/","Government of Guyana, Department of Public Information"),"Government of Guyana, Department of Public Information")</x:f>
        <x:v>Government of Guyana, Department of Public Information</x:v>
      </x:c>
      <x:c r="L821" s="21" t="str">
        <x:f>IFERROR(HYPERLINK("https://dpi.gov.gy/m-v-canwaima-ban-lifted/","Government of Guyana, Department of Public Information"),"Government of Guyana, Department of Public Information")</x:f>
        <x:v>Government of Guyana, Department of Public Information</x:v>
      </x:c>
      <x:c r="M821" s="21" t="str">
        <x:f>IFERROR(HYPERLINK("https://newsroom.gy/2026/08/22/guyana-suriname-ferry-service-temporarily-suspended/","News Room Guyana"),"News Room Guyana")</x:f>
        <x:v>News Room Guyana</x:v>
      </x:c>
      <x:c r="N821" s="4" t="str">
        <x:v>https://dpi.gov.gy/statement-on-the-guyana-suriname-ferry-service-disruption/
https://dpi.gov.gy/m-v-canwaima-ban-lifted/
https://newsroom.gy/2026/08/22/guyana-suriname-ferry-service-temporarily-suspended/
https://newsroom.gy/2026/08/14/ferry-service-between-guyana-and-suriname-resumes-after-safety-restriction-lifted/</x:v>
      </x:c>
      <x:c r="O821" s="4" t="str">
        <x:v>Source 1: full text
Source 2: full text
Source 3: full text</x:v>
      </x:c>
      <x:c r="P821" s="20" t="n">
        <x:v>1</x:v>
      </x:c>
      <x:c r="Q821" s="4" t="str">
        <x:v>South America</x:v>
      </x:c>
      <x:c r="R821" s="4" t="str">
        <x:v>Included</x:v>
      </x:c>
    </x:row>
    <x:row r="822" ht="114" hidden="0" customHeight="1">
      <x:c r="A822" s="16" t="str">
        <x:v>REC50-R46-005</x:v>
      </x:c>
      <x:c r="B822" s="4" t="str">
        <x:v>La Gabrielle international ferry scheduled maintenance suspension, September–October 2017</x:v>
      </x:c>
      <x:c r="C822" s="4" t="str">
        <x:v>French Guiana (France); Suriname</x:v>
      </x:c>
      <x:c r="D822" s="4" t="str">
        <x:v>La Gabrielle ferry, Saint-Laurent-du-Maroni–Albina
Saint-Laurent-du-Maroni–Albina international ferry route</x:v>
      </x:c>
      <x:c r="E822" s="4" t="str">
        <x:v>Scheduled ferry service; exact traffic composition not enumerated
Direction: International link; directions not separately enumerated
Exceptions: No statement suspends private pirogues, all vessels or all nationality admission.</x:v>
      </x:c>
      <x:c r="F822" s="4" t="str">
        <x:v>REC50-R46-005-P1 — Announced window
Planned La Gabrielle international ferry stop between Saint-Laurent-du-Maroni and Albina
Start: 2017-09-25.
Scheduled endpoint: 2017-10-30.
Ordered window: dated evidence; numeric duration withheld; see qualification</x:v>
      </x:c>
      <x:c r="G822" s="4" t="str">
        <x:v>Administration and service operation / Temporary service suspension
The official operator/service notice states maintenance and repair as the reason.
Applies to: Planned La Gabrielle international ferry stop between Saint-Laurent-du-Maroni and Albina
Attributed reason applies only to the stated commodity, vessel or service; no further motive inferred.</x:v>
      </x:c>
      <x:c r="H822" s="4" t="str">
        <x:v>REC50-R46-005-P1: The official notice schedules a deliberate ferry maintenance/repair stop, distinct from general 2017 protest reporting and later pontoon damage. Dates are intended service boundaries only: 30 October is expressly inclusive. Actual stoppage, adherence to schedule and first return were not established. No restriction on all private boats or Maroni passage is inferred.
effective onset; lifting; implementation; exceptions: The official notice schedules a deliberate ferry maintenance/repair stop, distinct from general 2017 protest reporting and later pontoon damage. Dates are intended service boundaries only: 30 October is expressly inclusive. Actual stoppage, adherence to schedule and first return were not established. No restriction on all private boats or Maroni passage is inferred.</x:v>
      </x:c>
      <x:c r="I822" s="4" t="str">
        <x:v>New-record source research (REC50-R46); accepted addition; evidence limits retained.</x:v>
      </x:c>
      <x:c r="J822" s="18" t="d">
        <x:v>2026-10-25T00:00:00.000Z</x:v>
      </x:c>
      <x:c r="K822" s="21" t="str">
        <x:f>IFERROR(HYPERLINK("https://www.guyane.developpement-durable.gouv.fr/communique-de-presse-bac-international-la-a1936.html","DEAL Guyane / DGTM government archive"),"DEAL Guyane / DGTM government archive")</x:f>
        <x:v>DEAL Guyane / DGTM government archive</x:v>
      </x:c>
      <x:c r="L822" s="21"/>
      <x:c r="M822" s="21"/>
      <x:c r="N822" s="4" t="str">
        <x:v>https://www.guyane.developpement-durable.gouv.fr/communique-de-presse-bac-international-la-a1936.html</x:v>
      </x:c>
      <x:c r="O822" s="4" t="str">
        <x:v>Source 1: full text</x:v>
      </x:c>
      <x:c r="P822" s="20" t="n">
        <x:v>1</x:v>
      </x:c>
      <x:c r="Q822" s="4" t="str">
        <x:v>South America</x:v>
      </x:c>
      <x:c r="R822" s="4" t="str">
        <x:v>Included</x:v>
      </x:c>
    </x:row>
    <x:row r="823" ht="162" hidden="0" customHeight="1">
      <x:c r="A823" s="16" t="str">
        <x:v>REC50-R47-001</x:v>
      </x:c>
      <x:c r="B823" s="4" t="str">
        <x:v>Adré Sudan-side humanitarian permit restriction and WFP return, February–August 2024</x:v>
      </x:c>
      <x:c r="C823" s="4" t="str">
        <x:v>Chad; Sudan</x:v>
      </x:c>
      <x:c r="D823" s="4" t="str">
        <x:v>Adré; no coordinates approved
Adré international land crossing into West Darfur</x:v>
      </x:c>
      <x:c r="E823" s="4" t="str">
        <x:v>Humanitarian truck consignments, including separately observed WFP food convoys
Direction: Chad into Sudan
Exceptions: March 13 authorisation for 60 trucks and WFP March/April convoys; Tine was a separately authorised route. No restriction on every traveller or all border crossings inferred.</x:v>
      </x:c>
      <x:c r="F823" s="4" t="str">
        <x:v>REC50-R47-001-P1 — Formal policy
Sudan-side authorisation for Chad-to-Darfur humanitarian consignments through Adré
Start: 2024-02-21.
Policy endpoint: 2024-08-15 to 2024-08-16.
Formal policy: dated evidence; numeric duration withheld; see qualification
REC50-R47-001-P2 — Observed operation
WFP food-truck entry through Adré following renewed Sudanese permission
Start: unknown.
Observed scoped reopening: 2024-08-20.
dated evidence; numeric duration withheld; see qualification</x:v>
      </x:c>
      <x:c r="G823" s="4" t="str">
        <x:v>Security / Armed conflict and military confrontation
Reuters attributes the February restriction to government allegations of weapons deliveries through the route.
Applies to: Sudan-side humanitarian permit restriction, P1; not an allegation of WFP conduct
Government-attributed security explanation only; the allegation is not independently established and is not transferred into a finding about the convoys.</x:v>
      </x:c>
      <x:c r="H823" s="4" t="str">
        <x:v>REC50-R47-001-P1: The February withdrawal had documented March/April exceptions. August 15–16 permission is distinct from actual WFP food-truck entry on August 20. The initial restriction was administrative; physical control of the crossing was separately attributed to the RSF. No continuous all-aid or all-traffic closure is claimed.
REC50-R47-001-P2: Endpoint-only observation. The last March/April exceptional shipment and onset of the subsequent WFP interruption are not dated. No complete February–August operational spell, all-agency return, or arrival at final destinations is inferred.
timing; continuity; scope; geography: The February withdrawal had documented March/April exceptions. August 15–16 permission is distinct from actual WFP food-truck entry on August 20. The initial restriction was administrative; physical control of the crossing was separately attributed to the RSF. No continuous all-aid or all-traffic closure is claimed.</x:v>
      </x:c>
      <x:c r="I823" s="4" t="str">
        <x:v>New-record source research (REC50-R47); accepted addition; evidence limits retained.</x:v>
      </x:c>
      <x:c r="J823" s="18" t="d">
        <x:v>2026-10-25T00:00:00.000Z</x:v>
      </x:c>
      <x:c r="K823" s="21" t="str">
        <x:f>IFERROR(HYPERLINK("https://logcluster.org/sites/default/files/public/2025-03/250306sudanlcoperation-overviewjanuary-december-2024.pdf","Logistics Cluster"),"Logistics Cluster")</x:f>
        <x:v>Logistics Cluster</x:v>
      </x:c>
      <x:c r="L823" s="21" t="str">
        <x:f>IFERROR(HYPERLINK("https://sudan.un.org/en/276741-top-un-official-sudan-hails-re-opening-adre-border-crossing-point-chad-darfur","United Nations Sudan"),"United Nations Sudan")</x:f>
        <x:v>United Nations Sudan</x:v>
      </x:c>
      <x:c r="M823" s="21" t="str">
        <x:f>IFERROR(HYPERLINK("https://www.wfp.org/news/first-wfp-trucks-cross-sudans-reopened-adre-border-food-communities-risk-famine","World Food Programme"),"World Food Programme")</x:f>
        <x:v>World Food Programme</x:v>
      </x:c>
      <x:c r="N823" s="4" t="str">
        <x:v>https://logcluster.org/sites/default/files/public/2025-03/250306sudanlcoperation-overviewjanuary-december-2024.pdf
https://sudan.un.org/en/276741-top-un-official-sudan-hails-re-opening-adre-border-crossing-point-chad-darfur
https://www.wfp.org/news/first-wfp-trucks-cross-sudans-reopened-adre-border-food-communities-risk-famine
https://www.reuters.com/world/africa/sudan-open-adre-border-crossing-three-months-facilitate-aid-2024-08-15/</x:v>
      </x:c>
      <x:c r="O823" s="4" t="str">
        <x:v>Source 1: full text
Source 2: full text
Source 3: full text</x:v>
      </x:c>
      <x:c r="P823" s="20" t="n">
        <x:v>2</x:v>
      </x:c>
      <x:c r="Q823" s="4" t="str">
        <x:v>Northeast Africa</x:v>
      </x:c>
      <x:c r="R823" s="4" t="str">
        <x:v>Included</x:v>
      </x:c>
    </x:row>
    <x:row r="824" ht="102" hidden="0" customHeight="1">
      <x:c r="A824" s="16" t="str">
        <x:v>REC50-R47-002</x:v>
      </x:c>
      <x:c r="B824" s="4" t="str">
        <x:v>Bab al-Hawa UN cross-border humanitarian convoy interruption and September 2023 return</x:v>
      </x:c>
      <x:c r="C824" s="4" t="str">
        <x:v>Türkiye; Syria</x:v>
      </x:c>
      <x:c r="D824" s="4" t="str">
        <x:v>Bab al-Hawa / Cilvegözü; no coordinates approved
Bab al-Hawa international crossing, northwest Syria</x:v>
      </x:c>
      <x:c r="E824" s="4" t="str">
        <x:v>UN humanitarian convoy service
Direction: Türkiye into Syria
Exceptions: This packet does not establish restrictions on other aid providers, private trade or passengers.</x:v>
      </x:c>
      <x:c r="F824" s="4" t="str">
        <x:v>REC50-R47-002-P1 — Observed operation
UN humanitarian convoy service from Türkiye into northwest Syria through Bab al-Hawa
Start: unknown.
Observed scoped reopening: 2023-09-19.
dated evidence; numeric duration withheld; see qualification</x:v>
      </x:c>
      <x:c r="G824" s="4" t="str">
        <x:v>Administration and service operation
UN and government oversight reporting link the interruption and return to the cross-border authorisation and consent arrangements.
Applies to: UN-service interruption and restoration in 2023
Administrative service basis only; no political, security or other purpose is inferred from the legal impasse.</x:v>
      </x:c>
      <x:c r="H824" s="4" t="str">
        <x:v>REC50-R47-002-P1: The mandate expired July 10, while first operational interruption is not independently timed. The first returning UN convoy is reported September 19. August and September consent steps are not convoy returns; other providers, commerce and passengers are outside the phase. Both adopted passages are substantive indexed text; direct UN body and report-PDF access failed.
timing; continuity; scope; geography: The mandate expired July 10, while first operational interruption is not independently timed. The first returning UN convoy is reported September 19. August and September consent steps are not convoy returns; other providers, commerce and passengers are outside the phase.</x:v>
      </x:c>
      <x:c r="I824" s="4" t="str">
        <x:v>New-record source research (REC50-R47); accepted addition; evidence limits retained.</x:v>
      </x:c>
      <x:c r="J824" s="18" t="d">
        <x:v>2026-10-25T00:00:00.000Z</x:v>
      </x:c>
      <x:c r="K824" s="21" t="str">
        <x:f>IFERROR(HYPERLINK("https://www.un.org/sg/en/content/highlight/2023-09-19.html","United Nations Secretary-General spokesperson"),"United Nations Secretary-General spokesperson")</x:f>
        <x:v>United Nations Secretary-General spokesperson</x:v>
      </x:c>
      <x:c r="L824" s="21" t="str">
        <x:f>IFERROR(HYPERLINK("https://media.defense.gov/2023/Nov/27/2003347442/-1/-1/1/OIR_Q4_SEP2023_FINAL_508.PDF","US Lead Inspector General agencies"),"US Lead Inspector General agencies")</x:f>
        <x:v>US Lead Inspector General agencies</x:v>
      </x:c>
      <x:c r="M824" s="21"/>
      <x:c r="N824" s="4" t="str">
        <x:v>https://www.un.org/sg/en/content/highlight/2023-09-19.html
https://media.defense.gov/2023/Nov/27/2003347442/-1/-1/1/OIR_Q4_SEP2023_FINAL_508.PDF</x:v>
      </x:c>
      <x:c r="O824" s="4" t="str">
        <x:v>Source 1: indexed extract
Source 2: indexed extract</x:v>
      </x:c>
      <x:c r="P824" s="20" t="n">
        <x:v>1</x:v>
      </x:c>
      <x:c r="Q824" s="4" t="str">
        <x:v>Middle East</x:v>
      </x:c>
      <x:c r="R824" s="4" t="str">
        <x:v>Included</x:v>
      </x:c>
    </x:row>
    <x:row r="825" ht="126" hidden="0" customHeight="1">
      <x:c r="A825" s="16" t="str">
        <x:v>REC50-R47-003</x:v>
      </x:c>
      <x:c r="B825" s="4" t="str">
        <x:v>Bangladesh Rohingya land-admission denials at Ukhia/Ghumdhum, November–December 2016</x:v>
      </x:c>
      <x:c r="C825" s="4" t="str">
        <x:v>Myanmar; Bangladesh</x:v>
      </x:c>
      <x:c r="D825" s="4" t="str">
        <x:v>Ukhia/Ghumdhum sector descriptions only; unlocated
Ukhia and Ghumdhum land-border sectors; no exact formal gate established</x:v>
      </x:c>
      <x:c r="E825" s="4" t="str">
        <x:v>Rohingya civilians seeking entry
Direction: Myanmar into Bangladesh
Exceptions: Many people entered despite the stated policy; the inspected observations do not enumerate all exceptions or lawful admission categories.</x:v>
      </x:c>
      <x:c r="F825" s="4" t="str">
        <x:v>REC50-R47-003-P1 — Intermittent regime
Rohingya entry denial reported in Ukhia/Ghumdhum land-border sectors; exact gate unresolved
Start: unknown.
Last confirmed: 2016-12-01. Reopening is not established.
Intermittent regime envelope; total closed days unknown</x:v>
      </x:c>
      <x:c r="G825" s="4" t="str">
        <x:v>Migration / Entry and asylum control
Amnesty reproduces the Bangladesh Home Minister’s November 23 statement through The Hindu about preventing Rohingya immigration; named BGB officials describe entry denials.
Applies to: Late-2016 land-admission observations
Officially attributed admission-control purpose. The minister’s terminology is not adopted as an independent legal status judgment; no ethnic hostility motive or universal physical seal is inferred.</x:v>
      </x:c>
      <x:c r="H825" s="4" t="str">
        <x:v>REC50-R47-003-P1: BGB-attributed land-admission denials are observed November 21 and December 1. Their first onset, intervening continuity and end are unknown; the wider policy coexisted with substantial actual entry. Naf River/sea interceptions and the separate return of people detained in 2015 are excluded. Inclusion is a government land-admission restriction, not an established closure of a particular formal gate. Exact sector binding remains unlocated.
timing; continuity; scope; geography: BGB-attributed land-admission denials are observed November 21 and December 1. Their first onset, intervening continuity and end are unknown; the wider policy coexisted with substantial actual entry. Naf River/sea interceptions and the separate return of people detained in 2015 are excluded.</x:v>
      </x:c>
      <x:c r="I825" s="4" t="str">
        <x:v>New-record source research (REC50-R47); accepted addition; evidence limits retained.</x:v>
      </x:c>
      <x:c r="J825" s="18" t="d">
        <x:v>2026-10-25T00:00:00.000Z</x:v>
      </x:c>
      <x:c r="K825" s="21" t="str">
        <x:f>IFERROR(HYPERLINK("https://www.amnesty.org/en/wp-content/uploads/2021/05/ASA1653622016ENGLISH.pdf","Amnesty International"),"Amnesty International")</x:f>
        <x:v>Amnesty International</x:v>
      </x:c>
      <x:c r="L825" s="21" t="str">
        <x:f>IFERROR(HYPERLINK("https://www.observerbd.com/news/44822","The Daily Observer / bdnews24.com"),"The Daily Observer / bdnews24.com")</x:f>
        <x:v>The Daily Observer / bdnews24.com</x:v>
      </x:c>
      <x:c r="M825" s="21" t="str">
        <x:f>IFERROR(HYPERLINK("https://www.dhakatribune.com/amp/bangladesh/11012/bgb-sends-back-119-rohingyas","Dhaka Tribune"),"Dhaka Tribune")</x:f>
        <x:v>Dhaka Tribune</x:v>
      </x:c>
      <x:c r="N825" s="4" t="str">
        <x:v>https://www.amnesty.org/en/wp-content/uploads/2021/05/ASA1653622016ENGLISH.pdf
https://www.observerbd.com/news/44822
https://www.dhakatribune.com/amp/bangladesh/11012/bgb-sends-back-119-rohingyas
https://www.unhcr.org/uk/news/briefing-notes/unhcr-urges-open-borders-people-fleeing-violence-myanmars-rakhine-state</x:v>
      </x:c>
      <x:c r="O825" s="4" t="str">
        <x:v>Source 1: full text
Source 2: full text
Source 3: full text</x:v>
      </x:c>
      <x:c r="P825" s="20" t="n">
        <x:v>1</x:v>
      </x:c>
      <x:c r="Q825" s="4" t="str">
        <x:v>South Asia</x:v>
      </x:c>
      <x:c r="R825" s="4" t="str">
        <x:v>Included</x:v>
      </x:c>
    </x:row>
    <x:row r="826" ht="138" hidden="0" customHeight="1">
      <x:c r="A826" s="16" t="str">
        <x:v>REC50-R48-001</x:v>
      </x:c>
      <x:c r="B826" s="4" t="str">
        <x:v>Alashankou cross-border trucking suspension reported in August2021</x:v>
      </x:c>
      <x:c r="C826" s="4" t="str">
        <x:v>China; Kazakhstan</x:v>
      </x:c>
      <x:c r="D826" s="4" t="str">
        <x:v>Alashankou road crossing; railway excluded
Alashankou road-freight component only</x:v>
      </x:c>
      <x:c r="E826" s="4" t="str">
        <x:v>Cross-border road freight
Direction: Not separately established
Exceptions: Detailed goods and directional exemptions unknown; rail traffic is not treated as stopped.</x:v>
      </x:c>
      <x:c r="F826" s="4" t="str">
        <x:v>REC50-R48-001-P1 — Observed operation
Carrier-reported cross-border trucking suspension through Alashankou
Start: unknown.
Last confirmed: 2021-08-20. Reopening is not established.
dated evidence; numeric duration withheld; see qualification</x:v>
      </x:c>
      <x:c r="G826" s="4" t="str">
        <x:v>Uncoded
The carrier places the observation amid COVID disruption, but a road-specific official explanation is not recovered.
Applies to: REC50-R48-001-P1
Do not infer an imposing authority or official rationale solely from the city lockdown/rail evidence.</x:v>
      </x:c>
      <x:c r="H826" s="4" t="str">
        <x:v>REC50-R48-001-P1: The20August carrier advisory explicitly separates road suspension from rail congestion. Exact road onset, issuing authority, cargo exemptions and actual road return remain unknown. Generic15August port-stop/copper-resumption wording is not adopted for trucks; NIA observes trains moving on16–17August. Later battery-only and rail-described planned-return entries do not extend the whole-road cohort. No numerical duration.
source instrument; scope; operational dates; rationale attribution: The20August carrier advisory explicitly separates road suspension from rail congestion. Exact road onset, issuing authority, cargo exemptions and actual road return remain unknown. Generic15August port-stop/copper-resumption wording is not adopted for trucks; NIA observes trains moving on16–17August. Later battery-only and rail-described planned-return entries do not extend the whole-road cohort. No numerical duration.</x:v>
      </x:c>
      <x:c r="I826" s="4" t="str">
        <x:v>New-record source research (REC50-R48); accepted addition; evidence limits retained.</x:v>
      </x:c>
      <x:c r="J826" s="18" t="d">
        <x:v>2026-10-25T00:00:00.000Z</x:v>
      </x:c>
      <x:c r="K826" s="21" t="str">
        <x:f>IFERROR(HYPERLINK("https://geodis.com/customer-advisory-2022-2021-archives","GEODIS"),"GEODIS")</x:f>
        <x:v>GEODIS</x:v>
      </x:c>
      <x:c r="L826" s="21" t="str">
        <x:f>IFERROR(HYPERLINK("https://www.nia.gov.cn/n741435/n741532/c1435466/content.html","China National Immigration Administration, relaying People’s Public Security News"),"China National Immigration Administration, relaying People’s Public Security News")</x:f>
        <x:v>China National Immigration Administration, relaying People’s Public Security News</x:v>
      </x:c>
      <x:c r="M826" s="21" t="str">
        <x:f>IFERROR(HYPERLINK("https://m.mysteel.com/21/0818/09/3F3236FA0B1B4044_abc.html","Mysteel"),"Mysteel")</x:f>
        <x:v>Mysteel</x:v>
      </x:c>
      <x:c r="N826" s="4" t="str">
        <x:v>https://geodis.com/customer-advisory-2022-2021-archives
https://www.nia.gov.cn/n741435/n741532/c1435466/content.html
https://m.mysteel.com/21/0818/09/3F3236FA0B1B4044_abc.html</x:v>
      </x:c>
      <x:c r="O826" s="4" t="str">
        <x:v>Source 1: full text
Source 2: full text
Source 3: indexed extract</x:v>
      </x:c>
      <x:c r="P826" s="20" t="n">
        <x:v>1</x:v>
      </x:c>
      <x:c r="Q826" s="4" t="str">
        <x:v>East Asia</x:v>
      </x:c>
      <x:c r="R826" s="4" t="str">
        <x:v>Included</x:v>
      </x:c>
    </x:row>
    <x:row r="827" ht="114" hidden="0" customHeight="1">
      <x:c r="A827" s="16" t="str">
        <x:v>REC50-R48-002</x:v>
      </x:c>
      <x:c r="B827" s="4" t="str">
        <x:v>Latvia restricts Russian-registered vehicle entry at its Russian and Belarusian frontiers, September2023</x:v>
      </x:c>
      <x:c r="C827" s="4" t="str">
        <x:v>Latvia; Russia; Belarus</x:v>
      </x:c>
      <x:c r="D827" s="4" t="str">
        <x:v>Specific posts not exhaustively named in the notice
Latvia’s external road frontier with Russia and Belarus</x:v>
      </x:c>
      <x:c r="E827" s="4" t="str">
        <x:v>Russian-registered vehicles
Direction: Into Latvia / EU
Exceptions: EU/Member-State diplomatic and consular-use vehicles excepted; reverse exit permitted if the car is not declared goods and serves as transport.</x:v>
      </x:c>
      <x:c r="F827" s="4" t="str">
        <x:v>REC50-R48-002-P1 — Formal policy
Russian-registered vehicle entry through Latvian–Russian and Latvian–Belarusian border posts
Start: 2023-09-12.
Last confirmed: unknown. Reopening is not established.
Formal policy: dated evidence; numeric duration withheld; see qualification</x:v>
      </x:c>
      <x:c r="G827" s="4" t="str">
        <x:v>Interstate disputes and pressure / Sanctions and coercive pressure
The customs notice applies the EU sanctions regulation and Commission interpretation.
Applies to: REC50-R48-002-P1
Policy purpose attributed to the national customs announcement; no separate personal-admission rationale inferred.</x:v>
      </x:c>
      <x:c r="H827" s="4" t="str">
        <x:v>REC50-R48-002-P1: Primary customs indexed text dates the rule to18:00on12September2023; direct retrieval timed out. Diplomatic/consular-use exception and conditional reverse exit remain. Vehicle admissibility is distinct from a general prohibition on people, and no first physical refusal or later lifting is established.
source instrument; scope; operational dates; rationale attribution: Primary customs indexed text dates the rule to18:00on12September2023; direct retrieval timed out. Diplomatic/consular-use exception and conditional reverse exit remain. Vehicle admissibility is distinct from a general prohibition on people, and no first physical refusal or later lifting is established.</x:v>
      </x:c>
      <x:c r="I827" s="4" t="str">
        <x:v>New-record source research (REC50-R48); accepted addition; evidence limits retained.</x:v>
      </x:c>
      <x:c r="J827" s="18" t="d">
        <x:v>2026-10-25T00:00:00.000Z</x:v>
      </x:c>
      <x:c r="K827" s="21" t="str">
        <x:f>IFERROR(HYPERLINK("https://www.vid.gov.lv/en/article/persons-vehicles-registered-russian-federation-are-banned-entering-latvia","Latvian State Revenue Service"),"Latvian State Revenue Service")</x:f>
        <x:v>Latvian State Revenue Service</x:v>
      </x:c>
      <x:c r="L827" s="21"/>
      <x:c r="M827" s="21"/>
      <x:c r="N827" s="4" t="str">
        <x:v>https://www.vid.gov.lv/en/article/persons-vehicles-registered-russian-federation-are-banned-entering-latvia</x:v>
      </x:c>
      <x:c r="O827" s="4" t="str">
        <x:v>Source 1: indexed extract</x:v>
      </x:c>
      <x:c r="P827" s="20" t="n">
        <x:v>1</x:v>
      </x:c>
      <x:c r="Q827" s="4" t="str">
        <x:v>Europe</x:v>
      </x:c>
      <x:c r="R827" s="4" t="str">
        <x:v>Included</x:v>
      </x:c>
    </x:row>
    <x:row r="828" ht="150" hidden="0" customHeight="1">
      <x:c r="A828" s="16" t="str">
        <x:v>REC50-R48-003</x:v>
      </x:c>
      <x:c r="B828" s="4" t="str">
        <x:v>Lithuania restricts Russian-registered car entry, with Kaliningrad transit exceptions, September2023</x:v>
      </x:c>
      <x:c r="C828" s="4" t="str">
        <x:v>Lithuania; Russia; Belarus; Kaliningrad transit context</x:v>
      </x:c>
      <x:c r="D828" s="4" t="str">
        <x:v>No September2023 post list; March2024 Medininkai seizure is later context
National vehicle-entry rule; exactSeptember refusal posts not listed</x:v>
      </x:c>
      <x:c r="E828" s="4" t="str">
        <x:v>Russian-registered passenger cars
Direction: Into Lithuania / EU
Exceptions: Kaliningrad transit exception; owner-presence/24hour details observed29September. Later simplified-document/Russian-citizen wording is datedMarch2024 and not silently backdated.</x:v>
      </x:c>
      <x:c r="F828" s="4" t="str">
        <x:v>REC50-R48-003-P1 — Formal policy
Lithuanian entry restriction on Russian-registered cars, apart from qualified Kaliningrad transit
Start: 2023-09-11.
Last confirmed: 2023-09-29. Reopening is not established.
Formal policy: dated evidence; numeric duration withheld; see qualification</x:v>
      </x:c>
      <x:c r="G828" s="4" t="str">
        <x:v>Interstate disputes and pressure / Sanctions and coercive pressure
Customs-attributed reports identify application of EU sanctions.
Applies to: REC50-R48-003-P1
Retain national scope and transit conditions; no common all-European vehicle interval.</x:v>
      </x:c>
      <x:c r="H828" s="4" t="str">
        <x:v>REC50-R48-003-P1: BNS/LRT dates the entry rule to11September and reports customs turn-backs by18September; direct LRT bodies were blocked and indexed passages are retained. The29September observation details owner-accompanied24hour Kaliningrad transit and a departure grace period. Later March2024 outward seizure/departure deadline is not reopening or first inbound denial. Exact original national instrument and complete exception chronology remain unrecovered.
source instrument; scope; operational dates; rationale attribution: BNS/LRT dates the entry rule to11September and reports customs turn-backs by18September; direct LRT bodies were blocked and indexed passages are retained. The29September observation details owner-accompanied24hour Kaliningrad transit and a departure grace period. Later March2024 outward seizure/departure deadline is not reopening or first inbound denial. Exact original national instrument and complete exception chronology remain unrecovered.</x:v>
      </x:c>
      <x:c r="I828" s="4" t="str">
        <x:v>New-record source research (REC50-R48); accepted addition; evidence limits retained.</x:v>
      </x:c>
      <x:c r="J828" s="18" t="d">
        <x:v>2026-10-25T00:00:00.000Z</x:v>
      </x:c>
      <x:c r="K828" s="21" t="str">
        <x:f>IFERROR(HYPERLINK("https://www.lrt.lt/en/news-in-english/19/2079643/lithuania-denies-entry-to-58-russian-cars-in-past-week","BNS via LRT"),"BNS via LRT")</x:f>
        <x:v>BNS via LRT</x:v>
      </x:c>
      <x:c r="L828" s="21" t="str">
        <x:f>IFERROR(HYPERLINK("https://www.lrt.lt/en/news-in-english/19/2088440/lithuania-gives-6-months-for-russian-cars-to-leave","LRT"),"LRT")</x:f>
        <x:v>LRT</x:v>
      </x:c>
      <x:c r="M828" s="21" t="str">
        <x:f>IFERROR(HYPERLINK("https://www.delfi.lt/en/politics/first-car-with-russian-number-plates-detained-in-lithuania-96100697","ELTA English via Delfi"),"ELTA English via Delfi")</x:f>
        <x:v>ELTA English via Delfi</x:v>
      </x:c>
      <x:c r="N828" s="4" t="str">
        <x:v>https://www.lrt.lt/en/news-in-english/19/2079643/lithuania-denies-entry-to-58-russian-cars-in-past-week
https://www.lrt.lt/en/news-in-english/19/2088440/lithuania-gives-6-months-for-russian-cars-to-leave
https://www.delfi.lt/en/politics/first-car-with-russian-number-plates-detained-in-lithuania-96100697</x:v>
      </x:c>
      <x:c r="O828" s="4" t="str">
        <x:v>Source 1: indexed extract
Source 2: indexed extract
Source 3: full text</x:v>
      </x:c>
      <x:c r="P828" s="20" t="n">
        <x:v>1</x:v>
      </x:c>
      <x:c r="Q828" s="4" t="str">
        <x:v>Europe</x:v>
      </x:c>
      <x:c r="R828" s="4" t="str">
        <x:v>Included</x:v>
      </x:c>
    </x:row>
    <x:row r="829" ht="126" hidden="0" customHeight="1">
      <x:c r="A829" s="16" t="str">
        <x:v>REC50-R48-004</x:v>
      </x:c>
      <x:c r="B829" s="4" t="str">
        <x:v>Poland announces Russian-registered passenger-car entry restriction from17September2023</x:v>
      </x:c>
      <x:c r="C829" s="4" t="str">
        <x:v>Poland; Russia and other non-EU arrival territories</x:v>
      </x:c>
      <x:c r="D829" s="4" t="str">
        <x:v>No exhaustive post list in the inspected notice
Vehicle entry through Polish external border crossings; no universal person ban</x:v>
      </x:c>
      <x:c r="E829" s="4" t="str">
        <x:v>Russian-registered passenger cars
Direction: Into Poland / EU
Exceptions: Driver citizenship does not exempt the car in the notice; full vehicle/diplomatic exception inventory unrecovered.</x:v>
      </x:c>
      <x:c r="F829" s="4" t="str">
        <x:v>REC50-R48-004-P1 — Announced window
Announced prohibition on Russian-registered passenger-car imports/entry at Polish external border crossings
Start: 2023-09-17.
Scheduled endpoint: unknown.
Ordered window: dated evidence; numeric duration withheld; see qualification</x:v>
      </x:c>
      <x:c r="G829" s="4" t="str">
        <x:v>Interstate disputes and pressure / Sanctions and coercive pressure
The notice invokes EU restrictive measures concerning Russia’s actions in Ukraine.
Applies to: REC50-R48-004-P1
Official legal-policy attribution, not an all-person or all-vehicle restriction.</x:v>
      </x:c>
      <x:c r="H829" s="4" t="str">
        <x:v>REC50-R48-004-P1: The16September primary notice announces application from17September and prospective turn-back at Polish border crossings regardless of driver citizenship. This is an ordered vehicle-admission rule, not observed first enforcement. The notice’s related vehicle-class wording is not generalized to all road vehicles; an exhaustive exception inventory and later lifting remain unknown.
source instrument; scope; operational dates; rationale attribution: The16September primary notice announces application from17September and prospective turn-back at Polish border crossings regardless of driver citizenship. This is an ordered vehicle-admission rule, not observed first enforcement. The notice’s related vehicle-class wording is not generalized to all road vehicles; an exhaustive exception inventory and later lifting remain unknown.</x:v>
      </x:c>
      <x:c r="I829" s="4" t="str">
        <x:v>New-record source research (REC50-R48); accepted addition; evidence limits retained.</x:v>
      </x:c>
      <x:c r="J829" s="18" t="d">
        <x:v>2026-10-25T00:00:00.000Z</x:v>
      </x:c>
      <x:c r="K829" s="21" t="str">
        <x:f>IFERROR(HYPERLINK("https://www.gov.pl/web/kas/zakaz-przywozu-samochodow-osobowych-zarejestrowanych-w-rosji","Polish Ministry of Finance / National Revenue Administration"),"Polish Ministry of Finance / National Revenue Administration")</x:f>
        <x:v>Polish Ministry of Finance / National Revenue Administration</x:v>
      </x:c>
      <x:c r="L829" s="21"/>
      <x:c r="M829" s="21"/>
      <x:c r="N829" s="4" t="str">
        <x:v>https://www.gov.pl/web/kas/zakaz-przywozu-samochodow-osobowych-zarejestrowanych-w-rosji</x:v>
      </x:c>
      <x:c r="O829" s="4" t="str">
        <x:v>Source 1: full text</x:v>
      </x:c>
      <x:c r="P829" s="20" t="n">
        <x:v>1</x:v>
      </x:c>
      <x:c r="Q829" s="4" t="str">
        <x:v>Europe</x:v>
      </x:c>
      <x:c r="R829" s="4" t="str">
        <x:v>Included</x:v>
      </x:c>
    </x:row>
    <x:row r="830" ht="150" hidden="0" customHeight="1">
      <x:c r="A830" s="16" t="str">
        <x:v>REC50-R48-005</x:v>
      </x:c>
      <x:c r="B830" s="4" t="str">
        <x:v>Dehiba–Wazen overnight passage restriction and restoration,25–26December2017</x:v>
      </x:c>
      <x:c r="C830" s="4" t="str">
        <x:v>Tunisia; Libya</x:v>
      </x:c>
      <x:c r="D830" s="4" t="str">
        <x:v>Dehiba–Wazen
Dehiba–Wazen crossing only</x:v>
      </x:c>
      <x:c r="E830" s="4" t="str">
        <x:v>Ordinary traders/families/travellers subject to reported permission exceptions
Direction: Ordinary passage; individual directions not exhaustively established
Exceptions: Libyan-side report allows returning nationals; other exceptions not exhaustively established.</x:v>
      </x:c>
      <x:c r="F830" s="4" t="str">
        <x:v>REC50-R48-005-P1 — Observed operation
Ordinary Dehiba–Wazen crossing passage apart from reported returning-national permission
Start: 2017-12-25.
Observed scoped reopening: 2017-12-26.
1 calendar-day difference; scoped endpoint only</x:v>
      </x:c>
      <x:c r="G830" s="4" t="str">
        <x:v>Security / Unspecified security
Tunisian customs spokeswoman explicitly gives security information as the reason for the temporary closure.
Applies to: REC50-R48-005-P1
The correspondent’s trader/goods-seizure explanation remains an alternative account, not a resolved additional official motive or inferred specific terrorism rationale.</x:v>
      </x:c>
      <x:c r="H830" s="4" t="str">
        <x:v>REC50-R48-005-P1: Customs spokeswoman dates temporary closure to the previous night and normal return to noon26December; a separate correspondent dates the same overnight interruption but cites a trader/goods dispute. Official security and alternative local explanations remain unreconciled. The Libyan-side account preserves returning-national permission. The one-calendar-day date difference is not24elapsedhours, and this episode is not a continuation of the earlierNovember–earlyDecember campaign.
source instrument; scope; operational dates; rationale attribution: Customs spokeswoman dates temporary closure to the previous night and normal return to noon26December; a separate correspondent dates the same overnight interruption but cites a trader/goods dispute. Official security and alternative local explanations remain unreconciled. The Libyan-side account preserves returning-national permission. The one-calendar-day date difference is not24elapsedhours, and this episode is not a continuation of the earlierNovember–earlyDecember campaign.</x:v>
      </x:c>
      <x:c r="I830" s="4" t="str">
        <x:v>New-record source research (REC50-R48); accepted addition; evidence limits retained.</x:v>
      </x:c>
      <x:c r="J830" s="18" t="d">
        <x:v>2026-10-25T00:00:00.000Z</x:v>
      </x:c>
      <x:c r="K830" s="21" t="str">
        <x:f>IFERROR(HYPERLINK("https://www.alaraby.co.uk/استئناف-نشاط-معبر-الذهيبة-وازن-بين-تونس-وليبيا","Al-Araby Al-Jadeed"),"Al-Araby Al-Jadeed")</x:f>
        <x:v>Al-Araby Al-Jadeed</x:v>
      </x:c>
      <x:c r="L830" s="21" t="str">
        <x:f>IFERROR(HYPERLINK("https://www.mosaiquefm.net/ar/أخبار-تونس-جهات/260624/استئناف-الحركة-بمعبر-ذهيبة-وازن","Mosaique FM"),"Mosaique FM")</x:f>
        <x:v>Mosaique FM</x:v>
      </x:c>
      <x:c r="M830" s="21"/>
      <x:c r="N830" s="4" t="str">
        <x:v>https://www.alaraby.co.uk/استئناف-نشاط-معبر-الذهيبة-وازن-بين-تونس-وليبيا
https://www.mosaiquefm.net/ar/أخبار-تونس-جهات/260624/استئناف-الحركة-بمعبر-ذهيبة-وازن</x:v>
      </x:c>
      <x:c r="O830" s="4" t="str">
        <x:v>Source 1: full text
Source 2: indexed extract</x:v>
      </x:c>
      <x:c r="P830" s="20" t="n">
        <x:v>1</x:v>
      </x:c>
      <x:c r="Q830" s="4" t="str">
        <x:v>North Africa</x:v>
      </x:c>
      <x:c r="R830" s="4" t="str">
        <x:v>Included</x:v>
      </x:c>
    </x:row>
  </x:sheetData>
  <x:pageMargins left="0.7" right="0.7" top="0.75" bottom="0.75" header="0.3" footer="0.3"/>
  <x:tableParts count="1">
    <x:tablePart xmlns:r="http://schemas.openxmlformats.org/officeDocument/2006/relationships" r:id="R66ceb93e4e0740f3"/>
  </x:tableParts>
</x:worksheet>
</file>

<file path=xl/worksheets/sheet2.xml><?xml version="1.0" encoding="utf-8"?>
<x:worksheet xmlns:x="http://schemas.openxmlformats.org/spreadsheetml/2006/main">
  <x:sheetPr>
    <x:tabColor rgb="FF8A99A6"/>
  </x:sheetPr>
  <x:sheetViews>
    <x:sheetView showGridLines="0" workbookViewId="0"/>
  </x:sheetViews>
  <x:sheetFormatPr defaultRowHeight="15"/>
  <x:cols>
    <x:col min="1" max="1" width="27" hidden="0" customWidth="1"/>
    <x:col min="2" max="2" width="111" hidden="0" customWidth="1"/>
  </x:cols>
  <x:sheetData>
    <x:row r="1" ht="28" customHeight="1">
      <x:c r="A1" s="23" t="str">
        <x:v>Methodology</x:v>
      </x:c>
      <x:c r="B1" s="23" t="str">
        <x:v>Global Border Closures Atlas</x:v>
      </x:c>
    </x:row>
    <x:row r="2" ht="34" customHeight="1">
      <x:c r="A2" s="4" t="str">
        <x:v>Research snapshot</x:v>
      </x:c>
      <x:c r="B2" s="4" t="str">
        <x:v>829 records. 825 included. 1,010 phases. Research release: 25 October 2026.</x:v>
      </x:c>
    </x:row>
    <x:row r="3" ht="34" customHeight="1">
      <x:c r="A3" s="24" t="str">
        <x:v>Reading long entries</x:v>
      </x:c>
      <x:c r="B3" s="24" t="str">
        <x:v>Rows fit their text where Excel permits. For unusually long cells, expand the formula bar to read the full entry; the data companion also retains complete phase narratives and source lists.</x:v>
      </x:c>
    </x:row>
    <x:row r="4" ht="58" customHeight="1">
      <x:c r="A4" s="16" t="str">
        <x:v>Scope</x:v>
      </x:c>
      <x:c r="B4" s="4" t="str">
        <x:v>Land-border restrictions active within 21 October 2016 to 21 October 2026. Earlier starts are retained for episodes continuing into the window; reported durations are not clipped to it. One row groups an episode or regime. Each phase retains its own traffic, direction and dates.</x:v>
      </x:c>
    </x:row>
    <x:row r="5" ht="58" customHeight="1">
      <x:c r="A5" s="26" t="str">
        <x:v>Coverage and selection</x:v>
      </x:c>
      <x:c r="B5" s="25" t="str">
        <x:v>Bounded country, period and movement searches screened leads against the full record and phase inventory. An existing episode normally received a correction or phase, rather than another parent. Negative searches do not establish that a border stayed open. Coverage is not exhaustive.</x:v>
      </x:c>
    </x:row>
    <x:row r="6" ht="58" customHeight="1">
      <x:c r="A6" s="16" t="str">
        <x:v>Models used</x:v>
      </x:c>
      <x:c r="B6" s="4" t="str">
        <x:v>The dataset was compiled using OpenAI’s GPT‑6 Astra with Ultra reasoning, with GPT‑6 Astra Pro documented in the final research and review logs.</x:v>
      </x:c>
    </x:row>
    <x:row r="7" ht="58" customHeight="1">
      <x:c r="A7" s="26" t="str">
        <x:v>Initial research programme</x:v>
      </x:c>
      <x:c r="B7" s="25" t="str">
        <x:v>The work comprised 16 initial research rounds, including three full-register verification exercises, followed by two further register-wide reviews and 50 additional research and review cycles.</x:v>
      </x:c>
    </x:row>
    <x:row r="8" ht="58" customHeight="1">
      <x:c r="A8" s="16" t="str">
        <x:v>Separate review contexts</x:v>
      </x:c>
      <x:c r="B8" s="4" t="str">
        <x:v>Six regional AI reviewers contributed to major assessments, with research, challenge and adjudication conducted in separate contexts of the same model.</x:v>
      </x:c>
    </x:row>
    <x:row r="9" ht="58" customHeight="1">
      <x:c r="A9" s="26" t="str">
        <x:v>Source-check questions</x:v>
      </x:c>
      <x:c r="B9" s="25" t="str">
        <x:v>Reviewers checked whether each restriction occurred, its start and endpoint, the crossings and types of movement affected, continuity, and the reported reasons against linked source evidence.</x:v>
      </x:c>
    </x:row>
    <x:row r="10" ht="58" customHeight="1">
      <x:c r="A10" s="16" t="str">
        <x:v>Register-wide reviews</x:v>
      </x:c>
      <x:c r="B10" s="4" t="str">
        <x:v>The two subsequent register-wide exercises comprised a blind reconstruction and challenge of 653 records, producing 3,918 claim assessments, and a further assessment of all 686 records and 738 phases in the expanded register.</x:v>
      </x:c>
    </x:row>
    <x:row r="11" ht="58" customHeight="1">
      <x:c r="A11" s="26" t="str">
        <x:v>Chronology follow-up</x:v>
      </x:c>
      <x:c r="B11" s="25" t="str">
        <x:v>Additional chronology work assessed 519 cases and subjected 272 unresolved cases to fresh research and separate review.</x:v>
      </x:c>
    </x:row>
    <x:row r="12" ht="58" customHeight="1">
      <x:c r="A12" s="16" t="str">
        <x:v>Final 50 cycles</x:v>
      </x:c>
      <x:c r="B12" s="4" t="str">
        <x:v>The final 50 cycles comprised 30 coverage-search cycles, ten targeted-verification cycles and ten audits of preselected records, providing full-record source reviews of 160 entries and addressing 176 targeted questions across 162 entries.</x:v>
      </x:c>
    </x:row>
    <x:row r="13" ht="58" customHeight="1">
      <x:c r="A13" s="26" t="str">
        <x:v>Episodes and phases</x:v>
      </x:c>
      <x:c r="B13" s="25" t="str">
        <x:v>Proposed additions were checked against existing episodes to avoid duplication, while partial reopenings and changes in restrictions were recorded as separate phases.</x:v>
      </x:c>
    </x:row>
    <x:row r="14" ht="58" customHeight="1">
      <x:c r="A14" s="16" t="str">
        <x:v>Final catalogue</x:v>
      </x:c>
      <x:c r="B14" s="4" t="str">
        <x:v>The resulting register contains 829 records and 1,010 phases, supported by a catalogue of 4,680 distinct recorded URLs.</x:v>
      </x:c>
    </x:row>
    <x:row r="15" ht="58" customHeight="1">
      <x:c r="A15" s="26" t="str">
        <x:v>Consistency checks</x:v>
      </x:c>
      <x:c r="B15" s="25" t="str">
        <x:v>Automated consistency checks covered the complete final dataset; uncertain dates, source-access limitations and unresolved claims remain explicit.</x:v>
      </x:c>
    </x:row>
    <x:row r="16" ht="58" customHeight="1">
      <x:c r="A16" s="16" t="str">
        <x:v>Review coverage limits</x:v>
      </x:c>
      <x:c r="B16" s="4" t="str">
        <x:v>The five register-wide reviews covered successive versions of the dataset, while the later targeted audits examined selected records.</x:v>
      </x:c>
    </x:row>
    <x:row r="17" ht="58" customHeight="1">
      <x:c r="A17" s="26" t="str">
        <x:v>Extent of review</x:v>
      </x:c>
      <x:c r="B17" s="25" t="str">
        <x:v>The 50 completed cycles added 128 records and 183 phases. Full-record audits cover 160 of 829 parents (80 baseline; 80 additions). There are 176 targeted questions across 162 parents. These groups may overlap; a targeted question is not a full audit.</x:v>
      </x:c>
    </x:row>
    <x:row r="18" ht="64" customHeight="1">
      <x:c r="A18" s="16" t="str">
        <x:v>Fixed source audits</x:v>
      </x:c>
      <x:c r="B18" s="4" t="str">
        <x:v>Every fifth cycle used 16 parents selected before source inspection. Reviews covered occurrence and inclusion, movement and direction, every current phase and duration, rationales, source origins and geographic scope. A completed audit can retain unresolved claims; it does not certify every assertion as true.</x:v>
      </x:c>
    </x:row>
    <x:row r="19" ht="58" customHeight="1">
      <x:c r="A19" s="26" t="str">
        <x:v>Reading dates</x:v>
      </x:c>
      <x:c r="B19" s="25" t="str">
        <x:v>Observed operation, formal policy, announced windows and intermittent regimes stay separate. A last-confirmed observation is not a reopening date. An unknown endpoint establishes neither continued closure nor reopening.</x:v>
      </x:c>
    </x:row>
    <x:row r="20" ht="58" customHeight="1">
      <x:c r="A20" s="16" t="str">
        <x:v>Duration units</x:v>
      </x:c>
      <x:c r="B20" s="4" t="str">
        <x:v>Durations are calendar-day differences. Exact operational dates mean day precision, not measured hours. More than one calendar day is a different test from more than 24 hours. A zero lower bound does not establish a completed same-day restriction.</x:v>
      </x:c>
    </x:row>
    <x:row r="21" ht="64" customHeight="1">
      <x:c r="A21" s="26" t="str">
        <x:v>Rationales and geography</x:v>
      </x:c>
      <x:c r="B21" s="25" t="str">
        <x:v>Official explanations, protesters’ demands and analytical coding retain their stated attribution. Multiple supported reasons may coexist; an uncoded reason remains unknown. Each phase has its own location decision in the data companion. Unlocated phases do not inherit a parent marker or imply a whole-frontier closure.</x:v>
      </x:c>
    </x:row>
    <x:row r="22" ht="64" customHeight="1">
      <x:c r="A22" s="16" t="str">
        <x:v>What the URL count means</x:v>
      </x:c>
      <x:c r="B22" s="4" t="str">
        <x:v>There are 4,680 distinct recorded HTTP(S) URL strings, 4,997 Source index record–URL rows and 4,998 per-record URL associations. Earlier retrievals and geography references are included. Shared reports and repeat retrievals are not independent witnesses; recorded access may be full text, indexed text or failed.</x:v>
      </x:c>
    </x:row>
    <x:row r="23" ht="64" customHeight="1">
      <x:c r="A23" s="26" t="str">
        <x:v>Current and historical review</x:v>
      </x:c>
      <x:c r="B23" s="25" t="str">
        <x:v>The latest accepted record review supplies the current label and review date. Full-record audit and targeted-question scopes are distinct. Original proposed outcomes, previous workflow labels and earlier dates remain preserved in the review history and release override audit. A completed review can leave evidence unresolved.</x:v>
      </x:c>
    </x:row>
    <x:row r="24" ht="64" customHeight="1">
      <x:c r="A24" s="16" t="str">
        <x:v>Country and entity filters</x:v>
      </x:c>
      <x:c r="B24" s="4" t="str">
        <x:v>Country/entity values are normalized for filtering. Forty-eight records without a Dimensions row recover country context from recorded location or phase evidence. This does not add coordinates or approve map bindings. Broad policies retain only named entities; unspecified destinations are not invented. Urziceni retains Romania with its counterpart explicitly unresolved.</x:v>
      </x:c>
    </x:row>
    <x:row r="25" ht="58" customHeight="1">
      <x:c r="A25" s="26" t="str">
        <x:v>Sources and qualifications</x:v>
      </x:c>
      <x:c r="B25" s="25" t="str">
        <x:v>The three evidence-source columns contain selected direct links. All recorded source URLs retains the complete per-record URL list, including earlier retrievals and geography references. Access labels describe recorded inspections. Read them with each phase qualification.</x:v>
      </x:c>
    </x:row>
    <x:row r="26" ht="64" customHeight="1">
      <x:c r="A26" s="16" t="str">
        <x:v>Using the master</x:v>
      </x:c>
      <x:c r="B26" s="4" t="str">
        <x:v>Use the header filters for country/entity, research area or inclusion. Expand rows or use the formula bar for long text. The two visible worksheets are the master reader and this Methodology guide. The structured data companion retains native phases, source histories, review findings and geographic decisions.</x:v>
      </x:c>
    </x:row>
    <x:row r="27" ht="58" customHeight="1">
      <x:c r="A27" s="26" t="str">
        <x:v>Citation</x:v>
      </x:c>
      <x:c r="B27" s="25" t="str">
        <x:v>Lamarque, H. (2026) Global Border Closures Atlas. Available at: https://lamarque-mapping.github.io/Border-Closure-Atlas/ (Accessed: 25 October 2026).</x:v>
      </x:c>
    </x:row>
    <x:row r="28" ht="58" customHeight="1">
      <x:c r="A28" s="16" t="str">
        <x:v>Credits</x:v>
      </x:c>
      <x:c r="B28" s="4" t="str">
        <x:v>Compiled by Dr. Hugh Lamarque. With thanks to Dr. Robert Macdonald for feedback. Detailed historical audits remain preserved separately.</x:v>
      </x:c>
    </x:row>
    <x:row r="29">
      <x:c r="A29" s="4"/>
      <x:c r="B29" s="4"/>
    </x:row>
    <x:row r="30" ht="26" customHeight="1">
      <x:c r="A30" s="24" t="str">
        <x:v>Data version</x:v>
      </x:c>
      <x:c r="B30" s="24" t="str">
        <x:v>d9036cb8d241de5bcef39e99c6d97d62e573b59e5e02097a79a10cbf355eb39e</x:v>
      </x:c>
    </x:row>
  </x:sheetData>
  <x:pageMargins left="0.7" right="0.7" top="0.75" bottom="0.75" header="0.3" footer="0.3"/>
</x:worksheet>
</file>