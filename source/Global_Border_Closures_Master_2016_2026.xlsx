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107f46ba5364105" /></Relationships>
</file>

<file path=xl/workbook.xml><?xml version="1.0" encoding="utf-8"?>
<x:workbook xmlns:x="http://schemas.openxmlformats.org/spreadsheetml/2006/main">
  <x:sheets>
    <x:sheet xmlns:r="http://schemas.openxmlformats.org/officeDocument/2006/relationships" name="Closures" sheetId="1" r:id="R69ae424796bd4ded"/>
    <x:sheet xmlns:r="http://schemas.openxmlformats.org/officeDocument/2006/relationships" name="Methodology" sheetId="2" r:id="Ra67e7f05f061493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 mmm yyyy"/>
    <x:numFmt numFmtId="201" formatCode="0"/>
  </x:numFmts>
  <x:fonts count="7">
    <x:font>
      <x:sz val="11"/>
      <x:name val="Carlito"/>
    </x:font>
    <x:font>
      <x:sz val="10"/>
      <x:color rgb="FF263746"/>
      <x:name val="Arial"/>
    </x:font>
    <x:font>
      <x:b/>
      <x:sz val="10"/>
      <x:color rgb="FFFFFFFF"/>
      <x:name val="Arial"/>
    </x:font>
    <x:font>
      <x:b/>
      <x:sz val="10"/>
      <x:color rgb="FF243A4D"/>
      <x:name val="Arial"/>
    </x:font>
    <x:font>
      <x:sz val="10"/>
      <x:color rgb="FF175B86"/>
      <x:name val="Arial"/>
    </x:font>
    <x:font>
      <x:b/>
      <x:sz val="14"/>
      <x:color rgb="FF243A4D"/>
      <x:name val="Arial"/>
    </x:font>
    <x:font>
      <x:sz val="9"/>
      <x:color rgb="FF536474"/>
      <x:name val="Arial"/>
    </x:font>
  </x:fonts>
  <x:fills count="5">
    <x:fill>
      <x:patternFill patternType="none"/>
    </x:fill>
    <x:fill>
      <x:patternFill patternType="gray125"/>
    </x:fill>
    <x:fill>
      <x:patternFill patternType="solid">
        <x:fgColor rgb="FFFFFFFF"/>
      </x:patternFill>
    </x:fill>
    <x:fill>
      <x:patternFill patternType="solid">
        <x:fgColor rgb="FF243A4D"/>
      </x:patternFill>
    </x:fill>
    <x:fill>
      <x:patternFill patternType="solid">
        <x:fgColor rgb="FFF2F5F8"/>
      </x:patternFill>
    </x:fill>
  </x:fills>
  <x:borders count="5">
    <x:border>
      <x:left/>
      <x:right/>
      <x:top/>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x:bottom style="thin">
        <x:color rgb="FFC6D1D9"/>
      </x:bottom>
      <x:diagonal/>
    </x:border>
  </x:borders>
  <x:cellStyleXfs count="1">
    <x:xf numFmtId="0" fontId="0" fillId="0" borderId="0"/>
  </x:cellStyleXfs>
  <x:cellXfs count="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2" fillId="3" borderId="1" xfId="0" applyNumberFormat="1" applyFont="1" applyFill="1" applyBorder="1" applyAlignment="1">
      <x:alignment vertical="top" wrapText="1"/>
    </x:xf>
    <x:xf numFmtId="0" fontId="2" fillId="3" borderId="2"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2" fillId="3" borderId="1" xfId="0" applyNumberFormat="1" applyFont="1" applyFill="1" applyBorder="1" applyAlignment="1">
      <x:alignment horizontal="center" vertical="top" wrapText="1"/>
    </x:xf>
    <x:xf numFmtId="0" fontId="2" fillId="3" borderId="2" xfId="0" applyNumberFormat="1" applyFont="1" applyFill="1" applyBorder="1" applyAlignment="1">
      <x:alignment horizontal="center" vertical="top" wrapText="1"/>
    </x:xf>
    <x:xf numFmtId="0" fontId="2" fillId="3" borderId="3" xfId="0" applyNumberFormat="1" applyFont="1" applyFill="1" applyBorder="1" applyAlignment="1">
      <x:alignment horizontal="center" vertical="top" wrapText="1"/>
    </x:xf>
    <x:xf numFmtId="0" fontId="2" fillId="3" borderId="1" xfId="0" applyNumberFormat="1" applyFont="1" applyFill="1" applyBorder="1" applyAlignment="1">
      <x:alignment horizontal="center" vertical="center" wrapText="1"/>
    </x:xf>
    <x:xf numFmtId="0" fontId="2" fillId="3" borderId="2" xfId="0" applyNumberFormat="1" applyFont="1" applyFill="1" applyBorder="1" applyAlignment="1">
      <x:alignment horizontal="center" vertical="center" wrapText="1"/>
    </x:xf>
    <x:xf numFmtId="0" fontId="2" fillId="3" borderId="3" xfId="0" applyNumberFormat="1" applyFont="1" applyFill="1" applyBorder="1" applyAlignment="1">
      <x:alignment horizontal="center" vertical="center" wrapText="1"/>
    </x:xf>
    <x:xf numFmtId="0" fontId="3" fillId="2" borderId="0" xfId="0" applyNumberFormat="1" applyFont="1" applyFill="1" applyBorder="1" applyAlignment="1">
      <x:alignment vertical="top" wrapText="1"/>
    </x:xf>
    <x:xf numFmtId="200" fontId="1" fillId="2" borderId="0" xfId="0" applyNumberFormat="1" applyFont="1" applyFill="1" applyBorder="1" applyAlignment="1">
      <x:alignment vertical="top" wrapText="1"/>
    </x:xf>
    <x:xf numFmtId="200" fontId="1" fillId="2" borderId="0" xfId="0" applyNumberFormat="1" applyFont="1" applyFill="1" applyBorder="1" applyAlignment="1">
      <x:alignment vertical="top" wrapText="0"/>
    </x:xf>
    <x:xf numFmtId="201" fontId="1" fillId="2" borderId="0" xfId="0" applyNumberFormat="1" applyFont="1" applyFill="1" applyBorder="1" applyAlignment="1">
      <x:alignment vertical="top" wrapText="1"/>
    </x:xf>
    <x:xf numFmtId="201" fontId="1" fillId="2" borderId="0" xfId="0" applyNumberFormat="1" applyFont="1" applyFill="1" applyBorder="1" applyAlignment="1">
      <x:alignment horizontal="right" vertical="top" wrapText="1"/>
    </x:xf>
    <x:xf numFmtId="0" fontId="4" fillId="2"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2" borderId="4"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6cf406d71784cd1" /><Relationship Type="http://schemas.openxmlformats.org/officeDocument/2006/relationships/theme" Target="/xl/theme/theme1.xml" Id="R2c3fc602d93b4bff" /><Relationship Type="http://schemas.openxmlformats.org/officeDocument/2006/relationships/sharedStrings" Target="/xl/sharedStrings.xml" Id="R3cb2980f105f41d0" /><Relationship Type="http://schemas.openxmlformats.org/officeDocument/2006/relationships/worksheet" Target="/xl/worksheets/sheet1.xml" Id="R69ae424796bd4ded" /><Relationship Type="http://schemas.openxmlformats.org/officeDocument/2006/relationships/worksheet" Target="/xl/worksheets/sheet2.xml" Id="Ra67e7f05f0614936" /></Relationships>
</file>

<file path=xl/tables/table1.xml><?xml version="1.0" encoding="utf-8"?>
<x:table xmlns:x="http://schemas.openxmlformats.org/spreadsheetml/2006/main" id="1" name="BorderClosures" displayName="BorderClosures" ref="A1:R830" headerRowCount="1" totalsRowCount="0" totalsRowShown="0">
  <x:autoFilter ref="A1:R830"/>
  <x:tableColumns count="18">
    <x:tableColumn id="1" name="Record ID"/>
    <x:tableColumn id="2" name="Closure or restriction"/>
    <x:tableColumn id="3" name="Countries / territories"/>
    <x:tableColumn id="4" name="Crossing and scope"/>
    <x:tableColumn id="5" name="Traffic, direction and exceptions"/>
    <x:tableColumn id="6" name="Phase dates and scope"/>
    <x:tableColumn id="7" name="Rationales and attribution"/>
    <x:tableColumn id="8" name="Current uncertainty / qualification"/>
    <x:tableColumn id="9" name="Latest verification"/>
    <x:tableColumn id="10" name="Review date"/>
    <x:tableColumn id="11" name="Evidence source 1"/>
    <x:tableColumn id="12" name="Evidence source 2"/>
    <x:tableColumn id="13" name="Evidence source 3"/>
    <x:tableColumn id="14" name="All recorded source URLs"/>
    <x:tableColumn id="15" name="Recorded source-access limits"/>
    <x:tableColumn id="16" name="Phases"/>
    <x:tableColumn id="17" name="Research area"/>
    <x:tableColumn id="18" name="Atlas inclus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25397f66ebc4685" /></Relationships>
</file>

<file path=xl/worksheets/sheet1.xml><?xml version="1.0" encoding="utf-8"?>
<x:worksheet xmlns:x="http://schemas.openxmlformats.org/spreadsheetml/2006/main">
  <x:sheetPr>
    <x:tabColor rgb="FF243A4D"/>
  </x:sheetPr>
  <x:sheetViews>
    <x:sheetView showGridLines="0" workbookViewId="0">
      <x:pane xSplit="1" ySplit="1" topLeftCell="B2" activePane="bottomRight" state="frozen"/>
    </x:sheetView>
  </x:sheetViews>
  <x:sheetFormatPr defaultRowHeight="15"/>
  <x:cols>
    <x:col min="1" max="1" width="20" hidden="0" customWidth="1"/>
    <x:col min="2" max="2" width="54" hidden="0" customWidth="1"/>
    <x:col min="3" max="3" width="30" hidden="0" customWidth="1"/>
    <x:col min="4" max="4" width="50" hidden="0" customWidth="1"/>
    <x:col min="5" max="5" width="54" hidden="0" customWidth="1"/>
    <x:col min="6" max="6" width="74" hidden="0" customWidth="1"/>
    <x:col min="7" max="7" width="48" hidden="0" customWidth="1"/>
    <x:col min="8" max="8" width="72" hidden="0" customWidth="1"/>
    <x:col min="9" max="9" width="49" hidden="0" customWidth="1"/>
    <x:col min="10" max="10" width="16" hidden="0" customWidth="1"/>
    <x:col min="11" max="11" width="36" hidden="0" customWidth="1"/>
    <x:col min="12" max="12" width="36" hidden="0" customWidth="1"/>
    <x:col min="13" max="13" width="36" hidden="0" customWidth="1"/>
    <x:col min="14" max="14" width="65" hidden="0" customWidth="1"/>
    <x:col min="15" max="15" width="52" hidden="0" customWidth="1"/>
    <x:col min="16" max="16" width="10" hidden="0" customWidth="1"/>
    <x:col min="17" max="17" width="25" hidden="0" customWidth="1"/>
    <x:col min="18" max="18" width="19" hidden="0" customWidth="1"/>
  </x:cols>
  <x:sheetData>
    <x:row r="1" ht="34" customHeight="1">
      <x:c r="A1" s="13" t="str">
        <x:v>Record ID</x:v>
      </x:c>
      <x:c r="B1" s="14" t="str">
        <x:v>Closure or restriction</x:v>
      </x:c>
      <x:c r="C1" s="14" t="str">
        <x:v>Countries / territories</x:v>
      </x:c>
      <x:c r="D1" s="14" t="str">
        <x:v>Crossing and scope</x:v>
      </x:c>
      <x:c r="E1" s="14" t="str">
        <x:v>Traffic, direction and exceptions</x:v>
      </x:c>
      <x:c r="F1" s="14" t="str">
        <x:v>Phase dates and scope</x:v>
      </x:c>
      <x:c r="G1" s="14" t="str">
        <x:v>Rationales and attribution</x:v>
      </x:c>
      <x:c r="H1" s="14" t="str">
        <x:v>Current uncertainty / qualification</x:v>
      </x:c>
      <x:c r="I1" s="14" t="str">
        <x:v>Latest verification</x:v>
      </x:c>
      <x:c r="J1" s="14" t="str">
        <x:v>Review date</x:v>
      </x:c>
      <x:c r="K1" s="14" t="str">
        <x:v>Evidence source 1</x:v>
      </x:c>
      <x:c r="L1" s="14" t="str">
        <x:v>Evidence source 2</x:v>
      </x:c>
      <x:c r="M1" s="14" t="str">
        <x:v>Evidence source 3</x:v>
      </x:c>
      <x:c r="N1" s="14" t="str">
        <x:v>All recorded source URLs</x:v>
      </x:c>
      <x:c r="O1" s="14" t="str">
        <x:v>Recorded source-access limits</x:v>
      </x:c>
      <x:c r="P1" s="14" t="str">
        <x:v>Phases</x:v>
      </x:c>
      <x:c r="Q1" s="14" t="str">
        <x:v>Research area</x:v>
      </x:c>
      <x:c r="R1" s="15" t="str">
        <x:v>Atlas inclusion</x:v>
      </x:c>
    </x:row>
    <x:row r="2" ht="409" hidden="0" customHeight="1">
      <x:c r="A2" s="16" t="str">
        <x:v>AM010</x:v>
      </x:c>
      <x:c r="B2" s="4" t="str">
        <x:v>Venezuela Colombia currency-control closure December 2016</x:v>
      </x:c>
      <x:c r="C2" s="4" t="str">
        <x:v>Venezuela; Colombia</x:v>
      </x:c>
      <x:c r="D2" s="4" t="str">
        <x:v>Venezuelan side of Colombia frontier</x:v>
      </x:c>
      <x:c r="E2" s="4" t="str">
        <x:v>Pedestrian passage in the current operational phase; vehicle and freight normalization are not dated by this interval.
Direction: Direction not separately established in this pass; consult the movement scope and source evidence.</x:v>
      </x:c>
      <x:c r="F2" s="4" t="str">
        <x:v>AM010-D1 — Observed operation
Venezuela–Colombia pedestrian restriction to the first reported pedestrian reopening.
Start: 2016-12-12 to 2016-12-13.
Observed scoped reopening: 2016-12-20.
7–8 calendar-day difference; scoped endpoint only</x:v>
      </x:c>
      <x:c r="G2" s="4" t="str">
        <x:v>Trade and protectionism / Currency controls
Reported reason
Applies to: Recorded episode; exact overlap not separately established
The recorded rationale and claim assessment support the selected subcategories. All applicable broad categories are retained together; no primary rationale is imposed.
Security / Smuggling and illicit trafficking
Reported reason
Applies to: Recorded episode; exact overlap not separately established
The recorded rationale and claim assessment support the selected subcategories. All applicable broad categories are retained together; no primary rationale is imposed.</x:v>
      </x:c>
      <x:c r="H2" s="4" t="str">
        <x:v>AM010-D1: The 20 December 2016 endpoint concerns pedestrian crossings. A Colombian Foreign Ministry notice dated 22 December confirms six reopened pedestrian posts and states that international freight transport would continue from 20:00 to midnight. This establishes later freight permission by 22 December, not the exact first cargo crossing or unrestricted private-vehicle normalization. The current December 12–13 onset bounds and seven-to-eight-day pedestrian date difference are retained; these do not describe every traffic class.</x:v>
      </x:c>
      <x:c r="I2" s="4" t="str">
        <x:v>Second full-register audit, 26 October 2026: qualified. The pedestrian endpoint and distinct later freight permission are supported. Fresh onset reporting does not resolve the existing December 12–13 calendar bounds.</x:v>
      </x:c>
      <x:c r="J2" s="18" t="d">
        <x:v>2026-10-26T00:00:00.000Z</x:v>
      </x:c>
      <x:c r="K2" s="21" t="str">
        <x:f>IFERROR(HYPERLINK("https://www.euronews.com/2016/12/13/venezuela-closes-colombian-border-to-stop-currency-mafia","Euronews with Reuters and AFP"),"Euronews with Reuters and AFP")</x:f>
        <x:v>Euronews with Reuters and AFP</x:v>
      </x:c>
      <x:c r="L2" s="21" t="str">
        <x:f>IFERROR(HYPERLINK("https://noticias.uol.com.br/ultimas-noticias/reuters/2016/12/20/venezuela-e-colombia-concordam-em-reabrir-fronteira-de-maneira-progressiva.htm","UOL"),"UOL")</x:f>
        <x:v>UOL</x:v>
      </x:c>
      <x:c r="M2" s="21" t="str">
        <x:f>IFERROR(HYPERLINK("https://noticias.uol.com.br/ultimas-noticias/afp/2016/12/20/venezuela-reabre-fronteira-com-brasil.htm","UOL"),"UOL")</x:f>
        <x:v>UOL</x:v>
      </x:c>
      <x:c r="N2" s="4" t="str">
        <x:v>https://www.euronews.com/2016/12/13/venezuela-closes-colombian-border-to-stop-currency-mafia
https://noticias.uol.com.br/ultimas-noticias/reuters/2016/12/20/venezuela-e-colombia-concordam-em-reabrir-fronteira-de-maneira-progressiva.htm
https://noticias.uol.com.br/ultimas-noticias/afp/2016/12/20/venezuela-reabre-fronteira-com-brasil.htm
https://noticias.uol.com.br/ultimas-noticias/afp/2016/12/20/venezuela-reabre-passagem-com-a-colombia.htm
https://elpais.com/internacional/2016/12/20/colombia/1482268185_434662.html
https://www.cancilleria.gov.co/sala-de-prensa/noticias/se-retoman-acciones-del-plan-apertura-la-frontera-colombo-venezolana-permanecera-abierta-entre-las-5-am-y-las-8-pm-durante-las-fiestas-de-navidad-y-ano-nuevo
https://tnonline.uol.com.br/noticias/geral/,397133,20,12,venezuela-libera-retorno-de-brasileiros-a-pe-e-em-carros-diz-itamaraty
https://english.elpais.com/elpais/2016/12/13/inenglish/1481628775_257836.html
https://cancilleria.gov.co/en/sala-de-prensa/noticias/se-retoman-acciones-del-plan-apertura-la-frontera-colombo-venezolana-permanecera-abierta-entre-las-5-am-y-las-8-pm-durante-las-fiestas-de-navidad-y-ano-nuevo</x:v>
      </x:c>
      <x:c r="O2" s="4" t="str">
        <x:v>Second full-register audit source access, 26 October 2026
https://www.euronews.com/2016/12/13/venezuela-closes-colombian-border-to-stop-currency-mafia: full text (fresh retrieval)
https://elpais.com/internacional/2016/12/20/colombia/1482268185_434662.html: search extract (previously retrieved text re-examined)
https://cancilleria.gov.co/en/sala-de-prensa/noticias/se-retoman-acciones-del-plan-apertura-la-frontera-colombo-venezolana-permanecera-abierta-entre-las-5-am-y-las-8-pm-durante-las-fiestas-de-navidad-y-ano-nuevo: full text (previously retrieved text re-examined)
Earlier URLs not separately inspected in this second assessment:
https://noticias.uol.com.br/ultimas-noticias/reuters/2016/12/20/venezuela-e-colombia-concordam-em-reabrir-fronteira-de-maneira-progressiva.htm
https://noticias.uol.com.br/ultimas-noticias/afp/2016/12/20/venezuela-reabre-fronteira-com-brasil.htm
https://noticias.uol.com.br/ultimas-noticias/afp/2016/12/20/venezuela-reabre-passagem-com-a-colombia.htm
https://www.cancilleria.gov.co/sala-de-prensa/noticias/se-retoman-acciones-del-plan-apertura-la-frontera-colombo-venezolana-permanecera-abierta-entre-las-5-am-y-las-8-pm-durante-las-fiestas-de-navidad-y-ano-nuevo
https://tnonline.uol.com.br/noticias/geral/,397133,20,12,venezuela-libera-retorno-de-brasileiros-a-pe-e-em-carros-diz-itamaraty
https://english.elpais.com/elpais/2016/12/13/inenglish/1481628775_257836.html
Prior audit access record
Full-register audit source access (evidence cutoff 25 October 2026)
https://www.euronews.com/2016/12/13/venezuela-closes-colombian-border-to-stop-currency-mafia: full text
https://elpais.com/internacional/2016/12/20/colombia/1482268185_434662.html: search extract
https://cancilleria.gov.co/en/sala-de-prensa/noticias/se-retoman-acciones-del-plan-apertura-la-frontera-colombo-venezolana-permanecera-abierta-entre-las-5-am-y-las-8-pm-durante-las-fiestas-de-navidad-y-ano-nuevo: full text
https://noticias.uol.com.br/ultimas-noticias/reuters/2016/12/20/venezuela-e-colombia-concordam-em-reabrir-fronteira-de-maneira-progressiva.htm: inaccessible — Timeout on body retrieval
https://noticias.uol.com.br/ultimas-noticias/afp/2016/12/20/venezuela-reabre-passagem-com-a-colombia.htm: inaccessible — Timeout
Earlier source URLs not separately listed in this audit’s retrieval log (historical access notes below are not fresh verification):
https://noticias.uol.com.br/ultimas-noticias/afp/2016/12/20/venezuela-reabre-fronteira-com-brasil.htm
https://www.cancilleria.gov.co/sala-de-prensa/noticias/se-retoman-acciones-del-plan-apertura-la-frontera-colombo-venezolana-permanecera-abierta-entre-las-5-am-y-las-8-pm-durante-las-fiestas-de-navidad-y-ano-nuevo
https://tnonline.uol.com.br/noticias/geral/,397133,20,12,venezuela-libera-retorno-de-brasileiros-a-pe-e-em-carros-diz-itamaraty
https://english.elpais.com/elpais/2016/12/13/inenglish/1481628775_257836.html
Earlier recorded access
Source 1: full text
Source 2: search extract
Source 3: search extract</x:v>
      </x:c>
      <x:c r="P2" s="20" t="n">
        <x:v>1</x:v>
      </x:c>
      <x:c r="Q2" s="4" t="str">
        <x:v>Americas</x:v>
      </x:c>
      <x:c r="R2" s="4" t="str">
        <x:v>Included</x:v>
      </x:c>
    </x:row>
    <x:row r="3" ht="409" hidden="0" customHeight="1">
      <x:c r="A3" s="16" t="str">
        <x:v>AM051</x:v>
      </x:c>
      <x:c r="B3" s="4" t="str">
        <x:v>Venezuela Brazil currency-control closure December 2016</x:v>
      </x:c>
      <x:c r="C3" s="4" t="str">
        <x:v>Venezuela; Brazil</x:v>
      </x:c>
      <x:c r="D3" s="4" t="str">
        <x:v>Santa Elena de Uairén–Pacaraima
Santa Elena–Pacaraima crossing</x:v>
      </x:c>
      <x:c r="E3" s="4" t="str">
        <x:v>Persons and vehicles at the named crossing according to Brazilian MRE; later pedestrian and registered Brazilian return phases differed.
Direction: Initial report describes all passage at the crossing; December 20 pedestrian release in both directions and Brazilian vehicle return into Brazil.
Exceptions: Registered Brazilian vehicle returns began December 19, with a 14h window and prior registration; pedestrian traffic in both directions released December 20.</x:v>
      </x:c>
      <x:c r="F3" s="4" t="str">
        <x:v>AM051-D1 — Observed operation
Formal pedestrian passage at Santa Elena–Pacaraima, to the reported 20 December pedestrian reopening.
Start: 2016-12-13.
Observed scoped reopening: 2016-12-20.
7 calendar-day difference; scoped endpoint only</x:v>
      </x:c>
      <x:c r="G3" s="4" t="str">
        <x:v>Trade and protectionism / Currency controls
Reported reason
Applies to: Recorded episode; exact overlap not separately established
The recorded rationale and claim assessment support the selected subcategories. All applicable broad categories are retained together; no primary rationale is imposed.
Security / Smuggling and illicit trafficking
Reported reason
Applies to: Recorded episode; exact overlap not separately established
The recorded rationale and claim assessment support the selected subcategories. All applicable broad categories are retained together; no primary rationale is imposed.</x:v>
      </x:c>
      <x:c r="H3" s="4" t="str">
        <x:v>AM051-D1: Registered Brazilian vehicle returns were allowed from 19 December, and pedestrians in both directions were released on 20 December. The 7-calendar-day pedestrian phase is not the full vehicle regime. A 6 January 2017 Agência Brasil report, citing Roraima's international-relations secretary, describes restored normal movement of people, cars and goods, including Venezuelan departures, after earlier partial reopening. This supplies a later normalization observation, not evidence of uninterrupted complete closure through 6 January. The intervening traffic-specific restrictions are not fully reconstructed. UOL and Folhapress accounts drawing on MRE are not independent confirmations.</x:v>
      </x:c>
      <x:c r="I3" s="4" t="str">
        <x:v>Second full-register audit, 26 October 2026: qualified. Fresh Itamaraty-attributed reporting confirms the December 20 pedestrian release in both directions and the earlier registered Brazilian vehicle-return exception. The January 6 broader normalization must remain a later separate observation.</x:v>
      </x:c>
      <x:c r="J3" s="18" t="d">
        <x:v>2026-10-26T00:00:00.000Z</x:v>
      </x:c>
      <x:c r="K3" s="21" t="str">
        <x:f>IFERROR(HYPERLINK("https://noticias.uol.com.br/ultimas-noticias/afp/2016/12/20/venezuela-reabre-fronteira-com-brasil.htm","UOL"),"UOL")</x:f>
        <x:v>UOL</x:v>
      </x:c>
      <x:c r="L3" s="21" t="str">
        <x:f>IFERROR(HYPERLINK("https://noticias.uol.com.br/internacional/ultimas-noticias/2016/12/13/venezuela-fecha-fronteira-com-o-brasil-por-72-horas.htm","UOL"),"UOL")</x:f>
        <x:v>UOL</x:v>
      </x:c>
      <x:c r="M3" s="21" t="str">
        <x:f>IFERROR(HYPERLINK("https://tnonline.uol.com.br/noticias/geral/,397133,20,12,venezuela-libera-retorno-de-brasileiros-a-pe-e-em-carros-diz-itamaraty","Folhapress via TNOnline"),"Folhapress via TNOnline")</x:f>
        <x:v>Folhapress via TNOnline</x:v>
      </x:c>
      <x:c r="N3" s="4" t="str">
        <x:v>https://noticias.uol.com.br/ultimas-noticias/afp/2016/12/20/venezuela-reabre-fronteira-com-brasil.htm
https://noticias.uol.com.br/internacional/ultimas-noticias/2016/12/13/venezuela-fecha-fronteira-com-o-brasil-por-72-horas.htm
https://tnonline.uol.com.br/noticias/geral/,397133,20,12,venezuela-libera-retorno-de-brasileiros-a-pe-e-em-carros-diz-itamaraty
https://exame.com/brasil/venezuela-informa-que-nao-ha-mais-brasileiros-retidos-no-pais/
https://noticias.uol.com.br/ultimas-noticias/afp/2016/12/20/venezuela-reabre-passagem-com-a-colombia.htm
https://repositorio.ipea.gov.br/bitstreams/f81ef82e-6cba-4733-89df-5f99120b35d7/download
https://noticias.uol.com.br/internacional/ultimas-noticias/2016/12/13/venezuela-fecha-fronteira-com-o-brasil-por-72-horas.amp.htm
https://exame.com/brasil/fronteira-entre-brasil-e-venezuela-e-reaberta/</x:v>
      </x:c>
      <x:c r="O3" s="4" t="str">
        <x:v>Second full-register audit source access, 26 October 2026
https://noticias.uol.com.br/internacional/ultimas-noticias/2016/12/13/venezuela-fecha-fronteira-com-o-brasil-por-72-horas.htm: search extract (previously retrieved text re-examined) — Full opener initially failed, later page retrieved navigation; relevant body inspected through search.
https://tnonline.uol.com.br/noticias/geral/,397133,20,12,venezuela-libera-retorno-de-brasileiros-a-pe-e-em-carros-diz-itamaraty: full text (fresh retrieval)
https://exame.com/brasil/fronteira-entre-brasil-e-venezuela-e-reaberta/: full text (previously retrieved text re-examined)
Earlier URLs not separately inspected in this second assessment:
https://noticias.uol.com.br/ultimas-noticias/afp/2016/12/20/venezuela-reabre-fronteira-com-brasil.htm
https://exame.com/brasil/venezuela-informa-que-nao-ha-mais-brasileiros-retidos-no-pais/
https://noticias.uol.com.br/ultimas-noticias/afp/2016/12/20/venezuela-reabre-passagem-com-a-colombia.htm
https://repositorio.ipea.gov.br/bitstreams/f81ef82e-6cba-4733-89df-5f99120b35d7/download
https://noticias.uol.com.br/internacional/ultimas-noticias/2016/12/13/venezuela-fecha-fronteira-com-o-brasil-por-72-horas.amp.htm
Prior audit access record
Full-register audit source access (evidence cutoff 25 October 2026)
https://noticias.uol.com.br/internacional/ultimas-noticias/2016/12/13/venezuela-fecha-fronteira-com-o-brasil-por-72-horas.htm: search extract — Full opener initially failed, later page retrieved navigation; relevant body inspected through search.
https://tnonline.uol.com.br/noticias/geral/,397133,20,12,venezuela-libera-retorno-de-brasileiros-a-pe-e-em-carros-diz-itamaraty: full text
https://exame.com/brasil/fronteira-entre-brasil-e-venezuela-e-reaberta/: full text
Earlier source URLs not separately listed in this audit’s retrieval log (historical access notes below are not fresh verification):
https://noticias.uol.com.br/ultimas-noticias/afp/2016/12/20/venezuela-reabre-fronteira-com-brasil.htm
https://exame.com/brasil/venezuela-informa-que-nao-ha-mais-brasileiros-retidos-no-pais/
https://noticias.uol.com.br/ultimas-noticias/afp/2016/12/20/venezuela-reabre-passagem-com-a-colombia.htm
https://repositorio.ipea.gov.br/bitstreams/f81ef82e-6cba-4733-89df-5f99120b35d7/download
https://noticias.uol.com.br/internacional/ultimas-noticias/2016/12/13/venezuela-fecha-fronteira-com-o-brasil-por-72-horas.amp.htm
Earlier recorded access
Source 1: full relevant article body opened
Source 2: full relevant article body opened
Source 3: full text</x:v>
      </x:c>
      <x:c r="P3" s="20" t="n">
        <x:v>1</x:v>
      </x:c>
      <x:c r="Q3" s="4" t="str">
        <x:v>Americas</x:v>
      </x:c>
      <x:c r="R3" s="4" t="str">
        <x:v>Included</x:v>
      </x:c>
    </x:row>
    <x:row r="4" ht="409" hidden="0" customHeight="1">
      <x:c r="A4" s="16" t="str">
        <x:v>AM012</x:v>
      </x:c>
      <x:c r="B4" s="4" t="str">
        <x:v>Venezuela Brazil closure during aid confrontation</x:v>
      </x:c>
      <x:c r="C4" s="4" t="str">
        <x:v>Venezuela; Brazil</x:v>
      </x:c>
      <x:c r="D4" s="4" t="str">
        <x:v>Santa Elena de Uairén–Pacaraima formal crossing</x:v>
      </x:c>
      <x:c r="E4" s="4" t="str">
        <x:v>Ordinary movement through the formal Santa Elena de Uairén–Pacaraima crossing.
Direction: Venezuela imposed the closure; UNHCR observed entry into Brazil after the 10 May 2019 reopening, while Reuters reports traffic resuming through the customs posts. Uniform restrictions on every direction and movement category are not separately established.
Exceptions and alternative routes: Informal trail crossings continued during the formal closure and are excluded from this episode; they do not establish normal operation at the formal crossing.</x:v>
      </x:c>
      <x:c r="F4" s="4" t="str">
        <x:v>AM012-D1 — Observed operation
Ordinary passage at the formal Santa Elena–Pacaraima crossing, excluding informal trails.
Start: 2019-02-21 to 2019-02-22.
Observed scoped reopening: 2019-05-10.
77–78 calendar-day difference; scoped endpoint only</x:v>
      </x:c>
      <x:c r="G4" s="4" t="str">
        <x:v>Security / Unspecified security
Reported reason
Applies to: Recorded episode; exact overlap not separately established
The recorded rationale and claim assessment support the selected subcategories. All applicable broad categories are retained together; no primary rationale is imposed.
Power and regime politics / Opposition and political reform
Reported reason
Applies to: Recorded episode; exact overlap not separately established
The recorded rationale and claim assessment support the selected subcategories. All applicable broad categories are retained together; no primary rationale is imposed.</x:v>
      </x:c>
      <x:c r="H4" s="4" t="str">
        <x:v>AM012-D1: One-day onset range retains the distinction between the order and observed enforcement. Informal trails continued throughout. Calendar-day bounds do not establish exact hours or an impermeable frontier.</x:v>
      </x:c>
      <x:c r="I4" s="4" t="str">
        <x:v>Second full-register audit, 26 October 2026: additional source-audited corrections incorporated. See the phase, scope and qualification columns for the accepted findings.</x:v>
      </x:c>
      <x:c r="J4" s="18" t="d">
        <x:v>2026-10-26T00:00:00.000Z</x:v>
      </x:c>
      <x:c r="K4" s="21" t="str">
        <x:f>IFERROR(HYPERLINK("https://www.fijitimes.com.fj/venezuela-reopens-border-where-migrants-used-trails-to-reach-brazil/","The Fiji Times"),"The Fiji Times")</x:f>
        <x:v>The Fiji Times</x:v>
      </x:c>
      <x:c r="L4" s="21" t="str">
        <x:f>IFERROR(HYPERLINK("https://noticias.uol.com.br/ultimas-noticias/reuters/2019/02/21/brasil-mantem-planejamento-de-ajuda-humanitaria-a-venezuela-mesmo-com-fechamento-da-fronteira-diz-porta-voz.htm","UOL"),"UOL")</x:f>
        <x:v>UOL</x:v>
      </x:c>
      <x:c r="M4" s="21" t="str">
        <x:f>IFERROR(HYPERLINK("https://www.euronews.com/2019/02/23/showdown-looms-as-venezuela-opposition-to-confront-border-troops-over-aid","Euronews"),"Euronews")</x:f>
        <x:v>Euronews</x:v>
      </x:c>
      <x:c r="N4" s="4" t="str">
        <x:v>https://www.fijitimes.com.fj/venezuela-reopens-border-where-migrants-used-trails-to-reach-brazil/
https://noticias.uol.com.br/ultimas-noticias/reuters/2019/02/21/brasil-mantem-planejamento-de-ajuda-humanitaria-a-venezuela-mesmo-com-fechamento-da-fronteira-diz-porta-voz.htm
https://www.euronews.com/2019/02/23/showdown-looms-as-venezuela-opposition-to-confront-border-troops-over-aid
https://brasil.un.org/pt-br/83131-acnur-monitora-reabertura-da-fronteira-entre-brasil-e-venezuela
https://www.spokesman.com/stories/2019/may/10/venezuela-orders-aruba-brazil-borders-reopened/
https://animalpolitico.com/2019/02/crisis-en-venezuela-nicolas-maduro-ordena-el-cierre-de-la-frontera-con-brasil</x:v>
      </x:c>
      <x:c r="O4" s="4" t="str">
        <x:v>Second full-register audit source access, 26 October 2026
https://www.fijitimes.com.fj/venezuela-reopens-border-where-migrants-used-trails-to-reach-brazil/: full text (previously retrieved text re-examined)
https://noticias.uol.com.br/ultimas-noticias/reuters/2019/02/21/brasil-mantem-planejamento-de-ajuda-humanitaria-a-venezuela-mesmo-com-fechamento-da-fronteira-diz-porta-voz.htm: full text (previously retrieved text re-examined)
https://brasil.un.org/pt-br/83131-acnur-monitora-reabertura-da-fronteira-entre-brasil-e-venezuela: full text (fresh retrieval)
Earlier URLs not separately inspected in this second assessment:
https://www.euronews.com/2019/02/23/showdown-looms-as-venezuela-opposition-to-confront-border-troops-over-aid
https://www.spokesman.com/stories/2019/may/10/venezuela-orders-aruba-brazil-borders-reopened/
https://animalpolitico.com/2019/02/crisis-en-venezuela-nicolas-maduro-ordena-el-cierre-de-la-frontera-con-brasil
Prior audit access record
Full-register audit source access (evidence cutoff 25 October 2026)
https://www.fijitimes.com.fj/venezuela-reopens-border-where-migrants-used-trails-to-reach-brazil/: full text
https://noticias.uol.com.br/ultimas-noticias/reuters/2019/02/21/brasil-mantem-planejamento-de-ajuda-humanitaria-a-venezuela-mesmo-com-fechamento-da-fronteira-diz-porta-voz.htm: full text
https://brasil.un.org/pt-br/83131-acnur-monitora-reabertura-da-fronteira-entre-brasil-e-venezuela: full text
https://www.euronews.com/2019/02/23/showdown-looms-as-venezuela-opposition-to-confront-border-troops-over-aid: full text
Earlier source URLs not separately listed in this audit’s retrieval log (historical access notes below are not fresh verification):
https://www.spokesman.com/stories/2019/may/10/venezuela-orders-aruba-brazil-borders-reopened/
https://animalpolitico.com/2019/02/crisis-en-venezuela-nicolas-maduro-ordena-el-cierre-de-la-frontera-con-brasil
Earlier recorded access
Source 1: full page
Source 2: full page
Source 3: full page</x:v>
      </x:c>
      <x:c r="P4" s="20" t="n">
        <x:v>1</x:v>
      </x:c>
      <x:c r="Q4" s="4" t="str">
        <x:v>Americas</x:v>
      </x:c>
      <x:c r="R4" s="4" t="str">
        <x:v>Included</x:v>
      </x:c>
    </x:row>
    <x:row r="5" ht="409" hidden="0" customHeight="1">
      <x:c r="A5" s="16" t="str">
        <x:v>AM011</x:v>
      </x:c>
      <x:c r="B5" s="4" t="str">
        <x:v>Venezuela Táchira pedestrian closure during aid confrontation</x:v>
      </x:c>
      <x:c r="C5" s="4" t="str">
        <x:v>Venezuela; Colombia</x:v>
      </x:c>
      <x:c r="D5" s="4" t="str">
        <x:v>Táchira crossings to Cúcuta</x:v>
      </x:c>
      <x:c r="E5" s="4" t="str">
        <x:v>Ordinary nonexempt pedestrian passage on the Simón Bolívar and Francisco de Paula Santander bridges; pre-existing vehicle restrictions are separate.
Direction: Pedestrian passage across the two bridges; the 8 June reopening restored movements in both directions.
Exceptions: From 11 March 2019, temporary humanitarian passage into Colombia was reported for schoolchildren and people needing medical care. The March GIFMM report also identifies humanitarian access for pregnant women and older people. Informal routes continued separately.</x:v>
      </x:c>
      <x:c r="F5" s="4" t="str">
        <x:v>AM011-D1 — Observed operation
Ordinary nonexempt pedestrian passage on the Simón Bolívar and Francisco de Paula Santander bridges, with humanitarian exceptions from 11 March, to observed 8 June reopening.
Start: 2019-02-22 to 2019-02-23.
Observed scoped reopening: 2019-06-08.
105–106 calendar-day difference; scoped endpoint only</x:v>
      </x:c>
      <x:c r="G5" s="4" t="str">
        <x:v>Security / Unspecified security
Reported reason
Applies to: Recorded episode; exact overlap not separately established
The recorded rationale and claim assessment support the selected subcategories. All applicable broad categories are retained together; no primary rationale is imposed.
Power and regime politics / Opposition and political reform
Reported reason
Applies to: Recorded episode; exact overlap not separately established
The recorded rationale and claim assessment support the selected subcategories. All applicable broad categories are retained together; no primary rationale is imposed.</x:v>
      </x:c>
      <x:c r="H5" s="4" t="str">
        <x:v>AM011-D1: The February–June interval does not mean all pedestrian crossings stopped. Formal humanitarian passage for students and medical cases was operating on 11 March 2019; vulnerable-person exceptions are also documented in the March GIFMM report. Vehicle restrictions predated this episode and continued after the ordinary pedestrian endpoint. Other bridges and informal routes are excluded; Paraguachón remained open in March. AP republications share one origin.</x:v>
      </x:c>
      <x:c r="I5" s="4" t="str">
        <x:v>Second full-register audit, 26 October 2026: qualified. The scoped ordinary pedestrian closure and 8 June 2019 return withstand review. Humanitarian passages from March and pre-existing vehicle restrictions remain separate.</x:v>
      </x:c>
      <x:c r="J5" s="18" t="d">
        <x:v>2026-10-26T00:00:00.000Z</x:v>
      </x:c>
      <x:c r="K5" s="21" t="str">
        <x:f>IFERROR(HYPERLINK("https://www.euronews.com/2019/02/23/showdown-looms-as-venezuela-opposition-to-confront-border-troops-over-aid","Euronews"),"Euronews")</x:f>
        <x:v>Euronews</x:v>
      </x:c>
      <x:c r="L5" s="21" t="str">
        <x:f>IFERROR(HYPERLINK("https://mynews13.com/fl/orlando/ap-top-news/2019/06/08/venezuela-reopens-border-crossing-with-colombia","Spectrum News13"),"Spectrum News13")</x:f>
        <x:v>Spectrum News13</x:v>
      </x:c>
      <x:c r="M5" s="21" t="str">
        <x:f>IFERROR(HYPERLINK("https://www.ksl.com/article/news/world/thousands-pour-into-colombia-as-venezuela-reopens-border/46569376","ksl.com"),"ksl.com")</x:f>
        <x:v>ksl.com</x:v>
      </x:c>
      <x:c r="N5" s="4" t="str">
        <x:v>https://www.euronews.com/2019/02/23/showdown-looms-as-venezuela-opposition-to-confront-border-troops-over-aid
https://mynews13.com/fl/orlando/ap-top-news/2019/06/08/venezuela-reopens-border-crossing-with-colombia
https://www.ksl.com/article/news/world/thousands-pour-into-colombia-as-venezuela-reopens-border/46569376
https://data.unhcr.org/en/documents/download/71130
https://www.spokesman.com/stories/2019/may/10/venezuela-orders-aruba-brazil-borders-reopened/
https://data.unhcr.org/fr/documents/download/69708
https://www.noticiasrcn.com/colombia/guardia-bolivariana-ha-permitido-el-paso-de-mas-de-5-000-venezolanos-por-puentes-fronterizos-337579
https://www.unicef.org/media/78151/file/Venezuela-SitRep-June-2019.pdf</x:v>
      </x:c>
      <x:c r="O5" s="4" t="str">
        <x:v>Second full-register audit source access, 26 October 2026
https://www.euronews.com/2019/02/23/showdown-looms-as-venezuela-opposition-to-confront-border-troops-over-aid: full text (previously retrieved text re-examined)
https://www.ksl.com/article/news/world/thousands-pour-into-colombia-as-venezuela-reopens-border/46569376: full text (fresh retrieval)
https://data.unhcr.org/fr/documents/download/69708: full text (previously retrieved text re-examined)
https://www.noticiasrcn.com/colombia/guardia-bolivariana-ha-permitido-el-paso-de-mas-de-5-000-venezolanos-por-puentes-fronterizos-337579: full text (previously retrieved text re-examined)
https://www.unicef.org/media/78151/file/Venezuela-SitRep-June-2019.pdf: full text (previously retrieved text re-examined)
Earlier URLs not separately inspected in this second assessment:
https://mynews13.com/fl/orlando/ap-top-news/2019/06/08/venezuela-reopens-border-crossing-with-colombia
https://data.unhcr.org/en/documents/download/71130
https://www.spokesman.com/stories/2019/may/10/venezuela-orders-aruba-brazil-borders-reopened/
Prior audit access record
Full-register audit source access (evidence cutoff 25 October 2026)
https://www.euronews.com/2019/02/23/showdown-looms-as-venezuela-opposition-to-confront-border-troops-over-aid: full text
https://www.ksl.com/article/news/world/thousands-pour-into-colombia-as-venezuela-reopens-border/46569376: full text
https://data.unhcr.org/fr/documents/download/69708: full text
https://www.noticiasrcn.com/colombia/guardia-bolivariana-ha-permitido-el-paso-de-mas-de-5-000-venezolanos-por-puentes-fronterizos-337579: full text
https://www.unicef.org/media/78151/file/Venezuela-SitRep-June-2019.pdf: full text
Earlier source URLs not separately listed in this audit’s retrieval log (historical access notes below are not fresh verification):
https://mynews13.com/fl/orlando/ap-top-news/2019/06/08/venezuela-reopens-border-crossing-with-colombia
https://data.unhcr.org/en/documents/download/71130
https://www.spokesman.com/stories/2019/may/10/venezuela-orders-aruba-brazil-borders-reopened/
Earlier recorded access
Source 1: full page
Source 2: search extract
Source 3: access detail is retained in the source catalogue.</x:v>
      </x:c>
      <x:c r="P5" s="20" t="n">
        <x:v>1</x:v>
      </x:c>
      <x:c r="Q5" s="4" t="str">
        <x:v>Americas</x:v>
      </x:c>
      <x:c r="R5" s="4" t="str">
        <x:v>Included</x:v>
      </x:c>
    </x:row>
    <x:row r="6" ht="409" hidden="0" customHeight="1">
      <x:c r="A6" s="16" t="str">
        <x:v>AM018</x:v>
      </x:c>
      <x:c r="B6" s="4" t="str">
        <x:v>Ecuador COVID land passenger restrictions</x:v>
      </x:c>
      <x:c r="C6" s="4" t="str">
        <x:v>Ecuador; Colombia; Peru</x:v>
      </x:c>
      <x:c r="D6" s="4" t="str">
        <x:v>Ecuadorian land borders</x:v>
      </x:c>
      <x:c r="E6" s="4" t="str">
        <x:v>March 2020 ordered phases concerned entry into Ecuador by international land and cross-border passenger transport: foreign passengers from 15 March at 23:59 and Ecuadorian nationals from 16 March at 23:59.
Direction: The Rumichaca endpoint concerns restoration of vehicle and pedestrian movement in both directions on 17 December 2021; contemporary reporting observes Ecuadorian vehicles travelling into Colombia.
Exceptions: Freight had a separate history, including a December truck pilot. The entry orders are not evidence that cargo or every crossing stopped for the same period.</x:v>
      </x:c>
      <x:c r="F6" s="4" t="str">
        <x:v>AM018-D1 — Observed operation
Ordinary passenger passage through Rumichaca, to the 17 December vehicle/pedestrian reopening; Ecuador-side restriction.
Start: unknown.
Observed scoped reopening: 2021-12-17.
dated evidence; numeric duration withheld; see qualification
AM018-C7P1 — Announced window
Foreign passengers entering Ecuador by international land/cross-border passenger transport
Start: 2020-03-15.
Scheduled endpoint: unknown.
Ordered window: dated evidence; numeric duration withheld; see qualification
AM018-C7P2 — Announced window
Ecuadorian national passengers entering Ecuador by international land/cross-border passenger transport
Start: 2020-03-16.
Scheduled endpoint: unknown.
Ordered window: dated evidence; numeric duration withheld; see qualification</x:v>
      </x:c>
      <x:c r="G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6" s="4" t="str">
        <x:v>AM018-D1: Unknown unified operational onset. Separate March 2020 cohort-specific Ecuador orders are stored as ordered phases. Freight and other crossings have different histories; no uninterrupted duration is inferred.
AM018-C7P1: Initial order states 21 days. End dates and later amendments are not reconstructed here; this is an ordered onset, not an observed continuous physical spell or a Rumichaca reopening date.
AM018-C7P2: Initial order states 21 days. End dates and later amendments are not reconstructed here; this is an ordered onset, not an observed continuous physical spell or a Rumichaca reopening date.</x:v>
      </x:c>
      <x:c r="I6" s="4" t="str">
        <x:v>Second full-register audit, 26 October 2026: additional source-audited corrections incorporated. See the phase, scope and qualification columns for the accepted findings.</x:v>
      </x:c>
      <x:c r="J6" s="18" t="d">
        <x:v>2026-10-26T00:00:00.000Z</x:v>
      </x:c>
      <x:c r="K6" s="21" t="str">
        <x:f>IFERROR(HYPERLINK("https://www.cancilleria.gob.ec/2021/05/15/comunicado-36/","Ecuador Foreign Ministry"),"Ecuador Foreign Ministry")</x:f>
        <x:v>Ecuador Foreign Ministry</x:v>
      </x:c>
      <x:c r="L6" s="21" t="str">
        <x:f>IFERROR(HYPERLINK("https://www.primicias.ec/noticias/economia/reapertura-total-frontera-ecuador-colombia/","Primicias"),"Primicias")</x:f>
        <x:v>Primicias</x:v>
      </x:c>
      <x:c r="M6" s="21" t="str">
        <x:f>IFERROR(HYPERLINK("https://www.elcomercio.com/actualidad/ecuador/tulcan-desacuerdo-apertura-frontera-rumichaca/","El Comercio"),"El Comercio")</x:f>
        <x:v>El Comercio</x:v>
      </x:c>
      <x:c r="N6" s="4" t="str">
        <x:v>https://www.cancilleria.gob.ec/2021/05/15/comunicado-36/
https://www.primicias.ec/noticias/economia/reapertura-total-frontera-ecuador-colombia/
https://www.elcomercio.com/actualidad/ecuador/tulcan-desacuerdo-apertura-frontera-rumichaca/
https://www.elcomercio.com/actualidad/ecuador/puente-rumichaca-reapertura-ecuador-colombia/
https://www.gestionderiesgos.gob.ec/resoluciones-coe-nacional-17-de-diciembre-de-2021/
https://www.gestionderiesgos.gob.ec/resoluciones-coe-nacional-14-de-marzo-2020/
https://www.cancilleria.gob.ec/wp-content/uploads/2022/03/Informe-de-Rendicion-de-Cuentas-2021_Version-preliminar_rev.-Comite-redaccion_.pdf
https://www.elcomercio.com/actualidad/ecuador/paso-peatones-vehiculos-reactiva-rumichaca/</x:v>
      </x:c>
      <x:c r="O6" s="4" t="str">
        <x:v>Second full-register audit source access, 26 October 2026
https://www.gestionderiesgos.gob.ec/resoluciones-coe-nacional-14-de-marzo-2020/: full text (previously retrieved text re-examined)
https://www.gestionderiesgos.gob.ec/resoluciones-coe-nacional-17-de-diciembre-de-2021/: full text (fresh retrieval)
https://www.elcomercio.com/actualidad/ecuador/tulcan-desacuerdo-apertura-frontera-rumichaca/: search extract (previously retrieved text re-examined)
Earlier URLs not separately inspected in this second assessment:
https://www.cancilleria.gob.ec/2021/05/15/comunicado-36/
https://www.primicias.ec/noticias/economia/reapertura-total-frontera-ecuador-colombia/
https://www.elcomercio.com/actualidad/ecuador/puente-rumichaca-reapertura-ecuador-colombia/
https://www.cancilleria.gob.ec/wp-content/uploads/2022/03/Informe-de-Rendicion-de-Cuentas-2021_Version-preliminar_rev.-Comite-redaccion_.pdf
https://www.elcomercio.com/actualidad/ecuador/paso-peatones-vehiculos-reactiva-rumichaca/
Prior audit access record
Full-register audit source access (evidence cutoff 25 October 2026)
https://www.gestionderiesgos.gob.ec/resoluciones-coe-nacional-14-de-marzo-2020/: full text
https://www.gestionderiesgos.gob.ec/resoluciones-coe-nacional-17-de-diciembre-de-2021/: full text
https://www.elcomercio.com/actualidad/ecuador/tulcan-desacuerdo-apertura-frontera-rumichaca/: search extract
Earlier source URLs not separately listed in this audit’s retrieval log (historical access notes below are not fresh verification):
https://www.cancilleria.gob.ec/2021/05/15/comunicado-36/
https://www.primicias.ec/noticias/economia/reapertura-total-frontera-ecuador-colombia/
https://www.elcomercio.com/actualidad/ecuador/puente-rumichaca-reapertura-ecuador-colombia/
https://www.cancilleria.gob.ec/wp-content/uploads/2022/03/Informe-de-Rendicion-de-Cuentas-2021_Version-preliminar_rev.-Comite-redaccion_.pdf
https://www.elcomercio.com/actualidad/ecuador/paso-peatones-vehiculos-reactiva-rumichaca/
Earlier recorded access
Source 1: search extract
Source 2: full page
Source 3: substantive indexed article text; direct 403</x:v>
      </x:c>
      <x:c r="P6" s="20" t="n">
        <x:v>3</x:v>
      </x:c>
      <x:c r="Q6" s="4" t="str">
        <x:v>Americas</x:v>
      </x:c>
      <x:c r="R6" s="4" t="str">
        <x:v>Included</x:v>
      </x:c>
    </x:row>
    <x:row r="7" ht="409" hidden="0" customHeight="1">
      <x:c r="A7" s="16" t="str">
        <x:v>AM023</x:v>
      </x:c>
      <x:c r="B7" s="4" t="str">
        <x:v>Paraguay COVID nonresident entry restrictions</x:v>
      </x:c>
      <x:c r="C7" s="4" t="str">
        <x:v>Paraguay; Brazil; Argentina; Bolivia</x:v>
      </x:c>
      <x:c r="D7" s="4" t="str">
        <x:v>Paraguayan land entries</x:v>
      </x:c>
      <x:c r="E7" s="4" t="str">
        <x:v>Nonresident foreign passengers entering Paraguay, outside authorized exceptions.
Direction: Into Paraguay; freight and authorized departures continued. The October Brazil-frontier free-transit regime regulated both entry and exit.
Exceptions and staged restoration: Nationals, residents and authorized diplomatic/international personnel were initially exempt; their later additional restrictions are separate. Freight continued. The 15 October return at the three named Brazil-frontier crossings did not restore every mode: the Friendship Bridge free-transit regime initially admitted vehicles only, within specified hours. Pedestrian and 24-hour access there were enabled from 30 October.</x:v>
      </x:c>
      <x:c r="F7" s="4" t="str">
        <x:v>AM023-FU1 — Formal policy
Paraguay land entry
Start: 2020-03-16.
Last confirmed: 2020-04-28. The first general reopening is not established; later scoped access is recorded below.
Formal policy: confirmed through 2020-04-28; at least 43 calendar-day difference; first general reopening not established
AM023-C7P1 — Observed operation
Ciudad del Este–Foz do Iguaçu; Pedro Juan Caballero–Ponta Porã; Salto del Guairá–Mundo Novo. The initial free-transit regime at the Friendship Bridge admitted vehicles only, with restricted hours; it did not restore ordinary pedestrian access.
Start: unknown.
Observed scoped reopening: 2020-10-15.
dated evidence; numeric duration withheld; see qualification
Later formal access bound: tourists were permitted through 13 enabled border points from 2020-10-21, subject to health and immigration conditions. This replaces the later 2022 display bound for the general nonresident prohibition. The separate 2020-10-15 observed reopening at three Brazil-frontier crossings remains valid.
AM023-R2P1 — Formal policy
Continued exclusion of pedestrian entry under the free-transit regime at the Friendship Bridge (Ciudad del Este–Foz do Iguaçu), during the initial vehicle-only reopening phase. This is a documented later policy segment, not the original pedestrian-closure onset.
Start: 2020-10-15.
Policy endpoint: 2020-10-30.
Formal policy: 15 calendar-day difference; first actual pedestrian passage is not independently timestamped. Resolution 502 also enabled 24-hour access from 30 October.</x:v>
      </x:c>
      <x:c r="G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7" s="4" t="str">
        <x:v>The foreign-nonresident prohibition is confirmed through 28 April 2020; April 28 is not a reopening. Conditional access at the three named Brazil-frontier crossings resumed on 15 October, but the Friendship Bridge free-transit regime initially admitted vehicles only and imposed hours. Resolution 502 enabled pedestrian and 24-hour movement from 30 October. That later date is a legal permission endpoint, not an independently timed first pedestrian passage. The additional 15–30 October phase records this later pedestrian restriction segment and must not be added to an overlapping whole-episode duration. An official consular notice permitted tourists through 13 enabled points from 21 October, subject to health and immigration conditions; this does not establish every gate’s operation or reciprocal admission by neighbouring countries. No uninterrupted complete operational duration is inferred.</x:v>
      </x:c>
      <x:c r="I7" s="4" t="str">
        <x:v>Second full-register audit, 26 October 2026: additional source-audited corrections incorporated. See the phase, scope and qualification columns for the accepted findings.</x:v>
      </x:c>
      <x:c r="J7" s="18" t="d">
        <x:v>2026-10-26T00:00:00.000Z</x:v>
      </x:c>
      <x:c r="K7" s="21" t="str">
        <x:f>IFERROR(HYPERLINK("https://www2.mre.gov.py/index.php/noticias-de-embajadas-y-consulados/paraguay-inicio-el-cierre-temporal-de-fronteras-para-extranjeros-no-residentes-en-el-pais?ccm_paging_p=78","Paraguay MRE"),"Paraguay MRE")</x:f>
        <x:v>Paraguay MRE</x:v>
      </x:c>
      <x:c r="L7" s="21" t="str">
        <x:f>IFERROR(HYPERLINK("https://www.radionacional.gov.py/2020/04/28/migraciones-recuerda-que-cierre-de-fronteras-y-aeropuertos-sigue-vigente/","Radio Nacional Paraguay"),"Radio Nacional Paraguay")</x:f>
        <x:v>Radio Nacional Paraguay</x:v>
      </x:c>
      <x:c r="M7" s="21" t="str">
        <x:f>IFERROR(HYPERLINK("https://www2.mre.gov.py/index.php/noticias-de-embajadas-y-consulados/apertura-de-pasos-fronterizos-entre-paraguay-y-brasil?ccm_paging_p=37","www2.mre.gov.py"),"www2.mre.gov.py")</x:f>
        <x:v>www2.mre.gov.py</x:v>
      </x:c>
      <x:c r="N7" s="4" t="str">
        <x:v>https://www2.mre.gov.py/index.php/noticias-de-embajadas-y-consulados/paraguay-inicio-el-cierre-temporal-de-fronteras-para-extranjeros-no-residentes-en-el-pais?ccm_paging_p=78
https://www.radionacional.gov.py/2020/04/28/migraciones-recuerda-que-cierre-de-fronteras-y-aeropuertos-sigue-vigente/
https://www2.mre.gov.py/index.php/noticias-de-embajadas-y-consulados/apertura-de-pasos-fronterizos-entre-paraguay-y-brasil?ccm_paging_p=37
https://www.ip.gov.py/ip/2020/10/15/puente-de-la-amistad-se-reabre-despues-de-casi-siete-meses/
https://migraciones.gov.py/a-partir-de-hoy-se-reabren-los-tres-principales-pasos-fronterizos-con-brasil/
https://www.mspbs.gov.py/covid-19-actualizacion.php
https://www.ultimahora.com/nulo-control-covid-19-ciudad-fronteriza-pedro-juan-caballero-n2875175
https://www.radionacional.gov.py/2020/03/24/gobierno-nacional-establece-cierre-de-fronteras-hasta-el-sabado-28/
https://www.mspbs.gov.py/portal/25008/ante-la-amenaza-sanitaria-por-covid-19-se-fortalecio-la-vigilancia-y-control-de-fronteras.html
https://www.ultimahora.com/fuerte-control-fronterizo-pjc-y-punta-pora-pese-desacuerdo-bolsonaro-n2875555
https://www2.mre.gov.py/congralpar-buenos-aires/index.php/noticias/nuevas-disposiciones-para-el-ingreso-de-nacionales-y-extranjeros-al-territorio-paraguayo-partir-del-21-de-octubre-de-2020?ccm_paging_p=6
https://dgvs.mspbs.gov.py/nuevo-protocolo-de-ingreso-a-paraguay/
https://migraciones.gov.py/a-partir-del-hoy-se-habilita-el-transito-las-24-horas-y-el-ingreso-de-peatones-en-el-puente-de-la-amistad/</x:v>
      </x:c>
      <x:c r="O7" s="4" t="str">
        <x:v>Second full-register audit source access, 26 October 2026
https://www2.mre.gov.py/index.php/noticias-de-embajadas-y-consulados/paraguay-inicio-el-cierre-temporal-de-fronteras-para-extranjeros-no-residentes-en-el-pais?ccm_paging_p=78: search extract (previously retrieved text re-examined)
https://migraciones.gov.py/a-partir-de-hoy-se-reabren-los-tres-principales-pasos-fronterizos-con-brasil/: search extract (fresh retrieval) — Direct page timed out.
https://www2.mre.gov.py/congralpar-buenos-aires/index.php/noticias/nuevas-disposiciones-para-el-ingreso-de-nacionales-y-extranjeros-al-territorio-paraguayo-partir-del-21-de-octubre-de-2020?ccm_paging_p=6: search extract (fresh retrieval) — Direct 403; substantive indexed official consular notice inspected.
https://www.radionacional.gov.py/2020/04/28/migraciones-recuerda-que-cierre-de-fronteras-y-aeropuertos-sigue-vigente/: full text (fresh retrieval)
https://migraciones.gov.py/a-partir-del-hoy-se-habilita-el-transito-las-24-horas-y-el-ingreso-de-peatones-en-el-puente-de-la-amistad/: full text (fresh retrieval)
Earlier URLs not separately inspected in this second assessment:
https://www2.mre.gov.py/index.php/noticias-de-embajadas-y-consulados/apertura-de-pasos-fronterizos-entre-paraguay-y-brasil?ccm_paging_p=37
https://www.ip.gov.py/ip/2020/10/15/puente-de-la-amistad-se-reabre-despues-de-casi-siete-meses/
https://www.mspbs.gov.py/covid-19-actualizacion.php
https://www.ultimahora.com/nulo-control-covid-19-ciudad-fronteriza-pedro-juan-caballero-n2875175
https://www.radionacional.gov.py/2020/03/24/gobierno-nacional-establece-cierre-de-fronteras-hasta-el-sabado-28/
https://www.mspbs.gov.py/portal/25008/ante-la-amenaza-sanitaria-por-covid-19-se-fortalecio-la-vigilancia-y-control-de-fronteras.html
https://www.ultimahora.com/fuerte-control-fronterizo-pjc-y-punta-pora-pese-desacuerdo-bolsonaro-n2875555
https://dgvs.mspbs.gov.py/nuevo-protocolo-de-ingreso-a-paraguay/
Prior audit access record
Full-register audit source access (evidence cutoff 25 October 2026)
https://www2.mre.gov.py/index.php/noticias-de-embajadas-y-consulados/paraguay-inicio-el-cierre-temporal-de-fronteras-para-extranjeros-no-residentes-en-el-pais?ccm_paging_p=78: search extract
https://migraciones.gov.py/a-partir-de-hoy-se-reabren-los-tres-principales-pasos-fronterizos-con-brasil/: search extract — Direct page timed out.
https://www2.mre.gov.py/congralpar-buenos-aires/index.php/noticias/nuevas-disposiciones-para-el-ingreso-de-nacionales-y-extranjeros-al-territorio-paraguayo-partir-del-21-de-octubre-de-2020?ccm_paging_p=6: search extract — Direct 403; substantive indexed official consular notice inspected.
https://dgvs.mspbs.gov.py/nuevo-protocolo-de-ingreso-a-paraguay/: full text
Earlier source URLs not separately listed in this audit’s retrieval log (historical access notes below are not fresh verification):
https://www.radionacional.gov.py/2020/04/28/migraciones-recuerda-que-cierre-de-fronteras-y-aeropuertos-sigue-vigente/
https://www2.mre.gov.py/index.php/noticias-de-embajadas-y-consulados/apertura-de-pasos-fronterizos-entre-paraguay-y-brasil?ccm_paging_p=37
https://www.ip.gov.py/ip/2020/10/15/puente-de-la-amistad-se-reabre-despues-de-casi-siete-meses/
https://www.mspbs.gov.py/covid-19-actualizacion.php
https://www.ultimahora.com/nulo-control-covid-19-ciudad-fronteriza-pedro-juan-caballero-n2875175
https://www.radionacional.gov.py/2020/03/24/gobierno-nacional-establece-cierre-de-fronteras-hasta-el-sabado-28/
https://www.mspbs.gov.py/portal/25008/ante-la-amenaza-sanitaria-por-covid-19-se-fortalecio-la-vigilancia-y-control-de-fronteras.html
https://www.ultimahora.com/fuerte-control-fronterizo-pjc-y-punta-pora-pese-desacuerdo-bolsonaro-n2875555
Earlier recorded access
Source 1: indexed excerpt; failed
Source 2: indexed excerpt
Source 3: access detail is retained in the source catalogue.</x:v>
      </x:c>
      <x:c r="P7" s="20" t="n">
        <x:v>3</x:v>
      </x:c>
      <x:c r="Q7" s="4" t="str">
        <x:v>Americas</x:v>
      </x:c>
      <x:c r="R7" s="4" t="str">
        <x:v>Included</x:v>
      </x:c>
    </x:row>
    <x:row r="8" ht="409" hidden="0" customHeight="1">
      <x:c r="A8" s="16" t="str">
        <x:v>AM027</x:v>
      </x:c>
      <x:c r="B8" s="4" t="str">
        <x:v>Guatemala COVID land-border closure</x:v>
      </x:c>
      <x:c r="C8" s="4" t="str">
        <x:v>Guatemala; Mexico; Belize; Honduras; El Salvador</x:v>
      </x:c>
      <x:c r="D8" s="4" t="str">
        <x:v>Guatemalan land crossings</x:v>
      </x:c>
      <x:c r="E8" s="4" t="str">
        <x:v>Ordinary nonexempt foreign land-passenger entry into Guatemala.
Direction: Inbound into Guatemala; authorized departures were separately permitted.
Exceptions: Guatemalan nationals, qualifying residents and accredited diplomats could enter subject to quarantine; cargo and transport crews were excepted subject to health rules. Foreign tourists could leave via Mexico or Belize if admission by those countries was permitted. The 18 September reopening retained health and migration conditions.</x:v>
      </x:c>
      <x:c r="F8" s="4" t="str">
        <x:v>AM027-D1 — Observed operation
Guatemalan restriction on ordinary non-exempt international land-passenger entry, to 18 September reopening.
Start: 2020-03-16 to 2020-03-17.
Observed scoped reopening: 2020-09-18.
185–186 calendar-day difference; scoped endpoint only</x:v>
      </x:c>
      <x:c r="G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8" s="4" t="str">
        <x:v>AM027-D1: Onset bounds reflect the midnight effective transition, not independent minute-by-minute implementation at every post. Nationals, residents, diplomats, authorized departures and cargo exceptions remain. This is ordinary nonexempt entry restriction, not zero movement.</x:v>
      </x:c>
      <x:c r="I8" s="4" t="str">
        <x:v>Second full-register audit, 26 October 2026: qualified. The ordinary nonexempt foreign-entry interval is supported. Contemporaneous reporting distinguishes actual post activity from substantial exempt entry and departure during the restriction.</x:v>
      </x:c>
      <x:c r="J8" s="18" t="d">
        <x:v>2026-10-26T00:00:00.000Z</x:v>
      </x:c>
      <x:c r="K8" s="21" t="str">
        <x:f>IFERROR(HYPERLINK("https://igm.gob.gt/turistas-extranjeros-pueden-salir-de-territorio-guatemalteco/","Guatemala Migration Institute"),"Guatemala Migration Institute")</x:f>
        <x:v>Guatemala Migration Institute</x:v>
      </x:c>
      <x:c r="L8" s="21" t="str">
        <x:f>IFERROR(HYPERLINK("https://lahora.gt/nacionales/jgiron/2020/09/18/segun-el-igm-reapertura-de-fronteras-terrestres-transcurre-con-normalidad/","La Hora"),"La Hora")</x:f>
        <x:v>La Hora</x:v>
      </x:c>
      <x:c r="M8" s="21" t="str">
        <x:f>IFERROR(HYPERLINK("https://lahora.gt/nacionales/jgiron/2020/03/16/guatemala-cerrara-fronteras-por-15-dias-ante-emergencia/","lahora.gt"),"lahora.gt")</x:f>
        <x:v>lahora.gt</x:v>
      </x:c>
      <x:c r="N8" s="4" t="str">
        <x:v>https://igm.gob.gt/turistas-extranjeros-pueden-salir-de-territorio-guatemalteco/
https://lahora.gt/nacionales/jgiron/2020/09/18/segun-el-igm-reapertura-de-fronteras-terrestres-transcurre-con-normalidad/
https://lahora.gt/nacionales/jgiron/2020/03/16/guatemala-cerrara-fronteras-por-15-dias-ante-emergencia/
https://agn.gt/gobierno-anuncia-reapertura-de-fronteras-de-guatemala/
https://wiki.unece.org/pages/viewpage.action?pageId=172852331
https://www.theioi.org/downloads/2ob6d/Informe%20Anual%20Circunstanciado%20PDH%202020.pdf</x:v>
      </x:c>
      <x:c r="O8" s="4" t="str">
        <x:v>Second full-register audit source access, 26 October 2026
https://lahora.gt/nacionales/jgiron/2020/03/16/guatemala-cerrara-fronteras-por-15-dias-ante-emergencia/: full text (previously retrieved text re-examined)
https://lahora.gt/nacionales/jgiron/2020/09/18/segun-el-igm-reapertura-de-fronteras-terrestres-transcurre-con-normalidad/: full text (fresh retrieval)
https://wiki.unece.org/pages/viewpage.action?pageId=172852331: search extract (previously retrieved text re-examined)
https://www.theioi.org/downloads/2ob6d/Informe%20Anual%20Circunstanciado%20PDH%202020.pdf: search extract (previously retrieved text re-examined)
Earlier URLs not separately inspected in this second assessment:
https://igm.gob.gt/turistas-extranjeros-pueden-salir-de-territorio-guatemalteco/
https://agn.gt/gobierno-anuncia-reapertura-de-fronteras-de-guatemala/
Prior audit access record
Full-register audit source access (evidence cutoff 25 October 2026)
https://lahora.gt/nacionales/jgiron/2020/03/16/guatemala-cerrara-fronteras-por-15-dias-ante-emergencia/: full text
https://lahora.gt/nacionales/jgiron/2020/09/18/segun-el-igm-reapertura-de-fronteras-terrestres-transcurre-con-normalidad/: full text
https://wiki.unece.org/pages/viewpage.action?pageId=172852331: search extract
https://agn.gt/gobierno-anuncia-reapertura-de-fronteras-de-guatemala/: full text — Page metadata says 15 April 2021 but body is 10 September announcement; not used for original announcement date.
https://www.theioi.org/downloads/2ob6d/Informe%20Anual%20Circunstanciado%20PDH%202020.pdf: search extract
https://igm.gob.gt/turistas-extranjeros-pueden-salir-de-territorio-guatemalteco/: inaccessible — 404
Earlier recorded access
Source 1: search extract
Source 2: search extract
Source 3: access detail is retained in the source catalogue.</x:v>
      </x:c>
      <x:c r="P8" s="20" t="n">
        <x:v>1</x:v>
      </x:c>
      <x:c r="Q8" s="4" t="str">
        <x:v>Americas</x:v>
      </x:c>
      <x:c r="R8" s="4" t="str">
        <x:v>Included</x:v>
      </x:c>
    </x:row>
    <x:row r="9" ht="409" hidden="0" customHeight="1">
      <x:c r="A9" s="16" t="str">
        <x:v>AM026</x:v>
      </x:c>
      <x:c r="B9" s="4" t="str">
        <x:v>El Salvador COVID foreign-entry restrictions</x:v>
      </x:c>
      <x:c r="C9" s="4" t="str">
        <x:v>El Salvador; Guatemala; Honduras</x:v>
      </x:c>
      <x:c r="D9" s="4" t="str">
        <x:v>National foreign-entry restriction; actual 21 September 2020 land-entry restoration documented at Las Chinamas.</x:v>
      </x:c>
      <x:c r="E9" s="4" t="str">
        <x:v>Ordinary nonexempt foreign passengers entering El Salvador by land.
Direction: Into El Salvador; the observed endpoint is supported by the Las Chinamas field report.
Exceptions: Salvadoran nationals, residents and diplomats were initially admitted subject to a 30-day quarantine. The endpoint does not mean every foreign traveller had previously been excluded or every post was individually observed.</x:v>
      </x:c>
      <x:c r="F9" s="4" t="str">
        <x:v>AM026-D1 — Observed operation
National restriction on nonexempt foreign land entry; actual restoration documented at Las Chinamas on 21 September 2020, not individually verified at every post.
Start: 2020-03-11.
Observed scoped reopening: 2020-09-21.
194 calendar-day difference; scoped endpoint only</x:v>
      </x:c>
      <x:c r="G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9" s="4" t="str">
        <x:v>AM026-D1: Las Chinamas field report documents foreign admissions on 21 September with PCR tests. The 19 September announcement had said nonresident foreigners would remain excluded; event-day observation supports the later change. Other posts were not individually observed; 19 September airport reopening is separate. Nationals, residents and diplomats initially admitted with 30 day quarantine.</x:v>
      </x:c>
      <x:c r="I9" s="4" t="str">
        <x:v>Second full-register audit, 26 October 2026: additional source-audited corrections incorporated. See the phase, scope and qualification columns for the accepted findings.</x:v>
      </x:c>
      <x:c r="J9" s="18" t="d">
        <x:v>2026-10-26T00:00:00.000Z</x:v>
      </x:c>
      <x:c r="K9" s="21" t="str">
        <x:f>IFERROR(HYPERLINK("https://www.migracion.gob.sv/noticias/migracion-reporta-drastica-reduccion-de-flujos-migratorios/","El Salvador Migration Directorate"),"El Salvador Migration Directorate")</x:f>
        <x:v>El Salvador Migration Directorate</x:v>
      </x:c>
      <x:c r="L9" s="21" t="str">
        <x:f>IFERROR(HYPERLINK("https://historico.elsalvador.com/historico/755897/coronavirus-extranjeros-debe-presentar-prueba-de-covid-19-en-frontera-las-chinamas.html","El Diario de Hoy / elsalvador.com"),"El Diario de Hoy / elsalvador.com")</x:f>
        <x:v>El Diario de Hoy / elsalvador.com</x:v>
      </x:c>
      <x:c r="M9" s="21" t="str">
        <x:f>IFERROR(HYPERLINK("https://diario.elmundo.sv/economia/ya-se-tiene-fecha-de-para-la-reapertura-de-fronteras-en-el-salvador","Diario El Mundo"),"Diario El Mundo")</x:f>
        <x:v>Diario El Mundo</x:v>
      </x:c>
      <x:c r="N9" s="4" t="str">
        <x:v>https://www.migracion.gob.sv/noticias/migracion-reporta-drastica-reduccion-de-flujos-migratorios/
https://historico.elsalvador.com/historico/755897/coronavirus-extranjeros-debe-presentar-prueba-de-covid-19-en-frontera-las-chinamas.html
https://diario.elmundo.sv/economia/ya-se-tiene-fecha-de-para-la-reapertura-de-fronteras-en-el-salvador
https://www.migracion.gob.sv/noticias/presidente-bukele-informa-sobre-estado-actual-del-covid19/
https://www.migracion.gob.sv/noticias/estudian-las-claves-para-la-reactivacion-del-turismo-y-fronteras/</x:v>
      </x:c>
      <x:c r="O9" s="4" t="str">
        <x:v>Second full-register audit source access, 26 October 2026
https://www.migracion.gob.sv/noticias/migracion-reporta-drastica-reduccion-de-flujos-migratorios/: full text (previously retrieved text re-examined)
https://historico.elsalvador.com/historico/755897/coronavirus-extranjeros-debe-presentar-prueba-de-covid-19-en-frontera-las-chinamas.html: full text (fresh retrieval)
https://diario.elmundo.sv/economia/ya-se-tiene-fecha-de-para-la-reapertura-de-fronteras-en-el-salvador: full text (previously retrieved text re-examined)
Earlier URLs not separately inspected in this second assessment:
https://www.migracion.gob.sv/noticias/presidente-bukele-informa-sobre-estado-actual-del-covid19/
https://www.migracion.gob.sv/noticias/estudian-las-claves-para-la-reactivacion-del-turismo-y-fronteras/
Prior audit access record
Full-register audit source access (evidence cutoff 25 October 2026)
https://www.migracion.gob.sv/noticias/migracion-reporta-drastica-reduccion-de-flujos-migratorios/: full text
https://historico.elsalvador.com/historico/755897/coronavirus-extranjeros-debe-presentar-prueba-de-covid-19-en-frontera-las-chinamas.html: full text
https://diario.elmundo.sv/economia/ya-se-tiene-fecha-de-para-la-reapertura-de-fronteras-en-el-salvador: full text
Earlier source URLs not separately listed in this audit’s retrieval log (historical access notes below are not fresh verification):
https://www.migracion.gob.sv/noticias/presidente-bukele-informa-sobre-estado-actual-del-covid19/
https://www.migracion.gob.sv/noticias/estudian-las-claves-para-la-reactivacion-del-turismo-y-fronteras/
Earlier recorded access
Source 1: full page
Source 2: full page
Source 3: full page</x:v>
      </x:c>
      <x:c r="P9" s="20" t="n">
        <x:v>1</x:v>
      </x:c>
      <x:c r="Q9" s="4" t="str">
        <x:v>Americas</x:v>
      </x:c>
      <x:c r="R9" s="4" t="str">
        <x:v>Included</x:v>
      </x:c>
    </x:row>
    <x:row r="10" ht="409" hidden="0" customHeight="1">
      <x:c r="A10" s="16" t="str">
        <x:v>AM015</x:v>
      </x:c>
      <x:c r="B10" s="4" t="str">
        <x:v>Colombia COVID Venezuela frontier closure</x:v>
      </x:c>
      <x:c r="C10" s="4" t="str">
        <x:v>Colombia; Venezuela</x:v>
      </x:c>
      <x:c r="D10" s="4" t="str">
        <x:v>Colombian side of Venezuela land/river frontier</x:v>
      </x:c>
      <x:c r="E10" s="4" t="str">
        <x:v>Ordinary passenger movement at Colombia’s authorized land and river crossings with Venezuela, with legally specified exceptions.
Direction: Direction not separately established in this pass; consult the movement scope and source evidence.
Exceptions: The displayed March 2020 clause, amended by Decree 412, exempts freight and transit required by force majeure or fortuitous events. Exception wording changed during the policy period; uniform operational application is not established.</x:v>
      </x:c>
      <x:c r="F10" s="4" t="str">
        <x:v>AM015-D1 — Formal policy
Colombia's ordinary land/river passenger closure policy toward Venezuela, to permission for gradual reopening.
Start: 2020-03-14.
Policy endpoint: 2021-06-02.
Formal policy: 445 calendar-day difference; operational continuity not established</x:v>
      </x:c>
      <x:c r="G1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0" s="4" t="str">
        <x:v>AM015-D1: The heading says 1 June but the operative article says 2 June; the latter is used. This is Colombia-side policy, retaining authorised exceptions, not observed or simultaneous bilateral reopening.</x:v>
      </x:c>
      <x:c r="I10" s="4" t="str">
        <x:v>Second full-register audit, 26 October 2026: qualified. The operative legal provisions confirm the existing Colombian policy dates and exceptions. The gradual reopening authorization remains distinct from a simultaneous or observed bilateral reopening.</x:v>
      </x:c>
      <x:c r="J10" s="18" t="d">
        <x:v>2026-10-26T00:00:00.000Z</x:v>
      </x:c>
      <x:c r="K10" s="21" t="str">
        <x:f>IFERROR(HYPERLINK("https://cancilleria.gov.co/normograma/compilacion/docs/resolucion_mininterior_0746_2021.htm","Colombian Interior Ministry / Foreign Ministry legal compilation"),"Colombian Interior Ministry / Foreign Ministry legal compilation")</x:f>
        <x:v>Colombian Interior Ministry / Foreign Ministry legal compilation</x:v>
      </x:c>
      <x:c r="L10" s="21" t="str">
        <x:f>IFERROR(HYPERLINK("https://cancilleria.gov.co/normograma/compilacion/docs/decreto_0402_2020.htm","Colombian Government / Foreign Ministry legal compilation"),"Colombian Government / Foreign Ministry legal compilation")</x:f>
        <x:v>Colombian Government / Foreign Ministry legal compilation</x:v>
      </x:c>
      <x:c r="M10" s="21" t="str">
        <x:f>IFERROR(HYPERLINK("https://www.cancilleria.gov.co/sites/default/files/Normograma/docs/resolucion_uaemc_1175_2021.htm","cancilleria.gov.co"),"cancilleria.gov.co")</x:f>
        <x:v>cancilleria.gov.co</x:v>
      </x:c>
      <x:c r="N10" s="4" t="str">
        <x:v>https://cancilleria.gov.co/normograma/compilacion/docs/resolucion_mininterior_0746_2021.htm
https://cancilleria.gov.co/normograma/compilacion/docs/decreto_0402_2020.htm
https://www.cancilleria.gov.co/sites/default/files/Normograma/docs/resolucion_uaemc_1175_2021.htm
https://www.cancilleria.gov.co/normograma/compilacion/docs/resolucion_mininterior_0746_2021.htm
https://mppre.gob.ve/publicacion/752-venezuela-rechaza-decision-unilateral-de-colombia-de-reabrir-paso-fronterizo</x:v>
      </x:c>
      <x:c r="O10" s="4" t="str">
        <x:v>Second full-register audit source access, 26 October 2026
https://cancilleria.gov.co/normograma/compilacion/docs/decreto_0402_2020.htm: full text (fresh retrieval)
https://cancilleria.gov.co/normograma/compilacion/docs/resolucion_mininterior_0746_2021.htm: full text (fresh retrieval)
Earlier URLs not separately inspected in this second assessment:
https://www.cancilleria.gov.co/sites/default/files/Normograma/docs/resolucion_uaemc_1175_2021.htm
https://www.cancilleria.gov.co/normograma/compilacion/docs/resolucion_mininterior_0746_2021.htm
https://mppre.gob.ve/publicacion/752-venezuela-rechaza-decision-unilateral-de-colombia-de-reabrir-paso-fronterizo
Prior audit access record
Full-register audit source access (evidence cutoff 25 October 2026)
https://cancilleria.gov.co/normograma/compilacion/docs/decreto_0402_2020.htm: full text
https://cancilleria.gov.co/normograma/compilacion/docs/resolucion_mininterior_0746_2021.htm: full text
Earlier source URLs not separately listed in this audit’s retrieval log (historical access notes below are not fresh verification):
https://www.cancilleria.gov.co/sites/default/files/Normograma/docs/resolucion_uaemc_1175_2021.htm
https://www.cancilleria.gov.co/normograma/compilacion/docs/resolucion_mininterior_0746_2021.htm
https://mppre.gob.ve/publicacion/752-venezuela-rechaza-decision-unilateral-de-colombia-de-reabrir-paso-fronterizo
Earlier recorded access
Source 1: full text
Source 2: full text
Source 3: access detail is retained in the source catalogue.</x:v>
      </x:c>
      <x:c r="P10" s="20" t="n">
        <x:v>1</x:v>
      </x:c>
      <x:c r="Q10" s="4" t="str">
        <x:v>Americas</x:v>
      </x:c>
      <x:c r="R10" s="4" t="str">
        <x:v>Included</x:v>
      </x:c>
    </x:row>
    <x:row r="11" ht="409" hidden="0" customHeight="1">
      <x:c r="A11" s="16" t="str">
        <x:v>AM034</x:v>
      </x:c>
      <x:c r="B11" s="4" t="str">
        <x:v>Suriname Guyana Corentyne crossing COVID closure</x:v>
      </x:c>
      <x:c r="C11" s="4" t="str">
        <x:v>Suriname; Guyana</x:v>
      </x:c>
      <x:c r="D11" s="4" t="str">
        <x:v>Moleson Creek–South Drain international river crossing</x:v>
      </x:c>
      <x:c r="E11" s="4" t="str">
        <x:v>Ordinary passenger ferry service between Moleson Creek and South Drain in both directions; freight scope remains unestablished.
Exceptions: A special repatriation trip in both directions was reported completed by 19 March 2020. Regular service resumed on 21 February 2021 for Guyanese and Surinamese nationals; diplomatic residents could also be facilitated on request through the foreign ministries, with health requirements.</x:v>
      </x:c>
      <x:c r="F11" s="4" t="str">
        <x:v>AM034-D1 — Observed operation
Suriname–Guyana ferry; endpoint is the restricted reopening for nationals, not unrestricted passenger travel.
Start: 2020-03-14.
Observed scoped reopening: 2021-02-21.
344 calendar-day difference; scoped endpoint only</x:v>
      </x:c>
      <x:c r="G1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1" s="4" t="str">
        <x:v>AM034-D1: International river crossing included in land-frontier scope. The 344 calendar-day interval concerns ordinary ferry service, not an absence of all crossings: STVS reported a special repatriation completed by the 19 March 2020 NCCR briefing. The 21 February 2021 regular-service reopening was restricted to Guyanese and Surinamese nationals, with diplomatic residents facilitated on request; it was not unrestricted admission of all foreign travellers.</x:v>
      </x:c>
      <x:c r="I11" s="4" t="str">
        <x:v>Second full-register audit, 26 October 2026: qualified. Operator suspension from 14 March and the 21 February 2021 actual restricted service return match the current row. The special March repatriation and nationality-limited reopening are essential qualifications and are preserved.</x:v>
      </x:c>
      <x:c r="J11" s="18" t="d">
        <x:v>2026-10-26T00:00:00.000Z</x:v>
      </x:c>
      <x:c r="K11" s="21" t="str">
        <x:f>IFERROR(HYPERLINK("https://newsroom.gy/2020/03/13/guyana-suriname-ferry-service-shuts-down-over-coronavirus/","News Room Guyana"),"News Room Guyana")</x:f>
        <x:v>News Room Guyana</x:v>
      </x:c>
      <x:c r="L11" s="21" t="str">
        <x:f>IFERROR(HYPERLINK("https://dpi.gov.gy/stranded-guyanese-return-home-as-guyana-suriname-ferry-service-resumes/","Guyana DPI"),"Guyana DPI")</x:f>
        <x:v>Guyana DPI</x:v>
      </x:c>
      <x:c r="M11" s="21" t="str">
        <x:f>IFERROR(HYPERLINK("https://www.stabroeknews.com/2021/02/22/news/guyana/ferry-travel-resumes-between-guyana-and-suriname/","Stabroek News"),"Stabroek News")</x:f>
        <x:v>Stabroek News</x:v>
      </x:c>
      <x:c r="N11" s="4" t="str">
        <x:v>https://newsroom.gy/2020/03/13/guyana-suriname-ferry-service-shuts-down-over-coronavirus/
https://dpi.gov.gy/stranded-guyanese-return-home-as-guyana-suriname-ferry-service-resumes/
https://www.stabroeknews.com/2021/02/22/news/guyana/ferry-travel-resumes-between-guyana-and-suriname/
https://dpi.gov.gy/ministry-of-foreign-affairs-press-release/
https://newsroom.gy/2020/03/18/guyana-suriname-ferry-to-make-one-trip-on-thursday/
https://stvs.sr/nieuws/2020/03/eerste-repatriatiereis-vanuit-guyana-uitgevoerd/</x:v>
      </x:c>
      <x:c r="O11" s="4" t="str">
        <x:v>Second full-register audit source access, 26 October 2026
https://newsroom.gy/2020/03/13/guyana-suriname-ferry-service-shuts-down-over-coronavirus/: full text (previously retrieved text re-examined)
https://dpi.gov.gy/stranded-guyanese-return-home-as-guyana-suriname-ferry-service-resumes/: full text (fresh retrieval) — First-trip-since-suspension wording overlooks special March 2020 repatriation.
https://stvs.sr/nieuws/2020/03/eerste-repatriatiereis-vanuit-guyana-uitgevoerd/: search extract (previously retrieved text re-examined) — Direct open timed out; indexed body inspected. Treat as repatriation completed by 19 March, not general reopening.
Earlier URLs not separately inspected in this second assessment:
https://www.stabroeknews.com/2021/02/22/news/guyana/ferry-travel-resumes-between-guyana-and-suriname/
https://dpi.gov.gy/ministry-of-foreign-affairs-press-release/
https://newsroom.gy/2020/03/18/guyana-suriname-ferry-to-make-one-trip-on-thursday/
Prior audit access record
Full-register audit source access (evidence cutoff 25 October 2026)
https://newsroom.gy/2020/03/13/guyana-suriname-ferry-service-shuts-down-over-coronavirus/: full text
https://dpi.gov.gy/stranded-guyanese-return-home-as-guyana-suriname-ferry-service-resumes/: full text — First-trip-since-suspension wording overlooks special March 2020 repatriation.
https://newsroom.gy/2020/03/18/guyana-suriname-ferry-to-make-one-trip-on-thursday/: search extract
https://stvs.sr/nieuws/2020/03/eerste-repatriatiereis-vanuit-guyana-uitgevoerd/: search extract — Direct open timed out; indexed body inspected. Treat as repatriation completed by 19 March, not general reopening.
Earlier source URLs not separately listed in this audit’s retrieval log (historical access notes below are not fresh verification):
https://www.stabroeknews.com/2021/02/22/news/guyana/ferry-travel-resumes-between-guyana-and-suriname/
https://dpi.gov.gy/ministry-of-foreign-affairs-press-release/
Earlier recorded access
Source 1: search extract
Source 2: full page
Source 3: search extract</x:v>
      </x:c>
      <x:c r="P11" s="20" t="n">
        <x:v>1</x:v>
      </x:c>
      <x:c r="Q11" s="4" t="str">
        <x:v>Americas</x:v>
      </x:c>
      <x:c r="R11" s="4" t="str">
        <x:v>Included</x:v>
      </x:c>
    </x:row>
    <x:row r="12" ht="409" hidden="0" customHeight="1">
      <x:c r="A12" s="16" t="str">
        <x:v>AM035</x:v>
      </x:c>
      <x:c r="B12" s="4" t="str">
        <x:v>French Guiana Suriname Maroni border COVID closure</x:v>
      </x:c>
      <x:c r="C12" s="4" t="str">
        <x:v>French Guiana (France); Suriname</x:v>
      </x:c>
      <x:c r="D12" s="4" t="str">
        <x:v>Maroni international river frontier</x:v>
      </x:c>
      <x:c r="E12" s="4" t="str">
        <x:v>See geographic scope and exemptions.
Direction: Direction not separately established in this pass; consult the movement scope and source evidence.
Exceptions: Exceptional urgent health/economic crossings subject both authorities approval.</x:v>
      </x:c>
      <x:c r="F12" s="4" t="str">
        <x:v>AM035-D1 — Formal policy
Suriname-imposed restriction at the French Guiana–Suriname Maroni frontier, with later hearing evidence of continued border restrictions.
Start: 2020-03-14.
Last confirmed under the original restriction: 2020-07-21.
Original Suriname-side admission restriction ended by: 2022-04-13. Exact earlier endpoint is not established.
Formal policy: dated evidence; numeric duration withheld; see qualification</x:v>
      </x:c>
      <x:c r="G1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2" s="4" t="str">
        <x:v>AM035-D1: Distinct policy observations; informal and authorized movement continued. The 14 March 2020 onset is Suriname's action, not an independently established French unilateral onset. By 13 April 2022, the Suriname entry circular permitted land entry from French Guiana subject to documentation and health criteria, including tested unvaccinated travellers without special permission. This later permission bounds the original Suriname admission ban; it does not date its earliest relaxation, prove uninterrupted physical closure, establish French admission rules or confirm every ferry's operations.
Earlier relaxation evidence is narrower: Suriname’s published measures for 10–24 July 2021 allowed fully vaccinated travellers generally but separately limited waterborne passage from French Guiana to goods and essential travellers on Wednesdays and Fridays. A 13 July France-Guyane headline and introduction reported French travellers returning and a visit to Albina the previous day; the accessible extract does not establish their travel purpose or unrestricted ordinary admission. These July observations therefore do not supply an exact ordinary-passenger reopening date.</x:v>
      </x:c>
      <x:c r="I12" s="4" t="str">
        <x:v>Second full-register audit, 26 October 2026: additional source-audited corrections incorporated. See the phase, scope and qualification columns for the accepted findings.</x:v>
      </x:c>
      <x:c r="J12" s="18" t="d">
        <x:v>2026-10-26T00:00:00.000Z</x:v>
      </x:c>
      <x:c r="K12" s="21" t="str">
        <x:f>IFERROR(HYPERLINK("https://www.guyane.gouv.fr/content/download/15570/107592/file/","French Guiana Prefecture"),"French Guiana Prefecture")</x:f>
        <x:v>French Guiana Prefecture</x:v>
      </x:c>
      <x:c r="L12" s="21" t="str">
        <x:f>IFERROR(HYPERLINK("https://www.senat.fr/compte-rendu-commissions/20200720/ce_covid.html","Sénat (France)"),"Sénat (France)")</x:f>
        <x:v>Sénat (France)</x:v>
      </x:c>
      <x:c r="M12" s="21" t="str">
        <x:f>IFERROR(HYPERLINK("https://www.guyane.gouv.fr/Actualites/Salle-de-presse/2020/Avril-2020/Controle-de-la-frontiere-France-Surianme","guyane.gouv.fr"),"guyane.gouv.fr")</x:f>
        <x:v>guyane.gouv.fr</x:v>
      </x:c>
      <x:c r="N12" s="4" t="str">
        <x:v>https://www.guyane.gouv.fr/content/download/15570/107592/file/
https://www.senat.fr/compte-rendu-commissions/20200720/ce_covid.html
https://www.guyane.gouv.fr/Actualites/Salle-de-presse/2020/Avril-2020/Controle-de-la-frontiere-France-Surianme
https://www.franceguyane.fr/actualite/international/reouverture-dalbina-comment-cela-se-passe-dans-la-pratique-2892.php
https://www.senat.fr/rap/r20-199-2/r20-199-21.html
https://www.flyslm.com/images/pdfs/SUR-COVID-19-Measures-13-April-2022.pdf
https://gov.sr/covid-19-maatregelen-zaterdag-10-juli-2021-tot-en-met-zaterdag-24-juli-2021/
https://www.franceguyane.fr/regions/amazonie-caraibes/les-premiers-francais-de-retour-a-paramaribo-2841.php</x:v>
      </x:c>
      <x:c r="O12" s="4" t="str">
        <x:v>Second full-register audit source access, 26 October 2026
https://www.senat.fr/compte-rendu-commissions/20200720/ce_covid.html: full text (fresh retrieval) — Sworn official/municipal testimony, not continuous independent monitoring.
https://www.flyslm.com/images/pdfs/SUR-COVID-19-Measures-13-April-2022.pdf: full text (fresh retrieval) — Bounds Suriname admission policy only, not French rules or every ferry's timetable.
https://www.guyane.gouv.fr/Actualites/Salle-de-presse/2020/Avril-2020/Controle-de-la-frontiere-France-Surianme: search extract (fresh retrieval) — Direct fresh fetch failed with 502; indexed substantive passage inspected.
https://gov.sr/covid-19-maatregelen-zaterdag-10-juli-2021-tot-en-met-zaterdag-24-juli-2021/: full text (fresh retrieval)
https://www.franceguyane.fr/regions/amazonie-caraibes/les-premiers-francais-de-retour-a-paramaribo-2841.php: search extract (fresh retrieval) — Only headline/introduction and truncated vaccine-policy quotation accessible; individual travel purpose and complete conditions not established.
Earlier URLs not separately inspected in this second assessment:
https://www.guyane.gouv.fr/content/download/15570/107592/file/
https://www.franceguyane.fr/actualite/international/reouverture-dalbina-comment-cela-se-passe-dans-la-pratique-2892.php
https://www.senat.fr/rap/r20-199-2/r20-199-21.html
Prior audit access record
Full-register audit source access (evidence cutoff 25 October 2026)
https://www.senat.fr/compte-rendu-commissions/20200720/ce_covid.html: full text — Sworn official/municipal testimony, not continuous independent monitoring.
https://www.flyslm.com/images/pdfs/SUR-COVID-19-Measures-13-April-2022.pdf: full text — Bounds Suriname admission policy only, not French rules or every ferry's timetable.
https://www.guyane.gouv.fr/Actualites/Salle-de-presse/2020/Avril-2020/Controle-de-la-frontiere-France-Surianme: inaccessible — 502 response.
https://www.franceguyane.fr/actualite/international/reouverture-dalbina-comment-cela-se-passe-dans-la-pratique-2892.php: search extract — Accessible excerpt insufficient to fix an earlier end.
Earlier source URLs not separately listed in this audit’s retrieval log (historical access notes below are not fresh verification):
https://www.guyane.gouv.fr/content/download/15570/107592/file/
https://www.senat.fr/rap/r20-199-2/r20-199-21.html
Earlier recorded access
Source 1: search extract
Source 2: opened relevant committee transcript body
Source 3: access detail is retained in the source catalogue.</x:v>
      </x:c>
      <x:c r="P12" s="20" t="n">
        <x:v>1</x:v>
      </x:c>
      <x:c r="Q12" s="4" t="str">
        <x:v>Americas</x:v>
      </x:c>
      <x:c r="R12" s="4" t="str">
        <x:v>Included</x:v>
      </x:c>
    </x:row>
    <x:row r="13" ht="409" hidden="0" customHeight="1">
      <x:c r="A13" s="16" t="str">
        <x:v>AM028</x:v>
      </x:c>
      <x:c r="B13" s="4" t="str">
        <x:v>Honduras COVID passenger land-border closure</x:v>
      </x:c>
      <x:c r="C13" s="4" t="str">
        <x:v>Honduras; Guatemala; El Salvador; Nicaragua</x:v>
      </x:c>
      <x:c r="D13" s="4" t="str">
        <x:v>All land frontier passenger movements</x:v>
      </x:c>
      <x:c r="E13" s="4" t="str">
        <x:v>Ordinary land-passenger entry and departure through Honduran frontier posts.
Direction: Entry into and departure from Honduras.
Exceptions: Freight and supplies were excepted. The 19 October 2020 reopening was gradual and conditional, with preregistration, health assessment and restricted operating hours; international bus activation followed separately.</x:v>
      </x:c>
      <x:c r="F13" s="4" t="str">
        <x:v>AM028-D1 — Observed operation
Honduran ordinary land-passenger admission/departure restriction, to gradual conditional reopening on October 19.
Start: 2020-03-15 to 2020-03-16.
Observed scoped reopening: 2020-10-19.
217–218 calendar-day difference; scoped endpoint only</x:v>
      </x:c>
      <x:c r="G1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3" s="4" t="str">
        <x:v>AM028-D1: This is an authority-reported reopening, not an independent observation at every gate. Freight and authorised cases were exempt; the later international-bus activation is a separate phase. Day bounds retain the midnight/publication distinction.</x:v>
      </x:c>
      <x:c r="I13" s="4" t="str">
        <x:v>Second full-register audit, 26 October 2026: qualified. The March onset and October conditional return match the authority-attributed reports. The accepted scope correctly distinguishes ordinary passengers from continuing freight.</x:v>
      </x:c>
      <x:c r="J13" s="18" t="d">
        <x:v>2026-10-26T00:00:00.000Z</x:v>
      </x:c>
      <x:c r="K13" s="21" t="str">
        <x:f>IFERROR(HYPERLINK("https://spanish.xinhuanet.com/2020-03/16/c_138882229.htm","Xinhua"),"Xinhua")</x:f>
        <x:v>Xinhua</x:v>
      </x:c>
      <x:c r="L13" s="21" t="str">
        <x:f>IFERROR(HYPERLINK("https://portalunico.iaip.gob.hn/24/24/","Honduras Transparency Portal"),"Honduras Transparency Portal")</x:f>
        <x:v>Honduras Transparency Portal</x:v>
      </x:c>
      <x:c r="M13" s="21" t="str">
        <x:f>IFERROR(HYPERLINK("https://inter.hn/noticias/honduras-volvera-abrir-sus-fronteras-partir-del-lunes","Inter Honduras"),"Inter Honduras")</x:f>
        <x:v>Inter Honduras</x:v>
      </x:c>
      <x:c r="N13" s="4" t="str">
        <x:v>https://spanish.xinhuanet.com/2020-03/16/c_138882229.htm
https://portalunico.iaip.gob.hn/24/24/
https://inter.hn/noticias/honduras-volvera-abrir-sus-fronteras-partir-del-lunes
https://spanish.xinhuanet.com/2020-10/20/c_139452898.htm
https://leyes.hn/decreto-ejecutivo/pcm-125-2020-decreto-125-2020-mediante-el-cual-se-aprueba-la-estrategia-tecnico-operacional
https://inter.hn/noticias/prohibiciones-y-excepciones-anunciadas-por-el-gobierno-partir-de-hoy
https://leyes.hn/documento/5380-gaceta-35-201-16-de-marzo-del-2020</x:v>
      </x:c>
      <x:c r="O13" s="4" t="str">
        <x:v>Second full-register audit source access, 26 October 2026
https://spanish.xinhuanet.com/2020-03/16/c_138882229.htm: full text (previously retrieved text re-examined)
https://spanish.xinhuanet.com/2020-10/20/c_139452898.htm: full text (fresh retrieval)
Earlier URLs not separately inspected in this second assessment:
https://portalunico.iaip.gob.hn/24/24/
https://inter.hn/noticias/honduras-volvera-abrir-sus-fronteras-partir-del-lunes
https://leyes.hn/decreto-ejecutivo/pcm-125-2020-decreto-125-2020-mediante-el-cual-se-aprueba-la-estrategia-tecnico-operacional
https://inter.hn/noticias/prohibiciones-y-excepciones-anunciadas-por-el-gobierno-partir-de-hoy
https://leyes.hn/documento/5380-gaceta-35-201-16-de-marzo-del-2020
Prior audit access record
Full-register audit source access (evidence cutoff 25 October 2026)
https://spanish.xinhuanet.com/2020-03/16/c_138882229.htm: full text
https://spanish.xinhuanet.com/2020-10/20/c_139452898.htm: full text
Earlier source URLs not separately listed in this audit’s retrieval log (historical access notes below are not fresh verification):
https://portalunico.iaip.gob.hn/24/24/
https://inter.hn/noticias/honduras-volvera-abrir-sus-fronteras-partir-del-lunes
https://leyes.hn/decreto-ejecutivo/pcm-125-2020-decreto-125-2020-mediante-el-cual-se-aprueba-la-estrategia-tecnico-operacional
https://inter.hn/noticias/prohibiciones-y-excepciones-anunciadas-por-el-gobierno-partir-de-hoy
https://leyes.hn/documento/5380-gaceta-35-201-16-de-marzo-del-2020
Earlier recorded access
Source 1: search extract
Source 2: search extract
Source 3: search extract</x:v>
      </x:c>
      <x:c r="P13" s="20" t="n">
        <x:v>1</x:v>
      </x:c>
      <x:c r="Q13" s="4" t="str">
        <x:v>Americas</x:v>
      </x:c>
      <x:c r="R13" s="4" t="str">
        <x:v>Included</x:v>
      </x:c>
    </x:row>
    <x:row r="14" ht="409" hidden="0" customHeight="1">
      <x:c r="A14" s="16" t="str">
        <x:v>AM017</x:v>
      </x:c>
      <x:c r="B14" s="4" t="str">
        <x:v>Peru COVID passenger land-border closure</x:v>
      </x:c>
      <x:c r="C14" s="4" t="str">
        <x:v>Peru; Ecuador; Colombia; Brazil; Bolivia; Chile</x:v>
      </x:c>
      <x:c r="D14" s="4" t="str">
        <x:v>Peruvian land/river crossings</x:v>
      </x:c>
      <x:c r="E14" s="4" t="str">
        <x:v>The March 2020 order suspended international passenger transport, including land and river travel, into and out of Peru; freight remained exempt.
Direction: The later reconstructed July 2021–February 2022 phases concern ordinary nonresident foreign entry by land. They do not establish an identical restriction on every departing passenger.
Exceptions: The July and December provisions excluded freight, admitted Peruvians and foreign residents subject to health protocols, and exempted transport crews, specified official and humanitarian missions, and foreign workers notified by their institutions or employers. Ecuador/Chile entry was conditionally permitted during the separate 1–10 December legal phase.</x:v>
      </x:c>
      <x:c r="F14" s="4" t="str">
        <x:v>AM017-R1 — Formal policy
Peru land entry of ordinary nonresident foreign passengers outside specified exceptions
Start: 2021-07-12.
Policy endpoint: 2021-12-01.
Formal policy: 142 calendar-day difference; operational continuity not established
AM017-R2 — Formal policy
Peru land entry of ordinary nonresident foreign passengers from Colombia, Bolivia and Brazil
Start: 2021-12-01.
Policy endpoint: 2021-12-10.
Formal policy: 9 calendar-day difference; operational continuity not established
AM017-R3 — Formal policy
Peru land entry of ordinary nonresident foreign passengers outside Article 15 exceptions
Start: 2021-12-10.
Policy endpoint: 2022-02-14.
Formal policy: 66 calendar-day difference; operational continuity not established
AM017-C7P1 — Announced window
Peru international land passenger transport; freight exempt
Start: 2020-03-16.
Scheduled endpoint: unknown.
Ordered window: dated evidence; numeric duration withheld; see qualification</x:v>
      </x:c>
      <x:c r="G14" s="4" t="str">
        <x:v>Health and biosecurity / Human disease control
Attributed official justification
Applies to: Recorded episode; exact overlap not separately established
The recorded rationale and claim assessment support the selected subcategories. All applicable broad categories are retained together; no primary rationale is imposed.</x:v>
      </x:c>
      <x:c r="H14" s="4" t="str">
        <x:v>AM017-R1: Partial reconstruction only. This ends at a scope change allowing Ecuador/Chile entry; goods, residents, crews, humanitarian/special missions and notified workers excluded. No all-post physical-closure claim.
AM017-R2: Ecuador and Chile permission is a legal phase, not established gate operation; resident and purpose-specific exceptions remain.
AM017-R3: Formal permission endpoint only. No universal gate reopening; freight, crews and specified persons/purposes remain outside scope.
AM017-C7P1: Initial emergency described as fifteen days. This records the order only; no continuous link to July 2021, calculated expiry or actual reopening is asserted.
continuity: The missing March 2020 order is added as an initial scheduled measure. This does not reconcile the amendment chain through July 2021 or continuous operation.</x:v>
      </x:c>
      <x:c r="I14" s="4" t="str">
        <x:v>Second full-register audit, 26 October 2026: additional source-audited corrections incorporated. See the phase, scope and qualification columns for the accepted findings.</x:v>
      </x:c>
      <x:c r="J14" s="18" t="d">
        <x:v>2026-10-26T00:00:00.000Z</x:v>
      </x:c>
      <x:c r="K14" s="21" t="str">
        <x:f>IFERROR(HYPERLINK("https://busquedas.elperuano.pe/dispositivo/NL/1971585-3","El Peruano"),"El Peruano")</x:f>
        <x:v>El Peruano</x:v>
      </x:c>
      <x:c r="L14" s="21" t="str">
        <x:f>IFERROR(HYPERLINK("https://busquedas.elperuano.pe/dispositivo/NL/2016190-1","El Peruano"),"El Peruano")</x:f>
        <x:v>El Peruano</x:v>
      </x:c>
      <x:c r="M14" s="21" t="str">
        <x:f>IFERROR(HYPERLINK("https://andina.pe/ingles/noticia-establecen-cierre-fronteras-terrestres-para-transporte-pasajeros-872873.aspx","Andina"),"Andina")</x:f>
        <x:v>Andina</x:v>
      </x:c>
      <x:c r="N14" s="4" t="str">
        <x:v>https://busquedas.elperuano.pe/dispositivo/NL/1971585-3
https://busquedas.elperuano.pe/dispositivo/NL/2016190-1
https://andina.pe/ingles/noticia-establecen-cierre-fronteras-terrestres-para-transporte-pasajeros-872873.aspx
https://www.consulado.pe/es/shanghai/Lists/COVID19/DispForm.aspx?ContentTypeId=0x0100AD4724A17D75984AA607AEB599CB27EA&amp;ID=38
https://busquedas.elperuano.pe/dispositivo/NL/2038849-6
https://www.gob.pe/institucion/mtc/noticias/108949-gobierno-dispone-el-cierre-de-las-fronteras-durante-estado-de-emergencia-nacional-por-15-dias
https://www.gob.pe/institucion/embajada-del-peru-en-uruguay/noticias/583957-requisitos-sanitarios-e-ingreso-al-pais-y-derogacion-de-disposicion-de-cierre-de-fronteras-terrestres
https://www.consulado.pe/es/BuenosAires/Lists/Coronavirus/DispForm.aspx?ContentTypeId=0x01009C36EF334248FF4C8CAC1935209A6D16&amp;ID=26
https://www.gob.pe/institucion/mincetur/noticias/583797-gobierno-dispone-abrir-sus-fronteras-terrestres-para-la-integracion-social-y-economica-con-paises-vecinos
https://www.gob.pe/es/8794-volver-a-mi-pais-durante-el-estado-de-emergencia-por-covid-19
https://andina.pe/agencia/noticia-coronavirus-a-las-2359-horas-hoy-entra-vigor-cierre-fronteras-788431.aspx
https://www.gob.pe/institucion/embajada-del-peru-en-brasil/noticias/584426-reapertura-de-fronteras-terrestres-y-requisitos-de-ingreso-al-peru
https://www.gob.pe/institucion/embajada-del-peru-en-uruguay/noticias/569734-medidas-de-ingreso-al-peru
https://www.gob.pe/institucion/mincetur/noticias/111525-covid-19-el-comercio-exterior-no-se-detiene</x:v>
      </x:c>
      <x:c r="O14" s="4" t="str">
        <x:v>Second full-register audit source access, 26 October 2026
https://busquedas.elperuano.pe/dispositivo/NL/1971585-3: search extract (fresh retrieval)
https://busquedas.elperuano.pe/dispositivo/NL/2016190-1: full text (fresh retrieval)
https://www.gob.pe/institucion/embajada-del-peru-en-uruguay/noticias/569734-medidas-de-ingreso-al-peru: search extract (previously retrieved text re-examined)
https://busquedas.elperuano.pe/dispositivo/NL/2038849-6: full text (fresh retrieval)
https://www.gob.pe/institucion/mtc/noticias/108949-gobierno-dispone-el-cierre-de-las-fronteras-durante-estado-de-emergencia-nacional-por-15-dias: search extract (fresh retrieval) — Direct page returned 418; substantive indexed official text inspected.
https://www.gob.pe/institucion/mincetur/noticias/111525-covid-19-el-comercio-exterior-no-se-detiene: search extract (fresh retrieval)
Earlier URLs not separately inspected in this second assessment:
https://andina.pe/ingles/noticia-establecen-cierre-fronteras-terrestres-para-transporte-pasajeros-872873.aspx
https://www.consulado.pe/es/shanghai/Lists/COVID19/DispForm.aspx?ContentTypeId=0x0100AD4724A17D75984AA607AEB599CB27EA&amp;ID=38
https://www.gob.pe/institucion/embajada-del-peru-en-uruguay/noticias/583957-requisitos-sanitarios-e-ingreso-al-pais-y-derogacion-de-disposicion-de-cierre-de-fronteras-terrestres
https://www.consulado.pe/es/BuenosAires/Lists/Coronavirus/DispForm.aspx?ContentTypeId=0x01009C36EF334248FF4C8CAC1935209A6D16&amp;ID=26
https://www.gob.pe/institucion/mincetur/noticias/583797-gobierno-dispone-abrir-sus-fronteras-terrestres-para-la-integracion-social-y-economica-con-paises-vecinos
https://www.gob.pe/es/8794-volver-a-mi-pais-durante-el-estado-de-emergencia-por-covid-19
https://andina.pe/agencia/noticia-coronavirus-a-las-2359-horas-hoy-entra-vigor-cierre-fronteras-788431.aspx
https://www.gob.pe/institucion/embajada-del-peru-en-brasil/noticias/584426-reapertura-de-fronteras-terrestres-y-requisitos-de-ingreso-al-peru
Prior audit access record
Full-register audit source access (evidence cutoff 25 October 2026)
https://busquedas.elperuano.pe/dispositivo/NL/1971585-3: search extract
https://busquedas.elperuano.pe/dispositivo/NL/2016190-1: full text
https://www.gob.pe/institucion/embajada-del-peru-en-uruguay/noticias/569734-medidas-de-ingreso-al-peru: search extract
https://www.gob.pe/institucion/embajada-del-peru-en-uruguay/noticias/583957-requisitos-sanitarios-e-ingreso-al-pais-y-derogacion-de-disposicion-de-cierre-de-fronteras-terrestres: search extract — Direct 418;official substantive index retrieved.
https://www.gob.pe/institucion/mtc/noticias/108949-gobierno-dispone-el-cierre-de-las-fronteras-durante-estado-de-emergencia-nacional-por-15-dias: inaccessible — 418;no original substantive text.
Earlier source URLs not separately listed in this audit’s retrieval log (historical access notes below are not fresh verification):
https://andina.pe/ingles/noticia-establecen-cierre-fronteras-terrestres-para-transporte-pasajeros-872873.aspx
https://www.consulado.pe/es/shanghai/Lists/COVID19/DispForm.aspx?ContentTypeId=0x0100AD4724A17D75984AA607AEB599CB27EA&amp;ID=38
https://busquedas.elperuano.pe/dispositivo/NL/2038849-6
https://www.consulado.pe/es/BuenosAires/Lists/Coronavirus/DispForm.aspx?ContentTypeId=0x01009C36EF334248FF4C8CAC1935209A6D16&amp;ID=26
https://www.gob.pe/institucion/mincetur/noticias/583797-gobierno-dispone-abrir-sus-fronteras-terrestres-para-la-integracion-social-y-economica-con-paises-vecinos
https://www.gob.pe/es/8794-volver-a-mi-pais-durante-el-estado-de-emergencia-por-covid-19
https://andina.pe/agencia/noticia-coronavirus-a-las-2359-horas-hoy-entra-vigor-cierre-fronteras-788431.aspx
https://www.gob.pe/institucion/embajada-del-peru-en-brasil/noticias/584426-reapertura-de-fronteras-terrestres-y-requisitos-de-ingreso-al-peru
Earlier recorded access
Source 1: full
Source 2: full
Source 3: indexed excerpt</x:v>
      </x:c>
      <x:c r="P14" s="20" t="n">
        <x:v>4</x:v>
      </x:c>
      <x:c r="Q14" s="4" t="str">
        <x:v>Americas</x:v>
      </x:c>
      <x:c r="R14" s="4" t="str">
        <x:v>Included</x:v>
      </x:c>
    </x:row>
    <x:row r="15" ht="409" hidden="0" customHeight="1">
      <x:c r="A15" s="16" t="str">
        <x:v>AM020</x:v>
      </x:c>
      <x:c r="B15" s="4" t="str">
        <x:v>Argentina COVID nonresident foreign-entry closure</x:v>
      </x:c>
      <x:c r="C15" s="4" t="str">
        <x:v>Argentina; Chile; Bolivia; Paraguay; Brazil; Uruguay</x:v>
      </x:c>
      <x:c r="D15" s="4" t="str">
        <x:v>Argentine land and international bridge entries</x:v>
      </x:c>
      <x:c r="E15" s="4" t="str">
        <x:v>Ordinary nonresident foreign tourists, excluding neighbouring-country nationals/residents and people admitted under exceptional or family authorizations.
Direction: Into Argentina for the residual nonresident foreign-tourist cohort.
Exceptions: Cargo workers, transport crews, medical transport and authorized necessity/humanitarian cases are excepted under the applicable provisions. Nationals/residents and earlier neighbouring-country permissions are outside this residual cohort; their changing restrictions are not dated by this phase.</x:v>
      </x:c>
      <x:c r="F15" s="4" t="str">
        <x:v>AM020-R1 — Formal policy
Ordinary nonresident foreign tourist entry into Argentina, excluding neighbouring-country nationals/residents and persons admitted under exceptional or family authorisations
Start: 2020-03-16.
Policy endpoint: 2021-11-01.
Formal policy: 595 calendar-day difference; operational continuity not established</x:v>
      </x:c>
      <x:c r="G1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5" s="4" t="str">
        <x:v>AM020-R1: Legal restriction, not uniform enforcement. The narrow class excludes earlier neighbouring-country pilots; reopening depended on authorised safe corridors.</x:v>
      </x:c>
      <x:c r="I15" s="4" t="str">
        <x:v>Second full-register audit, 26 October 2026: qualified. The narrow residual nonresident-tourist legal phase is supported. Earlier neighbouring-country permissions and exceptional admission are already excluded correctly.</x:v>
      </x:c>
      <x:c r="J15" s="18" t="d">
        <x:v>2026-10-26T00:00:00.000Z</x:v>
      </x:c>
      <x:c r="K15" s="21" t="str">
        <x:f>IFERROR(HYPERLINK("https://www.argentina.gob.ar/normativa/nacional/decreto-274-2020-335479/texto","Argentine Government / Infoleg"),"Argentine Government / Infoleg")</x:f>
        <x:v>Argentine Government / Infoleg</x:v>
      </x:c>
      <x:c r="L15" s="21" t="str">
        <x:f>IFERROR(HYPERLINK("https://www.boletinoficial.gob.ar/detalleAviso/primera/250376/20211001","Argentina Official Bulletin"),"Argentina Official Bulletin")</x:f>
        <x:v>Argentina Official Bulletin</x:v>
      </x:c>
      <x:c r="M15" s="21" t="str">
        <x:f>IFERROR(HYPERLINK("https://www.boletinoficial.gov.ar/detalleAviso/primera/250376/20211001","Official Bulletin"),"Official Bulletin")</x:f>
        <x:v>Official Bulletin</x:v>
      </x:c>
      <x:c r="N15" s="4" t="str">
        <x:v>https://www.argentina.gob.ar/normativa/nacional/decreto-274-2020-335479/texto
https://www.boletinoficial.gob.ar/detalleAviso/primera/250376/20211001
https://www.boletinoficial.gov.ar/detalleAviso/primera/250376/20211001
https://www.argentina.gob.ar/noticias/carignano-brindo-precisiones-sobre-la-prueba-piloto-que-permitira-el-ingreso-de-extranjeros
https://www.argentina.gob.ar/normativa/nacional/decreto-678-2021-354785/texto
https://ecolo.cancilleria.gob.ar/es/16-de-marzo-cierre-de-fronteras-en-argentina
https://www.enre.gob.ar/web/bibliotd.nsf/%28%24IDWeb%29/3469708763C601D003258783003C8023
https://www.boletinoficial.gov.ar/detalleAviso/primera/252408/20211106</x:v>
      </x:c>
      <x:c r="O15" s="4" t="str">
        <x:v>Second full-register audit source access, 26 October 2026
https://www.argentina.gob.ar/normativa/nacional/decreto-274-2020-335479/texto: full text (fresh retrieval)
https://www.argentina.gob.ar/normativa/nacional/decreto-678-2021-354785/texto: full text (fresh retrieval)
Earlier URLs not separately inspected in this second assessment:
https://www.boletinoficial.gob.ar/detalleAviso/primera/250376/20211001
https://www.boletinoficial.gov.ar/detalleAviso/primera/250376/20211001
https://www.argentina.gob.ar/noticias/carignano-brindo-precisiones-sobre-la-prueba-piloto-que-permitira-el-ingreso-de-extranjeros
https://ecolo.cancilleria.gob.ar/es/16-de-marzo-cierre-de-fronteras-en-argentina
https://www.enre.gob.ar/web/bibliotd.nsf/%28%24IDWeb%29/3469708763C601D003258783003C8023
https://www.boletinoficial.gov.ar/detalleAviso/primera/252408/20211106
Prior audit access record
Full-register audit source access (evidence cutoff 25 October 2026)
https://www.argentina.gob.ar/normativa/nacional/decreto-274-2020-335479/texto: full text
https://www.argentina.gob.ar/normativa/nacional/decreto-678-2021-354785/texto: full text
Earlier source URLs not separately listed in this audit’s retrieval log (historical access notes below are not fresh verification):
https://www.boletinoficial.gob.ar/detalleAviso/primera/250376/20211001
https://www.boletinoficial.gov.ar/detalleAviso/primera/250376/20211001
https://www.argentina.gob.ar/noticias/carignano-brindo-precisiones-sobre-la-prueba-piloto-que-permitira-el-ingreso-de-extranjeros
https://ecolo.cancilleria.gob.ar/es/16-de-marzo-cierre-de-fronteras-en-argentina
https://www.enre.gob.ar/web/bibliotd.nsf/%28%24IDWeb%29/3469708763C601D003258783003C8023
https://www.boletinoficial.gov.ar/detalleAviso/primera/252408/20211106
Earlier recorded access
Source 1: full; full text
Source 2: full
Source 3: full</x:v>
      </x:c>
      <x:c r="P15" s="20" t="n">
        <x:v>1</x:v>
      </x:c>
      <x:c r="Q15" s="4" t="str">
        <x:v>Americas</x:v>
      </x:c>
      <x:c r="R15" s="4" t="str">
        <x:v>Included</x:v>
      </x:c>
    </x:row>
    <x:row r="16" ht="342" hidden="0" customHeight="1">
      <x:c r="A16" s="16" t="str">
        <x:v>AM014</x:v>
      </x:c>
      <x:c r="B16" s="4" t="str">
        <x:v>Colombia COVID land frontier closure outside Venezuela</x:v>
      </x:c>
      <x:c r="C16" s="4" t="str">
        <x:v>Colombia; Panama; Ecuador; Peru; Brazil</x:v>
      </x:c>
      <x:c r="D16" s="4" t="str">
        <x:v>Colombian side of other land/river frontiers</x:v>
      </x:c>
      <x:c r="E16" s="4" t="str">
        <x:v>Colombia-side ordinary passenger movement through land and river frontier crossings with Panama, Ecuador, Peru and Brazil.
Direction: A Colombian national closure policy; reciprocal restrictions and the actual availability of individual routes are separate.
Exceptions: Decree 412 of 16 March 2020 exempted freight and transit required by force majeure or fortuitous events. Later policy recitals also describe intermittent humanitarian corridors and coordinated foreign-national departures. These exceptions are not evidence of unrestricted passenger access or uniform implementation throughout the period.</x:v>
      </x:c>
      <x:c r="F16" s="4" t="str">
        <x:v>AM014-D1 — Formal policy
Colombia-side ordinary land/river passenger closure policy toward Panama, Ecuador, Peru and Brazil.
Start: 2020-03-17.
Policy endpoint: 2021-05-19.
Formal policy: 428 calendar-day difference; operational continuity not established</x:v>
      </x:c>
      <x:c r="G1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6" s="4" t="str">
        <x:v>AM014-D1: Formal national policy dates only; neighbouring countries and individual routes need not have reopened then. Authorised exceptions remain excluded. Panama has no ordinary through-road crossing.</x:v>
      </x:c>
      <x:c r="I16" s="4" t="str">
        <x:v>Second full-register audit, 26 October 2026: additional source-audited corrections incorporated. See the phase, scope and qualification columns for the accepted findings.</x:v>
      </x:c>
      <x:c r="J16" s="18" t="d">
        <x:v>2026-10-26T00:00:00.000Z</x:v>
      </x:c>
      <x:c r="K16" s="21" t="str">
        <x:f>IFERROR(HYPERLINK("https://cancilleria.gov.co/normograma/compilacion/docs/resolucion_mininterior_0746_2021.htm","Colombian Foreign Ministry legal database"),"Colombian Foreign Ministry legal database")</x:f>
        <x:v>Colombian Foreign Ministry legal database</x:v>
      </x:c>
      <x:c r="L16" s="21" t="str">
        <x:f>IFERROR(HYPERLINK("https://www.cancilleria.gov.co/sites/default/files/Normograma/docs/resolucion_uaemc_1175_2021.htm","cancilleria.gov.co"),"cancilleria.gov.co")</x:f>
        <x:v>cancilleria.gov.co</x:v>
      </x:c>
      <x:c r="M16" s="21" t="str">
        <x:f>IFERROR(HYPERLINK("https://www.noticiasrcn.com/internacional/ecuador-y-panama-confirman-cierre-de-sus-fronteras-pese-a-que-colombia-las-abrio-380023","noticiasrcn.com"),"noticiasrcn.com")</x:f>
        <x:v>noticiasrcn.com</x:v>
      </x:c>
      <x:c r="N16" s="4" t="str">
        <x:v>https://cancilleria.gov.co/normograma/compilacion/docs/resolucion_mininterior_0746_2021.htm
https://www.cancilleria.gov.co/sites/default/files/Normograma/docs/resolucion_uaemc_1175_2021.htm
https://www.noticiasrcn.com/internacional/ecuador-y-panama-confirman-cierre-de-sus-fronteras-pese-a-que-colombia-las-abrio-380023
https://cancilleria.gov.co/normograma/compilacion/docs/decreto_0412_2020.htm</x:v>
      </x:c>
      <x:c r="O16" s="4" t="str">
        <x:v>Second full-register audit source access, 26 October 2026
https://cancilleria.gov.co/normograma/compilacion/docs/resolucion_mininterior_0746_2021.htm: full text (fresh retrieval)
https://cancilleria.gov.co/normograma/compilacion/docs/decreto_0412_2020.htm: full text (fresh retrieval)
Earlier URLs not separately inspected in this second assessment:
https://www.cancilleria.gov.co/sites/default/files/Normograma/docs/resolucion_uaemc_1175_2021.htm
https://www.noticiasrcn.com/internacional/ecuador-y-panama-confirman-cierre-de-sus-fronteras-pese-a-que-colombia-las-abrio-380023
Prior audit access record
Full-register audit source access (evidence cutoff 25 October 2026)
https://cancilleria.gov.co/normograma/compilacion/docs/resolucion_mininterior_0746_2021.htm: full text
Earlier source URLs not separately listed in this audit’s retrieval log (historical access notes below are not fresh verification):
https://www.cancilleria.gov.co/sites/default/files/Normograma/docs/resolucion_uaemc_1175_2021.htm
https://www.noticiasrcn.com/internacional/ecuador-y-panama-confirman-cierre-de-sus-fronteras-pese-a-que-colombia-las-abrio-380023
Earlier recorded access
Source 1: full page
Source 2: access detail is retained in the source catalogue.
Source 3: access detail is retained in the source catalogue.</x:v>
      </x:c>
      <x:c r="P16" s="20" t="n">
        <x:v>1</x:v>
      </x:c>
      <x:c r="Q16" s="4" t="str">
        <x:v>Americas</x:v>
      </x:c>
      <x:c r="R16" s="4" t="str">
        <x:v>Included</x:v>
      </x:c>
    </x:row>
    <x:row r="17" ht="409" hidden="0" customHeight="1">
      <x:c r="A17" s="16" t="str">
        <x:v>AM021</x:v>
      </x:c>
      <x:c r="B17" s="4" t="str">
        <x:v>Uruguay COVID Argentina-border entry restrictions</x:v>
      </x:c>
      <x:c r="C17" s="4" t="str">
        <x:v>Uruguay; Argentina</x:v>
      </x:c>
      <x:c r="D17" s="4" t="str">
        <x:v>Entry from Argentina at land/river crossings</x:v>
      </x:c>
      <x:c r="E17" s="4" t="str">
        <x:v>Ordinary nonresident foreign visitors entering Uruguay from Argentina, outside specified exemptions; the later phase is restricted to the cohort made eligible on 1 November 2021.
Direction: Into Uruguay from Argentina; neither Argentine departure permission nor a general Uruguayan exit prohibition is established by this record.
Exceptions: Citizens, residents, international freight and associated supplies, mail, humanitarian and health movements were initially exempt. Later specific authorizations and the September property-owner exemption are excluded from the residual visitor cohort. The November endpoint concerns vaccinated or qualifying recovered foreigners and minors, not unrestricted entry for unvaccinated adults.</x:v>
      </x:c>
      <x:c r="F17" s="4" t="str">
        <x:v>AM021-REV1 — Formal policy
Uruguayan default prohibition on ordinary nonresident foreign visitor entry from Argentina, excluding all specific exemptions and limited to the visitor cohort made eligible November 1
Start: 2020-03-30.
Policy endpoint: 2021-11-01.
Formal policy: 581 calendar-day difference; operational continuity not established
AM021-C7P1 — Formal policy
Uruguay entry from Argentina under Decree 94/020, outside citizens/residents and freight-related exceptions
Start: 2020-03-17 (policy effective from 00:00).
Last confirmed: 2020-03-23. Reopening is not established.
Formal policy: dated evidence; numeric duration withheld; see qualification</x:v>
      </x:c>
      <x:c r="G1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7" s="4" t="str">
        <x:v>AM021-REV1: March 30 is the start of this evidenced policy segment, not the original March 17 onset. September property-owner exemptions excluded. Does not assert physical gate continuity, Argentine exit permission, or reopening to unvaccinated adults.
AM021-C7P1: The Presidency explicitly set the Argentina-frontier restriction to take effect at 00:00 on 17 March 2020. This supplies a formal-policy onset, not independently timed gate enforcement. Citizens, residents, freight and humanitarian aid were excepted. Continuous legal succession to Decree 104 and physical gate continuity are not asserted.</x:v>
      </x:c>
      <x:c r="I17" s="4" t="str">
        <x:v>Second full-register audit, 26 October 2026: additional source-audited corrections incorporated. See the phase, scope and qualification columns for the accepted findings.</x:v>
      </x:c>
      <x:c r="J17" s="18" t="d">
        <x:v>2026-10-26T00:00:00.000Z</x:v>
      </x:c>
      <x:c r="K17" s="21" t="str">
        <x:f>IFERROR(HYPERLINK("https://www.impo.com.uy/bases/decretos-originales/104-2020","IMPO"),"IMPO")</x:f>
        <x:v>IMPO</x:v>
      </x:c>
      <x:c r="L17" s="21" t="str">
        <x:f>IFERROR(HYPERLINK("https://www.impo.com.uy/bases/decretos-originales/297-2021","IMPO"),"IMPO")</x:f>
        <x:v>IMPO</x:v>
      </x:c>
      <x:c r="M17" s="21" t="str">
        <x:f>IFERROR(HYPERLINK("https://www.impo.com.uy/bases/decretos-originales/357-2021","IMPO"),"IMPO")</x:f>
        <x:v>IMPO</x:v>
      </x:c>
      <x:c r="N17" s="4" t="str">
        <x:v>https://www.impo.com.uy/bases/decretos-originales/104-2020
https://www.impo.com.uy/bases/decretos-originales/297-2021
https://www.impo.com.uy/bases/decretos-originales/357-2021
https://www.gub.uy/agencia-gobierno-electronico-sociedad-informacion-conocimiento/comunicacion/noticias/uruguay-abre-sus-fronteras
https://www.impo.com.uy/bases/decretos/94-2020
https://www.gub.uy/presidencia/comunicacion/noticias/gobierno-decreto-cierre-total-fronteras-argentina-partir-del-martes-17
https://www.impo.com.uy/bases/decretos/357-2021
https://www.gub.uy/presidencia/politicas-y-gestion/medidas-del-gobierno-para-atender-emergencia-sanitaria-coronavirus-covid-19-4
https://www.gub.uy/sistema-nacional-emergencias/comunicacion/comunicados/informe-situacion-sobre-coronavirus-covid-19-uruguay-16032020</x:v>
      </x:c>
      <x:c r="O17" s="4" t="str">
        <x:v>Second full-register audit source access, 26 October 2026
https://www.gub.uy/presidencia/comunicacion/noticias/gobierno-decreto-cierre-total-fronteras-argentina-partir-del-martes-17: full text (previously retrieved text re-examined)
https://www.impo.com.uy/bases/decretos-originales/104-2020: full text (fresh retrieval)
https://www.impo.com.uy/bases/decretos-originales/357-2021: full text (fresh retrieval)
https://www.gub.uy/agencia-gobierno-electronico-sociedad-informacion-conocimiento/comunicacion/noticias/uruguay-abre-sus-fronteras: search extract (previously retrieved text re-examined) — Direct page returned 502.
https://www.impo.com.uy/bases/decretos/94-2020: full text (fresh retrieval)
Earlier URLs not separately inspected in this second assessment:
https://www.impo.com.uy/bases/decretos-originales/297-2021
https://www.impo.com.uy/bases/decretos/357-2021
https://www.gub.uy/presidencia/politicas-y-gestion/medidas-del-gobierno-para-atender-emergencia-sanitaria-coronavirus-covid-19-4
https://www.gub.uy/sistema-nacional-emergencias/comunicacion/comunicados/informe-situacion-sobre-coronavirus-covid-19-uruguay-16032020
Prior audit access record
Full-register audit source access (evidence cutoff 25 October 2026)
https://www.gub.uy/presidencia/comunicacion/noticias/gobierno-decreto-cierre-total-fronteras-argentina-partir-del-martes-17: full text
https://www.impo.com.uy/bases/decretos-originales/104-2020: full text
https://www.impo.com.uy/bases/decretos-originales/357-2021: full text
https://www.gub.uy/agencia-gobierno-electronico-sociedad-informacion-conocimiento/comunicacion/noticias/uruguay-abre-sus-fronteras: search extract — Direct page returned 502.
Earlier source URLs not separately listed in this audit’s retrieval log (historical access notes below are not fresh verification):
https://www.impo.com.uy/bases/decretos-originales/297-2021
https://www.impo.com.uy/bases/decretos/94-2020
https://www.impo.com.uy/bases/decretos/357-2021
https://www.gub.uy/presidencia/politicas-y-gestion/medidas-del-gobierno-para-atender-emergencia-sanitaria-coronavirus-covid-19-4
https://www.gub.uy/sistema-nacional-emergencias/comunicacion/comunicados/informe-situacion-sobre-coronavirus-covid-19-uruguay-16032020
Earlier recorded access
Source 1: full
Source 2: full
Source 3: full</x:v>
      </x:c>
      <x:c r="P17" s="20" t="n">
        <x:v>2</x:v>
      </x:c>
      <x:c r="Q17" s="4" t="str">
        <x:v>Americas</x:v>
      </x:c>
      <x:c r="R17" s="4" t="str">
        <x:v>Included</x:v>
      </x:c>
    </x:row>
    <x:row r="18" ht="409" hidden="0" customHeight="1">
      <x:c r="A18" s="16" t="str">
        <x:v>AM029</x:v>
      </x:c>
      <x:c r="B18" s="4" t="str">
        <x:v>Panama COVID restrictions on foreign land entry</x:v>
      </x:c>
      <x:c r="C18" s="4" t="str">
        <x:v>Panama; Costa Rica; Colombia</x:v>
      </x:c>
      <x:c r="D18" s="4" t="str">
        <x:v>Panamanian land entry</x:v>
      </x:c>
      <x:c r="E18" s="4" t="str">
        <x:v>Nonresident foreign travellers seeking land entry into Panama.
Direction: Entry into Panama.
Exceptions: Panamanian nationals, qualifying residents including pending applicants, specified dependent children and approved freight crews. Posts remained operational for eligible categories.</x:v>
      </x:c>
      <x:c r="F18" s="4" t="str">
        <x:v>AM029-REV1 — Announced window
Initial Panama land-entry restriction for nonresident foreigners, excluding approved categories
Start: 2020-03-17.
Scheduled endpoint: 2020-04-07.
Ordered window: 21 calendar-day difference; actual end not established
Later scoped access evidence: official INEC statistics for 2021 record foreign visitors entering at Paso Canoas for recreation, confirming foreign tourist access there during 2021 and therefore by 2021-12-31 at the latest. This is a conservative year-level observation, not a claim that reopening occurred on 31 December. ATP separately records visitor entries at Paso Canoas in January 2021, but that monthly table does not isolate nationality and purpose.
A 2021-02-03 MINSA report describes implemented health procedures for foreign entrants at Guabito following the Costa Rica-frontier reopening; it does not expressly distinguish residents from nonresident tourists.</x:v>
      </x:c>
      <x:c r="G1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8" s="4" t="str">
        <x:v>AM029-REV1: The initial SNM schedule covers 17 March–7 April 2020. Nationals, residents including pending applicants, specified dependent children and approved freight crews are exempt; posts remain operational for eligible categories. Scheduled expiry is not observed reopening.
January 2021 reporting describes nationals, residents and foreigners already in Panama and cannot by itself establish first ordinary nonresident entry. The recovered 3 February MINSA report confirms conditional foreign-entry arrangements at Guabito but does not identify the residence category. Official 2021 INEC statistics separately document foreign visitors travelling for recreation at Paso Canoas, supplying a later scoped access observation by the end of that reporting year. Monthly ATP totals show visitors in January but do not isolate the original cohort. No exact first tourist return, continuous March-to-later closure, repeal date or uniform reopening of every Panamanian frontier is inferred.</x:v>
      </x:c>
      <x:c r="I18" s="4" t="str">
        <x:v>Second full-register audit, 26 October 2026: additional source-audited corrections incorporated. See the phase, scope and qualification columns for the accepted findings.</x:v>
      </x:c>
      <x:c r="J18" s="18" t="d">
        <x:v>2026-10-26T00:00:00.000Z</x:v>
      </x:c>
      <x:c r="K18" s="21" t="str">
        <x:f>IFERROR(HYPERLINK("https://sertv.gob.pa/servicio-nacional-de-migracion-de-panama-suspende-sus-terminos-y-procesos-en-todo-el-pais/","SERTV / Panama SNM"),"SERTV / Panama SNM")</x:f>
        <x:v>SERTV / Panama SNM</x:v>
      </x:c>
      <x:c r="L18" s="21" t="str">
        <x:f>IFERROR(HYPERLINK("https://infojuridica.procuraduria-admon.gob.pa/norma_screen?numsec=55732","Panama Procuraduría"),"Panama Procuraduría")</x:f>
        <x:v>Panama Procuraduría</x:v>
      </x:c>
      <x:c r="M18" s="21" t="str">
        <x:f>IFERROR(HYPERLINK("https://www.minsa.gob.pa/centro-de-prensa/noticias/autoridades-en-la-provincia-de-bocas-del-toro-unen-criterios-para","MINSA Panama"),"MINSA Panama")</x:f>
        <x:v>MINSA Panama</x:v>
      </x:c>
      <x:c r="N18" s="4" t="str">
        <x:v>https://sertv.gob.pa/servicio-nacional-de-migracion-de-panama-suspende-sus-terminos-y-procesos-en-todo-el-pais/
https://infojuridica.procuraduria-admon.gob.pa/norma_screen?numsec=55732
https://www.minsa.gob.pa/centro-de-prensa/noticias/autoridades-en-la-provincia-de-bocas-del-toro-unen-criterios-para
https://www.prensa.com/impresa/panorama/panama-reabre-sus-fronteras-terrestres-nicarag-enses-alistan-viaje-de-retorno/
https://dtm.iom.int/reports/panama-seguimiento-la-emergencia-estaciones-de-recepci%C3%B3n-migratoria-pandemia-covid-19-5
https://www.tvn-2.com/nacionales/anuncian-reapertura-terrestres-republica-panama_1_1116716.html
https://www.inec.gob.pa/archivos/P037353622023013014514518.pdf
https://www.atp.gob.pa/wp-content/uploads/2021/10/Analisis-Estadistico-de-enero-a-agosto-2021.pdf</x:v>
      </x:c>
      <x:c r="O18" s="4" t="str">
        <x:v>Second full-register audit source access, 26 October 2026
https://sertv.gob.pa/servicio-nacional-de-migracion-de-panama-suspende-sus-terminos-y-procesos-en-todo-el-pais/: full text (fresh retrieval) — No independent proof of every crossing's continuous operation.
https://www.tvn-2.com/nacionales/anuncian-reapertura-terrestres-republica-panama_1_1116716.html: search extract (fresh retrieval) — Fresh substantive indexed text inspected; no new direct-page retrieval in this round.
https://dtm.iom.int/reports/panama-seguimiento-la-emergencia-estaciones-de-recepci%C3%B3n-migratoria-pandemia-covid-19-5: search extract (fresh retrieval) — Indexed text only; separate foreign inbound cohort remains unclear.
https://www.minsa.gob.pa/centro-de-prensa/noticias/autoridades-en-la-provincia-de-bocas-del-toro-unen-criterios-para: full text (fresh retrieval)
https://www.inec.gob.pa/archivos/P037353622023013014514518.pdf: full text (fresh retrieval)
https://www.atp.gob.pa/wp-content/uploads/2021/10/Analisis-Estadistico-de-enero-a-agosto-2021.pdf: full text (fresh retrieval)
Earlier URLs not separately inspected in this second assessment:
https://infojuridica.procuraduria-admon.gob.pa/norma_screen?numsec=55732
https://www.prensa.com/impresa/panorama/panama-reabre-sus-fronteras-terrestres-nicarag-enses-alistan-viaje-de-retorno/
Prior audit access record
Full-register audit source access (evidence cutoff 25 October 2026)
https://sertv.gob.pa/servicio-nacional-de-migracion-de-panama-suspende-sus-terminos-y-procesos-en-todo-el-pais/: full text — No independent proof of every crossing's continuous operation.
https://www.tvn-2.com/nacionales/anuncian-reapertura-terrestres-republica-panama_1_1116716.html: full text — Does not identify first admission of ordinary nonresident tourists from abroad.
https://dtm.iom.int/reports/panama-seguimiento-la-emergencia-estaciones-de-recepci%C3%B3n-migratoria-pandemia-covid-19-5: search extract — Indexed text only; separate foreign inbound cohort remains unclear.
https://infojuridica.procuraduria-admon.gob.pa/norma_screen?numsec=55732: inaccessible — 403 response.
https://www.minsa.gob.pa/centro-de-prensa/noticias/autoridades-en-la-provincia-de-bocas-del-toro-unen-criterios-para: inaccessible — Source retrieval did not expose substantive body.
Earlier source URLs not separately listed in this audit’s retrieval log (historical access notes below are not fresh verification):
https://www.prensa.com/impresa/panorama/panama-reabre-sus-fronteras-terrestres-nicarag-enses-alistan-viaje-de-retorno/
Earlier recorded access
Source 1: full
Source 2: indexed excerpt; full
Source 3: full</x:v>
      </x:c>
      <x:c r="P18" s="20" t="n">
        <x:v>1</x:v>
      </x:c>
      <x:c r="Q18" s="4" t="str">
        <x:v>Americas</x:v>
      </x:c>
      <x:c r="R18" s="4" t="str">
        <x:v>Included</x:v>
      </x:c>
    </x:row>
    <x:row r="19" ht="409" hidden="0" customHeight="1">
      <x:c r="A19" s="16" t="str">
        <x:v>AM016</x:v>
      </x:c>
      <x:c r="B19" s="4" t="str">
        <x:v>Chile COVID restrictions on foreign land entry</x:v>
      </x:c>
      <x:c r="C19" s="4" t="str">
        <x:v>Chile; Argentina; Bolivia; Peru</x:v>
      </x:c>
      <x:c r="D19" s="4" t="str">
        <x:v>Chilean land ports</x:v>
      </x:c>
      <x:c r="E19" s="4" t="str">
        <x:v>Entry into Chile was restricted; the initial decree allowed departure under applicable law; later exit rules changed separately. Citizens and foreign residents were initially exempt. Humanitarian and freight exceptions varied.</x:v>
      </x:c>
      <x:c r="F19" s="4" t="str">
        <x:v>AM016-FU1 — Formal policy
Chilean land ports covered by Decreto 102
Start: 2020-03-18.
Last confirmed initial measure: 2020-03-18. The first general relaxation and complete amendment chain are not established; earlier scoped easing is documented below.
Formal policy: dated evidence; numeric duration withheld; see qualification
AM016-C7P1 — Observed operation
The 22 Chilean land complexes named in the May 2 government report; not all 40 complexes
Start: unknown.
Observed scoped reopening: 2022-05-01.
dated evidence; numeric duration withheld; see qualification
Earlier scoped legal easing: from 2021-12-22, Decree 295 as amended by Decree 308 allowed nonresident foreigners with a complete vaccination course, or children under six, to enter through Futaleufú, Huemules, Jeinimeni and Integración Austral, subject to health requirements. This replaces 2022-05-01 as the earliest established partial legal easing in this record; it is not an all-port reopening date.
Separate operational observations: Jeinimeni reopened on 2021-12-22, with passengers documented in both directions over its first two days. Los Libertadores reopened at 12:00 on 2022-01-04, with recorded vehicle movements and health-conditioned nonresident entry. These observations do not supply a common operational onset or continuous duration.
The existing 2022-05-01 observation remains a later expansion to 22 of 40 operating complexes.</x:v>
      </x:c>
      <x:c r="G1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9" s="4" t="str">
        <x:v>The initial decree applied from 18 March 2020 for fifteen days and was extended. It restricted entry while initially allowing departure under applicable law; later exit restrictions are separate. Conditional foreign admission at four named southern crossings is legally documented from 22 December 2021. Actual Jeinimeni reopening is corroborated, but the 24 December provincial report says Huemules had not opened on the Argentine side; contemporaneous reporting likewise records no passenger passage at Futaleufú on 22 December. Legal permission therefore cannot be treated as simultaneous operation at all four gates. Los Libertadores actual reopening followed on 4 January 2022. The 1 May 2022 expansion to 22 of 40 complexes remains valid. The complete amendment chain, earliest easing for every cohort, and each port’s reopening are not established; no uninterrupted all-port duration is inferred.</x:v>
      </x:c>
      <x:c r="I19" s="4" t="str">
        <x:v>Second full-register audit, 26 October 2026: additional source-audited corrections incorporated. See the phase, scope and qualification columns for the accepted findings.</x:v>
      </x:c>
      <x:c r="J19" s="18" t="d">
        <x:v>2026-10-26T00:00:00.000Z</x:v>
      </x:c>
      <x:c r="K19" s="21" t="str">
        <x:f>IFERROR(HYPERLINK("https://www.leychile.cl/navegar?idNorma=1143540&amp;idParte=10109045&amp;idVersion=2020-04-22","Chilean National Congress Library"),"Chilean National Congress Library")</x:f>
        <x:v>Chilean National Congress Library</x:v>
      </x:c>
      <x:c r="L19" s="21" t="str">
        <x:f>IFERROR(HYPERLINK("https://www.gob.cl/noticias/ministro-de-obras-publicas-supervisa-el-inicio-del-cierre-de-fronteras-en-aeropuerto-nuevo-pudahuel/","Chile government"),"Chile government")</x:f>
        <x:v>Chile government</x:v>
      </x:c>
      <x:c r="M19" s="21" t="str">
        <x:f>IFERROR(HYPERLINK("https://www.gob.cl/noticias/plan-de-normalizacion-en-las-fronteras-22-complejos-fronterizos-terrestres-ya-estan-habilitados-para-el-transito-entre-chile-y-los-paises-vecinos/","Government of Chile"),"Government of Chile")</x:f>
        <x:v>Government of Chile</x:v>
      </x:c>
      <x:c r="N19" s="4" t="str">
        <x:v>https://www.leychile.cl/navegar?idNorma=1143540&amp;idParte=10109045&amp;idVersion=2020-04-22
https://www.gob.cl/noticias/ministro-de-obras-publicas-supervisa-el-inicio-del-cierre-de-fronteras-en-aeropuerto-nuevo-pudahuel/
https://www.gob.cl/noticias/plan-de-normalizacion-en-las-fronteras-22-complejos-fronterizos-terrestres-ya-estan-habilitados-para-el-transito-entre-chile-y-los-paises-vecinos/
https://www.pasosfronterizos.gov.cl/noticias/cambios-en-plan-frontera-segura-a-partir-del-1-de-diciembre-se-abrira-chacalluta-colchane-y-pino-hachado/
https://www.pasosfronterizos.gob.cl/noticias/se-pospone-apertura-de-fronteras-terrestres/
https://www.gob.cl/noticias/anuncian-reapertura-gradual-de-fronteras-terrestres-partir-del-22-de-diciembre/
https://dppgeneralcarrera.dpp.gob.cl/2021/12/24/dpp-general-carrera-destaca-buen-funcionamiento-del-complejo-fronterizo-jeinimeni/
https://www.minrel.gob.cl/minrel/sala-de-prensa/prohibicion-de-ingreso-a-personas-extranjeras-no-residentes-y-otras-medidas
https://www.pasosfronterizos.gov.cl/noticias/coronavirus-en-chile-pasa-a-fase-4-y-presidente-anuncia-cierre-de-fronteras/
https://www.minrel.gob.cl/sala-de-prensa/apertura-de-los-pasos-fronterizos
https://www.leychile.cl/navegar?idNorma=1175466
https://www.bcn.cl/leychile/navegar?idNorma=1168843&amp;idParte=10287808&amp;idVersion=2021-12-22
https://www.pasosfronterizos.gob.cl/noticias/jefe-upf-y-delegado-provincial-de-los-andes-supervisaron-supervisaron-la-reapertura-del-complejo-los-libertadores/
https://www.diariobinacional.cl/noticia/pasos-fronterizos/2021/12/con-tropiezos-esta-jornada-comenzo-apertura-de-pasos-fronterizos</x:v>
      </x:c>
      <x:c r="O19" s="4" t="str">
        <x:v>Second full-register audit source access, 26 October 2026
https://www.leychile.cl/navegar?idNorma=1143540&amp;idParte=10109045&amp;idVersion=2020-04-22: full text (fresh retrieval)
https://www.gob.cl/noticias/plan-de-normalizacion-en-las-fronteras-22-complejos-fronterizos-terrestres-ya-estan-habilitados-para-el-transito-entre-chile-y-los-paises-vecinos/: search extract (previously retrieved text re-examined) — Direct 403;substantive indexed government article inspected.
https://www.leychile.cl/navegar?idNorma=1175466: full text (previously retrieved text re-examined)
https://www.bcn.cl/leychile/navegar?idNorma=1168843&amp;idParte=10287808&amp;idVersion=2021-12-22: full text (fresh retrieval)
https://dppgeneralcarrera.dpp.gob.cl/2021/12/24/dpp-general-carrera-destaca-buen-funcionamiento-del-complejo-fronterizo-jeinimeni/: full text (fresh retrieval)
https://www.pasosfronterizos.gob.cl/noticias/jefe-upf-y-delegado-provincial-de-los-andes-supervisaron-supervisaron-la-reapertura-del-complejo-los-libertadores/: full text (fresh retrieval)
https://www.diariobinacional.cl/noticia/pasos-fronterizos/2021/12/con-tropiezos-esta-jornada-comenzo-apertura-de-pasos-fronterizos: full text (fresh retrieval)
Earlier URLs not separately inspected in this second assessment:
https://www.gob.cl/noticias/ministro-de-obras-publicas-supervisa-el-inicio-del-cierre-de-fronteras-en-aeropuerto-nuevo-pudahuel/
https://www.pasosfronterizos.gov.cl/noticias/cambios-en-plan-frontera-segura-a-partir-del-1-de-diciembre-se-abrira-chacalluta-colchane-y-pino-hachado/
https://www.pasosfronterizos.gob.cl/noticias/se-pospone-apertura-de-fronteras-terrestres/
https://www.gob.cl/noticias/anuncian-reapertura-gradual-de-fronteras-terrestres-partir-del-22-de-diciembre/
https://www.minrel.gob.cl/minrel/sala-de-prensa/prohibicion-de-ingreso-a-personas-extranjeras-no-residentes-y-otras-medidas
https://www.pasosfronterizos.gov.cl/noticias/coronavirus-en-chile-pasa-a-fase-4-y-presidente-anuncia-cierre-de-fronteras/
https://www.minrel.gob.cl/sala-de-prensa/apertura-de-los-pasos-fronterizos
Prior audit access record
Full-register audit source access (evidence cutoff 25 October 2026)
https://www.leychile.cl/navegar?idNorma=1143540&amp;idParte=10109045&amp;idVersion=2020-04-22: full text
https://www.gob.cl/noticias/plan-de-normalizacion-en-las-fronteras-22-complejos-fronterizos-terrestres-ya-estan-habilitados-para-el-transito-entre-chile-y-los-paises-vecinos/: search extract — Direct 403;substantive indexed government article inspected.
https://www.leychile.cl/navegar?idNorma=1175466: full text
Earlier source URLs not separately listed in this audit’s retrieval log (historical access notes below are not fresh verification):
https://www.gob.cl/noticias/ministro-de-obras-publicas-supervisa-el-inicio-del-cierre-de-fronteras-en-aeropuerto-nuevo-pudahuel/
https://www.pasosfronterizos.gov.cl/noticias/cambios-en-plan-frontera-segura-a-partir-del-1-de-diciembre-se-abrira-chacalluta-colchane-y-pino-hachado/
https://www.pasosfronterizos.gob.cl/noticias/se-pospone-apertura-de-fronteras-terrestres/
https://www.gob.cl/noticias/anuncian-reapertura-gradual-de-fronteras-terrestres-partir-del-22-de-diciembre/
https://dppgeneralcarrera.dpp.gob.cl/2021/12/24/dpp-general-carrera-destaca-buen-funcionamiento-del-complejo-fronterizo-jeinimeni/
https://www.minrel.gob.cl/minrel/sala-de-prensa/prohibicion-de-ingreso-a-personas-extranjeras-no-residentes-y-otras-medidas
https://www.pasosfronterizos.gov.cl/noticias/coronavirus-en-chile-pasa-a-fase-4-y-presidente-anuncia-cierre-de-fronteras/
https://www.minrel.gob.cl/sala-de-prensa/apertura-de-los-pasos-fronterizos
Earlier recorded access
Source 1: full text
Source 2: search extract
Source 3: indexed extract</x:v>
      </x:c>
      <x:c r="P19" s="20" t="n">
        <x:v>2</x:v>
      </x:c>
      <x:c r="Q19" s="4" t="str">
        <x:v>Americas</x:v>
      </x:c>
      <x:c r="R19" s="4" t="str">
        <x:v>Included</x:v>
      </x:c>
    </x:row>
    <x:row r="20" ht="409" hidden="0" customHeight="1">
      <x:c r="A20" s="16" t="str">
        <x:v>AM025</x:v>
      </x:c>
      <x:c r="B20" s="4" t="str">
        <x:v>Costa Rica COVID nonresident land entry restrictions</x:v>
      </x:c>
      <x:c r="C20" s="4" t="str">
        <x:v>Costa Rica; Nicaragua; Panama</x:v>
      </x:c>
      <x:c r="D20" s="4" t="str">
        <x:v>Costa Rican land entries</x:v>
      </x:c>
      <x:c r="E20" s="4" t="str">
        <x:v>Ordinary foreign passenger entry by land into Costa Rica.
Direction: Inbound into Costa Rica.
Exceptions: Citizens, residents and specified diplomatic, religious and special residence categories initially admitted with quarantine; freight and foreign freight drivers excepted. The 5 April 2021 opening initially covered visa-exempt tourists with health requirements; visa-required tourists and controlled migrant transit had separate restrictions.</x:v>
      </x:c>
      <x:c r="F20" s="4" t="str">
        <x:v>AM025-R1 — Observed operation
Ordinary visa-exempt foreign tourist land entry into Costa Rica at Peñas Blancas and Paso Canoas
Start: 2020-03-18.
Observed scoped reopening: 2021-04-05.
383 calendar-day difference; scoped endpoint only</x:v>
      </x:c>
      <x:c r="G2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0" s="4" t="str">
        <x:v>AM025-R1: Dates are calendar bounds, with onset 18 March 23:59. Arrival counts include residents and do not identify every tourist individually. Freight, residents and controlled migration transit have separate rules.</x:v>
      </x:c>
      <x:c r="I20" s="4" t="str">
        <x:v>Second full-register audit, 26 October 2026: qualified. The visa-exempt tourist cohort and two named crossing endpoints remain appropriately narrowed. Arrival figures show operation but include residents, so they cannot be read as a pure tourist count.</x:v>
      </x:c>
      <x:c r="J20" s="18" t="d">
        <x:v>2026-10-26T00:00:00.000Z</x:v>
      </x:c>
      <x:c r="K20" s="21" t="str">
        <x:f>IFERROR(HYPERLINK("https://presidencia.gobiernocarlosalvarado.cr/comunicados/2020/03/cinco-cuerpos-policiales-aumentan-vigilancia-en-puestos-y-puntos-ciegos-en-frontera-con-nicaragua/","Costa Rica Presidency"),"Costa Rica Presidency")</x:f>
        <x:v>Costa Rica Presidency</x:v>
      </x:c>
      <x:c r="L20" s="21" t="str">
        <x:f>IFERROR(HYPERLINK("https://presidencia.gobiernocarlosalvarado.cr/comunicados/2021/04/este-5-de-abril-empieza-la-primera-fase-de-la-apertura-de-las-fronteras-terrestres/","Costa Rica Presidency"),"Costa Rica Presidency")</x:f>
        <x:v>Costa Rica Presidency</x:v>
      </x:c>
      <x:c r="M20" s="21" t="str">
        <x:f>IFERROR(HYPERLINK("https://observador.cr/en-primeros-2-dias-de-reapertura-de-fronteras-terrestres-el-pais-recibio-1-536-personas/","El Observador"),"El Observador")</x:f>
        <x:v>El Observador</x:v>
      </x:c>
      <x:c r="N20" s="4" t="str">
        <x:v>https://presidencia.gobiernocarlosalvarado.cr/comunicados/2020/03/cinco-cuerpos-policiales-aumentan-vigilancia-en-puestos-y-puntos-ciegos-en-frontera-con-nicaragua/
https://presidencia.gobiernocarlosalvarado.cr/comunicados/2021/04/este-5-de-abril-empieza-la-primera-fase-de-la-apertura-de-las-fronteras-terrestres/
https://observador.cr/en-primeros-2-dias-de-reapertura-de-fronteras-terrestres-el-pais-recibio-1-536-personas/
https://presidencia.gobiernocarlosalvarado.cr/comunicados/2020/11/habilitado-ingreso-de-extranjeros-residentes-por-fronteras-terrestres/
https://www.rree.go.cr/?cat=prensa&amp;cont=593&amp;id=5425&amp;sec=servicios</x:v>
      </x:c>
      <x:c r="O20" s="4" t="str">
        <x:v>Second full-register audit source access, 26 October 2026
https://presidencia.gobiernocarlosalvarado.cr/comunicados/2020/03/cinco-cuerpos-policiales-aumentan-vigilancia-en-puestos-y-puntos-ciegos-en-frontera-con-nicaragua/: full text (previously retrieved text re-examined)
https://presidencia.gobiernocarlosalvarado.cr/comunicados/2021/04/este-5-de-abril-empieza-la-primera-fase-de-la-apertura-de-las-fronteras-terrestres/: full text (fresh retrieval)
https://observador.cr/en-primeros-2-dias-de-reapertura-de-fronteras-terrestres-el-pais-recibio-1-536-personas/: search extract (previously retrieved text re-examined) — Direct request 403; indexed article inspected. Counts include residents and other exempt travellers.
Earlier URLs not separately inspected in this second assessment:
https://presidencia.gobiernocarlosalvarado.cr/comunicados/2020/11/habilitado-ingreso-de-extranjeros-residentes-por-fronteras-terrestres/
https://www.rree.go.cr/?cat=prensa&amp;cont=593&amp;id=5425&amp;sec=servicios
Prior audit access record
Full-register audit source access (evidence cutoff 25 October 2026)
https://presidencia.gobiernocarlosalvarado.cr/comunicados/2020/03/cinco-cuerpos-policiales-aumentan-vigilancia-en-puestos-y-puntos-ciegos-en-frontera-con-nicaragua/: full text
https://presidencia.gobiernocarlosalvarado.cr/comunicados/2021/04/este-5-de-abril-empieza-la-primera-fase-de-la-apertura-de-las-fronteras-terrestres/: full text
https://observador.cr/en-primeros-2-dias-de-reapertura-de-fronteras-terrestres-el-pais-recibio-1-536-personas/: search extract — Direct request 403; indexed article inspected. Counts include residents and other exempt travellers.
Earlier source URLs not separately listed in this audit’s retrieval log (historical access notes below are not fresh verification):
https://presidencia.gobiernocarlosalvarado.cr/comunicados/2020/11/habilitado-ingreso-de-extranjeros-residentes-por-fronteras-terrestres/
https://www.rree.go.cr/?cat=prensa&amp;cont=593&amp;id=5425&amp;sec=servicios
Earlier recorded access
Source 1: full
Source 2: indexed excerpt
Source 3: full</x:v>
      </x:c>
      <x:c r="P20" s="20" t="n">
        <x:v>1</x:v>
      </x:c>
      <x:c r="Q20" s="4" t="str">
        <x:v>Americas</x:v>
      </x:c>
      <x:c r="R20" s="4" t="str">
        <x:v>Included</x:v>
      </x:c>
    </x:row>
    <x:row r="21" ht="409" hidden="0" customHeight="1">
      <x:c r="A21" s="16" t="str">
        <x:v>AM019</x:v>
      </x:c>
      <x:c r="B21" s="4" t="str">
        <x:v>Brazil COVID foreign-entry restrictions on eight land frontiers</x:v>
      </x:c>
      <x:c r="C21" s="4" t="str">
        <x:v>Brazil; Argentina; Bolivia; Colombia; French Guiana (France); Guyana; Paraguay; Peru; Suriname</x:v>
      </x:c>
      <x:c r="D21" s="4" t="str">
        <x:v>Land entries covered by Portaria 125; excludes separate Uruguay/Venezuela orders</x:v>
      </x:c>
      <x:c r="E21" s="4" t="str">
        <x:v>Foreign nationals entering Brazil by road or other land transport from Argentina, Bolivia, Colombia, French Guiana, Guyana, Paraguay, Peru and Suriname.
Direction: Into Brazil; this record does not establish a corresponding exit prohibition or reciprocal neighbouring-country restrictions.
Exceptions: Portaria 125 excluded Brazilian citizens, immigrants with prior permanent residence authorization, identified personnel serving international organizations and accredited foreign officials. It preserved road freight, locally authorized cross-border humanitarian actions, and traffic by residents of twin cities with an exclusively land boundary. Separate Uruguay/Venezuela measures are excluded from this row. Later conditional entry and country/category exceptions varied.</x:v>
      </x:c>
      <x:c r="F21" s="4" t="str">
        <x:v>AM019-FU1 — Formal policy
Brazil land entry from Argentina, Bolivia, Colombia, French Guiana, Guyana, Paraguay, Peru and Suriname
Start: 2020-03-19.
Last confirmed: 2020-03-19. Reopening is not established.
Formal policy: dated evidence; numeric duration withheld; see qualification
Later legal endpoint bound: by 2021-12-09 Portaria 661 permitted international land admission subject to vaccination or testing conditions and exemptions. This supersedes the 2023 display bound for the original broad prohibition. The first relaxation at each frontier remains unknown.</x:v>
      </x:c>
      <x:c r="G2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1" s="4" t="str">
        <x:v>The original eight-frontier order began on 19 March 2020. Portaria 661 Article 8 provided for health-conditioned land entry from its publication on 9 December 2021; the delayed provisions in Article 22 concerned air travel. The broad prohibition had therefore ended by that date. Subsequent vaccination requirements and earlier frontier-specific relaxations remain distinct. No uninterrupted physical closure or uniform port reopening is inferred.</x:v>
      </x:c>
      <x:c r="I21" s="4" t="str">
        <x:v>Second full-register audit, 26 October 2026: additional source-audited corrections incorporated. See the phase, scope and qualification columns for the accepted findings.</x:v>
      </x:c>
      <x:c r="J21" s="18" t="d">
        <x:v>2026-10-26T00:00:00.000Z</x:v>
      </x:c>
      <x:c r="K21" s="21" t="str">
        <x:f>IFERROR(HYPERLINK("https://bibliotecadigital.mj.gov.br/bitstream/1/1046/2/PRT_GM_2020_125.html","Brazil Ministry of Justice digital library"),"Brazil Ministry of Justice digital library")</x:f>
        <x:v>Brazil Ministry of Justice digital library</x:v>
      </x:c>
      <x:c r="L21" s="21" t="str">
        <x:f>IFERROR(HYPERLINK("https://www1.folha.uol.com.br/mundo/2020/10/bolsonaro-anuncia-reabertura-de-fronteiras-terrestres-entre-brasil-e-paraguai.shtml","Folha de S.Paulo"),"Folha de S.Paulo")</x:f>
        <x:v>Folha de S.Paulo</x:v>
      </x:c>
      <x:c r="M21" s="21" t="str">
        <x:f>IFERROR(HYPERLINK("https://planalto.gov.br/ccivil_03/portaria/prt/portaria-658-21-ccv.htm","Brazil Presidency"),"Brazil Presidency")</x:f>
        <x:v>Brazil Presidency</x:v>
      </x:c>
      <x:c r="N21" s="4" t="str">
        <x:v>https://bibliotecadigital.mj.gov.br/bitstream/1/1046/2/PRT_GM_2020_125.html
https://www1.folha.uol.com.br/mundo/2020/10/bolsonaro-anuncia-reabertura-de-fronteiras-terrestres-entre-brasil-e-paraguai.shtml
https://planalto.gov.br/ccivil_03/portaria/prt/portaria-658-21-ccv.htm
https://bibliotecadigital.mj.gov.br/handle/1/6733?locale=pt_BR
https://planalto.gov.br/ccivil_03/portaria/prt/portaria-661-21-ccv.htm
https://portal.antt.gov.br/documents/363688/0/PORTARIA_INTERMINISTERIAL_N__661__DE_8_DE_dezembro_DE_2021___PORTARIA_INTERMINISTERIAL_N__661__DE_8_DE_dezembro_DE_2021___DOU___Imprensa_Nacional%2B%281%29.pdf/bee5bd2c-1d2c-d205-ee8e-2956e20d93f2?t=1640033290723
https://dspace.mj.gov.br/bitstream/1/1046/1/PRT_GM_2020_125.pdf</x:v>
      </x:c>
      <x:c r="O21" s="4" t="str">
        <x:v>Second full-register audit source access, 26 October 2026
https://bibliotecadigital.mj.gov.br/bitstream/1/1046/2/PRT_GM_2020_125.html: full text (fresh retrieval)
https://planalto.gov.br/ccivil_03/portaria/prt/portaria-661-21-ccv.htm: full text (fresh retrieval)
https://portal.antt.gov.br/documents/363688/0/PORTARIA_INTERMINISTERIAL_N__661__DE_8_DE_dezembro_DE_2021___PORTARIA_INTERMINISTERIAL_N__661__DE_8_DE_dezembro_DE_2021___DOU___Imprensa_Nacional%2B%281%29.pdf/bee5bd2c-1d2c-d205-ee8e-2956e20d93f2?t=1640033290723: full text (previously retrieved text re-examined)
Earlier URLs not separately inspected in this second assessment:
https://www1.folha.uol.com.br/mundo/2020/10/bolsonaro-anuncia-reabertura-de-fronteiras-terrestres-entre-brasil-e-paraguai.shtml
https://planalto.gov.br/ccivil_03/portaria/prt/portaria-658-21-ccv.htm
https://bibliotecadigital.mj.gov.br/handle/1/6733?locale=pt_BR
https://dspace.mj.gov.br/bitstream/1/1046/1/PRT_GM_2020_125.pdf
Prior audit access record
Full-register audit source access (evidence cutoff 25 October 2026)
https://bibliotecadigital.mj.gov.br/bitstream/1/1046/2/PRT_GM_2020_125.html: full text
https://planalto.gov.br/ccivil_03/portaria/prt/portaria-661-21-ccv.htm: full text
https://portal.antt.gov.br/documents/363688/0/PORTARIA_INTERMINISTERIAL_N__661__DE_8_DE_dezembro_DE_2021___PORTARIA_INTERMINISTERIAL_N__661__DE_8_DE_dezembro_DE_2021___DOU___Imprensa_Nacional%2B%281%29.pdf/bee5bd2c-1d2c-d205-ee8e-2956e20d93f2?t=1640033290723: full text
Earlier source URLs not separately listed in this audit’s retrieval log (historical access notes below are not fresh verification):
https://www1.folha.uol.com.br/mundo/2020/10/bolsonaro-anuncia-reabertura-de-fronteiras-terrestres-entre-brasil-e-paraguai.shtml
https://planalto.gov.br/ccivil_03/portaria/prt/portaria-658-21-ccv.htm
https://bibliotecadigital.mj.gov.br/handle/1/6733?locale=pt_BR
https://dspace.mj.gov.br/bitstream/1/1046/1/PRT_GM_2020_125.pdf
Earlier recorded access
Source 1: full page
Source 2: indexed excerpt
Source 3: indexed excerpt; full</x:v>
      </x:c>
      <x:c r="P21" s="20" t="n">
        <x:v>1</x:v>
      </x:c>
      <x:c r="Q21" s="4" t="str">
        <x:v>Americas</x:v>
      </x:c>
      <x:c r="R21" s="4" t="str">
        <x:v>Included</x:v>
      </x:c>
    </x:row>
    <x:row r="22" ht="409" hidden="0" customHeight="1">
      <x:c r="A22" s="16" t="str">
        <x:v>AM036</x:v>
      </x:c>
      <x:c r="B22" s="4" t="str">
        <x:v>French Guiana Brazil COVID frontier closure</x:v>
      </x:c>
      <x:c r="C22" s="4" t="str">
        <x:v>French Guiana (France); Brazil</x:v>
      </x:c>
      <x:c r="D22" s="4" t="str">
        <x:v>Oyapock frontier and Saint-Georges–Oiapoque bridge</x:v>
      </x:c>
      <x:c r="E22" s="4" t="str">
        <x:v>French-side ordinary passenger admission from Brazil at the Saint-Georges–Oiapoque road bridge, for the measured June 2020–December 2021 phase.
Direction: Brazil to French Guiana (France), explicitly confirmed by the prefecture on 24 July 2020; daily operational direction throughout the interval is not independently established.
Exceptions: Freight, exceptional permissions and informal river passage are outside the measured ordinary-passenger phase. Earlier March notices listed French citizens, foreigners resident in Guyane, EU nationals transiting to continental Europe and qualifying documented cross-border workers, with health requirements; those earlier categories are not asserted unchanged throughout the later phase. Brazilian-side admission rules were separate.</x:v>
      </x:c>
      <x:c r="F22" s="4" t="str">
        <x:v>AM036-R2P1 — Formal policy
Earlier French-side restriction on ordinary nonexempt passenger admission from Brazil, with French citizens, Guyane residents, EU transit and qualifying cross-border worker exceptions; freight preserved
Start: 2020-03-19 according to the contemporaneous prefecture circulation notice. A later Senate hearing instead recalls 2020-03-18.
Confirmed in the March notice; exact first operational enforcement hour and the subsequent transition between exemption rules are not established.
This earlier policy episode exceeds 24 hours; no exact continuous duration is calculated. It is not the later broadened bridge restriction starting in June.
AM036-REV1 — Formal policy
French-side ordinary passenger passage authorization at Oyapock binational road bridge
Start: 2020-06-25 to 2020-06-30.
Policy endpoint: 2021-12-18.
Formal policy: 536–541 calendar-day difference; operational continuity not established</x:v>
      </x:c>
      <x:c r="G2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2" s="4" t="str">
        <x:v>AM036-R2P1: The recovered prefecture notice explicitly dates the earlier restriction to 19 March and lists permitted inbound cohorts and continuing freight. That specific contemporaneous circulation notice is used for the policy start; the prefect’s later Senate testimony recalling 18 March is retained as a one-day source discrepancy. French authorities imposed no departure restriction toward Brazil in that notice; Brazilian admission rules were separate. The page’s 4 June update is not treated as the original announcement or proof that every exemption remained unchanged until June.
AM036-REV1: The June phase concerns a later broadened bridge restriction; it is not the first French-side passenger restriction. The March admission categories are not assumed unchanged throughout it. Shared outlet is not independent corroboration. Informal river crossings continued; freight, exceptional permissions and Brazilian-side rules are not included.</x:v>
      </x:c>
      <x:c r="I22" s="4" t="str">
        <x:v>Second full-register audit, 26 October 2026: additional source-audited corrections incorporated. See the phase, scope and qualification columns for the accepted findings.</x:v>
      </x:c>
      <x:c r="J22" s="18" t="d">
        <x:v>2026-10-26T00:00:00.000Z</x:v>
      </x:c>
      <x:c r="K22" s="21" t="str">
        <x:f>IFERROR(HYPERLINK("https://www.franceguyane.fr/actualite/economie-consommation/3-choses-a-savoir-sur-la-reouverture-de-la-frontiere-avec-le-bresil-1488.php","France-Guyane"),"France-Guyane")</x:f>
        <x:v>France-Guyane</x:v>
      </x:c>
      <x:c r="L22" s="21" t="str">
        <x:f>IFERROR(HYPERLINK("https://www.franceguyane.fr/actualite/societe-social-emploi/en-images-pont-de-loyapock-un-retour-a-la-normale-ou-presque-594149.php","France-Guyane"),"France-Guyane")</x:f>
        <x:v>France-Guyane</x:v>
      </x:c>
      <x:c r="M22" s="21" t="str">
        <x:f>IFERROR(HYPERLINK("https://www.insee.fr/fr/statistiques/6458365?sommaire=6324691","INSEE"),"INSEE")</x:f>
        <x:v>INSEE</x:v>
      </x:c>
      <x:c r="N22" s="4" t="str">
        <x:v>https://www.franceguyane.fr/actualite/economie-consommation/3-choses-a-savoir-sur-la-reouverture-de-la-frontiere-avec-le-bresil-1488.php
https://www.franceguyane.fr/actualite/societe-social-emploi/en-images-pont-de-loyapock-un-retour-a-la-normale-ou-presque-594149.php
https://www.insee.fr/fr/statistiques/6458365?sommaire=6324691
https://www.guyane.gouv.fr/Actualites/Salle-de-presse/2020/Mars-2020/Fermeture-frontiere-France-Bresil-Conditions-de-circulation-des-personnes-et-des-marchandises
https://www.senat.fr/rap/r20-199-2/r20-199-21.html
https://www.senat.fr/compte-rendu-commissions/20200720/ce_covid.html
https://questions.assemblee-nationale.fr/q15/15-30225QE.htm
https://www.guyane.gouv.fr/index.php/Actualites/Salle-de-presse/2020/Juillet-2020/Plan-d-adaptation-progressive-des-mesures-de-freinage
https://www.tahiti-infos.com/Confinement-cible-fermeture-des-bars-et-restaurants-couvre-feu-durci-la-Guyane-renforce-les-restrictions_a192145.html</x:v>
      </x:c>
      <x:c r="O22" s="4" t="str">
        <x:v>Second full-register audit source access, 26 October 2026
https://www.franceguyane.fr/actualite/economie-consommation/3-choses-a-savoir-sur-la-reouverture-de-la-frontiere-avec-le-bresil-1488.php: search extract (previously retrieved text re-examined) — Introductory body only; remainder paywalled.
https://www.franceguyane.fr/actualite/societe-social-emploi/en-images-pont-de-loyapock-un-retour-a-la-normale-ou-presque-594149.php: search extract (previously retrieved text re-examined) — Introductory body only; same publisher as other account.
https://www.insee.fr/fr/statistiques/6458365?sommaire=6324691: full text (fresh retrieval) — No independent proof of every crossing's continuous operation.
https://www.guyane.gouv.fr/index.php/Actualites/Salle-de-presse/2020/Juillet-2020/Plan-d-adaptation-progressive-des-mesures-de-freinage: full text (previously retrieved text re-examined) — Supports direction at that observation, not every day.
https://www.guyane.gouv.fr/Actualites/Salle-de-presse/2020/Mars-2020/Fermeture-frontiere-France-Bresil-Conditions-de-circulation-des-personnes-et-des-marchandises: search extract (fresh retrieval) — Direct page failed with 502. Page updated 4 June 2020; attachment name indicates 25 March notice, not independently fetched.
https://www.senat.fr/compte-rendu-commissions/20200720/ce_covid.html: full text (fresh retrieval)
Earlier URLs not separately inspected in this second assessment:
https://www.senat.fr/rap/r20-199-2/r20-199-21.html
https://questions.assemblee-nationale.fr/q15/15-30225QE.htm
https://www.tahiti-infos.com/Confinement-cible-fermeture-des-bars-et-restaurants-couvre-feu-durci-la-Guyane-renforce-les-restrictions_a192145.html
Prior audit access record
Full-register audit source access (evidence cutoff 25 October 2026)
https://www.franceguyane.fr/actualite/economie-consommation/3-choses-a-savoir-sur-la-reouverture-de-la-frontiere-avec-le-bresil-1488.php: search extract — Introductory body only; remainder paywalled.
https://www.franceguyane.fr/actualite/societe-social-emploi/en-images-pont-de-loyapock-un-retour-a-la-normale-ou-presque-594149.php: search extract — Introductory body only; same publisher as other account.
https://www.insee.fr/fr/statistiques/6458365?sommaire=6324691: full text — No independent proof of every crossing's continuous operation.
https://www.guyane.gouv.fr/index.php/Actualites/Salle-de-presse/2020/Juillet-2020/Plan-d-adaptation-progressive-des-mesures-de-freinage: full text — Supports direction at that observation, not every day.
https://www.guyane.gouv.fr/Actualites/Salle-de-presse/2020/Mars-2020/Fermeture-frontiere-France-Bresil-Conditions-de-circulation-des-personnes-et-des-marchandises: inaccessible — 502 response.
Earlier source URLs not separately listed in this audit’s retrieval log (historical access notes below are not fresh verification):
https://www.senat.fr/rap/r20-199-2/r20-199-21.html
https://www.senat.fr/compte-rendu-commissions/20200720/ce_covid.html
https://questions.assemblee-nationale.fr/q15/15-30225QE.htm
https://www.tahiti-infos.com/Confinement-cible-fermeture-des-bars-et-restaurants-couvre-feu-durci-la-Guyane-renforce-les-restrictions_a192145.html
Earlier recorded access
Source 1: indexed excerpt
Source 2: indexed excerpt
Source 3: indexed excerpt</x:v>
      </x:c>
      <x:c r="P22" s="20" t="n">
        <x:v>2</x:v>
      </x:c>
      <x:c r="Q22" s="4" t="str">
        <x:v>Americas</x:v>
      </x:c>
      <x:c r="R22" s="4" t="str">
        <x:v>Included</x:v>
      </x:c>
    </x:row>
    <x:row r="23" ht="409" hidden="0" customHeight="1">
      <x:c r="A23" s="16" t="str">
        <x:v>AM024</x:v>
      </x:c>
      <x:c r="B23" s="4" t="str">
        <x:v>Bolivia COVID foreign-entry land restrictions</x:v>
      </x:c>
      <x:c r="C23" s="4" t="str">
        <x:v>Bolivia; Brazil; Paraguay; Argentina; Chile; Peru</x:v>
      </x:c>
      <x:c r="D23" s="4" t="str">
        <x:v>Bolivian land/river border entries</x:v>
      </x:c>
      <x:c r="E23" s="4" t="str">
        <x:v>Foreign entry into Bolivia under the initial 20–31 March 2020 order.
Direction: Into Bolivia; the separate international passenger-transport suspension beginning 21 March is not treated as the same measure.
Exceptions: Returning Bolivian citizens and residents, diplomatic or special missions, international-organization personnel and international freight drivers were initially excepted, subject to health procedures. A September decree retained general land, river and lake restrictions while providing additional exceptions and conditional movement in designated border municipalities.</x:v>
      </x:c>
      <x:c r="F23" s="4" t="str">
        <x:v>AM024-REV1 — Announced window
Bolivia initial ordered prohibition on foreign entry at land borders, with statutory exemptions
Start: 2020-03-20.
Scheduled endpoint: 2020-03-31.
Ordered window: 11 calendar-day difference; actual end not established
Later national policy bound: by 2020-12-01, Decree 4404 allowed foreign land entry subject to health requirements. This does not establish every crossing's operation, the first easing or continuous closure from March.</x:v>
      </x:c>
      <x:c r="G2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3" s="4" t="str">
        <x:v>AM024-REV1: Initial schedule starts at 00:00 on 20 March 2020 and runs until 31 March, with no endpoint hour specified. Nationals and residents, diplomatic and special missions, and international freight drivers are exempt. Scheduled expiry is not an observed reopening.
Later policy bound: By 1 December 2020, Decree 4404 Article 17 provided for national and foreign entry by land under health protocols and PCR requirements. This bounds the original blanket foreign-entry policy; it does not establish an uninterrupted March–December closure, the earliest relaxation, actual operation at every crossing or permission by neighbouring countries.
Intermediate legal context: Decree 4314, effective from 1 September 2020, retained general land, river and lake border restrictions with exceptions. Article 16 allowed national and foreign movement and commerce in border municipalities subject to coordination with neighbouring countries and ministerial designation. This conditional provision does not establish which gates actually reopened or the first broad foreign-entry relaxation.</x:v>
      </x:c>
      <x:c r="I23" s="4" t="str">
        <x:v>Second full-register audit, 26 October 2026: additional source-audited corrections incorporated. See the phase, scope and qualification columns for the accepted findings.</x:v>
      </x:c>
      <x:c r="J23" s="18" t="d">
        <x:v>2026-10-26T00:00:00.000Z</x:v>
      </x:c>
      <x:c r="K23" s="21" t="str">
        <x:f>IFERROR(HYPERLINK("https://www.dgac.gob.bo/wp-content/covid19/leyesdecretos/DS_4196_DECLARA_EGA_SANITARIA_NACIONAL.pdf","Bolivian government, Decree 4196"),"Bolivian government, Decree 4196")</x:f>
        <x:v>Bolivian government, Decree 4196</x:v>
      </x:c>
      <x:c r="L23" s="21" t="str">
        <x:f>IFERROR(HYPERLINK("https://www.jornada.com.mx/noticia/2020/11/30/mundo/bolivia-abre-fronteras-y-levanta-restricciones-ante-caida-de-contagios-5961","La Jornada / AP"),"La Jornada / AP")</x:f>
        <x:v>La Jornada / AP</x:v>
      </x:c>
      <x:c r="M23" s="21" t="str">
        <x:f>IFERROR(HYPERLINK("https://elandaluz.com.bo/2020/12/09/desde-argentina-confirman-que-no-hay-fecha-para-la-apertura-de-frontera/","El Andaluz"),"El Andaluz")</x:f>
        <x:v>El Andaluz</x:v>
      </x:c>
      <x:c r="N23" s="4" t="str">
        <x:v>https://www.dgac.gob.bo/wp-content/covid19/leyesdecretos/DS_4196_DECLARA_EGA_SANITARIA_NACIONAL.pdf
https://www.jornada.com.mx/noticia/2020/11/30/mundo/bolivia-abre-fronteras-y-levanta-restricciones-ante-caida-de-contagios-5961
https://elandaluz.com.bo/2020/12/09/desde-argentina-confirman-que-no-hay-fecha-para-la-apertura-de-frontera/
https://cancilleria.gob.bo/mre/2020/12/22/7073/
https://www.senarecom.gob.bo/files/leyes/Marco_Normativo_Minero_SENARECOM_2020.pdf
https://bolivia.infoleyes.com/norma/7266/decreto-supremo-4196
https://www.lexivox.org/norms/BO-DS-N4196.html
https://www.lexivox.org/norms/BO-DS-N4404.html
https://www.lexivox.org/norms/BO-DS-N4314.xhtml</x:v>
      </x:c>
      <x:c r="O23" s="4" t="str">
        <x:v>Second full-register audit source access, 26 October 2026
https://www.lexivox.org/norms/BO-DS-N4196.html: full text (fresh retrieval)
https://www.lexivox.org/norms/BO-DS-N4404.html: full text (fresh retrieval)
https://www.lexivox.org/norms/BO-DS-N4314.xhtml: full text (fresh retrieval)
https://www.lexivox.org/norms/BO-DS-N4404.html: full text (previously retrieved text re-examined)
Earlier URLs not separately inspected in this second assessment:
https://www.dgac.gob.bo/wp-content/covid19/leyesdecretos/DS_4196_DECLARA_EGA_SANITARIA_NACIONAL.pdf
https://www.jornada.com.mx/noticia/2020/11/30/mundo/bolivia-abre-fronteras-y-levanta-restricciones-ante-caida-de-contagios-5961
https://elandaluz.com.bo/2020/12/09/desde-argentina-confirman-que-no-hay-fecha-para-la-apertura-de-frontera/
https://cancilleria.gob.bo/mre/2020/12/22/7073/
https://www.senarecom.gob.bo/files/leyes/Marco_Normativo_Minero_SENARECOM_2020.pdf
https://bolivia.infoleyes.com/norma/7266/decreto-supremo-4196
Prior audit access record
Full-register audit source access (evidence cutoff 25 October 2026)
https://www.lexivox.org/norms/BO-DS-N4196.html: full text
https://www.lexivox.org/norms/BO-DS-N4404.html: full text
https://cancilleria.gob.bo/mre/2020/12/22/7073/: search extract
Earlier source URLs not separately listed in this audit’s retrieval log (historical access notes below are not fresh verification):
https://www.dgac.gob.bo/wp-content/covid19/leyesdecretos/DS_4196_DECLARA_EGA_SANITARIA_NACIONAL.pdf
https://www.jornada.com.mx/noticia/2020/11/30/mundo/bolivia-abre-fronteras-y-levanta-restricciones-ante-caida-de-contagios-5961
https://elandaluz.com.bo/2020/12/09/desde-argentina-confirman-que-no-hay-fecha-para-la-apertura-de-frontera/
https://www.senarecom.gob.bo/files/leyes/Marco_Normativo_Minero_SENARECOM_2020.pdf
https://bolivia.infoleyes.com/norma/7266/decreto-supremo-4196
Earlier recorded access
Source 1: full
Source 2: indexed excerpt
Source 3: indexed excerpt</x:v>
      </x:c>
      <x:c r="P23" s="20" t="n">
        <x:v>1</x:v>
      </x:c>
      <x:c r="Q23" s="4" t="str">
        <x:v>Americas</x:v>
      </x:c>
      <x:c r="R23" s="4" t="str">
        <x:v>Included</x:v>
      </x:c>
    </x:row>
    <x:row r="24" ht="409" hidden="0" customHeight="1">
      <x:c r="A24" s="16" t="str">
        <x:v>AM001</x:v>
      </x:c>
      <x:c r="B24" s="4" t="str">
        <x:v>United States COVID nonessential inbound land restrictions</x:v>
      </x:c>
      <x:c r="C24" s="4" t="str">
        <x:v>United States; Canada; Mexico</x:v>
      </x:c>
      <x:c r="D24" s="4" t="str">
        <x:v>US side of Canadian and Mexican land borders</x:v>
      </x:c>
      <x:c r="E24" s="4" t="str">
        <x:v>Ordinary nonessential entry to the United States by foreign nationals at land and ferry ports from Canada and Mexico.
Direction: Inbound to the United States.
Exceptions: US citizens and lawful permanent residents returning, essential work and trade, and authorized humanitarian or national-interest cases. The 8 November 2021 relaxation concerned fully vaccinated foreign nonessential entrants.</x:v>
      </x:c>
      <x:c r="F24" s="4" t="str">
        <x:v>AM001-D1 — Observed operation
Ordinary non-essential entry to the United States by foreign nationals; endpoint concerns the vaccinated-traveller reopening.
Start: 2020-03-20 to 2020-03-21.
Observed scoped reopening: 2021-11-08.
597–598 calendar-day difference; scoped endpoint only</x:v>
      </x:c>
      <x:c r="G2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4" s="4" t="str">
        <x:v>AM001-D1: The federal notice took effect on 20 March 2020 at 23:59 EDT; joint implementation summaries use 21 March, so the 20–21 March calendar bounds are retained. The 8 November 2021 endpoint concerns fully vaccinated foreign nonessential entrants, with observed crossings reported that day. Essential travel, returning US citizens and lawful permanent residents, and authorized exceptions were not prohibited by this phase. Exact elapsed hours and every-port operational continuity are not established.</x:v>
      </x:c>
      <x:c r="I24" s="4" t="str">
        <x:v>Second full-register audit, 26 October 2026: qualified. Round 2 confirms the inbound tourist restriction and vaccinated November 2021 endpoint; the retained date bounds and exceptions avoid implying a sealed two-way frontier.</x:v>
      </x:c>
      <x:c r="J24" s="18" t="d">
        <x:v>2026-10-26T00:00:00.000Z</x:v>
      </x:c>
      <x:c r="K24" s="21" t="str">
        <x:f>IFERROR(HYPERLINK("https://mx.usembassy.gov/travel-restrictions-fact-sheet/","US Embassy Mexico"),"US Embassy Mexico")</x:f>
        <x:v>US Embassy Mexico</x:v>
      </x:c>
      <x:c r="L24" s="21" t="str">
        <x:f>IFERROR(HYPERLINK("https://mx.usembassy.gov/starting-today-fully-vaccinated-travelers-permitted-to-enter-u-s-via-land-and-ferry-border-crossings/","US Embassy Mexico"),"US Embassy Mexico")</x:f>
        <x:v>US Embassy Mexico</x:v>
      </x:c>
      <x:c r="M24" s="21" t="str">
        <x:f>IFERROR(HYPERLINK("https://www.investing.com/news/coronavirus/usmexico-border-reopens-after-20-months-of-covid-disruption-2671362","Investing.com"),"Investing.com")</x:f>
        <x:v>Investing.com</x:v>
      </x:c>
      <x:c r="N24" s="4" t="str">
        <x:v>https://mx.usembassy.gov/travel-restrictions-fact-sheet/
https://mx.usembassy.gov/starting-today-fully-vaccinated-travelers-permitted-to-enter-u-s-via-land-and-ferry-border-crossings/
https://www.investing.com/news/coronavirus/usmexico-border-reopens-after-20-months-of-covid-disruption-2671362
https://regulations.justia.com/regulations/fedreg/2020/03/24/2020-06253.html
https://www.everycrsreport.com/reports/LSB10659.html
https://www.canada.ca/en/public-safety-canada/news/2020/03/us-canada-joint-initiative-temporary-restriction-of-travelers-crossing-the-us-canada-border-for-non-essential-purposes.html</x:v>
      </x:c>
      <x:c r="O24" s="4" t="str">
        <x:v>Second full-register audit source access, 26 October 2026
https://regulations.justia.com/regulations/fedreg/2020/03/24/2020-06253.html: full text (fresh retrieval)
https://www.everycrsreport.com/reports/LSB10659.html: full text (previously retrieved text re-examined) — Cached inspected passages establish the policy chronology; full document publication/version date was not recovered in this excerpt.
https://www.investing.com/news/coronavirus/usmexico-border-reopens-after-20-months-of-covid-disruption-2671362: full text (previously retrieved text re-examined)
https://www.canada.ca/en/public-safety-canada/news/2020/03/us-canada-joint-initiative-temporary-restriction-of-travelers-crossing-the-us-canada-border-for-non-essential-purposes.html: full text (previously retrieved text re-examined)
Earlier URLs not separately inspected in this second assessment:
https://mx.usembassy.gov/travel-restrictions-fact-sheet/
https://mx.usembassy.gov/starting-today-fully-vaccinated-travelers-permitted-to-enter-u-s-via-land-and-ferry-border-crossings/
Prior audit access record
Full-register audit source access (evidence cutoff 25 October 2026)
https://regulations.justia.com/regulations/fedreg/2020/03/24/2020-06253.html: full text
https://www.everycrsreport.com/reports/LSB10659.html: full text
https://www.investing.com/news/coronavirus/usmexico-border-reopens-after-20-months-of-covid-disruption-2671362: full text
https://www.canada.ca/en/public-safety-canada/news/2020/03/us-canada-joint-initiative-temporary-restriction-of-travelers-crossing-the-us-canada-border-for-non-essential-purposes.html: full text
Earlier source URLs not separately listed in this audit’s retrieval log (historical access notes below are not fresh verification):
https://mx.usembassy.gov/travel-restrictions-fact-sheet/
https://mx.usembassy.gov/starting-today-fully-vaccinated-travelers-permitted-to-enter-u-s-via-land-and-ferry-border-crossings/
Earlier recorded access
Source 1: search extract
Source 2: search extract
Source 3: search extract</x:v>
      </x:c>
      <x:c r="P24" s="20" t="n">
        <x:v>1</x:v>
      </x:c>
      <x:c r="Q24" s="4" t="str">
        <x:v>Americas</x:v>
      </x:c>
      <x:c r="R24" s="4" t="str">
        <x:v>Included</x:v>
      </x:c>
    </x:row>
    <x:row r="25" ht="409" hidden="0" customHeight="1">
      <x:c r="A25" s="16" t="str">
        <x:v>AM002</x:v>
      </x:c>
      <x:c r="B25" s="4" t="str">
        <x:v>Canada COVID restrictions on ordinary tourist entry from United States</x:v>
      </x:c>
      <x:c r="C25" s="4" t="str">
        <x:v>Canada; United States</x:v>
      </x:c>
      <x:c r="D25" s="4" t="str">
        <x:v>Canadian side of land frontier</x:v>
      </x:c>
      <x:c r="E25" s="4" t="str">
        <x:v>Ordinary foreign tourist, recreational and entertainment visitors entering Canada from the United States who did not qualify under a separate family, compassionate, national-interest or other exemption.
Direction: Inbound to Canada from the United States.
Exceptions: Canadian citizens, permanent residents, protected persons and registered Indigenous persons retained entry rights. Essential work, trade and study continued. Qualifying immediate/extended family, compassionate, national-interest and authorized sporting entrants were exempt under evolving conditions, including some discretionary journeys.</x:v>
      </x:c>
      <x:c r="F25" s="4" t="str">
        <x:v>AM002-D1 — Observed operation
Canadian side of land frontier; Ordinary foreign tourist, recreational and entertainment visitors entering Canada from the United States who did not qualify under a separate family, compassionate, national-interest or other exemption.; Inbound to Canada from the United States.
Start: 2020-03-21.
Observed scoped reopening: 2021-08-09.
506 calendar-day difference; scoped endpoint only</x:v>
      </x:c>
      <x:c r="G2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5" s="4" t="str">
        <x:v>AM002-D1: The interval applies only to ordinary tourist/recreational foreign visitors without another exemption. August 9, 2021 was the first broad tourist relaxation for fully vaccinated US citizens/permanent residents residing in and travelling from the United States; it did not remove all restrictions. Separate family and other discretionary exemptions existed earlier. March 18 was the announcement, while March 21 was the effective land-border start. July 5 quarantine relief was not an ordinary-tourist reopening. Statistical coverage is incomplete and does not identify every entrant as a tourist. Canadian citizens, permanent residents, protected persons and registered Indigenous persons retained entry rights. Essential work, trade and study continued. Qualifying immediate/extended family, compassionate, national-interest and authorized sporting entrants were exempt under evolving conditions, including some discretionary journeys.</x:v>
      </x:c>
      <x:c r="I25" s="4" t="str">
        <x:v>Second full-register audit, 26 October 2026: qualified. The current ordinary-tourist cohort is appropriately narrower than all discretionary travel. Fresh official text confirms rights-holder and family exceptions, the August 9 conditions and observed increased land entry.</x:v>
      </x:c>
      <x:c r="J25" s="18" t="d">
        <x:v>2026-10-26T00:00:00.000Z</x:v>
      </x:c>
      <x:c r="K25" s="21" t="str">
        <x:f>IFERROR(HYPERLINK("https://www.publicsafety.gc.ca/cnt/trnsprnc/brfng-mtrls/prlmntry-bndrs/20211015/10-en.aspx?wbdisable=false","Public Safety Canada / CBSA"),"Public Safety Canada / CBSA")</x:f>
        <x:v>Public Safety Canada / CBSA</x:v>
      </x:c>
      <x:c r="L25" s="21" t="str">
        <x:f>IFERROR(HYPERLINK("https://www.canada.ca/en/immigration-refugees-citizenship/corporate/transparency/transition-binders/minister-2021/covid-measures.html","Immigration, Refugees and Citizenship Canada"),"Immigration, Refugees and Citizenship Canada")</x:f>
        <x:v>Immigration, Refugees and Citizenship Canada</x:v>
      </x:c>
      <x:c r="M25" s="21" t="str">
        <x:f>IFERROR(HYPERLINK("https://www.canada.ca/en/border-services-agency/news/2020/03/statement-from-john-ossowski-president-of-the-canada-border-services-agency0.html","Canada Border Services Agency"),"Canada Border Services Agency")</x:f>
        <x:v>Canada Border Services Agency</x:v>
      </x:c>
      <x:c r="N25" s="4" t="str">
        <x:v>https://www.publicsafety.gc.ca/cnt/trnsprnc/brfng-mtrls/prlmntry-bndrs/20211015/10-en.aspx?wbdisable=false
https://www.canada.ca/en/immigration-refugees-citizenship/corporate/transparency/transition-binders/minister-2021/covid-measures.html
https://www.canada.ca/en/border-services-agency/news/2020/03/statement-from-john-ossowski-president-of-the-canada-border-services-agency0.html
https://www.canada.ca/en/border-services-agency/news/2021/07/reminder--on-july-5th-fully-vaccinated-travellers-eligible-to-enter-canada-can-benefit-from-reduced-public-health-measures.html
https://www.canada.ca/en/border-services-agency/news/2021/08/travel-advisory-reminder--on-august-9th-new-public-health-measures-will-come-into-force-affecting-travel-to-canada.html
https://www150.statcan.gc.ca/n1/daily-quotidien/210910/dq210910e-eng.htm
https://www150.statcan.gc.ca/n1/daily-quotidien/210910/dq210910e-eng.pdf
https://www.canada.ca/en/public-safety-canada/news/2020/03/us-canada-joint-initiative-temporary-restriction-of-travelers-crossing-the-us-canada-border-for-non-essential-purposes.html
https://www.publicsafety.gc.ca/cnt/trnsprnc/brfng-mtrls/prlmntry-bndrs/20211015/10-en.aspx
https://www.canada.ca/en/immigration-refugees-citizenship/corporate/transparency/committees/cow-jun-10-2021/travel-restrictions-exemption.html</x:v>
      </x:c>
      <x:c r="O25" s="4" t="str">
        <x:v>Second full-register audit source access, 26 October 2026
https://www.canada.ca/en/public-safety-canada/news/2020/03/us-canada-joint-initiative-temporary-restriction-of-travelers-crossing-the-us-canada-border-for-non-essential-purposes.html: full text (previously retrieved text re-examined)
https://www.canada.ca/en/border-services-agency/news/2021/08/travel-advisory-reminder--on-august-9th-new-public-health-measures-will-come-into-force-affecting-travel-to-canada.html: full text (fresh retrieval)
https://www.canada.ca/en/immigration-refugees-citizenship/corporate/transparency/transition-binders/minister-2021/covid-measures.html: full text (fresh retrieval)
https://www150.statcan.gc.ca/n1/daily-quotidien/210910/dq210910e-eng.htm: full text (fresh retrieval)
https://www.publicsafety.gc.ca/cnt/trnsprnc/brfng-mtrls/prlmntry-bndrs/20211015/10-en.aspx: search extract (fresh retrieval)
https://www.canada.ca/en/immigration-refugees-citizenship/corporate/transparency/committees/cow-jun-10-2021/travel-restrictions-exemption.html: search extract (fresh retrieval)
Earlier URLs not separately inspected in this second assessment:
https://www.publicsafety.gc.ca/cnt/trnsprnc/brfng-mtrls/prlmntry-bndrs/20211015/10-en.aspx?wbdisable=false
https://www.canada.ca/en/border-services-agency/news/2020/03/statement-from-john-ossowski-president-of-the-canada-border-services-agency0.html
https://www.canada.ca/en/border-services-agency/news/2021/07/reminder--on-july-5th-fully-vaccinated-travellers-eligible-to-enter-canada-can-benefit-from-reduced-public-health-measures.html
https://www150.statcan.gc.ca/n1/daily-quotidien/210910/dq210910e-eng.pdf
Prior audit access record
Full-register audit source access (evidence cutoff 25 October 2026)
https://www.canada.ca/en/public-safety-canada/news/2020/03/us-canada-joint-initiative-temporary-restriction-of-travelers-crossing-the-us-canada-border-for-non-essential-purposes.html: full text
https://www.canada.ca/en/border-services-agency/news/2021/08/travel-advisory-reminder--on-august-9th-new-public-health-measures-will-come-into-force-affecting-travel-to-canada.html: full text
https://www.canada.ca/en/immigration-refugees-citizenship/corporate/transparency/transition-binders/minister-2021/covid-measures.html: full text
https://www150.statcan.gc.ca/n1/daily-quotidien/210910/dq210910e-eng.htm: full text
Earlier source URLs not separately listed in this audit’s retrieval log (historical access notes below are not fresh verification):
https://www.publicsafety.gc.ca/cnt/trnsprnc/brfng-mtrls/prlmntry-bndrs/20211015/10-en.aspx?wbdisable=false
https://www.canada.ca/en/border-services-agency/news/2020/03/statement-from-john-ossowski-president-of-the-canada-border-services-agency0.html
https://www.canada.ca/en/border-services-agency/news/2021/07/reminder--on-july-5th-fully-vaccinated-travellers-eligible-to-enter-canada-can-benefit-from-reduced-public-health-measures.html
https://www150.statcan.gc.ca/n1/daily-quotidien/210910/dq210910e-eng.pdf
Earlier recorded access
Source 1: full text
Source 2: full text
Source 3: full text</x:v>
      </x:c>
      <x:c r="P25" s="20" t="n">
        <x:v>1</x:v>
      </x:c>
      <x:c r="Q25" s="4" t="str">
        <x:v>Americas</x:v>
      </x:c>
      <x:c r="R25" s="4" t="str">
        <x:v>Included</x:v>
      </x:c>
    </x:row>
    <x:row r="26" ht="409" hidden="0" customHeight="1">
      <x:c r="A26" s="16" t="str">
        <x:v>AM037</x:v>
      </x:c>
      <x:c r="B26" s="4" t="str">
        <x:v>Saint-Martin Sint Maarten spring 2020 cross-island restrictions</x:v>
      </x:c>
      <x:c r="C26" s="4" t="str">
        <x:v>Saint-Martin (France); Sint Maarten (Kingdom of Netherlands)</x:v>
      </x:c>
      <x:c r="D26" s="4" t="str">
        <x:v>International land boundary within island</x:v>
      </x:c>
      <x:c r="E26" s="4" t="str">
        <x:v>See geographic scope and exemptions.
Direction: Cross-island movement
Exceptions: Documented cross-border employment and urgent medically justified journeys; general shopping, family visits and leisure crossings prohibited.</x:v>
      </x:c>
      <x:c r="F26" s="4" t="str">
        <x:v>AM037-D1 — Observed operation
French-side ordinary non-essential road passage at Bellevue and Quartier d'Orléans, to removal of controls at those two posts.
Start: 2020-03-30.
Observed scoped reopening: 2020-06-01 to 2020-06-02.
63–64 calendar-day difference; scoped endpoint only</x:v>
      </x:c>
      <x:c r="G2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6" s="4" t="str">
        <x:v>AM037-D1: Dutch controls ended earlier, and some other barriers remained. Medical and authorised work travel were exceptions. This is not an island-wide or bilateral all-road interval.</x:v>
      </x:c>
      <x:c r="I26" s="4" t="str">
        <x:v>Second full-register audit, 26 October 2026: qualified. The March 30 effective restriction and June 1/2 main-post reopening remain sound. Fresh indexed reporting confirms the exact named posts while preserving container barriers and earlier Dutch-side removal.</x:v>
      </x:c>
      <x:c r="J26" s="18" t="d">
        <x:v>2026-10-26T00:00:00.000Z</x:v>
      </x:c>
      <x:c r="K26" s="21" t="str">
        <x:f>IFERROR(HYPERLINK("https://www.faxinfo.fr/libre-circulation-entre-saint-martin-et-sint-maarten-depuis-le-1er-juin-a-minuit/","Faxinfo"),"Faxinfo")</x:f>
        <x:v>Faxinfo</x:v>
      </x:c>
      <x:c r="L26" s="21" t="str">
        <x:f>IFERROR(HYPERLINK("https://stmaartennews.com/french-side-news/french-authorities-confirmed-closing-border-control-posts/","StMaartenNews"),"StMaartenNews")</x:f>
        <x:v>StMaartenNews</x:v>
      </x:c>
      <x:c r="M26" s="21" t="str">
        <x:f>IFERROR(HYPERLINK("https://www.soualigapost.com/fr/actualite/35424/transports/restriction-du-franchissement-de-la-fronti%C3%A8re-et-aussi-des-d%C3%A9placements","SoualigaPost / Estelle Gasnet"),"SoualigaPost / Estelle Gasnet")</x:f>
        <x:v>SoualigaPost / Estelle Gasnet</x:v>
      </x:c>
      <x:c r="N26" s="4" t="str">
        <x:v>https://www.faxinfo.fr/libre-circulation-entre-saint-martin-et-sint-maarten-depuis-le-1er-juin-a-minuit/
https://stmaartennews.com/french-side-news/french-authorities-confirmed-closing-border-control-posts/
https://www.soualigapost.com/fr/actualite/35424/transports/restriction-du-franchissement-de-la-fronti%C3%A8re-et-aussi-des-d%C3%A9placements
https://faxinfo.fr/en/libre-circulation-entre-saint-martin-et-sint-maarten-depuis-le-1er-juin-a-minuit/
https://www.faxinfo.fr/durcissement-des-restrictions-de-deplacements-entre-saint-martin-et-sint-maarten/
https://www.saint-barth-saint-martin.gouv.fr/Publications/RAA/2020</x:v>
      </x:c>
      <x:c r="O26" s="4" t="str">
        <x:v>Second full-register audit source access, 26 October 2026
https://www.soualigapost.com/fr/actualite/35424/transports/restriction-du-franchissement-de-la-fronti%C3%A8re-et-aussi-des-d%C3%A9placements: full text (fresh retrieval)
https://www.faxinfo.fr/libre-circulation-entre-saint-martin-et-sint-maarten-depuis-le-1er-juin-a-minuit/: full text (previously retrieved text re-examined)
https://stmaartennews.com/french-side-news/french-authorities-confirmed-closing-border-control-posts/: search extract (fresh retrieval) — Direct fresh page and cached find returned navigation only; substantive indexed article text recovered and inspected.
Earlier URLs not separately inspected in this second assessment:
https://faxinfo.fr/en/libre-circulation-entre-saint-martin-et-sint-maarten-depuis-le-1er-juin-a-minuit/
https://www.faxinfo.fr/durcissement-des-restrictions-de-deplacements-entre-saint-martin-et-sint-maarten/
https://www.saint-barth-saint-martin.gouv.fr/Publications/RAA/2020
Prior audit access record
Full-register audit source access (evidence cutoff 25 October 2026)
https://www.soualigapost.com/fr/actualite/35424/transports/restriction-du-franchissement-de-la-fronti%C3%A8re-et-aussi-des-d%C3%A9placements: full text
https://www.faxinfo.fr/libre-circulation-entre-saint-martin-et-sint-maarten-depuis-le-1er-juin-a-minuit/: full text
https://stmaartennews.com/french-side-news/french-authorities-confirmed-closing-border-control-posts/: full text
Earlier source URLs not separately listed in this audit’s retrieval log (historical access notes below are not fresh verification):
https://faxinfo.fr/en/libre-circulation-entre-saint-martin-et-sint-maarten-depuis-le-1er-juin-a-minuit/
https://www.faxinfo.fr/durcissement-des-restrictions-de-deplacements-entre-saint-martin-et-sint-maarten/
https://www.saint-barth-saint-martin.gouv.fr/Publications/RAA/2020
Earlier recorded access
Source 1: search extract
Source 2: full page
Source 3: full page</x:v>
      </x:c>
      <x:c r="P26" s="20" t="n">
        <x:v>1</x:v>
      </x:c>
      <x:c r="Q26" s="4" t="str">
        <x:v>Americas</x:v>
      </x:c>
      <x:c r="R26" s="4" t="str">
        <x:v>Included</x:v>
      </x:c>
    </x:row>
    <x:row r="27" ht="409" hidden="0" customHeight="1">
      <x:c r="A27" s="16" t="str">
        <x:v>AM030</x:v>
      </x:c>
      <x:c r="B27" s="4" t="str">
        <x:v>Belize COVID land-entry restrictions with separate tourist and citizen/resident phases</x:v>
      </x:c>
      <x:c r="C27" s="4" t="str">
        <x:v>Belize; Mexico; Guatemala</x:v>
      </x:c>
      <x:c r="D27" s="4" t="str">
        <x:v>Belize northern/western land border entries</x:v>
      </x:c>
      <x:c r="E27" s="4" t="str">
        <x:v>Ordinary foreign vacation-tourist entry through Belize’s northern and western land borders; later citizen/resident restrictions are separate.
Direction: Into Belize for tourist and returning-resident admission phases; the February 2022 legal observation also addresses permitted departures.
Exceptions: March notices preserved citizen, resident-foreigner and resident-diplomat entry and cargo. The 5 April measure widened the restriction to Belizeans, with urgent medical/emergency exceptions. Later individually authorized movements continued. Tourist entry restored in May 2021 remained conditional, including approved accommodation and health requirements.</x:v>
      </x:c>
      <x:c r="F27" s="4" t="str">
        <x:v>AM030-R2P1 — Formal policy
Northern land border: ordinary nonexempt foreign passenger entry into Belize; citizens, residents, resident diplomats and cargo excepted
Start: 2020-03-21 at 23:59 local time.
Continued into the broader order from: 2020-04-05. This boundary is policy continuation and widening, not reopening.
More than 24 hours; exact elapsed duration is not calculated because the 5 April transition hour is unspecified. This earlier segment precedes, rather than overlaps, the retained April tourist segment.
AM030-R1 — Observed operation
Ordinary foreign vacation tourists entering Belize by northern/western land borders; segment begins at widened 5 April order, not first tourist ban
Start: 2020-04-05.
Observed scoped reopening: 2021-05-31.
421 calendar-day difference; scoped endpoint only
AM030-C7P1 — Formal policy
Belize land-entry restriction extended to returning Belizeans and residents outside authorized emergency cases
Start: 2020-04-05.
Last confirmed under the initial order: 2020-04-05.
Original admission restriction ended by: 2022-02-07. Exact earlier endpoint and intervening continuity are not established.
Formal policy: dated evidence; numeric duration withheld; see qualification
AM030-C7P2 — Formal policy
Belize conditional land-port admission and departure for Belizeans and residents
Start: unknown.
Policy endpoint: 2022-02-07.
Formal policy: dated evidence; numeric duration withheld; see qualification
Separate western-border observation: a government decision dated 2020-03-16 closed other passenger ports while leaving the northern border and airport open; the western crossing’s exact implementation hour is not given. A government alert dated 2020-03-22, posted on 24 March, confirms northern and western entry restricted to citizens, resident foreigners and resident diplomats, with cargo unaffected. The western observation does not assign the northern effective date to that crossing.</x:v>
      </x:c>
      <x:c r="G2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7" s="4" t="str">
        <x:v>AM030-R1: Earlier March tourist restrictions are now documented: the northern order took effect at 23:59 on 21 March, and a government alert dated 22 March confirms both northern and western restrictions. The western decision was announced on 16 March but its exact implementation hour is not supplied. The separate northern formal-policy segment starts at the ordered time on 21 March and transitions into the broader 5 April policy; that transition is not a reopening. The retained 5 April tourist segment remains partial and must not be used as the first northern tourist restriction. Emergency permissions, freight, citizens and residents are outside this period's scope. Tourist eligibility after reopening remained conditional.
AM030-C7P1: Medical and emergency returns were excepted. The initial citizen/resident admission restriction had ended by 7 February 2022, but earlier permissions and intermediate rules prevent treating this as unchanged from April 2020. Tourist and resident histories are distinct.
AM030-C7P2: Endpoint-only legal observation. Land and sea ports opened for Belizeans and residents from 7 February 2022 under SI 22. Port hours and entry testing applied; specified vaccination conditions concerned departures. This later access bound does not establish an uninterrupted resident closure or its first operational reopening.
The March airport announcements reproduce government decisions; their website posting dates differ from the dated statements. Neither the March observations nor the April segment establishes a common exact operational onset for both crossings.</x:v>
      </x:c>
      <x:c r="I27" s="4" t="str">
        <x:v>Second full-register audit, 26 October 2026: additional source-audited corrections incorporated. See the phase, scope and qualification columns for the accepted findings.</x:v>
      </x:c>
      <x:c r="J27" s="18" t="d">
        <x:v>2026-10-26T00:00:00.000Z</x:v>
      </x:c>
      <x:c r="K27" s="21" t="str">
        <x:f>IFERROR(HYPERLINK("https://immigration.gov.bz/ministry/timeline/5/","Belize Immigration"),"Belize Immigration")</x:f>
        <x:v>Belize Immigration</x:v>
      </x:c>
      <x:c r="L27" s="21" t="str">
        <x:f>IFERROR(HYPERLINK("https://www.sanpedrosun.com/travel-and-tourism/2021/05/21/land-borders-to-reopen-at-the-end-of-may-sea-entry-remain-closed/","San Pedro Sun"),"San Pedro Sun")</x:f>
        <x:v>San Pedro Sun</x:v>
      </x:c>
      <x:c r="M27" s="21" t="str">
        <x:f>IFERROR(HYPERLINK("https://www.sanpedrosun.com/travel-and-tourism/2021/06/07/slow-tourist-activity-at-the-now-open-land-borders-no-cases-of-covid-19-detected/","San Pedro Sun"),"San Pedro Sun")</x:f>
        <x:v>San Pedro Sun</x:v>
      </x:c>
      <x:c r="N27" s="4" t="str">
        <x:v>https://immigration.gov.bz/ministry/timeline/5/
https://www.sanpedrosun.com/travel-and-tourism/2021/05/21/land-borders-to-reopen-at-the-end-of-may-sea-entry-remain-closed/
https://www.sanpedrosun.com/travel-and-tourism/2021/06/07/slow-tourist-activity-at-the-now-open-land-borders-no-cases-of-covid-19-detected/
https://www.pressoffice.gov.bz/wp-content/uploads/2022/02/SI-No-22-of-2022-Public-Health-Reform.pdf
https://tourism.gov.bz/wp-content/uploads/2021/04/LandBorderRequirementsMay-25th2021.pdf
https://www.pgiabelize.com/all-borders-closed-to-the-entry-of-belizean-nationals/
https://sib.org.bz/covid-19-alert-regarding-border-closures/
https://www.pgiabelize.com/new-measures-announced-to-protect-against-covid-19/
https://www.pgiabelize.com/belize-announces-new-measures-in-response-to-covid-19/</x:v>
      </x:c>
      <x:c r="O27" s="4" t="str">
        <x:v>Second full-register audit source access, 26 October 2026
https://immigration.gov.bz/ministry/timeline/5/: full text (fresh retrieval) — No independent proof of every crossing's continuous operation.
https://www.sanpedrosun.com/travel-and-tourism/2021/06/07/slow-tourist-activity-at-the-now-open-land-borders-no-cases-of-covid-19-detected/: full text (previously retrieved text re-examined) — Tourist cohort only; does not show first tourist ban began on 5 April.
https://www.pressoffice.gov.bz/wp-content/uploads/2022/02/SI-No-22-of-2022-Public-Health-Reform.pdf: full text (previously retrieved text re-examined) — Legal permission; not first-passage observation.
https://sib.org.bz/covid-19-alert-regarding-border-closures/: full text (fresh retrieval)
https://www.pgiabelize.com/new-measures-announced-to-protect-against-covid-19/: full text (fresh retrieval)
https://www.pgiabelize.com/belize-announces-new-measures-in-response-to-covid-19/: full text (fresh retrieval)
Earlier URLs not separately inspected in this second assessment:
https://www.sanpedrosun.com/travel-and-tourism/2021/05/21/land-borders-to-reopen-at-the-end-of-may-sea-entry-remain-closed/
https://tourism.gov.bz/wp-content/uploads/2021/04/LandBorderRequirementsMay-25th2021.pdf
https://www.pgiabelize.com/all-borders-closed-to-the-entry-of-belizean-nationals/
Prior audit access record
Full-register audit source access (evidence cutoff 25 October 2026)
https://immigration.gov.bz/ministry/timeline/5/: full text — No independent proof of every crossing's continuous operation.
https://www.sanpedrosun.com/travel-and-tourism/2021/06/07/slow-tourist-activity-at-the-now-open-land-borders-no-cases-of-covid-19-detected/: full text — Tourist cohort only; does not show first tourist ban began on 5 April.
https://www.pressoffice.gov.bz/wp-content/uploads/2022/02/SI-No-22-of-2022-Public-Health-Reform.pdf: full text — Legal permission; not first-passage observation.
Earlier source URLs not separately listed in this audit’s retrieval log (historical access notes below are not fresh verification):
https://www.sanpedrosun.com/travel-and-tourism/2021/05/21/land-borders-to-reopen-at-the-end-of-may-sea-entry-remain-closed/
https://tourism.gov.bz/wp-content/uploads/2021/04/LandBorderRequirementsMay-25th2021.pdf
https://www.pgiabelize.com/all-borders-closed-to-the-entry-of-belizean-nationals/
Earlier recorded access
Source 1: full
Source 2: indexed excerpt; full
Source 3: full</x:v>
      </x:c>
      <x:c r="P27" s="20" t="n">
        <x:v>4</x:v>
      </x:c>
      <x:c r="Q27" s="4" t="str">
        <x:v>Americas</x:v>
      </x:c>
      <x:c r="R27" s="4" t="str">
        <x:v>Included</x:v>
      </x:c>
    </x:row>
    <x:row r="28" ht="409" hidden="0" customHeight="1">
      <x:c r="A28" s="16" t="str">
        <x:v>AM033</x:v>
      </x:c>
      <x:c r="B28" s="4" t="str">
        <x:v>Panama Costa Rica freight closure during health-protocol dispute</x:v>
      </x:c>
      <x:c r="C28" s="4" t="str">
        <x:v>Panama; Costa Rica</x:v>
      </x:c>
      <x:c r="D28" s="4" t="str">
        <x:v>Land freight between Panama and Costa Rica</x:v>
      </x:c>
      <x:c r="E28" s="4" t="str">
        <x:v>Freight and drivers
Direction: Cargo passage in both directions was disrupted.
Exceptions: Limited escorted Costa Rican cargo passage from Panama through Sixaola was reported on 22–23 May, before renewed obstruction; accounts differ over the daily vehicle count.</x:v>
      </x:c>
      <x:c r="F28" s="4" t="str">
        <x:v>AM033-D1 — Observed operation
Panama–Costa Rica freight interruption involving Panamanian trucker blockades and separate state driver-entry/routing measures, to progressive truck resumption.
Start: 2020-05-17.
Observed scoped reopening: 2020-05-26 to 2020-05-27.
9–10 calendar-day difference; scoped endpoint only</x:v>
      </x:c>
      <x:c r="G28" s="4" t="str">
        <x:v>Health and biosecurity / Human disease control
Reported reason
Applies to: Government health-protocol restrictions; not the truckers’ purpose
Reciprocal health protocols and trade dispute explicit.
Trade and protectionism / Customs and transport rules
Reported reason
Applies to: State driver-entry and cargo-routing measures
Reciprocal health protocols and trade dispute explicit.
Interstate disputes and pressure / Diplomatic disputes and retaliation
Reported reason
Applies to: Government reciprocal measures during the transport dispute
Reciprocal health protocols and trade dispute explicit.
Trade and protectionism / Trade and transport protests
Reported reason
Applies to: Panamanian trucker blockade; exact overlap with state rules not separately established
Truckers sought changes to routing, cargo handling and reciprocal treatment.
Policy and socioeconomic demands / Opposition to health policies
Reported reason
Applies to: Panamanian trucker blockade
Opposed practical restrictions imposed under Costa Rican COVID driver protocols; this is distinct from official disease-prevention justification.</x:v>
      </x:c>
      <x:c r="H28" s="4" t="str">
        <x:v>AM033-D1: Truckers physically obstructed crossings; authorities imposed reciprocal driver and cargo-routing protocols. Limited cargo passage occurred before general resumption: a 23 May report quotes Costa Rica's security ministry confirming eight Costa Rican trucks crossing from Panama through Sixaola that afternoon, before renewed obstruction; the Panamanian transport association instead described four trucks that day and four the preceding day. This establishes an exception, not uninterrupted access or a precise reconciled daily count. End bounds 26–27 May distinguish blockade removal and progressive restoration. No claim every truck or gate reopened simultaneously or that all freight was continuously stopped throughout the interval.</x:v>
      </x:c>
      <x:c r="I28" s="4" t="str">
        <x:v>Second full-register audit, 26 October 2026: qualified. The freight interruption, reciprocal state measures and limited Sixaola exceptions are represented carefully. The 26–27 May bound remains appropriate given the presidential page’s 27 May posting but Tuesday 26 May event wording.</x:v>
      </x:c>
      <x:c r="J28" s="18" t="d">
        <x:v>2026-10-26T00:00:00.000Z</x:v>
      </x:c>
      <x:c r="K28" s="21" t="str">
        <x:f>IFERROR(HYPERLINK("https://presidencia.gobiernocarlosalvarado.cr/comunicados/2020/05/acuerdos-bilaterales-permiten-transito-de-mercancias-entre-costa-rica-y-panama/","Costa Rican Presidency archive"),"Costa Rican Presidency archive")</x:f>
        <x:v>Costa Rican Presidency archive</x:v>
      </x:c>
      <x:c r="L28" s="21" t="str">
        <x:f>IFERROR(HYPERLINK("https://www.rree.go.cr/?cat=prensa&amp;cont=593&amp;id=5548&amp;sec=servicios","Costa Rica foreign ministry"),"Costa Rica foreign ministry")</x:f>
        <x:v>Costa Rica foreign ministry</x:v>
      </x:c>
      <x:c r="M28" s="21" t="str">
        <x:f>IFERROR(HYPERLINK("https://observador.cr/fronteras-panamenas-ya-fueron-desbloqueadas-tenian-8-dias-de-cierre-por-parte-de-transportistas/","El Observador"),"El Observador")</x:f>
        <x:v>El Observador</x:v>
      </x:c>
      <x:c r="N28" s="4" t="str">
        <x:v>https://presidencia.gobiernocarlosalvarado.cr/comunicados/2020/05/acuerdos-bilaterales-permiten-transito-de-mercancias-entre-costa-rica-y-panama/
https://www.rree.go.cr/?cat=prensa&amp;cont=593&amp;id=5548&amp;sec=servicios
https://observador.cr/fronteras-panamenas-ya-fueron-desbloqueadas-tenian-8-dias-de-cierre-por-parte-de-transportistas/
https://www.prensa.com/economia/panama-aplica-reciprocidad-temporal-a-transportistas-de-costa-rica/
https://observador.cr/ocho-camiones-de-costarricenses-cruzaron-la-frontera-de-panama-antes-de-un-nuevo-bloqueo-este-sabado/</x:v>
      </x:c>
      <x:c r="O28" s="4" t="str">
        <x:v>Second full-register audit source access, 26 October 2026
https://presidencia.gobiernocarlosalvarado.cr/comunicados/2020/05/acuerdos-bilaterales-permiten-transito-de-mercancias-entre-costa-rica-y-panama/: full text (fresh retrieval)
https://www.prensa.com/economia/panama-aplica-reciprocidad-temporal-a-transportistas-de-costa-rica/: full text (previously retrieved text re-examined)
https://observador.cr/ocho-camiones-de-costarricenses-cruzaron-la-frontera-de-panama-antes-de-un-nuevo-bloqueo-este-sabado/: full text (previously retrieved text re-examined)
Earlier URLs not separately inspected in this second assessment:
https://www.rree.go.cr/?cat=prensa&amp;cont=593&amp;id=5548&amp;sec=servicios
https://observador.cr/fronteras-panamenas-ya-fueron-desbloqueadas-tenian-8-dias-de-cierre-por-parte-de-transportistas/
Prior audit access record
Full-register audit source access (evidence cutoff 25 October 2026)
https://presidencia.gobiernocarlosalvarado.cr/comunicados/2020/05/acuerdos-bilaterales-permiten-transito-de-mercancias-entre-costa-rica-y-panama/: full text
https://www.prensa.com/economia/panama-aplica-reciprocidad-temporal-a-transportistas-de-costa-rica/: full text
https://observador.cr/ocho-camiones-de-costarricenses-cruzaron-la-frontera-de-panama-antes-de-un-nuevo-bloqueo-este-sabado/: full text
Earlier source URLs not separately listed in this audit’s retrieval log (historical access notes below are not fresh verification):
https://www.rree.go.cr/?cat=prensa&amp;cont=593&amp;id=5548&amp;sec=servicios
https://observador.cr/fronteras-panamenas-ya-fueron-desbloqueadas-tenian-8-dias-de-cierre-por-parte-de-transportistas/
Earlier recorded access
Source 1: full text
Source 2: search extract
Source 3: indexed extract</x:v>
      </x:c>
      <x:c r="P28" s="20" t="n">
        <x:v>1</x:v>
      </x:c>
      <x:c r="Q28" s="4" t="str">
        <x:v>Americas</x:v>
      </x:c>
      <x:c r="R28" s="4" t="str">
        <x:v>Included</x:v>
      </x:c>
    </x:row>
    <x:row r="29" ht="330" hidden="0" customHeight="1">
      <x:c r="A29" s="16" t="str">
        <x:v>AM032</x:v>
      </x:c>
      <x:c r="B29" s="4" t="str">
        <x:v>Nicaragua Peñas Blancas cargo closure over health-rule dispute</x:v>
      </x:c>
      <x:c r="C29" s="4" t="str">
        <x:v>Nicaragua; Costa Rica</x:v>
      </x:c>
      <x:c r="D29" s="4" t="str">
        <x:v>Peñas Blancas cargo crossing</x:v>
      </x:c>
      <x:c r="E29" s="4" t="str">
        <x:v>Trucks and freight
Direction: Cargo passage in both directions interrupted</x:v>
      </x:c>
      <x:c r="F29" s="4" t="str">
        <x:v>AM032-D1 — Observed operation
Peñas Blancas cargo crossing; Trucks and freight; Cargo passage in both directions interrupted
Start: 2020-05-18.
Observed scoped reopening: 2020-05-31.
13 calendar-day difference; scoped endpoint only</x:v>
      </x:c>
      <x:c r="G29" s="4" t="str">
        <x:v>Trade and protectionism / Customs and transport rules
Reported reason
Applies to: Recorded episode; exact overlap not separately established
The closure responded to another country's health-related freight rules. A separate infection-control purpose for Nicaragua's obstruction is not established, so the health code is removed.
Interstate disputes and pressure / Diplomatic disputes and retaliation
Reported reason
Applies to: Recorded episode; exact overlap not separately established
The closure responded to another country's health-related freight rules. A separate infection-control purpose for Nicaragua's obstruction is not established, so the health code is removed.</x:v>
      </x:c>
      <x:c r="H29" s="4" t="str">
        <x:v>AM032-D1: Onset based on Costa Rican official account of Nicaraguan action; 31 May actual passage confirmed. Tablillas has separate reopening timing.</x:v>
      </x:c>
      <x:c r="I29" s="4" t="str">
        <x:v>Second full-register audit, 26 October 2026: source checks completed; readability or formatting changes incorporated. No additional substantive factual correction is counted for this record.</x:v>
      </x:c>
      <x:c r="J29" s="18" t="d">
        <x:v>2026-10-26T00:00:00.000Z</x:v>
      </x:c>
      <x:c r="K29" s="21" t="str">
        <x:f>IFERROR(HYPERLINK("https://www.nacion.com/economia/politica-economica/gobierno-de-nicaragua-cierra-transito-de/4JLEPB67ZNDBJHQUI5DWZJ2DCI/story/","La Nación"),"La Nación")</x:f>
        <x:v>La Nación</x:v>
      </x:c>
      <x:c r="L29" s="21" t="str">
        <x:f>IFERROR(HYPERLINK("https://www.nacion.com/el-pais/managua-mantiene-cierre-fronterizo-al-transporte/OVF75WMMIRBHVLODTP6DHVSIME/story/","La Nación"),"La Nación")</x:f>
        <x:v>La Nación</x:v>
      </x:c>
      <x:c r="M29" s="21" t="str">
        <x:f>IFERROR(HYPERLINK("https://www.nacion.com/economia/politica-economica/gobierno-de-ortega-cierra-transito-de-mercancias/73XUV3WDUBFP7MMFTM2TBUFBPY/story/","nacion.com"),"nacion.com")</x:f>
        <x:v>nacion.com</x:v>
      </x:c>
      <x:c r="N29" s="4" t="str">
        <x:v>https://www.nacion.com/economia/politica-economica/gobierno-de-nicaragua-cierra-transito-de/4JLEPB67ZNDBJHQUI5DWZJ2DCI/story/
https://www.nacion.com/el-pais/managua-mantiene-cierre-fronterizo-al-transporte/OVF75WMMIRBHVLODTP6DHVSIME/story/
https://www.nacion.com/economia/politica-economica/gobierno-de-ortega-cierra-transito-de-mercancias/73XUV3WDUBFP7MMFTM2TBUFBPY/story/</x:v>
      </x:c>
      <x:c r="O29" s="4" t="str">
        <x:v>Second full-register audit source access, 26 October 2026
https://www.nacion.com/economia/politica-economica/gobierno-de-nicaragua-cierra-transito-de/4JLEPB67ZNDBJHQUI5DWZJ2DCI/story/: full text (previously retrieved text re-examined)
https://www.nacion.com/el-pais/managua-mantiene-cierre-fronterizo-al-transporte/OVF75WMMIRBHVLODTP6DHVSIME/story/: full text (fresh retrieval)
Earlier URLs not separately inspected in this second assessment:
https://www.nacion.com/economia/politica-economica/gobierno-de-ortega-cierra-transito-de-mercancias/73XUV3WDUBFP7MMFTM2TBUFBPY/story/
Prior audit access record
Full-register audit source access (evidence cutoff 25 October 2026)
https://www.nacion.com/economia/politica-economica/gobierno-de-nicaragua-cierra-transito-de/4JLEPB67ZNDBJHQUI5DWZJ2DCI/story/: full text
https://www.nacion.com/el-pais/managua-mantiene-cierre-fronterizo-al-transporte/OVF75WMMIRBHVLODTP6DHVSIME/story/: full text
Earlier source URLs not separately listed in this audit’s retrieval log (historical access notes below are not fresh verification):
https://www.nacion.com/economia/politica-economica/gobierno-de-ortega-cierra-transito-de-mercancias/73XUV3WDUBFP7MMFTM2TBUFBPY/story/
Earlier recorded access
Source 1: search extract
Source 2: full page
Source 3: access detail is retained in the source catalogue.</x:v>
      </x:c>
      <x:c r="P29" s="20" t="n">
        <x:v>1</x:v>
      </x:c>
      <x:c r="Q29" s="4" t="str">
        <x:v>Americas</x:v>
      </x:c>
      <x:c r="R29" s="4" t="str">
        <x:v>Included</x:v>
      </x:c>
    </x:row>
    <x:row r="30" ht="342" hidden="0" customHeight="1">
      <x:c r="A30" s="16" t="str">
        <x:v>AM038</x:v>
      </x:c>
      <x:c r="B30" s="4" t="str">
        <x:v>Saint-Martin Sint Maarten second 2020 nonessential crossing ban</x:v>
      </x:c>
      <x:c r="C30" s="4" t="str">
        <x:v>Saint-Martin (France); Sint Maarten (Kingdom of Netherlands)</x:v>
      </x:c>
      <x:c r="D30" s="4" t="str">
        <x:v>Cross-island boundary, French-enforced restrictions</x:v>
      </x:c>
      <x:c r="E30" s="4" t="str">
        <x:v>See geographic scope and exemptions.
Direction: Primarily entry from Sint Maarten to French Saint-Martin; physical barriers at selected roads affected passage.
Exceptions: Verified work/medical journeys and specified arriving air passengers.</x:v>
      </x:c>
      <x:c r="F30" s="4" t="str">
        <x:v>AM038-D1 — Observed operation
French-enforced non-essential passage restriction at Bellevue and Quartier d'Orléans, to lifting of the main checks.
Start: 2020-07-31.
Observed scoped reopening: 2020-09-16.
47 calendar-day difference; scoped endpoint only</x:v>
      </x:c>
      <x:c r="G3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0" s="4" t="str">
        <x:v>AM038-D1: Work, medical and specified air-arrival exceptions continued. Container removal at other roads was later and is not this endpoint; the reprint of Faxinfo is not independent evidence.</x:v>
      </x:c>
      <x:c r="I30" s="4" t="str">
        <x:v>Second full-register audit, 26 October 2026: qualified. Fresh prefecture-attributed reporting confirms the July 31 noon onset, work/medical and authorized air-arrival exceptions. The September 16 main-post endpoint remains distinct from subsequent container removal.</x:v>
      </x:c>
      <x:c r="J30" s="18" t="d">
        <x:v>2026-10-26T00:00:00.000Z</x:v>
      </x:c>
      <x:c r="K30" s="21" t="str">
        <x:f>IFERROR(HYPERLINK("https://www.faxinfo.fr/covid-19-restriction-de-passage-aux-frontieres-a-partir-de-vendredi/","Faxinfo"),"Faxinfo")</x:f>
        <x:v>Faxinfo</x:v>
      </x:c>
      <x:c r="L30" s="21" t="str">
        <x:f>IFERROR(HYPERLINK("https://www.sxmbreakingnews.com/16/09/2020/586/levee-des-controles-aux-frontieres-la-prefecture-et-lars-ont-repondu-favorablement-aux-organisateurs-de-la-manifestation/","Saint-Martin Breaking News"),"Saint-Martin Breaking News")</x:f>
        <x:v>Saint-Martin Breaking News</x:v>
      </x:c>
      <x:c r="M30" s="21" t="str">
        <x:f>IFERROR(HYPERLINK("https://antilla-martinique.com/restriction-dentree-a-saint-martin-embouteillage-a-bellevue/","Antilla Martinique"),"Antilla Martinique")</x:f>
        <x:v>Antilla Martinique</x:v>
      </x:c>
      <x:c r="N30" s="4" t="str">
        <x:v>https://www.faxinfo.fr/covid-19-restriction-de-passage-aux-frontieres-a-partir-de-vendredi/
https://www.sxmbreakingnews.com/16/09/2020/586/levee-des-controles-aux-frontieres-la-prefecture-et-lars-ont-repondu-favorablement-aux-organisateurs-de-la-manifestation/
https://antilla-martinique.com/restriction-dentree-a-saint-martin-embouteillage-a-bellevue/</x:v>
      </x:c>
      <x:c r="O30" s="4" t="str">
        <x:v>Second full-register audit source access, 26 October 2026
https://www.faxinfo.fr/covid-19-restriction-de-passage-aux-frontieres-a-partir-de-vendredi/: full text (fresh retrieval)
https://www.sxmbreakingnews.com/16/09/2020/586/levee-des-controles-aux-frontieres-la-prefecture-et-lars-ont-repondu-favorablement-aux-organisateurs-de-la-manifestation/: full text (previously retrieved text re-examined) — Opening paragraph inconsistently mentions Oyster Pond; final prefecture-attributed scope distinguishes checkpoints from containers.
https://antilla-martinique.com/restriction-dentree-a-saint-martin-embouteillage-a-bellevue/: full text (previously retrieved text re-examined) — Reprint of Faxinfo, not independent corroboration.
Prior audit access record
Full-register audit source access (evidence cutoff 25 October 2026)
https://www.faxinfo.fr/covid-19-restriction-de-passage-aux-frontieres-a-partir-de-vendredi/: full text
https://www.sxmbreakingnews.com/16/09/2020/586/levee-des-controles-aux-frontieres-la-prefecture-et-lars-ont-repondu-favorablement-aux-organisateurs-de-la-manifestation/: full text — Opening paragraph inconsistently mentions Oyster Pond; final prefecture-attributed scope distinguishes checkpoints from containers.
https://antilla-martinique.com/restriction-dentree-a-saint-martin-embouteillage-a-bellevue/: full text — Reprint of Faxinfo, not independent corroboration.
Earlier recorded access
Source 1: full page
Source 2: search extract
Source 3: search extract</x:v>
      </x:c>
      <x:c r="P30" s="20" t="n">
        <x:v>1</x:v>
      </x:c>
      <x:c r="Q30" s="4" t="str">
        <x:v>Americas</x:v>
      </x:c>
      <x:c r="R30" s="4" t="str">
        <x:v>Included</x:v>
      </x:c>
    </x:row>
    <x:row r="31" ht="409" hidden="0" customHeight="1">
      <x:c r="A31" s="16" t="str">
        <x:v>AM022</x:v>
      </x:c>
      <x:c r="B31" s="4" t="str">
        <x:v>Uruguay December 2020 tightened border closure including citizens abroad</x:v>
      </x:c>
      <x:c r="C31" s="4" t="str">
        <x:v>Uruguay; Argentina; Brazil</x:v>
      </x:c>
      <x:c r="D31" s="4" t="str">
        <x:v>National land/river frontier</x:v>
      </x:c>
      <x:c r="E31" s="4" t="str">
        <x:v>Ordinary admission to Uruguay of Uruguayan citizens and resident foreigners lacking the applicable special, prebooked-ticket or emergency exemption.
Direction: Into Uruguay; the cited measure does not establish a matching general exit prohibition.
Exceptions: Freight, mail, humanitarian and health travel continued; binational-city arrangements were distinct. Decree 3/021 permitted travellers with tickets bought by 6 January 2021. The phase concerns loss of normal eligibility, not a stop to every admission.</x:v>
      </x:c>
      <x:c r="F31" s="4" t="str">
        <x:v>AM022-R1 — Formal policy
Ordinary admission to Uruguay of citizens and resident foreigners lacking the applicable special/prebooked/emergency exception
Start: 2020-12-21.
Policy endpoint: 2021-02-01.
Formal policy: 42 calendar-day difference; operational continuity not established</x:v>
      </x:c>
      <x:c r="G3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1" s="4" t="str">
        <x:v>AM022-R1: Restriction on normal eligibility, not total entry closure; admissions continued under exceptions. Decree 3/021 was recovered and confirms a twenty-day extension from 11 January 2021, while widening the prebooked-ticket exemption to tickets acquired by 6 January. Presidency subsequently specified restoration for citizens and resident foreigners from 1 February. The complete intervening amendment chain and uniform operational implementation remain unestablished.</x:v>
      </x:c>
      <x:c r="I31" s="4" t="str">
        <x:v>Second full-register audit, 26 October 2026: additional source-audited corrections incorporated. See the phase, scope and qualification columns for the accepted findings.</x:v>
      </x:c>
      <x:c r="J31" s="18" t="d">
        <x:v>2026-10-26T00:00:00.000Z</x:v>
      </x:c>
      <x:c r="K31" s="21" t="str">
        <x:f>IFERROR(HYPERLINK("https://www.gub.uy/presidencia/politicas-y-gestion/medidas-del-gobierno-para-atender-emergencia-sanitaria-coronavirus-covid-19-4","Presidencia Uruguay"),"Presidencia Uruguay")</x:f>
        <x:v>Presidencia Uruguay</x:v>
      </x:c>
      <x:c r="L31" s="21" t="str">
        <x:f>IFERROR(HYPERLINK("https://www.gub.uy/presidencia/comunicacion/noticias/gobierno-definio-retorno-cierre-parcial-fronteras-favorable-ciudadanos","Uruguay Presidency"),"Uruguay Presidency")</x:f>
        <x:v>Uruguay Presidency</x:v>
      </x:c>
      <x:c r="M31" s="21" t="str">
        <x:f>IFERROR(HYPERLINK("https://www.r2820.com/noticias/2021/02/06/46892-afirman-que-hay-400-autos-que-ingresan-a-fray-bentos-por-el-puente-san-martin","R2820"),"R2820")</x:f>
        <x:v>R2820</x:v>
      </x:c>
      <x:c r="N31" s="4" t="str">
        <x:v>https://www.gub.uy/presidencia/politicas-y-gestion/medidas-del-gobierno-para-atender-emergencia-sanitaria-coronavirus-covid-19-4
https://www.gub.uy/presidencia/comunicacion/noticias/gobierno-definio-retorno-cierre-parcial-fronteras-favorable-ciudadanos
https://www.r2820.com/noticias/2021/02/06/46892-afirman-que-hay-400-autos-que-ingresan-a-fray-bentos-por-el-puente-san-martin
https://www.gub.uy/ministerio-defensa-nacional/comunicacion/noticias/rige-desde-lunes-cierre-fronterano-se-habilitaran-vuelos-privados
https://www.gub.uy/agencia-gobierno-electronico-sociedad-informacion-conocimiento/comunicacion/noticias/nuevos-tramites-disponibles-ingreso-pais-segun-nueva-normativa
https://www.impo.com.uy/bases/decretos/3-2021</x:v>
      </x:c>
      <x:c r="O31" s="4" t="str">
        <x:v>Second full-register audit source access, 26 October 2026
https://www.gub.uy/presidencia/comunicacion/noticias/gobierno-definio-retorno-cierre-parcial-fronteras-favorable-ciudadanos: full text (previously retrieved text re-examined) — Policy announcement, not first-passage observation.
https://www.impo.com.uy/bases/decretos/3-2021: full text (previously retrieved text re-examined) — Does not independently resolve every final-day amendment.
https://www.gub.uy/ministerio-defensa-nacional/comunicacion/noticias/rige-desde-lunes-cierre-fronterano-se-habilitaran-vuelos-privados: full text (fresh retrieval)
Earlier URLs not separately inspected in this second assessment:
https://www.gub.uy/presidencia/politicas-y-gestion/medidas-del-gobierno-para-atender-emergencia-sanitaria-coronavirus-covid-19-4
https://www.r2820.com/noticias/2021/02/06/46892-afirman-que-hay-400-autos-que-ingresan-a-fray-bentos-por-el-puente-san-martin
https://www.gub.uy/agencia-gobierno-electronico-sociedad-informacion-conocimiento/comunicacion/noticias/nuevos-tramites-disponibles-ingreso-pais-segun-nueva-normativa
Prior audit access record
Full-register audit source access (evidence cutoff 25 October 2026)
https://www.gub.uy/presidencia/politicas-y-gestion/medidas-del-gobierno-para-atender-emergencia-sanitaria-coronavirus-covid-19-4: full text
https://www.gub.uy/presidencia/comunicacion/noticias/gobierno-definio-retorno-cierre-parcial-fronteras-favorable-ciudadanos: full text — Policy announcement, not first-passage observation.
https://www.impo.com.uy/bases/decretos/3-2021: full text — Does not independently resolve every final-day amendment.
https://www.gub.uy/ministerio-defensa-nacional/comunicacion/noticias/rige-desde-lunes-cierre-fronterano-se-habilitaran-vuelos-privados: full text
Earlier source URLs not separately listed in this audit’s retrieval log (historical access notes below are not fresh verification):
https://www.r2820.com/noticias/2021/02/06/46892-afirman-que-hay-400-autos-que-ingresan-a-fray-bentos-por-el-puente-san-martin
https://www.gub.uy/agencia-gobierno-electronico-sociedad-informacion-conocimiento/comunicacion/noticias/nuevos-tramites-disponibles-ingreso-pais-segun-nueva-normativa
Earlier recorded access
Source 1: indexed excerpt
Source 2: indexed excerpt
Source 3: indexed excerpt; full</x:v>
      </x:c>
      <x:c r="P31" s="20" t="n">
        <x:v>1</x:v>
      </x:c>
      <x:c r="Q31" s="4" t="str">
        <x:v>Americas</x:v>
      </x:c>
      <x:c r="R31" s="4" t="str">
        <x:v>Included</x:v>
      </x:c>
    </x:row>
    <x:row r="32" ht="409" hidden="0" customHeight="1">
      <x:c r="A32" s="16" t="str">
        <x:v>AM031</x:v>
      </x:c>
      <x:c r="B32" s="4" t="str">
        <x:v>Mexico COVID nonessential land-entry restrictions March 2021</x:v>
      </x:c>
      <x:c r="C32" s="4" t="str">
        <x:v>Mexico; United States; Guatemala; Belize</x:v>
      </x:c>
      <x:c r="D32" s="4" t="str">
        <x:v>Mexican northern/southern restrictions as announced; new direct operational evidence restricted to Guatemala–Mexico Suchiate river access.</x:v>
      </x:c>
      <x:c r="E32" s="4" t="str">
        <x:v>Nonessential tourism/recreation targeted; AP observed some Guatemalan shoppers and residents turned back at Suchiate.
Direction: Into Mexico for southern-border restriction and observed enforcement; equivalent northern-border implementation not established.</x:v>
      </x:c>
      <x:c r="F32" s="4" t="str">
        <x:v>AM031-RREV1 — Announced window
Announced and renewed Mexico-side southern-border nonessential land-crossing restriction
Start: 2021-03-19.
Scheduled endpoint: 2021-06-21.
Ordered window: 94 calendar-day difference; actual end not established</x:v>
      </x:c>
      <x:c r="G32" s="4" t="str">
        <x:v>Health and biosecurity / Human disease control
Reported reason
Applies to: Recorded episode; exact overlap not separately established
Health and anti-smuggling reasons are recorded; migration-control interpretation remains attributed to reporting and advocates.
Migration / Entry and asylum control
Reported reason
Applies to: Recorded episode; exact overlap not separately established
Health and anti-smuggling reasons are recorded; migration-control interpretation remains attributed to reporting and advocates.
Security / Smuggling and illicit trafficking
Reported reason
Applies to: Recorded episode; exact overlap not separately established
Health and anti-smuggling reasons are recorded; migration-control interpretation remains attributed to reporting and advocates.</x:v>
      </x:c>
      <x:c r="H32" s="4" t="str">
        <x:v>AM031-RREV1: The documented southern-border renewal extended the announced restriction through 21 June 2021 at 23:59. This scheduled inclusive endpoint is not an observed reopening. Enforcement at Suchiate was uneven, and equivalent northern-border implementation is not established.
Continuity: Southern Mexico nonessential restrictions and extensions remain announced measures. The later renewal chain and actual cessation of southern enforcement remain unresolved; evidence about the US-facing northern border does not resolve these.</x:v>
      </x:c>
      <x:c r="I32" s="4" t="str">
        <x:v>Second full-register audit, 26 October 2026: qualified. Fresh southern-border renewal and AP implementation reporting support the existing March–June announced window, with local exceptions and an unresolved actual cessation. Further searches did not justify substituting US-facing reopening dates.</x:v>
      </x:c>
      <x:c r="J32" s="18" t="d">
        <x:v>2026-10-26T00:00:00.000Z</x:v>
      </x:c>
      <x:c r="K32" s="21" t="str">
        <x:f>IFERROR(HYPERLINK("https://www.inm.gob.mx/gobmx/word/index.php/tema-migratorio-190321/","INM"),"INM")</x:f>
        <x:v>INM</x:v>
      </x:c>
      <x:c r="L32" s="21" t="str">
        <x:f>IFERROR(HYPERLINK("https://www.inm.gob.mx/gobmx/word/index.php/tema-migratorio-230321/","INM press digest reproducing La Jornada and Eduardo Torres / El Sol de México / La Prensa"),"INM press digest reproducing La Jornada and Eduardo Torres / El Sol de México / La Prensa")</x:f>
        <x:v>INM press digest reproducing La Jornada and Eduardo Torres / El Sol de México / La Prensa</x:v>
      </x:c>
      <x:c r="M32" s="21" t="str">
        <x:f>IFERROR(HYPERLINK("https://politica.expansion.mx/mexico/2021/04/20/mexico-y-estados-unidos-extienden-el-cierre-fronterizo-hasta-el-21-de-mayo","Expansión / EFE"),"Expansión / EFE")</x:f>
        <x:v>Expansión / EFE</x:v>
      </x:c>
      <x:c r="N32" s="4" t="str">
        <x:v>https://www.inm.gob.mx/gobmx/word/index.php/tema-migratorio-190321/
https://www.inm.gob.mx/gobmx/word/index.php/tema-migratorio-230321/
https://politica.expansion.mx/mexico/2021/04/20/mexico-y-estados-unidos-extienden-el-cierre-fronterizo-hasta-el-21-de-mayo
https://www.swissinfo.ch/spa/m%C3%A9xico-y-eeuu-mantienen-cierre-fronterizo-por-covid-19-hasta-el-21-de-mayo/46548720
https://www.gob.mx/inm/prensa/gobierno-de-mexico-despliega-operativo-en-frontera-sur-para-salvaguarda-de-ninez-migrante-267026?idiom=es
https://www.clickorlando.com/news/world/2021/03/21/mexico-limits-non-essential-travel-on-southern-border/
https://www.jornada.com.mx/noticia/2021/03/21/estados/envia-inm-50-agentes-a-rio-suchiate-para-impedir-paso-de-migrantes-7025
https://consulmex.sre.gob.mx/douglas/images/stories/BOLETINES/2021/April/DOU-BP-005-2021_Ampliacin_restricciones_en_la_frontera.pdf
https://www.diariodemexico.com/mi-nacion/por-la-covid-gobierno-federal-mantendra-restricciones-en-frontera-sur
https://www.inm.gob.mx/gobmx/word/index.php/tema-migratorio-240521/</x:v>
      </x:c>
      <x:c r="O32" s="4" t="str">
        <x:v>Second full-register audit source access, 26 October 2026
https://www.inm.gob.mx/gobmx/word/index.php/tema-migratorio-190321/: search extract (previously retrieved text re-examined) — Original direct retrieval returned 403.
https://politica.expansion.mx/mexico/2021/04/20/mexico-y-estados-unidos-extienden-el-cierre-fronterizo-hasta-el-21-de-mayo: full text (previously retrieved text re-examined) — Same EFE report as Swissinfo; not independent corroboration.
https://www.clickorlando.com/news/world/2021/03/21/mexico-limits-non-essential-travel-on-southern-border/: full text (fresh retrieval) — Local and uneven implementation; not all-border evidence.
https://www.diariodemexico.com/mi-nacion/por-la-covid-gobierno-federal-mantendra-restricciones-en-frontera-sur: full text (fresh retrieval) — Scheduled extension, not observed end.
Earlier URLs not separately inspected in this second assessment:
https://www.inm.gob.mx/gobmx/word/index.php/tema-migratorio-230321/
https://www.swissinfo.ch/spa/m%C3%A9xico-y-eeuu-mantienen-cierre-fronterizo-por-covid-19-hasta-el-21-de-mayo/46548720
https://www.gob.mx/inm/prensa/gobierno-de-mexico-despliega-operativo-en-frontera-sur-para-salvaguarda-de-ninez-migrante-267026?idiom=es
https://www.jornada.com.mx/noticia/2021/03/21/estados/envia-inm-50-agentes-a-rio-suchiate-para-impedir-paso-de-migrantes-7025
https://consulmex.sre.gob.mx/douglas/images/stories/BOLETINES/2021/April/DOU-BP-005-2021_Ampliacin_restricciones_en_la_frontera.pdf
https://www.inm.gob.mx/gobmx/word/index.php/tema-migratorio-240521/
Prior audit access record
Full-register audit source access (evidence cutoff 25 October 2026)
https://www.inm.gob.mx/gobmx/word/index.php/tema-migratorio-190321/: search extract — Original direct retrieval returned 403.
https://politica.expansion.mx/mexico/2021/04/20/mexico-y-estados-unidos-extienden-el-cierre-fronterizo-hasta-el-21-de-mayo: full text — Same EFE report as Swissinfo; not independent corroboration.
https://www.clickorlando.com/news/world/2021/03/21/mexico-limits-non-essential-travel-on-southern-border/: full text — Local and uneven implementation; not all-border evidence.
https://www.diariodemexico.com/mi-nacion/por-la-covid-gobierno-federal-mantendra-restricciones-en-frontera-sur: full text — Scheduled extension, not observed end.
https://www.inm.gob.mx/gobmx/word/index.php/tema-migratorio-240521/: full text — Press digest reproduces news, not an independent operative decree.
https://consulmex.sre.gob.mx/douglas/images/stories/BOLETINES/2021/April/DOU-BP-005-2021_Ampliacin_restricciones_en_la_frontera.pdf: full text — Geographically distinct.
Earlier source URLs not separately listed in this audit’s retrieval log (historical access notes below are not fresh verification):
https://www.inm.gob.mx/gobmx/word/index.php/tema-migratorio-230321/
https://www.swissinfo.ch/spa/m%C3%A9xico-y-eeuu-mantienen-cierre-fronterizo-por-covid-19-hasta-el-21-de-mayo/46548720
https://www.gob.mx/inm/prensa/gobierno-de-mexico-despliega-operativo-en-frontera-sur-para-salvaguarda-de-ninez-migrante-267026?idiom=es
https://www.jornada.com.mx/noticia/2021/03/21/estados/envia-inm-50-agentes-a-rio-suchiate-para-impedir-paso-de-migrantes-7025
Earlier recorded access
Source 1: indexed excerpt; failed
Source 2: full; full text
Source 3: indexed excerpt; full; full text</x:v>
      </x:c>
      <x:c r="P32" s="20" t="n">
        <x:v>1</x:v>
      </x:c>
      <x:c r="Q32" s="4" t="str">
        <x:v>Americas</x:v>
      </x:c>
      <x:c r="R32" s="4" t="str">
        <x:v>Included</x:v>
      </x:c>
    </x:row>
    <x:row r="33" ht="390" hidden="0" customHeight="1">
      <x:c r="A33" s="16" t="str">
        <x:v>AM009</x:v>
      </x:c>
      <x:c r="B33" s="4" t="str">
        <x:v>Dominican Republic security closure after Haitian presidential assassination</x:v>
      </x:c>
      <x:c r="C33" s="4" t="str">
        <x:v>Dominican Republic; Haiti</x:v>
      </x:c>
      <x:c r="D33" s="4" t="str">
        <x:v>All land frontier</x:v>
      </x:c>
      <x:c r="E33" s="4" t="str">
        <x:v>The initial Dominican measure covered vehicles, persons and binational markets. The dated operational phase concerns food commerce at Dajabón.
Direction: Dominican food exports towards Haiti, with controlled admission of Haitian purchasers into the Dominican market after reopening.
Exceptions: The 14 July 2021 reopening report specifies trade from 08:00 to 15:00 and entry limited to 50 people per hour, with health controls.</x:v>
      </x:c>
      <x:c r="F33" s="4" t="str">
        <x:v>AM009-D1 — Observed operation
Dajabón food-commerce restriction following the Haitian assassination, to initial limited commercial restoration.
Start: 2021-07-07.
Observed scoped reopening: 2021-07-13 to 2021-07-14.
6–7 calendar-day difference; scoped endpoint only</x:v>
      </x:c>
      <x:c r="G33" s="4" t="str">
        <x:v>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
Migration / Entry and asylum control
Reported reason
Applies to: Recorded episode; exact overlap not separately established
The recorded rationale and claim assessment support the selected subcategories. All applicable broad categories are retained together; no primary rationale is imposed.</x:v>
      </x:c>
      <x:c r="H33" s="4" t="str">
        <x:v>AM009-D1: Commercial permission was announced on 13 July 2021; the freshly inspected 14 July field report documents actual food trade and Haitian purchasers at Dajabón. The 13–14 July bound preserves authorization versus observation; it does not date unrestricted passengers, all goods or every post. Initial food trade operated 08:00–15:00 with entry limited to 50 people per hour.</x:v>
      </x:c>
      <x:c r="I33" s="4" t="str">
        <x:v>Second full-register audit, 26 October 2026: qualified. The July 14 Dajabón report independently describes actual food trade and controlled buyers, validating the qualified July 13–14 commercial endpoint.</x:v>
      </x:c>
      <x:c r="J33" s="18" t="d">
        <x:v>2026-10-26T00:00:00.000Z</x:v>
      </x:c>
      <x:c r="K33" s="21" t="str">
        <x:f>IFERROR(HYPERLINK("https://www.presidencia.gob.do/noticias/decisiones-del-consejo-de-seguridad-y-defensa-nacional-para-reforzar-la-zona-fronteriza","Dominican Presidency"),"Dominican Presidency")</x:f>
        <x:v>Dominican Presidency</x:v>
      </x:c>
      <x:c r="L33" s="21" t="str">
        <x:f>IFERROR(HYPERLINK("https://www.presidencia.gob.do/noticias/por-razones-humanitarias-gobierno-dominicano-reiniciara-exportaciones-hacia-haiti","Dominican Presidency"),"Dominican Presidency")</x:f>
        <x:v>Dominican Presidency</x:v>
      </x:c>
      <x:c r="M33" s="21" t="str">
        <x:f>IFERROR(HYPERLINK("https://www.diariolibre.com/actualidad/ciudad/se-reactiva-el-mercado-binacional-en-la-frontera-dominico-haitiana-DA27503374","Diario Libre"),"Diario Libre")</x:f>
        <x:v>Diario Libre</x:v>
      </x:c>
      <x:c r="N33" s="4" t="str">
        <x:v>https://www.presidencia.gob.do/noticias/decisiones-del-consejo-de-seguridad-y-defensa-nacional-para-reforzar-la-zona-fronteriza
https://www.presidencia.gob.do/noticias/por-razones-humanitarias-gobierno-dominicano-reiniciara-exportaciones-hacia-haiti
https://www.diariolibre.com/actualidad/ciudad/se-reactiva-el-mercado-binacional-en-la-frontera-dominico-haitiana-DA27503374
https://eldia.com.do/comercio-fluye-con-normalidad-en-la-frontera-asegura-canciller/</x:v>
      </x:c>
      <x:c r="O33" s="4" t="str">
        <x:v>Second full-register audit source access, 26 October 2026
https://www.presidencia.gob.do/noticias/decisiones-del-consejo-de-seguridad-y-defensa-nacional-para-reforzar-la-zona-fronteriza: search extract (previously retrieved text re-examined) — Original full-page request 403; indexed official text inspected
https://www.presidencia.gob.do/noticias/por-razones-humanitarias-gobierno-dominicano-reiniciara-exportaciones-hacia-haiti: search extract (previously retrieved text re-examined) — Original request 403
https://www.diariolibre.com/actualidad/ciudad/se-reactiva-el-mercado-binacional-en-la-frontera-dominico-haitiana-DA27503374: full text (fresh retrieval)
Earlier URLs not separately inspected in this second assessment:
https://eldia.com.do/comercio-fluye-con-normalidad-en-la-frontera-asegura-canciller/
Prior audit access record
Full-register audit source access (evidence cutoff 25 October 2026)
https://www.presidencia.gob.do/noticias/decisiones-del-consejo-de-seguridad-y-defensa-nacional-para-reforzar-la-zona-fronteriza: search extract — Original full-page request 403; indexed official text inspected
https://www.presidencia.gob.do/noticias/por-razones-humanitarias-gobierno-dominicano-reiniciara-exportaciones-hacia-haiti: search extract — Original request 403
https://www.diariolibre.com/actualidad/ciudad/se-reactiva-el-mercado-binacional-en-la-frontera-dominico-haitiana-DA27503374: full text
https://eldia.com.do/comercio-fluye-con-normalidad-en-la-frontera-asegura-canciller/: full text
Earlier recorded access
Source 1: search extract
Source 2: indexed extract; full-page fetch forbidden
Source 3: full page</x:v>
      </x:c>
      <x:c r="P33" s="20" t="n">
        <x:v>1</x:v>
      </x:c>
      <x:c r="Q33" s="4" t="str">
        <x:v>Americas</x:v>
      </x:c>
      <x:c r="R33" s="4" t="str">
        <x:v>Included</x:v>
      </x:c>
    </x:row>
    <x:row r="34" ht="354" hidden="0" customHeight="1">
      <x:c r="A34" s="16" t="str">
        <x:v>AM005</x:v>
      </x:c>
      <x:c r="B34" s="4" t="str">
        <x:v>Del Rio port closure during migrant encampment</x:v>
      </x:c>
      <x:c r="C34" s="4" t="str">
        <x:v>United States; Mexico</x:v>
      </x:c>
      <x:c r="D34" s="4" t="str">
        <x:v>Del Rio international crossing and Amistad Dam traffic diversion</x:v>
      </x:c>
      <x:c r="E34" s="4" t="str">
        <x:v>Passengers and commercial traffic; reopening staggered.
Direction: Direction not separately established in this pass; consult the movement scope and source evidence.</x:v>
      </x:c>
      <x:c r="F34" s="4" t="str">
        <x:v>AM005-D1 — Formal policy
CBP's Del Rio passenger/pedestrian port-service suspension, excluding the later commercial-cargo restoration.
Start: 2021-09-17.
Policy endpoint: 2021-09-25.
Formal policy: 8 calendar-day difference; operational continuity not established
AM005-C7P1 — Observed operation
Del Rio essential passenger travel, observed resumed by the report publication date
Start: unknown.
Observed scoped reopening: by 2021-09-27; earliest bound unknown.
dated evidence; numeric duration withheld; see qualification</x:v>
      </x:c>
      <x:c r="G34" s="4" t="str">
        <x:v>Migration / Processing capacity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34" s="4" t="str">
        <x:v>AM005-D1: Service-policy dates, not independently observed first passage. The CBP closure notice and KSAT restoration report were freshly read in full in REC50-R31. Cargo restoration was scheduled for 27 September and is outside this passenger/pedestrian interval. Eagle Pass diversions remained available; Amistad Dam’s separate service endpoint is not inferred.
AM005-C7P1: Upper-bound endpoint only; not independent first-passage proof for September 25. Cargo service and nonessential travel are not generalized from this observation.</x:v>
      </x:c>
      <x:c r="I34" s="4" t="str">
        <x:v>Second full-register audit, 26 October 2026: qualified. Further endpoint searching returns the same September 25 planned passenger restoration, while the September 27 report remains a later observed-access bound. The two accepted phases should remain distinct.</x:v>
      </x:c>
      <x:c r="J34" s="18" t="d">
        <x:v>2026-10-26T00:00:00.000Z</x:v>
      </x:c>
      <x:c r="K34" s="21" t="str">
        <x:f>IFERROR(HYPERLINK("https://content.govdelivery.com/accounts/USDHSCBP/bulletins/2f22588","U.S. Customs and Border Protection"),"U.S. Customs and Border Protection")</x:f>
        <x:v>U.S. Customs and Border Protection</x:v>
      </x:c>
      <x:c r="L34" s="21" t="str">
        <x:f>IFERROR(HYPERLINK("https://www.ksat.com/news/local/2021/09/25/port-of-entry-in-del-rio-to-resume-travel-trade-operations-saturday-officials-say/","KSAT"),"KSAT")</x:f>
        <x:v>KSAT</x:v>
      </x:c>
      <x:c r="M34" s="21" t="str">
        <x:f>IFERROR(HYPERLINK("https://www.tpr.org/border-immigration/2021-09-25/del-rio-international-bridge-reopens-as-u-s-and-mexico-clear-out-unprecedented-migrant-encampment?_amp=true","Texas Public Radio"),"Texas Public Radio")</x:f>
        <x:v>Texas Public Radio</x:v>
      </x:c>
      <x:c r="N34" s="4" t="str">
        <x:v>https://content.govdelivery.com/accounts/USDHSCBP/bulletins/2f22588
https://www.ksat.com/news/local/2021/09/25/port-of-entry-in-del-rio-to-resume-travel-trade-operations-saturday-officials-say/
https://www.tpr.org/border-immigration/2021-09-25/del-rio-international-bridge-reopens-as-u-s-and-mexico-clear-out-unprecedented-migrant-encampment?_amp=true</x:v>
      </x:c>
      <x:c r="O34" s="4" t="str">
        <x:v>Second full-register audit source access, 26 October 2026
https://content.govdelivery.com/accounts/USDHSCBP/bulletins/2f22588: full text (fresh retrieval)
https://www.ksat.com/news/local/2021/09/25/port-of-entry-in-del-rio-to-resume-travel-trade-operations-saturday-officials-say/: full text (previously retrieved text re-examined) — Mixes future schedule and CBP statement; not independent first passage.
https://www.tpr.org/border-immigration/2021-09-25/del-rio-international-bridge-reopens-as-u-s-and-mexico-clear-out-unprecedented-migrant-encampment?_amp=true: full text (previously retrieved text re-examined) — URL contains September 25 but displayed publication is September 27; retain ended-by bound.
Prior audit access record
Full-register audit source access (evidence cutoff 25 October 2026)
https://content.govdelivery.com/accounts/USDHSCBP/bulletins/2f22588: full text
https://www.ksat.com/news/local/2021/09/25/port-of-entry-in-del-rio-to-resume-travel-trade-operations-saturday-officials-say/: full text — Mixes future schedule and CBP statement; not independent first passage.
https://www.tpr.org/border-immigration/2021-09-25/del-rio-international-bridge-reopens-as-u-s-and-mexico-clear-out-unprecedented-migrant-encampment?_amp=true: full text — URL contains September 25 but displayed publication is September 27; retain ended-by bound.
Earlier recorded access
Source 1: full text
Source 2: full text
Source 3: full text</x:v>
      </x:c>
      <x:c r="P34" s="20" t="n">
        <x:v>2</x:v>
      </x:c>
      <x:c r="Q34" s="4" t="str">
        <x:v>Americas</x:v>
      </x:c>
      <x:c r="R34" s="4" t="str">
        <x:v>Included</x:v>
      </x:c>
    </x:row>
    <x:row r="35" ht="409" hidden="0" customHeight="1">
      <x:c r="A35" s="16" t="str">
        <x:v>AM006</x:v>
      </x:c>
      <x:c r="B35" s="4" t="str">
        <x:v>Ambassador Bridge protest blockade of Canada-bound traffic</x:v>
      </x:c>
      <x:c r="C35" s="4" t="str">
        <x:v>Canada; United States</x:v>
      </x:c>
      <x:c r="D35" s="4" t="str">
        <x:v>Windsor–Detroit Ambassador Bridge</x:v>
      </x:c>
      <x:c r="E35" s="4" t="str">
        <x:v>Canada-bound passenger and commercial traffic through Ambassador Bridge; initial disruption also affected US-bound traffic.
Direction: Canada-bound interval; US-bound access restored by February 8.
Exceptions: US-bound commercial traffic could use surface-street access from February 8; emergency access and diversion via other crossings existed.</x:v>
      </x:c>
      <x:c r="F35" s="4" t="str">
        <x:v>AM006-D1 — Observed operation
Canada-bound access/processing at the Ambassador Bridge during the protest blockade.
Start: 2022-02-07.
Observed scoped reopening: 2022-02-13 to 2022-02-14.
6–7 calendar-day difference; scoped endpoint only</x:v>
      </x:c>
      <x:c r="G35" s="4" t="str">
        <x:v>Policy and socioeconomic demands / Opposition to health policies
Reported reason
Applies to: Recorded episode; exact overlap not separately established
The protest opposed pandemic rules. CBSA also suspended service because access was unsafe or obstructed. Infection control was not the blockade's purpose.
Security / Public order and immediate safety
Reported reason
Applies to: Recorded episode; exact overlap not separately established
The protest opposed pandemic rules. CBSA also suspended service because access was unsafe or obstructed. Infection control was not the blockade's purpose.</x:v>
      </x:c>
      <x:c r="H35" s="4" t="str">
        <x:v>AM006-D1: The endpoint range preserves different operational definitions. US-bound access was restored by 8 February, so this is not a bidirectional bridge closure; emergency access and diversions existed.</x:v>
      </x:c>
      <x:c r="I35" s="4" t="str">
        <x:v>Second full-register audit, 26 October 2026: qualified. Round 2 retains the Canada-bound interval and the February 13–14 endpoint distinction. Administrative alert times should not replace physical passage times.</x:v>
      </x:c>
      <x:c r="J35" s="18" t="d">
        <x:v>2026-10-26T00:00:00.000Z</x:v>
      </x:c>
      <x:c r="K35" s="21" t="str">
        <x:f>IFERROR(HYPERLINK("https://www.cbsa-asfc.gc.ca/transparency-transparence/pd-dp/bbp-rpp/dedc/2022-04-26/overview-apercu-eng.html","Canada Border Services Agency"),"Canada Border Services Agency")</x:f>
        <x:v>Canada Border Services Agency</x:v>
      </x:c>
      <x:c r="L35" s="21" t="str">
        <x:f>IFERROR(HYPERLINK("https://tc.canada.ca/en/binder/14-situation-ambassador-bridge","Transport Canada / CBSA briefing"),"Transport Canada / CBSA briefing")</x:f>
        <x:v>Transport Canada / CBSA briefing</x:v>
      </x:c>
      <x:c r="M35" s="21" t="str">
        <x:f>IFERROR(HYPERLINK("https://rcmp.ca/en/corporate-information/publications-and-manuals/project-natterjack-national-after-action-review","Royal Canadian Mounted Police"),"Royal Canadian Mounted Police")</x:f>
        <x:v>Royal Canadian Mounted Police</x:v>
      </x:c>
      <x:c r="N35" s="4" t="str">
        <x:v>https://www.cbsa-asfc.gc.ca/transparency-transparence/pd-dp/bbp-rpp/dedc/2022-04-26/overview-apercu-eng.html
https://tc.canada.ca/en/binder/14-situation-ambassador-bridge
https://rcmp.ca/en/corporate-information/publications-and-manuals/project-natterjack-national-after-action-review
https://www.cbsa-asfc.gc.ca/transparency-transparence/pd-dp/bbp-rpp/secu/2022-02-25/overview-apercu-eng.html
https://content.govdelivery.com/accounts/USDHSCBP/bulletins/30ad31a</x:v>
      </x:c>
      <x:c r="O35" s="4" t="str">
        <x:v>Second full-register audit source access, 26 October 2026
https://www.cbsa-asfc.gc.ca/transparency-transparence/pd-dp/bbp-rpp/dedc/2022-04-26/overview-apercu-eng.html: full text (previously retrieved text re-examined)
https://tc.canada.ca/en/binder/14-situation-ambassador-bridge: full text (previously retrieved text re-examined) — Two introductory lines mistakenly say 2021; dated 2022 background/timeline resolves typo.
https://rcmp.ca/en/corporate-information/publications-and-manuals/project-natterjack-national-after-action-review: full text (previously retrieved text re-examined)
https://content.govdelivery.com/accounts/USDHSCBP/bulletins/30ad31a: full text (fresh retrieval)
Earlier URLs not separately inspected in this second assessment:
https://www.cbsa-asfc.gc.ca/transparency-transparence/pd-dp/bbp-rpp/secu/2022-02-25/overview-apercu-eng.html
Prior audit access record
Full-register audit source access (evidence cutoff 25 October 2026)
https://www.cbsa-asfc.gc.ca/transparency-transparence/pd-dp/bbp-rpp/dedc/2022-04-26/overview-apercu-eng.html: full text
https://tc.canada.ca/en/binder/14-situation-ambassador-bridge: full text — Two introductory lines mistakenly say 2021; dated 2022 background/timeline resolves typo.
https://rcmp.ca/en/corporate-information/publications-and-manuals/project-natterjack-national-after-action-review: full text
https://www.cbsa-asfc.gc.ca/transparency-transparence/pd-dp/bbp-rpp/secu/2022-02-25/overview-apercu-eng.html: full text
https://content.govdelivery.com/accounts/USDHSCBP/bulletins/30ad31a: full text
Earlier recorded access
Source 1: full text
Source 2: full text
Source 3: Opened relevant report timeline sections</x:v>
      </x:c>
      <x:c r="P35" s="20" t="n">
        <x:v>1</x:v>
      </x:c>
      <x:c r="Q35" s="4" t="str">
        <x:v>Americas</x:v>
      </x:c>
      <x:c r="R35" s="4" t="str">
        <x:v>Included</x:v>
      </x:c>
    </x:row>
    <x:row r="36" ht="378" hidden="0" customHeight="1">
      <x:c r="A36" s="16" t="str">
        <x:v>AM043</x:v>
      </x:c>
      <x:c r="B36" s="4" t="str">
        <x:v>Emerson protest-related border service suspension</x:v>
      </x:c>
      <x:c r="C36" s="4" t="str">
        <x:v>Canada; United States</x:v>
      </x:c>
      <x:c r="D36" s="4" t="str">
        <x:v>Emerson Manitoba–Pembina North Dakota</x:v>
      </x:c>
      <x:c r="E36" s="4" t="str">
        <x:v>Ordinary passenger and commercial traffic affected by the Emerson access blockade.
Direction: Both northbound and southbound access was obstructed.
Exceptions: Livestock transport, CBSA employees, emergency vehicles and residential traffic from Emerson continued through the blockade.</x:v>
      </x:c>
      <x:c r="F36" s="4" t="str">
        <x:v>AM043-D1 — Observed operation
Emerson Manitoba–Pembina North Dakota; Ordinary passenger and commercial traffic affected by the Emerson access blockade; specified essential/local movements continued. Both northbound and southbound access was obstructed.
Start: 2022-02-10.
Observed scoped reopening: 2022-02-16.
6 calendar-day difference; scoped endpoint only</x:v>
      </x:c>
      <x:c r="G36" s="4" t="str">
        <x:v>Policy and socioeconomic demands / Opposition to health policies
Reported reason
Applies to: Recorded episode; exact overlap not separately established
Opposition to pandemic mandates is a protest grievance, not an infection-control purpose. Replace the old thematic Public health code with the health-policy opposition subtype.</x:v>
      </x:c>
      <x:c r="H36" s="4" t="str">
        <x:v>AM043-D1: CBSA agency chronology establishes ordinary service suspension/resumption; Public Safety specifies exceptions, so not total impermeability. Other crossings available. Livestock transport, CBSA employees, emergency vehicles and residential traffic from Emerson continued through the blockade.</x:v>
      </x:c>
      <x:c r="I36" s="4" t="str">
        <x:v>Second full-register audit, 26 October 2026: additional source-audited corrections incorporated. See the phase, scope and qualification columns for the accepted findings.</x:v>
      </x:c>
      <x:c r="J36" s="18" t="d">
        <x:v>2026-10-26T00:00:00.000Z</x:v>
      </x:c>
      <x:c r="K36" s="21" t="str">
        <x:f>IFERROR(HYPERLINK("https://www.cbsa-asfc.gc.ca/transparency-transparence/pd-dp/bbp-rpp/dedc/2022-04-26/overview-apercu-eng.html","CBSA"),"CBSA")</x:f>
        <x:v>CBSA</x:v>
      </x:c>
      <x:c r="L36" s="21" t="str">
        <x:f>IFERROR(HYPERLINK("https://www.securitepublique.gc.ca/cnt/trnsprnc/brfng-mtrls/prlmntry-bndrs/20221013/13-en.aspx","Public Safety Canada"),"Public Safety Canada")</x:f>
        <x:v>Public Safety Canada</x:v>
      </x:c>
      <x:c r="M36" s="21" t="str">
        <x:f>IFERROR(HYPERLINK("https://www.cbsa-asfc.gc.ca/transparency-transparence/pd-dp/bbp-rpp/secu/2022-02-25/overview-apercu-eng.html","cbsa-asfc.gc.ca"),"cbsa-asfc.gc.ca")</x:f>
        <x:v>cbsa-asfc.gc.ca</x:v>
      </x:c>
      <x:c r="N36" s="4" t="str">
        <x:v>https://www.cbsa-asfc.gc.ca/transparency-transparence/pd-dp/bbp-rpp/dedc/2022-04-26/overview-apercu-eng.html
https://www.securitepublique.gc.ca/cnt/trnsprnc/brfng-mtrls/prlmntry-bndrs/20221013/13-en.aspx
https://www.cbsa-asfc.gc.ca/transparency-transparence/pd-dp/bbp-rpp/secu/2022-02-25/overview-apercu-eng.html
https://knoxradio.com/2022/02/16/blockade-at-emerson-border-crossing-is-cleared/</x:v>
      </x:c>
      <x:c r="O36" s="4" t="str">
        <x:v>Second full-register audit source access, 26 October 2026
https://www.cbsa-asfc.gc.ca/transparency-transparence/pd-dp/bbp-rpp/dedc/2022-04-26/overview-apercu-eng.html: full text (previously retrieved text re-examined)
https://www.securitepublique.gc.ca/cnt/trnsprnc/brfng-mtrls/prlmntry-bndrs/20221013/13-en.aspx: full text (fresh retrieval)
Earlier URLs not separately inspected in this second assessment:
https://www.cbsa-asfc.gc.ca/transparency-transparence/pd-dp/bbp-rpp/secu/2022-02-25/overview-apercu-eng.html
https://knoxradio.com/2022/02/16/blockade-at-emerson-border-crossing-is-cleared/
Prior audit access record
Full-register audit source access (evidence cutoff 25 October 2026)
https://www.cbsa-asfc.gc.ca/transparency-transparence/pd-dp/bbp-rpp/dedc/2022-04-26/overview-apercu-eng.html: full text
https://www.securitepublique.gc.ca/cnt/trnsprnc/brfng-mtrls/prlmntry-bndrs/20221013/13-en.aspx: full text
Earlier source URLs not separately listed in this audit’s retrieval log (historical access notes below are not fresh verification):
https://www.cbsa-asfc.gc.ca/transparency-transparence/pd-dp/bbp-rpp/secu/2022-02-25/overview-apercu-eng.html
https://knoxradio.com/2022/02/16/blockade-at-emerson-border-crossing-is-cleared/
Earlier recorded access
Source 1: full page
Source 2: full page
Source 3: access detail is retained in the source catalogue.</x:v>
      </x:c>
      <x:c r="P36" s="20" t="n">
        <x:v>1</x:v>
      </x:c>
      <x:c r="Q36" s="4" t="str">
        <x:v>Americas</x:v>
      </x:c>
      <x:c r="R36" s="4" t="str">
        <x:v>Included</x:v>
      </x:c>
    </x:row>
    <x:row r="37" ht="294" hidden="0" customHeight="1">
      <x:c r="A37" s="16" t="str">
        <x:v>AM007</x:v>
      </x:c>
      <x:c r="B37" s="4" t="str">
        <x:v>Coutts service suspension during protest blockade</x:v>
      </x:c>
      <x:c r="C37" s="4" t="str">
        <x:v>Canada; United States</x:v>
      </x:c>
      <x:c r="D37" s="4" t="str">
        <x:v>Coutts Alberta crossing access</x:v>
      </x:c>
      <x:c r="E37" s="4" t="str">
        <x:v>All traveller and commercial traffic affected by the Coutts port access and service suspension.
Direction: Access to the Coutts crossing; nearby highway blockages affected the approaches. Traffic was redirected to other ports of entry.
Exceptions: Earlier intermittent disruptions are not merged into the 12 February service-suspension interval.</x:v>
      </x:c>
      <x:c r="F37" s="4" t="str">
        <x:v>AM007-D1 — Observed operation
Coutts access/service suspension beginning 12 February, excluding earlier intermittent blockages.
Start: 2022-02-12.
Observed scoped reopening: 2022-02-14 to 2022-02-15.
2–3 calendar-day difference; scoped endpoint only</x:v>
      </x:c>
      <x:c r="G37" s="4" t="str">
        <x:v>Policy and socioeconomic demands / Opposition to health policies
Reported reason
Applies to: Recorded episode; exact overlap not separately established
The blockade opposed pandemic restrictions; public-health context is retained separately. Other rationale codes retain their existing evidence qualifications.
Security / Public order and immediate safety
Reported reason
Applies to: February 12 formal state service suspension
State suspension rationale, distinct from protesters' opposition to pandemic mandates.</x:v>
      </x:c>
      <x:c r="H37" s="4" t="str">
        <x:v>AM007-D1: The one-day range preserves the physical-access versus service-message distinction. Earlier intermittent protests are not joined into this spell.</x:v>
      </x:c>
      <x:c r="I37" s="4" t="str">
        <x:v>Second full-register audit, 26 October 2026: qualified. Fresh RCMP chronology confirms February 14 evening physical reopening, distinct from the February 15 CBSA service message. The existing narrow February 12 phase is appropriate.</x:v>
      </x:c>
      <x:c r="J37" s="18" t="d">
        <x:v>2026-10-26T00:00:00.000Z</x:v>
      </x:c>
      <x:c r="K37" s="21" t="str">
        <x:f>IFERROR(HYPERLINK("https://www.cbsa-asfc.gc.ca/transparency-transparence/pd-dp/bbp-rpp/dedc/2022-04-26/overview-apercu-eng.html","cbsa-asfc.gc.ca"),"cbsa-asfc.gc.ca")</x:f>
        <x:v>cbsa-asfc.gc.ca</x:v>
      </x:c>
      <x:c r="L37" s="21" t="str">
        <x:f>IFERROR(HYPERLINK("https://rcmp.ca/en/corporate-information/publications-and-manuals/project-natterjack-national-after-action-review","rcmp.ca"),"rcmp.ca")</x:f>
        <x:v>rcmp.ca</x:v>
      </x:c>
      <x:c r="M37" s="21" t="str">
        <x:f>IFERROR(HYPERLINK("https://www.cbsa-asfc.gc.ca/transparency-transparence/pd-dp/bbp-rpp/secu/2022-02-25/overview-apercu-eng.html","cbsa-asfc.gc.ca"),"cbsa-asfc.gc.ca")</x:f>
        <x:v>cbsa-asfc.gc.ca</x:v>
      </x:c>
      <x:c r="N37" s="4" t="str">
        <x:v>https://www.cbsa-asfc.gc.ca/transparency-transparence/pd-dp/bbp-rpp/dedc/2022-04-26/overview-apercu-eng.html
https://rcmp.ca/en/corporate-information/publications-and-manuals/project-natterjack-national-after-action-review
https://www.cbsa-asfc.gc.ca/transparency-transparence/pd-dp/bbp-rpp/secu/2022-02-25/overview-apercu-eng.html</x:v>
      </x:c>
      <x:c r="O37" s="4" t="str">
        <x:v>Second full-register audit source access, 26 October 2026
https://www.cbsa-asfc.gc.ca/transparency-transparence/pd-dp/bbp-rpp/dedc/2022-04-26/overview-apercu-eng.html: full text (previously retrieved text re-examined)
https://rcmp.ca/en/corporate-information/publications-and-manuals/project-natterjack-national-after-action-review: full text (fresh retrieval)
Earlier URLs not separately inspected in this second assessment:
https://www.cbsa-asfc.gc.ca/transparency-transparence/pd-dp/bbp-rpp/secu/2022-02-25/overview-apercu-eng.html
Prior audit access record
Full-register audit source access (evidence cutoff 25 October 2026)
https://www.cbsa-asfc.gc.ca/transparency-transparence/pd-dp/bbp-rpp/dedc/2022-04-26/overview-apercu-eng.html: full text
https://rcmp.ca/en/corporate-information/publications-and-manuals/project-natterjack-national-after-action-review: full text
https://www.cbsa-asfc.gc.ca/transparency-transparence/pd-dp/bbp-rpp/secu/2022-02-25/overview-apercu-eng.html: full text
Earlier recorded access
Source 1: indexed excerpt
Source 2: full
Source 3: indexed excerpt</x:v>
      </x:c>
      <x:c r="P37" s="20" t="n">
        <x:v>1</x:v>
      </x:c>
      <x:c r="Q37" s="4" t="str">
        <x:v>Americas</x:v>
      </x:c>
      <x:c r="R37" s="4" t="str">
        <x:v>Included</x:v>
      </x:c>
    </x:row>
    <x:row r="38" ht="330" hidden="0" customHeight="1">
      <x:c r="A38" s="16" t="str">
        <x:v>AM044</x:v>
      </x:c>
      <x:c r="B38" s="4" t="str">
        <x:v>Pacific Highway protest-related service suspension</x:v>
      </x:c>
      <x:c r="C38" s="4" t="str">
        <x:v>Canada; United States</x:v>
      </x:c>
      <x:c r="D38" s="4" t="str">
        <x:v>Pacific Highway British Columbia–Blaine Washington</x:v>
      </x:c>
      <x:c r="E38" s="4" t="str">
        <x:v>Passenger and commercial access at Pacific Highway.
Direction: Both northbound and southbound highway access was obstructed; alternate ports of entry remained available.
Exceptions: No complete inventory of exceptions is established in the reviewed accounts.</x:v>
      </x:c>
      <x:c r="F38" s="4" t="str">
        <x:v>AM044-D1 — Observed operation
Pacific Highway first February 2022 protest-related access/service suspension.
Start: 2022-02-12.
Observed scoped reopening: 2022-02-14 to 2022-02-15.
2–3 calendar-day difference; scoped endpoint only</x:v>
      </x:c>
      <x:c r="G38" s="4" t="str">
        <x:v>Policy and socioeconomic demands / Opposition to health policies
Reported reason
Applies to: Recorded episode; exact overlap not separately established
Opposition to pandemic mandates is a protest grievance, not an infection-control purpose. Replace the old thematic Public health code with the health-policy opposition subtype.</x:v>
      </x:c>
      <x:c r="H38" s="4" t="str">
        <x:v>AM044-D1: The endpoint is deliberately bounded across the two operational accounts. A later protest episode is separate and is not bridged.</x:v>
      </x:c>
      <x:c r="I38" s="4" t="str">
        <x:v>Second full-register audit, 26 October 2026: qualified. The February 14–15 endpoint bound remains justified by distinct police clearance and border-service reporting. The February 19 recurrence must remain separate.</x:v>
      </x:c>
      <x:c r="J38" s="18" t="d">
        <x:v>2026-10-26T00:00:00.000Z</x:v>
      </x:c>
      <x:c r="K38" s="21" t="str">
        <x:f>IFERROR(HYPERLINK("https://www.cbsa-asfc.gc.ca/transparency-transparence/pd-dp/bbp-rpp/dedc/2022-04-26/overview-apercu-eng.html","Canada Border Services Agency"),"Canada Border Services Agency")</x:f>
        <x:v>Canada Border Services Agency</x:v>
      </x:c>
      <x:c r="L38" s="21" t="str">
        <x:f>IFERROR(HYPERLINK("https://rcmp.ca/en/corporate-information/publications-and-manuals/project-natterjack-national-after-action-review","Royal Canadian Mounted Police"),"Royal Canadian Mounted Police")</x:f>
        <x:v>Royal Canadian Mounted Police</x:v>
      </x:c>
      <x:c r="M38" s="21" t="str">
        <x:f>IFERROR(HYPERLINK("https://www.cbsa-asfc.gc.ca/transparency-transparence/pd-dp/bbp-rpp/secu/2022-02-25/overview-apercu-eng.html","cbsa-asfc.gc.ca"),"cbsa-asfc.gc.ca")</x:f>
        <x:v>cbsa-asfc.gc.ca</x:v>
      </x:c>
      <x:c r="N38" s="4" t="str">
        <x:v>https://www.cbsa-asfc.gc.ca/transparency-transparence/pd-dp/bbp-rpp/dedc/2022-04-26/overview-apercu-eng.html
https://rcmp.ca/en/corporate-information/publications-and-manuals/project-natterjack-national-after-action-review
https://www.cbsa-asfc.gc.ca/transparency-transparence/pd-dp/bbp-rpp/secu/2022-02-25/overview-apercu-eng.html</x:v>
      </x:c>
      <x:c r="O38" s="4" t="str">
        <x:v>Second full-register audit source access, 26 October 2026
https://www.cbsa-asfc.gc.ca/transparency-transparence/pd-dp/bbp-rpp/dedc/2022-04-26/overview-apercu-eng.html: full text (previously retrieved text re-examined)
https://rcmp.ca/en/corporate-information/publications-and-manuals/project-natterjack-national-after-action-review: full text (fresh retrieval)
Earlier URLs not separately inspected in this second assessment:
https://www.cbsa-asfc.gc.ca/transparency-transparence/pd-dp/bbp-rpp/secu/2022-02-25/overview-apercu-eng.html
Prior audit access record
Full-register audit source access (evidence cutoff 25 October 2026)
https://www.cbsa-asfc.gc.ca/transparency-transparence/pd-dp/bbp-rpp/dedc/2022-04-26/overview-apercu-eng.html: full text
https://rcmp.ca/en/corporate-information/publications-and-manuals/project-natterjack-national-after-action-review: full text
Earlier source URLs not separately listed in this audit’s retrieval log (historical access notes below are not fresh verification):
https://www.cbsa-asfc.gc.ca/transparency-transparence/pd-dp/bbp-rpp/secu/2022-02-25/overview-apercu-eng.html
Earlier recorded access
Source 1: indexed excerpt; full text
Source 2: full; full text
Source 3: access detail is retained in the source catalogue.</x:v>
      </x:c>
      <x:c r="P38" s="20" t="n">
        <x:v>1</x:v>
      </x:c>
      <x:c r="Q38" s="4" t="str">
        <x:v>Americas</x:v>
      </x:c>
      <x:c r="R38" s="4" t="str">
        <x:v>Included</x:v>
      </x:c>
    </x:row>
    <x:row r="39" ht="354" hidden="0" customHeight="1">
      <x:c r="A39" s="16" t="str">
        <x:v>AM045</x:v>
      </x:c>
      <x:c r="B39" s="4" t="str">
        <x:v>Pacific Highway renewed protest-related service suspension</x:v>
      </x:c>
      <x:c r="C39" s="4" t="str">
        <x:v>Canada; United States</x:v>
      </x:c>
      <x:c r="D39" s="4" t="str">
        <x:v>Pacific Highway British Columbia–Blaine Washington</x:v>
      </x:c>
      <x:c r="E39" s="4" t="str">
        <x:v>Passenger and commercial access at Pacific Highway.
Direction: Both northbound and southbound highway access was obstructed; alternate ports of entry remained available.
Exceptions: No complete inventory of exceptions is established in the reviewed accounts.</x:v>
      </x:c>
      <x:c r="F39" s="4" t="str">
        <x:v>AM045-D1 — Observed operation
Separate 19 February 2022 recurrence; minute-level disagreement does not alter the same-day finding.
Start: 2022-02-19.
Observed scoped reopening: 2022-02-19.
Same-day episode; no whole-day duration inferred</x:v>
      </x:c>
      <x:c r="G39" s="4" t="str">
        <x:v>Policy and socioeconomic demands / Opposition to health policies
Reported protest grievance
Applies to: Demonstrators opposing pandemic mandates.
Security / Public order and immediate safety
Reported official reason
Applies to: Police precautionary closure of northbound and southbound highway access in response to the 19 February assembly.</x:v>
      </x:c>
      <x:c r="H39" s="4" t="str">
        <x:v>AM045-D1: Same-day episode, not a whole-day closure. Alternative crossings remained available. RCMP NATTERJACK records reopening at 20:34; CBSA records its service-resumption message at 20:39. Preserve the operational/message distinction.</x:v>
      </x:c>
      <x:c r="I39" s="4" t="str">
        <x:v>Second full-register audit, 26 October 2026: qualified. The renewed February 19 interruption is conclusively same-day. The five-minute reopening versus message difference is correctly distinguished and cannot justify &gt;24h inclusion.</x:v>
      </x:c>
      <x:c r="J39" s="18" t="d">
        <x:v>2026-10-26T00:00:00.000Z</x:v>
      </x:c>
      <x:c r="K39" s="21" t="str">
        <x:f>IFERROR(HYPERLINK("https://www.cbsa-asfc.gc.ca/transparency-transparence/pd-dp/bbp-rpp/dedc/2022-04-26/overview-apercu-eng.html","Canada Border Services Agency"),"Canada Border Services Agency")</x:f>
        <x:v>Canada Border Services Agency</x:v>
      </x:c>
      <x:c r="L39" s="21" t="str">
        <x:f>IFERROR(HYPERLINK("https://rcmp.ca/en/corporate-information/publications-and-manuals/project-natterjack-national-after-action-review","Royal Canadian Mounted Police"),"Royal Canadian Mounted Police")</x:f>
        <x:v>Royal Canadian Mounted Police</x:v>
      </x:c>
      <x:c r="M39" s="21" t="str">
        <x:f>IFERROR(HYPERLINK("https://www.cbsa-asfc.gc.ca/transparency-transparence/pd-dp/bbp-rpp/secu/2022-02-25/overview-apercu-eng.html","cbsa-asfc.gc.ca"),"cbsa-asfc.gc.ca")</x:f>
        <x:v>cbsa-asfc.gc.ca</x:v>
      </x:c>
      <x:c r="N39" s="4" t="str">
        <x:v>https://www.cbsa-asfc.gc.ca/transparency-transparence/pd-dp/bbp-rpp/dedc/2022-04-26/overview-apercu-eng.html
https://rcmp.ca/en/corporate-information/publications-and-manuals/project-natterjack-national-after-action-review
https://www.cbsa-asfc.gc.ca/transparency-transparence/pd-dp/bbp-rpp/secu/2022-02-25/overview-apercu-eng.html
https://voiceonline.com/pacific-highway-border-crossing-closed/</x:v>
      </x:c>
      <x:c r="O39" s="4" t="str">
        <x:v>Second full-register audit source access, 26 October 2026
https://www.cbsa-asfc.gc.ca/transparency-transparence/pd-dp/bbp-rpp/dedc/2022-04-26/overview-apercu-eng.html: full text (previously retrieved text re-examined)
https://rcmp.ca/en/corporate-information/publications-and-manuals/project-natterjack-national-after-action-review: full text (fresh retrieval)
Earlier URLs not separately inspected in this second assessment:
https://www.cbsa-asfc.gc.ca/transparency-transparence/pd-dp/bbp-rpp/secu/2022-02-25/overview-apercu-eng.html
https://voiceonline.com/pacific-highway-border-crossing-closed/
Prior audit access record
Full-register audit source access (evidence cutoff 25 October 2026)
https://www.cbsa-asfc.gc.ca/transparency-transparence/pd-dp/bbp-rpp/dedc/2022-04-26/overview-apercu-eng.html: full text
https://rcmp.ca/en/corporate-information/publications-and-manuals/project-natterjack-national-after-action-review: full text
Earlier source URLs not separately listed in this audit’s retrieval log (historical access notes below are not fresh verification):
https://www.cbsa-asfc.gc.ca/transparency-transparence/pd-dp/bbp-rpp/secu/2022-02-25/overview-apercu-eng.html
https://voiceonline.com/pacific-highway-border-crossing-closed/
Earlier recorded access
Source 1: full text
Source 2: full text
Source 3: access detail is retained in the source catalogue.</x:v>
      </x:c>
      <x:c r="P39" s="20" t="n">
        <x:v>1</x:v>
      </x:c>
      <x:c r="Q39" s="4" t="str">
        <x:v>Americas</x:v>
      </x:c>
      <x:c r="R39" s="4" t="str">
        <x:v>Included</x:v>
      </x:c>
    </x:row>
    <x:row r="40" ht="402" hidden="0" customHeight="1">
      <x:c r="A40" s="16" t="str">
        <x:v>AM041</x:v>
      </x:c>
      <x:c r="B40" s="4" t="str">
        <x:v>Colombia congressional election 2022 frontier closure</x:v>
      </x:c>
      <x:c r="C40" s="4" t="str">
        <x:v>Colombia; Venezuela; Brazil; Peru; Ecuador; Panama</x:v>
      </x:c>
      <x:c r="D40" s="4" t="str">
        <x:v>National land frontier measures</x:v>
      </x:c>
      <x:c r="E40" s="4" t="str">
        <x:v>See geographic scope and exemptions.
Direction: Direction not separately established in this pass; consult the movement scope and source evidence.
Exceptions: Colombians resident in Venezuela allowed designated frontier voting access.</x:v>
      </x:c>
      <x:c r="F40" s="4" t="str">
        <x:v>AM041-R1 — Announced window
Colombia authorised land and river posts, ordinary travellers outside voting/force-majeure exceptions
Start: 2022-03-12.
Scheduled endpoint: 2022-03-13.
Ordered window: 1 calendar-day difference; actual end not established</x:v>
      </x:c>
      <x:c r="G40"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0" s="4" t="str">
        <x:v>The earlier March 10 announcement was superseded by Decree 318 and the migration director's revised March 12 at 00:00 schedule. End at March 13 at 23:59 is scheduled, not an observed reopening.
AM041-R1: Ordered almost-48-hour window only; date subtraction is not elapsed closure. No observed reopening.
continuity: Decree 318 establishes a March 2022 election schedule and exceptions; targeted follow-up did not establish actual nationwide continuous closure or reopening.</x:v>
      </x:c>
      <x:c r="I40" s="4" t="str">
        <x:v>Second full-register audit, 26 October 2026: qualified. Revised 12–13 March 2022 election window is confirmed; the older March 10 plan must remain superseded. Further endpoint searches returned plans and unrelated reopenings, not a witnessed all-post resumption.</x:v>
      </x:c>
      <x:c r="J40" s="18" t="d">
        <x:v>2026-10-26T00:00:00.000Z</x:v>
      </x:c>
      <x:c r="K40" s="21" t="str">
        <x:f>IFERROR(HYPERLINK("https://www.funcionpublica.gov.co/eva/gestornormativo/norma.php?i=180537","Función Pública"),"Función Pública")</x:f>
        <x:v>Función Pública</x:v>
      </x:c>
      <x:c r="L40" s="21" t="str">
        <x:f>IFERROR(HYPERLINK("https://www.elheraldo.co/colombia/2022/03/09/elecciones-2022-cierre-de-fronteras-sera-desde-el-sabado-12-hasta-domingo-13-de-marzo-893198/","El Heraldo"),"El Heraldo")</x:f>
        <x:v>El Heraldo</x:v>
      </x:c>
      <x:c r="M40" s="21" t="str">
        <x:f>IFERROR(HYPERLINK("https://www.mininterior.gov.co/noticias/el-gobierno-nacional-garantizara-el-derecho-al-voto-de-los-mas-de-195-mil-colombianos-residentes-en-venezuela-en-seis-puntos-de-votacion-fronterizos-habilitados-en-el-territorio-nacional/","Colombia Interior Ministry"),"Colombia Interior Ministry")</x:f>
        <x:v>Colombia Interior Ministry</x:v>
      </x:c>
      <x:c r="N40" s="4" t="str">
        <x:v>https://www.funcionpublica.gov.co/eva/gestornormativo/norma.php?i=180537
https://www.elheraldo.co/colombia/2022/03/09/elecciones-2022-cierre-de-fronteras-sera-desde-el-sabado-12-hasta-domingo-13-de-marzo-893198/
https://www.mininterior.gov.co/noticias/el-gobierno-nacional-garantizara-el-derecho-al-voto-de-los-mas-de-195-mil-colombianos-residentes-en-venezuela-en-seis-puntos-de-votacion-fronterizos-habilitados-en-el-territorio-nacional/
https://www.alcaldiabogota.gov.co/sisjur/normas/Norma1.jsp?i=121362</x:v>
      </x:c>
      <x:c r="O40" s="4" t="str">
        <x:v>Second full-register audit source access, 26 October 2026
https://www.funcionpublica.gov.co/eva/gestornormativo/norma.php?i=180537: search extract (fresh retrieval) — Substantive indexed official text inspected; direct source failed.
https://www.elheraldo.co/colombia/2022/03/09/elecciones-2022-cierre-de-fronteras-sera-desde-el-sabado-12-hasta-domingo-13-de-marzo-893198/: full text (previously retrieved text re-examined)
Earlier URLs not separately inspected in this second assessment:
https://www.mininterior.gov.co/noticias/el-gobierno-nacional-garantizara-el-derecho-al-voto-de-los-mas-de-195-mil-colombianos-residentes-en-venezuela-en-seis-puntos-de-votacion-fronterizos-habilitados-en-el-territorio-nacional/
https://www.alcaldiabogota.gov.co/sisjur/normas/Norma1.jsp?i=121362
Prior audit access record
Full-register audit source access (evidence cutoff 25 October 2026)
https://www.funcionpublica.gov.co/eva/gestornormativo/norma.php?i=180537: search extract — Substantive indexed official text inspected; direct source failed.
https://www.elheraldo.co/colombia/2022/03/09/elecciones-2022-cierre-de-fronteras-sera-desde-el-sabado-12-hasta-domingo-13-de-marzo-893198/: full text
Earlier source URLs not separately listed in this audit’s retrieval log (historical access notes below are not fresh verification):
https://www.mininterior.gov.co/noticias/el-gobierno-nacional-garantizara-el-derecho-al-voto-de-los-mas-de-195-mil-colombianos-residentes-en-venezuela-en-seis-puntos-de-votacion-fronterizos-habilitados-en-el-territorio-nacional/
https://www.alcaldiabogota.gov.co/sisjur/normas/Norma1.jsp?i=121362
Earlier recorded access
Source 1: indexed excerpt
Source 2: indexed excerpt; full
Source 3: indexed excerpt; failed</x:v>
      </x:c>
      <x:c r="P40" s="20" t="n">
        <x:v>1</x:v>
      </x:c>
      <x:c r="Q40" s="4" t="str">
        <x:v>Americas</x:v>
      </x:c>
      <x:c r="R40" s="4" t="str">
        <x:v>Included</x:v>
      </x:c>
    </x:row>
    <x:row r="41" ht="409" hidden="0" customHeight="1">
      <x:c r="A41" s="16" t="str">
        <x:v>AM039</x:v>
      </x:c>
      <x:c r="B41" s="4" t="str">
        <x:v>Colombia presidential first-round 2022 frontier closure</x:v>
      </x:c>
      <x:c r="C41" s="4" t="str">
        <x:v>Colombia; Venezuela; Brazil; Peru; Ecuador; Panama</x:v>
      </x:c>
      <x:c r="D41" s="4" t="str">
        <x:v>Authorised land/river border posts</x:v>
      </x:c>
      <x:c r="E41" s="4" t="str">
        <x:v>See geographic scope and exemptions.
Direction: Direction not separately established in this pass; consult the movement scope and source evidence.
Exceptions: Force majeure and fortuitous events; Decree 836 of 25 May concerns election witnesses and does not amend the border provision.</x:v>
      </x:c>
      <x:c r="F41" s="4" t="str">
        <x:v>AM039-R1 — Announced window
Colombia authorised land and river crossings for ordinary travellers
Start: 2022-05-28.
Scheduled endpoint: 2022-05-30.
Ordered window: 2 calendar-day difference; actual end not established
AM039-REV1 — Observed operation
Ordinary pedestrian passage at Cúcuta-area Colombia–Venezuela international bridges
Start: 2022-05-28.
Observed scoped reopening: 2022-05-30.
2 calendar-day difference; scoped endpoint only</x:v>
      </x:c>
      <x:c r="G41"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1" s="4" t="str">
        <x:v>AM039-R1: Scheduled 36 hours; actual enforcement/reopening not established. Force-majeure exceptions and separate voting arrangements apply.
AM039-REV1: Reported May 28 at 18:00 to May 30 at 06:00 restriction; voting exceptions and Venezuelan-side obstacles remained. The local bridge account is not generalized to other frontiers.</x:v>
      </x:c>
      <x:c r="I41" s="4" t="str">
        <x:v>Second full-register audit, 26 October 2026: qualified. The national ordered 36-hour window and separately observed local pedestrian reopening agree with inspected sources. Preserve the distinction between national order and Cúcuta bridge operation.</x:v>
      </x:c>
      <x:c r="J41" s="18" t="d">
        <x:v>2026-10-26T00:00:00.000Z</x:v>
      </x:c>
      <x:c r="K41" s="21" t="str">
        <x:f>IFERROR(HYPERLINK("https://www.funcionpublica.gov.co/eva/gestornormativo/norma.php?i=187126","Colombia Función Pública"),"Colombia Función Pública")</x:f>
        <x:v>Colombia Función Pública</x:v>
      </x:c>
      <x:c r="L41" s="21" t="str">
        <x:f>IFERROR(HYPERLINK("https://caracol.com.co/emisora/2022/05/30/cucuta/1653927496_967896.html","Caracol Radio"),"Caracol Radio")</x:f>
        <x:v>Caracol Radio</x:v>
      </x:c>
      <x:c r="M41" s="21" t="str">
        <x:f>IFERROR(HYPERLINK("https://www1.funcionpublica.gov.co/eva/gestornormativo/norma.php?i=187126","Función Pública Colombia"),"Función Pública Colombia")</x:f>
        <x:v>Función Pública Colombia</x:v>
      </x:c>
      <x:c r="N41" s="4" t="str">
        <x:v>https://www.funcionpublica.gov.co/eva/gestornormativo/norma.php?i=187126
https://caracol.com.co/emisora/2022/05/30/cucuta/1653927496_967896.html
https://www1.funcionpublica.gov.co/eva/gestornormativo/norma.php?i=187126
https://www.bogotajuridica.gov.co/sisjur/normas/Norma1.jsp?dt=S&amp;i=123818
https://www.bogotajuridica.gov.co/sisjur/normas/Norma1.jsp?dt=S&amp;i=123880
https://www.elespectador.com/colombia/mas-regiones/cuando-inicia-el-cierre-de-fronteras-por-elecciones-en-colombia-y-cuando-termina/?outputType=amp
https://www.funcionpublica.gov.co/eva/gestornormativo/norma_pdf.php?i=187126</x:v>
      </x:c>
      <x:c r="O41" s="4" t="str">
        <x:v>Second full-register audit source access, 26 October 2026
https://www.funcionpublica.gov.co/eva/gestornormativo/norma_pdf.php?i=187126: search extract (previously retrieved text re-examined) — Substantive indexed official text inspected; direct source failed.
https://caracol.com.co/emisora/2022/05/30/cucuta/1653927496_967896.html: full text (fresh retrieval) — Caracol-derived paraphrase kept short; no all-country operational inference.
Earlier URLs not separately inspected in this second assessment:
https://www.funcionpublica.gov.co/eva/gestornormativo/norma.php?i=187126
https://www1.funcionpublica.gov.co/eva/gestornormativo/norma.php?i=187126
https://www.bogotajuridica.gov.co/sisjur/normas/Norma1.jsp?dt=S&amp;i=123818
https://www.bogotajuridica.gov.co/sisjur/normas/Norma1.jsp?dt=S&amp;i=123880
https://www.elespectador.com/colombia/mas-regiones/cuando-inicia-el-cierre-de-fronteras-por-elecciones-en-colombia-y-cuando-termina/?outputType=amp
Prior audit access record
Full-register audit source access (evidence cutoff 25 October 2026)
https://www.funcionpublica.gov.co/eva/gestornormativo/norma_pdf.php?i=187126: search extract — Substantive indexed official text inspected; direct source failed.
https://caracol.com.co/emisora/2022/05/30/cucuta/1653927496_967896.html: full text — Caracol-derived paraphrase kept short; no all-country operational inference.
Earlier source URLs not separately listed in this audit’s retrieval log (historical access notes below are not fresh verification):
https://www.funcionpublica.gov.co/eva/gestornormativo/norma.php?i=187126
https://www1.funcionpublica.gov.co/eva/gestornormativo/norma.php?i=187126
https://www.bogotajuridica.gov.co/sisjur/normas/Norma1.jsp?dt=S&amp;i=123818
https://www.bogotajuridica.gov.co/sisjur/normas/Norma1.jsp?dt=S&amp;i=123880
https://www.elespectador.com/colombia/mas-regiones/cuando-inicia-el-cierre-de-fronteras-por-elecciones-en-colombia-y-cuando-termina/?outputType=amp
Earlier recorded access
Source 1: indexed excerpt; unavailable
Source 2: full; full text
Source 3: failed</x:v>
      </x:c>
      <x:c r="P41" s="20" t="n">
        <x:v>2</x:v>
      </x:c>
      <x:c r="Q41" s="4" t="str">
        <x:v>Americas</x:v>
      </x:c>
      <x:c r="R41" s="4" t="str">
        <x:v>Included</x:v>
      </x:c>
    </x:row>
    <x:row r="42" ht="409" hidden="0" customHeight="1">
      <x:c r="A42" s="16" t="str">
        <x:v>AM040</x:v>
      </x:c>
      <x:c r="B42" s="4" t="str">
        <x:v>Colombia presidential runoff 2022 frontier closure</x:v>
      </x:c>
      <x:c r="C42" s="4" t="str">
        <x:v>Colombia; Venezuela; Brazil; Peru; Ecuador; Panama</x:v>
      </x:c>
      <x:c r="D42" s="4" t="str">
        <x:v>Authorised land/river border posts</x:v>
      </x:c>
      <x:c r="E42" s="4" t="str">
        <x:v>See geographic scope and exemptions.
Direction: Direction not separately established in this pass; consult the movement scope and source evidence.
Exceptions: Cross-border voting and force majeure.</x:v>
      </x:c>
      <x:c r="F42" s="4" t="str">
        <x:v>AM040-R1 — Announced window
Colombia authorised land/river crossings outside voting and exceptional travel
Start: 2022-06-18.
Scheduled endpoint: 2022-06-20.
Ordered window: 2 calendar-day difference; actual end not established</x:v>
      </x:c>
      <x:c r="G42"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2" s="4" t="str">
        <x:v>AM040-R1: Scheduled 36 hours only; normal operation at expiry not observed.
continuity: Decree 979 and the Ombudsman reproduce the June 2022 schedule; they do not establish actual all-post implementation or a witnessed endpoint.</x:v>
      </x:c>
      <x:c r="I42" s="4" t="str">
        <x:v>Second full-register audit, 26 October 2026: qualified. Fresh official decree extract and Dimar notice substantiate the national 36-hour ordered window. Reopening searches found no sound contemporaneous observed endpoint to replace its scheduled classification.</x:v>
      </x:c>
      <x:c r="J42" s="18" t="d">
        <x:v>2026-10-26T00:00:00.000Z</x:v>
      </x:c>
      <x:c r="K42" s="21" t="str">
        <x:f>IFERROR(HYPERLINK("https://www.funcionpublica.gov.co/eva/gestornormativo/norma.php?i=187706","Función Pública"),"Función Pública")</x:f>
        <x:v>Función Pública</x:v>
      </x:c>
      <x:c r="L42" s="21" t="str">
        <x:f>IFERROR(HYPERLINK("https://www.bogotajuridica.gov.co/sisjur/normas/Norma1.jsp?dt=S&amp;i=124520","Bogotá legal compilation"),"Bogotá legal compilation")</x:f>
        <x:v>Bogotá legal compilation</x:v>
      </x:c>
      <x:c r="M42" s="21" t="str">
        <x:f>IFERROR(HYPERLINK("https://www.elespectador.com/colombia/mas-regiones/cierre-de-fronteras-por-elecciones-presidenciales-cuando-inicia-y-cuando-termina/?outputType=amp","elespectador.com"),"elespectador.com")</x:f>
        <x:v>elespectador.com</x:v>
      </x:c>
      <x:c r="N42" s="4" t="str">
        <x:v>https://www.funcionpublica.gov.co/eva/gestornormativo/norma.php?i=187706
https://www.defensoria.gov.co/en/w/defensor-del-pueblo-destaca-garant%C3%ADas-para-ejercer-derecho-al-voto-en-pasos-fronterizos?p_l_back_url=%2Fen%2Fsearch%3Fdelta%3D20%26q%3Dpueblos%2Bind%25C3%25ADgenas%26start%3D24%26tag%3D2022%26tag%3Ddefensor%25C3%25ADa%26tag%3Dsur%2Bde%2Bbol%25C3%25ADvar
https://www.bogotajuridica.gov.co/sisjur/normas/Norma1.jsp?dt=S&amp;i=124520
https://www.elespectador.com/colombia/mas-regiones/cierre-de-fronteras-por-elecciones-presidenciales-cuando-inicia-y-cuando-termina/?outputType=amp
https://www.dimar.mil.co/node/4734/printable/print</x:v>
      </x:c>
      <x:c r="O42" s="4" t="str">
        <x:v>Second full-register audit source access, 26 October 2026
https://www.funcionpublica.gov.co/eva/gestornormativo/norma.php?i=187706: search extract (fresh retrieval) — Substantive indexed official text inspected; direct source failed.
https://www.defensoria.gov.co/en/w/defensor-del-pueblo-destaca-garant%C3%ADas-para-ejercer-derecho-al-voto-en-pasos-fronterizos?p_l_back_url=%2Fen%2Fsearch%3Fdelta%3D20%26q%3Dpueblos%2Bind%25C3%25ADgenas%26start%3D24%26tag%3D2022%26tag%3Ddefensor%25C3%25ADa%26tag%3Dsur%2Bde%2Bbol%25C3%25ADvar: full text (previously retrieved text re-examined)
https://www.dimar.mil.co/node/4734/printable/print: full text (fresh retrieval)
Earlier URLs not separately inspected in this second assessment:
https://www.bogotajuridica.gov.co/sisjur/normas/Norma1.jsp?dt=S&amp;i=124520
https://www.elespectador.com/colombia/mas-regiones/cierre-de-fronteras-por-elecciones-presidenciales-cuando-inicia-y-cuando-termina/?outputType=amp
Prior audit access record
Full-register audit source access (evidence cutoff 25 October 2026)
https://www.funcionpublica.gov.co/eva/gestornormativo/norma.php?i=187706: search extract — Substantive indexed official text inspected; direct source failed.
https://www.defensoria.gov.co/en/w/defensor-del-pueblo-destaca-garant%C3%ADas-para-ejercer-derecho-al-voto-en-pasos-fronterizos?p_l_back_url=%2Fen%2Fsearch%3Fdelta%3D20%26q%3Dpueblos%2Bind%25C3%25ADgenas%26start%3D24%26tag%3D2022%26tag%3Ddefensor%25C3%25ADa%26tag%3Dsur%2Bde%2Bbol%25C3%25ADvar: full text
Earlier source URLs not separately listed in this audit’s retrieval log (historical access notes below are not fresh verification):
https://www.bogotajuridica.gov.co/sisjur/normas/Norma1.jsp?dt=S&amp;i=124520
https://www.elespectador.com/colombia/mas-regiones/cierre-de-fronteras-por-elecciones-presidenciales-cuando-inicia-y-cuando-termina/?outputType=amp
Earlier recorded access
Source 1: indexed excerpt; failed
Source 2: indexed excerpt
Source 3: access detail is retained in the source catalogue.</x:v>
      </x:c>
      <x:c r="P42" s="20" t="n">
        <x:v>1</x:v>
      </x:c>
      <x:c r="Q42" s="4" t="str">
        <x:v>Americas</x:v>
      </x:c>
      <x:c r="R42" s="4" t="str">
        <x:v>Included</x:v>
      </x:c>
    </x:row>
    <x:row r="43" ht="409" hidden="0" customHeight="1">
      <x:c r="A43" s="16" t="str">
        <x:v>AM008</x:v>
      </x:c>
      <x:c r="B43" s="4" t="str">
        <x:v>Dominican Republic closes Haiti frontier over river canal</x:v>
      </x:c>
      <x:c r="C43" s="4" t="str">
        <x:v>Dominican Republic; Haiti</x:v>
      </x:c>
      <x:c r="D43" s="4" t="str">
        <x:v>Dominican-side national frontier closure; the dated phase concerns food and medicine trade permission at El Carrizal–Belladère. Other crossings and passenger permissions have separate chronologies.</x:v>
      </x:c>
      <x:c r="E43" s="4" t="str">
        <x:v>The initial national measure affected people and goods. The dated phase concerns Dominican food and medicine exports through El Carrizal.
Direction: Dominican commercial permission towards Haiti; limited Haitian pedestrian admission for biometric registration was reported on October 11.
Exceptions: Temporary commercial corridors allowed selected essentials under controls, while general migration and other product restrictions continued. Registration entry does not establish completed purchases or cross-border goods movement.</x:v>
      </x:c>
      <x:c r="F43" s="4" t="str">
        <x:v>AM008-D1 — Formal policy
Dominican-side food and medicine trade restriction at El Carrizal, ending at permission for a controlled commercial corridor.
Start: 2023-09-15.
Policy endpoint: 2023-10-11.
Formal policy: 26 calendar-day difference; actual first goods movement and uninterrupted operational closure are not established.
Separate later access observation: by 2023-11-20, Telemicro reports Haitian traders again buying goods at El Carrizal. This is a later scoped trade bound, not an exact reopening date or evidence of uninterrupted September–November closure.</x:v>
      </x:c>
      <x:c r="G43" s="4" t="str">
        <x:v>Interstate disputes and pressure / Territorial and frontier disputes
Reported reason
Applies to: Recorded episode; exact overlap not separately established
Canal dispute and commercial coercion supported.
Interstate disputes and pressure / Sanctions and coercive pressure
Reported reason
Applies to: Recorded episode; exact overlap not separately established
Canal dispute and commercial coercion supported.
Trade and protectionism / Import, export and production controls
Reported reason
Applies to: Recorded episode; exact overlap not separately established
Canal dispute and commercial coercion supported.
Security / Crime and law enforcement
Reported reason
Applies to: Closure regime as explained in the October 9, 2023 official statement; not assumed to end with commercial easing
Officials attribute exclusion of Haitian gangs to the closure.
Security / Smuggling and illicit trafficking
Reported reason
Applies to: Closure regime as explained in the October 9, 2023 official statement; not assumed to end with commercial easing
Officials attribute control of weapons and prohibited-substance smuggling to the closure.
Migration / Entry and asylum control
Reported reason
Applies to: Closure regime as explained in the October 9, 2023 official statement; not assumed to end with commercial easing
The October statement expressly maintains migration admission closure and seeks reduced undocumented entry; this is separate from food and medicine trade easing.</x:v>
      </x:c>
      <x:c r="H43" s="4" t="str">
        <x:v>AM008-D1: October 11, 2023 establishes Dominican permission for limited food and medicine trade and reported pedestrian admission for biometric registration. It does not establish actual completed trade that day: Telemicro reports no buying on October 11 and no exchange on October 13; Diario Libre describes the Haitian gate closed and only Dominican market activity on October 20. Telemicro on November 20 reports returning Haitian purchasers and renewed exchange, supplying a later scoped trade bound without an exact first return. Dominican permission, Haitian access and actual commerce must remain distinct. The 26-day value describes the Dominican policy interval only. No uninterrupted September–November closure, unrestricted passenger return or frontier-wide operational endpoint is inferred.</x:v>
      </x:c>
      <x:c r="I43" s="4" t="str">
        <x:v>Second full-register audit, 26 October 2026: additional source-audited corrections incorporated. See the phase, scope and qualification columns for the accepted findings.</x:v>
      </x:c>
      <x:c r="J43" s="18" t="d">
        <x:v>2026-10-26T00:00:00.000Z</x:v>
      </x:c>
      <x:c r="K43" s="21" t="str">
        <x:f>IFERROR(HYPERLINK("https://www.presidencia.gob.do/noticias/presidente-abinader-anuncia-cierre-total-de-la-frontera-con-haiti-desde-este-viernes-las","Dominican Presidency"),"Dominican Presidency")</x:f>
        <x:v>Dominican Presidency</x:v>
      </x:c>
      <x:c r="L43" s="21" t="str">
        <x:f>IFERROR(HYPERLINK("https://www.presidencia.gob.do/noticias/consejo-nacional-de-seguridad-anuncia-nuevas-medidas-para-fortalecer-el-cierre-fronterizo","Dominican Presidency"),"Dominican Presidency")</x:f>
        <x:v>Dominican Presidency</x:v>
      </x:c>
      <x:c r="M43" s="21" t="str">
        <x:f>IFERROR(HYPERLINK("https://www.presidencia.gob.do/noticias/homero-figueroa-asegura-registro-biometrico-en-corredores-comerciales-provisionales-de-la","Dominican Presidency"),"Dominican Presidency")</x:f>
        <x:v>Dominican Presidency</x:v>
      </x:c>
      <x:c r="N43" s="4" t="str">
        <x:v>https://www.presidencia.gob.do/noticias/presidente-abinader-anuncia-cierre-total-de-la-frontera-con-haiti-desde-este-viernes-las
https://www.presidencia.gob.do/noticias/consejo-nacional-de-seguridad-anuncia-nuevas-medidas-para-fortalecer-el-cierre-fronterizo
https://www.presidencia.gob.do/noticias/homero-figueroa-asegura-registro-biometrico-en-corredores-comerciales-provisionales-de-la
https://presidencia.gob.do/noticias/presidente-abinader-anuncia-cierre-total-de-la-frontera-con-haiti-desde-este-viernes-las
https://presidencia.gob.do/noticias/consejo-nacional-de-seguridad-anuncia-nuevas-medidas-para-fortalecer-el-cierre-fronterizo
https://mirex.gob.do/el-vocero-de-la-presidencia-informa-que-ademas-se-establecera-un-registro-biometrico-en-la-frontera-y-se-creara-un-fondo-para-la-mecanizacion-del-trabajo-agricola/
https://efe.com/latest-news/2023-10-14/binational-market-withers-as-haitian-dominican-border-remains-closed/
https://mirex.gob.do/presidente-abinader-anuncia-cierre-total-de-la-frontera-con-haiti-desde-este-viernes-a-las-600-de-la-manana-2/
https://www.diariolibre.com/actualidad/nacional/2023/10/11/comerciantes-haitianos-cumplen-registro-biometrico/2488805
https://prensadelpresidente.gob.do/noticias/consejo-nacional-de-seguridad-anuncia-nuevas-medidas-para-fortalecer-el-cierre-fronterizo-y-establece-corredores-comerciales-provisionales/
https://mirex.gob.do/declaracion-consejo-seguridad-nacional-11-de-septiembre-de-2023/
https://ntelemicro.com/pocos-haitianos-cruzan-por-el-carrizal-para-abastecerse-de-mercancias/
https://ntelemicro.com/comercio-en-el-carrizal-continua-nulo-haitianos-mantienen-sus-puertas-cerradas/
https://www.diariolibre.com/actualidad/nacional/2023/10/20/frontera-los-haitianos-exigen-ingreso-de-varillas-y-cemento/2498203
https://ntelemicro.com/haitianos-se-insertan-formalmente-en-el-intercambio-comercial-en-elias-pina/</x:v>
      </x:c>
      <x:c r="O43" s="4" t="str">
        <x:v>Second full-register audit source access, 26 October 2026
https://mirex.gob.do/presidente-abinader-anuncia-cierre-total-de-la-frontera-con-haiti-desde-este-viernes-a-las-600-de-la-manana-2/: full text (fresh retrieval)
https://mirex.gob.do/el-vocero-de-la-presidencia-informa-que-ademas-se-establecera-un-registro-biometrico-en-la-frontera-y-se-creara-un-fondo-para-la-mecanizacion-del-trabajo-agricola/: full text (previously retrieved text re-examined)
https://www.diariolibre.com/actualidad/nacional/2023/10/11/comerciantes-haitianos-cumplen-registro-biometrico/2488805: full text (previously retrieved text re-examined)
https://efe.com/latest-news/2023-10-14/binational-market-withers-as-haitian-dominican-border-remains-closed/: full text (previously retrieved text re-examined)
https://ntelemicro.com/pocos-haitianos-cruzan-por-el-carrizal-para-abastecerse-de-mercancias/: full text (fresh retrieval)
https://ntelemicro.com/comercio-en-el-carrizal-continua-nulo-haitianos-mantienen-sus-puertas-cerradas/: full text (fresh retrieval)
https://www.diariolibre.com/actualidad/nacional/2023/10/20/frontera-los-haitianos-exigen-ingreso-de-varillas-y-cemento/2498203: full text (fresh retrieval)
https://ntelemicro.com/haitianos-se-insertan-formalmente-en-el-intercambio-comercial-en-elias-pina/: full text (fresh retrieval)
Earlier URLs not separately inspected in this second assessment:
https://www.presidencia.gob.do/noticias/presidente-abinader-anuncia-cierre-total-de-la-frontera-con-haiti-desde-este-viernes-las
https://www.presidencia.gob.do/noticias/consejo-nacional-de-seguridad-anuncia-nuevas-medidas-para-fortalecer-el-cierre-fronterizo
https://www.presidencia.gob.do/noticias/homero-figueroa-asegura-registro-biometrico-en-corredores-comerciales-provisionales-de-la
https://presidencia.gob.do/noticias/presidente-abinader-anuncia-cierre-total-de-la-frontera-con-haiti-desde-este-viernes-las
https://presidencia.gob.do/noticias/consejo-nacional-de-seguridad-anuncia-nuevas-medidas-para-fortalecer-el-cierre-fronterizo
https://prensadelpresidente.gob.do/noticias/consejo-nacional-de-seguridad-anuncia-nuevas-medidas-para-fortalecer-el-cierre-fronterizo-y-establece-corredores-comerciales-provisionales/
https://mirex.gob.do/declaracion-consejo-seguridad-nacional-11-de-septiembre-de-2023/
Prior audit access record
Full-register audit source access (evidence cutoff 25 October 2026)
https://mirex.gob.do/presidente-abinader-anuncia-cierre-total-de-la-frontera-con-haiti-desde-este-viernes-a-las-600-de-la-manana-2/: full text
https://mirex.gob.do/el-vocero-de-la-presidencia-informa-que-ademas-se-establecera-un-registro-biometrico-en-la-frontera-y-se-creara-un-fondo-para-la-mecanizacion-del-trabajo-agricola/: full text
https://www.diariolibre.com/actualidad/nacional/2023/10/11/comerciantes-haitianos-cumplen-registro-biometrico/2488805: full text
https://efe.com/latest-news/2023-10-14/binational-market-withers-as-haitian-dominican-border-remains-closed/: full text
https://mirex.gob.do/declaracion-consejo-seguridad-nacional-11-de-septiembre-de-2023/: search extract
Earlier source URLs not separately listed in this audit’s retrieval log (historical access notes below are not fresh verification):
https://www.presidencia.gob.do/noticias/presidente-abinader-anuncia-cierre-total-de-la-frontera-con-haiti-desde-este-viernes-las
https://www.presidencia.gob.do/noticias/consejo-nacional-de-seguridad-anuncia-nuevas-medidas-para-fortalecer-el-cierre-fronterizo
https://www.presidencia.gob.do/noticias/homero-figueroa-asegura-registro-biometrico-en-corredores-comerciales-provisionales-de-la
https://presidencia.gob.do/noticias/presidente-abinader-anuncia-cierre-total-de-la-frontera-con-haiti-desde-este-viernes-las
https://presidencia.gob.do/noticias/consejo-nacional-de-seguridad-anuncia-nuevas-medidas-para-fortalecer-el-cierre-fronterizo
https://prensadelpresidente.gob.do/noticias/consejo-nacional-de-seguridad-anuncia-nuevas-medidas-para-fortalecer-el-cierre-fronterizo-y-establece-corredores-comerciales-provisionales/
Earlier recorded access
Source 1: search extract
Source 2: search extract
Source 3: search extract</x:v>
      </x:c>
      <x:c r="P43" s="20" t="n">
        <x:v>1</x:v>
      </x:c>
      <x:c r="Q43" s="4" t="str">
        <x:v>Americas</x:v>
      </x:c>
      <x:c r="R43" s="4" t="str">
        <x:v>Included</x:v>
      </x:c>
    </x:row>
    <x:row r="44" ht="294" hidden="0" customHeight="1">
      <x:c r="A44" s="16" t="str">
        <x:v>AM003</x:v>
      </x:c>
      <x:c r="B44" s="4" t="str">
        <x:v>Lukeville crossing closure for migration-related staffing</x:v>
      </x:c>
      <x:c r="C44" s="4" t="str">
        <x:v>United States; Mexico</x:v>
      </x:c>
      <x:c r="D44" s="4" t="str">
        <x:v>Lukeville–Sonoyta crossing</x:v>
      </x:c>
      <x:c r="E44" s="4" t="str">
        <x:v>Pedestrians and vehicles
Direction: Both directions</x:v>
      </x:c>
      <x:c r="F44" s="4" t="str">
        <x:v>AM003-D1 — Observed operation
Lukeville–Sonoyta crossing; Pedestrians and vehicles; Both directions
Start: 2023-12-04.
Observed scoped reopening: 2024-01-04.
31 calendar-day difference; scoped endpoint only</x:v>
      </x:c>
      <x:c r="G44" s="4" t="str">
        <x:v>Migration / Processing capacity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4" s="4" t="str">
        <x:v>AM003-D1: Local crossing only; other crossings remained available. End confirmed by CBP and reported locally.</x:v>
      </x:c>
      <x:c r="I44" s="4" t="str">
        <x:v>Second full-register audit, 26 October 2026: qualified. Fresh CBP text and cached on-site reopening reporting confirm the local Lukeville episode; no correction to dates or bilateral pedestrian/vehicle scope is needed.</x:v>
      </x:c>
      <x:c r="J44" s="18" t="d">
        <x:v>2026-10-26T00:00:00.000Z</x:v>
      </x:c>
      <x:c r="K44" s="21" t="str">
        <x:f>IFERROR(HYPERLINK("https://content.govdelivery.com/accounts/USDHSCBP/bulletins/37dd40c","CBP GovDelivery"),"CBP GovDelivery")</x:f>
        <x:v>CBP GovDelivery</x:v>
      </x:c>
      <x:c r="L44" s="21" t="str">
        <x:f>IFERROR(HYPERLINK("https://www.azfamily.com/2024/01/04/lukeville-port-entry-reopens-after-month-long-closure/","Arizona's Family"),"Arizona's Family")</x:f>
        <x:v>Arizona's Family</x:v>
      </x:c>
      <x:c r="M44" s="21" t="str">
        <x:f>IFERROR(HYPERLINK("https://www.kjzz.org/2024-01-04/content-1867412-lukeville-crossing-reopens-pima-county-leaders-warn-area-will-keep-bearing-brunt","kjzz.org"),"kjzz.org")</x:f>
        <x:v>kjzz.org</x:v>
      </x:c>
      <x:c r="N44" s="4" t="str">
        <x:v>https://content.govdelivery.com/accounts/USDHSCBP/bulletins/37dd40c
https://www.azfamily.com/2024/01/04/lukeville-port-entry-reopens-after-month-long-closure/
https://www.kjzz.org/2024-01-04/content-1867412-lukeville-crossing-reopens-pima-county-leaders-warn-area-will-keep-bearing-brunt</x:v>
      </x:c>
      <x:c r="O44" s="4" t="str">
        <x:v>Second full-register audit source access, 26 October 2026
https://content.govdelivery.com/accounts/USDHSCBP/bulletins/37dd40c: full text (fresh retrieval)
https://www.kjzz.org/2024-01-04/content-1867412-lukeville-crossing-reopens-pima-county-leaders-warn-area-will-keep-bearing-brunt: full text (previously retrieved text re-examined)
Earlier URLs not separately inspected in this second assessment:
https://www.azfamily.com/2024/01/04/lukeville-port-entry-reopens-after-month-long-closure/
Prior audit access record
Full-register audit source access (evidence cutoff 25 October 2026)
https://content.govdelivery.com/accounts/USDHSCBP/bulletins/37dd40c: full text
https://www.azfamily.com/2024/01/04/lukeville-port-entry-reopens-after-month-long-closure/: full text
https://www.kjzz.org/2024-01-04/content-1867412-lukeville-crossing-reopens-pima-county-leaders-warn-area-will-keep-bearing-brunt: full text
Earlier recorded access
Source 1: full page
Source 2: full page
Source 3: access detail is retained in the source catalogue.</x:v>
      </x:c>
      <x:c r="P44" s="20" t="n">
        <x:v>1</x:v>
      </x:c>
      <x:c r="Q44" s="4" t="str">
        <x:v>Americas</x:v>
      </x:c>
      <x:c r="R44" s="4" t="str">
        <x:v>Included</x:v>
      </x:c>
    </x:row>
    <x:row r="45" ht="409" hidden="0" customHeight="1">
      <x:c r="A45" s="16" t="str">
        <x:v>AM004</x:v>
      </x:c>
      <x:c r="B45" s="4" t="str">
        <x:v>Eagle Pass and El Paso railway border suspension</x:v>
      </x:c>
      <x:c r="C45" s="4" t="str">
        <x:v>United States; Mexico</x:v>
      </x:c>
      <x:c r="D45" s="4" t="str">
        <x:v>International railway crossings at the two ports of Eagle Pass and El Paso; not a count of two physical bridges.</x:v>
      </x:c>
      <x:c r="E45" s="4" t="str">
        <x:v>Rail freight at El Paso and Eagle Pass.
Direction: Both northbound and southbound rail operations were suspended; road and pedestrian operations followed separate restrictions.</x:v>
      </x:c>
      <x:c r="F45" s="4" t="str">
        <x:v>AM004-D1 — Observed operation
Federal resumption of the affected rail crossings; carrier embargoes may have persisted.
Start: 2023-12-18.
Observed scoped reopening: 2023-12-22.
4 calendar-day difference; scoped endpoint only</x:v>
      </x:c>
      <x:c r="G45" s="4" t="str">
        <x:v>Migration / Processing capacity
Attributed official justification
Applies to: Recorded episode
Attributed stated purpose; not proof of the allegation or effectiveness.
Security / Public order and immediate safety
Attributed official justification
Applies to: Recorded episode
Attributed stated purpose; not proof of the allegation or effectiveness.
Security / Smuggling and illicit trafficking
Attributed official justification
Applies to: Recorded episode
Attributed stated purpose; not proof of the allegation or effectiveness.</x:v>
      </x:c>
      <x:c r="H45" s="4" t="str">
        <x:v>AM004-D1: CBP notices establish railway operations suspension and resumption, corroborated by BNSF reporting that the crossings opened on 22 December 2023. A separate BNSF permit embargo affected some southbound shipments, excluding automotive and intermodal; BNSF cancelled that embargo on 5 January 2024, while warning that Ferromex embargoes could still affect shipments. This does not extend the federal crossing closure beyond 22 December or establish the end of every carrier restriction. Road and pedestrian restrictions had different dates.</x:v>
      </x:c>
      <x:c r="I45" s="4" t="str">
        <x:v>Second full-register audit, 26 October 2026: qualified. The accepted rail phase correctly separates federal reopening from later carrier embargoes. Both rail directions and the December 22 operational return remain supported.</x:v>
      </x:c>
      <x:c r="J45" s="18" t="d">
        <x:v>2026-10-26T00:00:00.000Z</x:v>
      </x:c>
      <x:c r="K45" s="21" t="str">
        <x:f>IFERROR(HYPERLINK("https://content.govdelivery.com/accounts/USDHSCBP/bulletins/3809945","U.S. Customs and Border Protection"),"U.S. Customs and Border Protection")</x:f>
        <x:v>U.S. Customs and Border Protection</x:v>
      </x:c>
      <x:c r="L45" s="21" t="str">
        <x:f>IFERROR(HYPERLINK("https://content.govdelivery.com/accounts/USDHSCBP/bulletins/3816791?reqfrom=share","U.S. Customs and Border Protection"),"U.S. Customs and Border Protection")</x:f>
        <x:v>U.S. Customs and Border Protection</x:v>
      </x:c>
      <x:c r="M45" s="21" t="str">
        <x:f>IFERROR(HYPERLINK("https://www.bnsf.com/news-media/customer-notifications/notification.page?notId=intermodal-network-update-for-friday-december-22-2023","BNSF"),"BNSF")</x:f>
        <x:v>BNSF</x:v>
      </x:c>
      <x:c r="N45" s="4" t="str">
        <x:v>https://content.govdelivery.com/accounts/USDHSCBP/bulletins/3809945
https://content.govdelivery.com/accounts/USDHSCBP/bulletins/3816791?reqfrom=share
https://www.bnsf.com/news-media/customer-notifications/notification.page?notId=intermodal-network-update-for-friday-december-22-2023
https://www.bnsf.com/news-media/customer-notifications/notification.page?notId=update-eagle-pass-and-el-paso-border-crossings-resume-24-7-operations-with-embargo-of-certain-shipments-destined-for-mexico
https://www.freightwaves.com/news/cbp-reopens-key-ports-of-entry-for-freight-trains-at-us-mexico-border
https://www.bnsf.com/news-media/customer-notifications/notification.page?notId=the-mexico-us-border-at-eagle-pass-and-el-paso-closed-by-us-customs-and-border-protection
https://www.bnsf.com/news-media/customer-notifications/notification.page?notId=update-embargo-affecting-eagle-pass-and-el-paso-interchanges-cancelled</x:v>
      </x:c>
      <x:c r="O45" s="4" t="str">
        <x:v>Second full-register audit source access, 26 October 2026
https://content.govdelivery.com/accounts/USDHSCBP/bulletins/3809945: full text (fresh retrieval)
https://content.govdelivery.com/accounts/USDHSCBP/bulletins/3816791?reqfrom=share: full text (previously retrieved text re-examined)
https://www.bnsf.com/news-media/customer-notifications/notification.page?notId=intermodal-network-update-for-friday-december-22-2023: full text (previously retrieved text re-examined)
https://www.bnsf.com/news-media/customer-notifications/notification.page?notId=the-mexico-us-border-at-eagle-pass-and-el-paso-closed-by-us-customs-and-border-protection: full text (previously retrieved text re-examined)
https://www.bnsf.com/news-media/customer-notifications/notification.page?notId=update-embargo-affecting-eagle-pass-and-el-paso-interchanges-cancelled: full text (previously retrieved text re-examined)
Earlier URLs not separately inspected in this second assessment:
https://www.bnsf.com/news-media/customer-notifications/notification.page?notId=update-eagle-pass-and-el-paso-border-crossings-resume-24-7-operations-with-embargo-of-certain-shipments-destined-for-mexico
https://www.freightwaves.com/news/cbp-reopens-key-ports-of-entry-for-freight-trains-at-us-mexico-border
Prior audit access record
Full-register audit source access (evidence cutoff 25 October 2026)
https://content.govdelivery.com/accounts/USDHSCBP/bulletins/3809945: full text
https://content.govdelivery.com/accounts/USDHSCBP/bulletins/3816791?reqfrom=share: full text
https://www.bnsf.com/news-media/customer-notifications/notification.page?notId=intermodal-network-update-for-friday-december-22-2023: full text
https://www.bnsf.com/news-media/customer-notifications/notification.page?notId=the-mexico-us-border-at-eagle-pass-and-el-paso-closed-by-us-customs-and-border-protection: full text
https://www.bnsf.com/news-media/customer-notifications/notification.page?notId=update-embargo-affecting-eagle-pass-and-el-paso-interchanges-cancelled: full text
Earlier source URLs not separately listed in this audit’s retrieval log (historical access notes below are not fresh verification):
https://www.bnsf.com/news-media/customer-notifications/notification.page?notId=update-eagle-pass-and-el-paso-border-crossings-resume-24-7-operations-with-embargo-of-certain-shipments-destined-for-mexico
https://www.freightwaves.com/news/cbp-reopens-key-ports-of-entry-for-freight-trains-at-us-mexico-border
Earlier recorded access
Source 1: full text
Source 2: full text
Source 3: full text</x:v>
      </x:c>
      <x:c r="P45" s="20" t="n">
        <x:v>1</x:v>
      </x:c>
      <x:c r="Q45" s="4" t="str">
        <x:v>Americas</x:v>
      </x:c>
      <x:c r="R45" s="4" t="str">
        <x:v>Included</x:v>
      </x:c>
    </x:row>
    <x:row r="46" ht="409" hidden="0" customHeight="1">
      <x:c r="A46" s="16" t="str">
        <x:v>AM050</x:v>
      </x:c>
      <x:c r="B46" s="4" t="str">
        <x:v>Venezuela 2024 presidential-election land-frontier closure</x:v>
      </x:c>
      <x:c r="C46" s="4" t="str">
        <x:v>Venezuela; Colombia; Brazil</x:v>
      </x:c>
      <x:c r="D46" s="4" t="str">
        <x:v>National land-frontier order; observed Táchira bridge restrictions</x:v>
      </x:c>
      <x:c r="E46" s="4" t="str">
        <x:v>Ordinary non-exempt pedestrians and vehicles in the observed Simón Bolívar bridge phase; the wider national order is retained separately.
Direction: Direction not separately established in this pass; consult the movement scope and source evidence.</x:v>
      </x:c>
      <x:c r="F46" s="4" t="str">
        <x:v>AM050-R1 — Observed operation
Ordinary non-exempt vehicle and pedestrian circulation at Simón Bolívar bridge; authorised voter/returnee movements excluded
Start: 2024-07-25.
Observed scoped reopening: 2024-07-29.
4 calendar-day difference; scoped endpoint only</x:v>
      </x:c>
      <x:c r="G46"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6" s="4" t="str">
        <x:v>National schedule accounts give conflicting July 29 ending hours: 08:00 in the gazette transcription and commander announcement, and 23:59 also reported by EFE. The local Simón Bolívar phase has separately verified July 29 reopening; no nationwide operational endpoint or unique ending hour is claimed.
AM050-R1: Onset 25 July 22:00; reopening hour unspecified. Exceptional voter/return movements are not fully inventoried. No nationwide or Brazil-frontier claim.</x:v>
      </x:c>
      <x:c r="I46" s="4" t="str">
        <x:v>Second full-register audit, 26 October 2026: qualified. The local July 25 evening onset and July 29 Simón Bolívar return of pedestrians/vehicles are supported. Keep competing national scheduled ending hours and permitted voter/returnee movements distinct from this local operational phase.</x:v>
      </x:c>
      <x:c r="J46" s="18" t="d">
        <x:v>2026-10-26T00:00:00.000Z</x:v>
      </x:c>
      <x:c r="K46" s="21" t="str">
        <x:f>IFERROR(HYPERLINK("https://caracol.com.co/2024/07/26/venezuela-cerro-la-frontera-con-colombia/","Caracol Radio"),"Caracol Radio")</x:f>
        <x:v>Caracol Radio</x:v>
      </x:c>
      <x:c r="L46" s="21" t="str">
        <x:f>IFERROR(HYPERLINK("https://www.kienyke.com/mundo/la-frontera-con-colombia-vuelve-la-normalidad-tras-las-elecciones-en-venezuela","EFE / Kienyke"),"EFE / Kienyke")</x:f>
        <x:v>EFE / Kienyke</x:v>
      </x:c>
      <x:c r="M46" s="21" t="str">
        <x:f>IFERROR(HYPERLINK("https://www.refworld.org/sites/default/files/2024-08/14460.pdf","R4V / Refworld mirror"),"R4V / Refworld mirror")</x:f>
        <x:v>R4V / Refworld mirror</x:v>
      </x:c>
      <x:c r="N46" s="4" t="str">
        <x:v>https://caracol.com.co/2024/07/26/venezuela-cerro-la-frontera-con-colombia/
https://www.kienyke.com/mundo/la-frontera-con-colombia-vuelve-la-normalidad-tras-las-elecciones-en-venezuela
https://www.refworld.org/sites/default/files/2024-08/14460.pdf
https://colombiacheck.com/chequeos/venezuela-cerro-sus-fronteras-temporalmente-por-los-comicios-del-28-j
https://www.dateas.com/es/docs/gaceta-oficial-venezuela-extraordinario/2024/07/23
https://www.infobae.com/america/agencias/2024/07/26/venezuela-anuncia-cierre-fronterizo-para-el-paso-de-personas-y-vehiculos-por-elecciones/</x:v>
      </x:c>
      <x:c r="O46" s="4" t="str">
        <x:v>Second full-register audit source access, 26 October 2026
https://caracol.com.co/2024/07/26/venezuela-cerro-la-frontera-con-colombia/: full text (previously retrieved text re-examined)
https://www.kienyke.com/mundo/la-frontera-con-colombia-vuelve-la-normalidad-tras-las-elecciones-en-venezuela: full text (fresh retrieval)
https://www.dateas.com/es/docs/gaceta-oficial-venezuela-extraordinario/2024/07/23: full text (previously retrieved text re-examined) — Unofficial transcription, not inspected original PDF.
https://www.infobae.com/america/agencias/2024/07/26/venezuela-anuncia-cierre-fronterizo-para-el-paso-de-personas-y-vehiculos-por-elecciones/: full text (previously retrieved text re-examined)
Earlier URLs not separately inspected in this second assessment:
https://www.refworld.org/sites/default/files/2024-08/14460.pdf
https://colombiacheck.com/chequeos/venezuela-cerro-sus-fronteras-temporalmente-por-los-comicios-del-28-j
Prior audit access record
Full-register audit source access (evidence cutoff 25 October 2026)
https://caracol.com.co/2024/07/26/venezuela-cerro-la-frontera-con-colombia/: full text
https://www.kienyke.com/mundo/la-frontera-con-colombia-vuelve-la-normalidad-tras-las-elecciones-en-venezuela: full text
https://www.dateas.com/es/docs/gaceta-oficial-venezuela-extraordinario/2024/07/23: full text — Unofficial transcription, not inspected original PDF.
https://www.infobae.com/america/agencias/2024/07/26/venezuela-anuncia-cierre-fronterizo-para-el-paso-de-personas-y-vehiculos-por-elecciones/: full text
Earlier source URLs not separately listed in this audit’s retrieval log (historical access notes below are not fresh verification):
https://www.refworld.org/sites/default/files/2024-08/14460.pdf
https://colombiacheck.com/chequeos/venezuela-cerro-sus-fronteras-temporalmente-por-los-comicios-del-28-j
Earlier recorded access
Source 1: full; full text
Source 2: full; full text
Source 3: full text</x:v>
      </x:c>
      <x:c r="P46" s="20" t="n">
        <x:v>1</x:v>
      </x:c>
      <x:c r="Q46" s="4" t="str">
        <x:v>Americas</x:v>
      </x:c>
      <x:c r="R46" s="4" t="str">
        <x:v>Included</x:v>
      </x:c>
    </x:row>
    <x:row r="47" ht="342" hidden="0" customHeight="1">
      <x:c r="A47" s="16" t="str">
        <x:v>AM013</x:v>
      </x:c>
      <x:c r="B47" s="4" t="str">
        <x:v>Venezuela inauguration security closure January 2025</x:v>
      </x:c>
      <x:c r="C47" s="4" t="str">
        <x:v>Venezuela; Colombia; Brazil</x:v>
      </x:c>
      <x:c r="D47" s="4" t="str">
        <x:v>Venezuelan side of Colombia and Brazil frontiers</x:v>
      </x:c>
      <x:c r="E47" s="4" t="str">
        <x:v>See geographic scope and exemptions.
Direction: Direction not separately established in this pass; consult the movement scope and source evidence.</x:v>
      </x:c>
      <x:c r="F47" s="4" t="str">
        <x:v>AM013-D1 — Observed operation
Venezuelan side of Colombia and Brazil frontiers; See geographic scope and exemptions.; Direction not separately established in this pass; consult the movement scope and source evidence.
Start: 2025-01-10.
Observed scoped reopening: 2025-01-13.
3 calendar-day difference; scoped endpoint only</x:v>
      </x:c>
      <x:c r="G47" s="4" t="str">
        <x:v>Security / Unspecified security
Attributed official justification
Applies to: Recorded episode; exact overlap not separately established
The recorded rationale and claim assessment support the selected subcategories. All applicable broad categories are retained together; no primary rationale is imposed.
Power and regime politics / Opposition and political reform
Attributed official justification
Applies to: Recorded episode; exact overlap not separately established
The recorded rationale and claim assessment support the selected subcategories. All applicable broad categories are retained together; no primary rationale is imposed.</x:v>
      </x:c>
      <x:c r="H47" s="4" t="str">
        <x:v>AM013-D1: Colombia-side notice specifies 5 am; precise Brazilian closure hour not established. End combines official Colombian-frontier announcement and Brazilian confirmation.</x:v>
      </x:c>
      <x:c r="I47" s="4" t="str">
        <x:v>Second full-register audit, 26 October 2026: qualified. The January 2025 episode is supported by contemporary reporting and official reopening confirmations. The current qualifications appropriately retain traffic-category and Brazilian onset uncertainty.</x:v>
      </x:c>
      <x:c r="J47" s="18" t="d">
        <x:v>2026-10-26T00:00:00.000Z</x:v>
      </x:c>
      <x:c r="K47" s="21" t="str">
        <x:f>IFERROR(HYPERLINK("https://www.eleconomista.com.mx/internacionales/venezuela-cierra-frontera-colombia-lunes-posible-conspiracion-maduro-20250110-741395.html?facet=app&amp;mode=light","Reuters via El Economista"),"Reuters via El Economista")</x:f>
        <x:v>Reuters via El Economista</x:v>
      </x:c>
      <x:c r="L47" s="21" t="str">
        <x:f>IFERROR(HYPERLINK("https://efe.com/mundo/2025-01-13/venezuela-frontera-colombia-brasil-investidura/","EFE"),"EFE")</x:f>
        <x:v>EFE</x:v>
      </x:c>
      <x:c r="M47" s="21" t="str">
        <x:f>IFERROR(HYPERLINK("https://amp.dw.com/es/venezuela-reabre-su-fronteras-con-brasil-y-colombia/a-71288505","amp.dw.com"),"amp.dw.com")</x:f>
        <x:v>amp.dw.com</x:v>
      </x:c>
      <x:c r="N47" s="4" t="str">
        <x:v>https://www.eleconomista.com.mx/internacionales/venezuela-cierra-frontera-colombia-lunes-posible-conspiracion-maduro-20250110-741395.html?facet=app&amp;mode=light
https://efe.com/mundo/2025-01-13/venezuela-frontera-colombia-brasil-investidura/
https://amp.dw.com/es/venezuela-reabre-su-fronteras-con-brasil-y-colombia/a-71288505</x:v>
      </x:c>
      <x:c r="O47" s="4" t="str">
        <x:v>Second full-register audit source access, 26 October 2026
https://www.eleconomista.com.mx/internacionales/venezuela-cierra-frontera-colombia-lunes-posible-conspiracion-maduro-20250110-741395.html?facet=app&amp;mode=light: full text (previously retrieved text re-examined)
https://efe.com/mundo/2025-01-13/venezuela-frontera-colombia-brasil-investidura/: full text (fresh retrieval)
Earlier URLs not separately inspected in this second assessment:
https://amp.dw.com/es/venezuela-reabre-su-fronteras-con-brasil-y-colombia/a-71288505
Prior audit access record
Full-register audit source access (evidence cutoff 25 October 2026)
https://www.eleconomista.com.mx/internacionales/venezuela-cierra-frontera-colombia-lunes-posible-conspiracion-maduro-20250110-741395.html?facet=app&amp;mode=light: full text
https://efe.com/mundo/2025-01-13/venezuela-frontera-colombia-brasil-investidura/: full text
Earlier source URLs not separately listed in this audit’s retrieval log (historical access notes below are not fresh verification):
https://amp.dw.com/es/venezuela-reabre-su-fronteras-con-brasil-y-colombia/a-71288505
Earlier recorded access
Source 1: full text
Source 2: full text
Source 3: access detail is retained in the source catalogue.</x:v>
      </x:c>
      <x:c r="P47" s="20" t="n">
        <x:v>1</x:v>
      </x:c>
      <x:c r="Q47" s="4" t="str">
        <x:v>Americas</x:v>
      </x:c>
      <x:c r="R47" s="4" t="str">
        <x:v>Included</x:v>
      </x:c>
    </x:row>
    <x:row r="48" ht="409" hidden="0" customHeight="1">
      <x:c r="A48" s="16" t="str">
        <x:v>AM042</x:v>
      </x:c>
      <x:c r="B48" s="4" t="str">
        <x:v>Ecuador 2025 general-election foreign land-entry closure</x:v>
      </x:c>
      <x:c r="C48" s="4" t="str">
        <x:v>Ecuador; Colombia; Peru</x:v>
      </x:c>
      <x:c r="D48" s="4" t="str">
        <x:v>Entry of foreigners across northern/southern frontier</x:v>
      </x:c>
      <x:c r="E48" s="4" t="str">
        <x:v>Non-Ecuadorian passengers entering by land. The national rule exempts Ecuadorian entry and lawful goods/commercial activity; local implementation and the separate municipal goods-vehicle obstruction remain qualified.
Direction: Foreign passenger entry into Ecuador; the Huaquillas phase does not assign its endpoint to the Colombia frontier.
Exceptions: Ecuadorian citizens and legal goods/commercial activities.</x:v>
      </x:c>
      <x:c r="F48" s="4" t="str">
        <x:v>AM042-D1 — Observed operation
Foreign passenger entry at Aguas Verdes–Huaquillas under Ecuador's February election measure.
Start: 2025-02-08.
Observed scoped reopening: 2025-02-11.
3 calendar-day difference; scoped endpoint only</x:v>
      </x:c>
      <x:c r="G48"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Crime and law enforcement
Reported reason
Applies to: Recorded episode; exact overlap not separately established
The recorded rationale and claim assessment support the selected subcategories. All applicable broad categories are retained together; no primary rationale is imposed.</x:v>
      </x:c>
      <x:c r="H48" s="4" t="str">
        <x:v>AM042-D1: Ecuadorians and legal goods were exempt. A municipal wall still obstructed some cargo vehicles under a different measure; other gates and the Colombia frontier are not assigned this endpoint. The ATV page's later header is not used as the event date.</x:v>
      </x:c>
      <x:c r="I48" s="4" t="str">
        <x:v>Second full-register audit, 26 October 2026: qualified. The foreign-entry restriction on 8 February and actual Huaquillas–Aguas Verdes reopening at midnight on 11 February remain supported, with the separate municipal goods-vehicle obstruction preserved.</x:v>
      </x:c>
      <x:c r="J48" s="18" t="d">
        <x:v>2026-10-26T00:00:00.000Z</x:v>
      </x:c>
      <x:c r="K48" s="21" t="str">
        <x:f>IFERROR(HYPERLINK("https://efe.com/mundo/2025-02-08/ecuador-elecciones-generales/","EFE"),"EFE")</x:f>
        <x:v>EFE</x:v>
      </x:c>
      <x:c r="L48" s="21" t="str">
        <x:f>IFERROR(HYPERLINK("https://andina.pe/ingles/noticia-tumbes-reabren-transito-frontera-ecuador-pero-comerciantes-lamentan-restricciones-1018355.aspx","Andina"),"Andina")</x:f>
        <x:v>Andina</x:v>
      </x:c>
      <x:c r="M48" s="21" t="str">
        <x:f>IFERROR(HYPERLINK("https://andina.pe/agencia/noticia-tumbes-gobierno-ecuatoriano-dispone-cierre-temporal-frontera-peru-comicios-1018004.aspx","Andina"),"Andina")</x:f>
        <x:v>Andina</x:v>
      </x:c>
      <x:c r="N48" s="4" t="str">
        <x:v>https://efe.com/mundo/2025-02-08/ecuador-elecciones-generales/
https://andina.pe/ingles/noticia-tumbes-reabren-transito-frontera-ecuador-pero-comerciantes-lamentan-restricciones-1018355.aspx
https://andina.pe/agencia/noticia-tumbes-gobierno-ecuatoriano-dispone-cierre-temporal-frontera-peru-comicios-1018004.aspx
https://www.primicias.ec/seguridad/gobierno-ecuador-cierre-fronteras-elecciones-9febrero-89077/
https://www.atv.pe/noticia/tumbes-reabren-frontera-con-ecuador-tras-elecciones-presidenciales/
https://andina.pe/agencia/noticia-tumbes-reabren-transito-frontera-ecuador-pero-comerciantes-lamentan-restricciones-1018355.aspx
https://rpp.pe/peru/tumbes/tumbes-ecuador-sigue-sin-reabrir-su-frontera-terrestre-con-peru-tras-elecciones-noticia-1615307
https://elcomercio.pe/mundo/latinoamerica/elecciones-en-ecuador-2025-ecuador-cierra-sus-fronteras-con-colombia-y-peru-para-celebrar-las-elecciones-generales-daniel-noboa-luisa-gonzales-ultimas-noticia/?outputType=amp</x:v>
      </x:c>
      <x:c r="O48" s="4" t="str">
        <x:v>Second full-register audit source access, 26 October 2026
https://efe.com/mundo/2025-02-08/ecuador-elecciones-generales/: full text (previously retrieved text re-examined)
https://andina.pe/agencia/noticia-tumbes-reabren-transito-frontera-ecuador-pero-comerciantes-lamentan-restricciones-1018355.aspx: full text (fresh retrieval)
https://andina.pe/agencia/noticia-tumbes-reabren-transito-frontera-ecuador-pero-comerciantes-lamentan-restricciones-1018355.aspx: full text (previously retrieved text re-examined)
Earlier URLs not separately inspected in this second assessment:
https://andina.pe/ingles/noticia-tumbes-reabren-transito-frontera-ecuador-pero-comerciantes-lamentan-restricciones-1018355.aspx
https://andina.pe/agencia/noticia-tumbes-gobierno-ecuatoriano-dispone-cierre-temporal-frontera-peru-comicios-1018004.aspx
https://www.primicias.ec/seguridad/gobierno-ecuador-cierre-fronteras-elecciones-9febrero-89077/
https://www.atv.pe/noticia/tumbes-reabren-frontera-con-ecuador-tras-elecciones-presidenciales/
https://rpp.pe/peru/tumbes/tumbes-ecuador-sigue-sin-reabrir-su-frontera-terrestre-con-peru-tras-elecciones-noticia-1615307
https://elcomercio.pe/mundo/latinoamerica/elecciones-en-ecuador-2025-ecuador-cierra-sus-fronteras-con-colombia-y-peru-para-celebrar-las-elecciones-generales-daniel-noboa-luisa-gonzales-ultimas-noticia/?outputType=amp
Prior audit access record
Full-register audit source access (evidence cutoff 25 October 2026)
https://efe.com/mundo/2025-02-08/ecuador-elecciones-generales/: full text
https://andina.pe/agencia/noticia-tumbes-reabren-transito-frontera-ecuador-pero-comerciantes-lamentan-restricciones-1018355.aspx: full text
Earlier source URLs not separately listed in this audit’s retrieval log (historical access notes below are not fresh verification):
https://andina.pe/ingles/noticia-tumbes-reabren-transito-frontera-ecuador-pero-comerciantes-lamentan-restricciones-1018355.aspx
https://andina.pe/agencia/noticia-tumbes-gobierno-ecuatoriano-dispone-cierre-temporal-frontera-peru-comicios-1018004.aspx
https://www.primicias.ec/seguridad/gobierno-ecuador-cierre-fronteras-elecciones-9febrero-89077/
https://www.atv.pe/noticia/tumbes-reabren-frontera-con-ecuador-tras-elecciones-presidenciales/
https://rpp.pe/peru/tumbes/tumbes-ecuador-sigue-sin-reabrir-su-frontera-terrestre-con-peru-tras-elecciones-noticia-1615307
https://elcomercio.pe/mundo/latinoamerica/elecciones-en-ecuador-2025-ecuador-cierra-sus-fronteras-con-colombia-y-peru-para-celebrar-las-elecciones-generales-daniel-noboa-luisa-gonzales-ultimas-noticia/?outputType=amp
Earlier recorded access
Source 1: full text
Source 2: full text
Source 3: full text</x:v>
      </x:c>
      <x:c r="P48" s="20" t="n">
        <x:v>1</x:v>
      </x:c>
      <x:c r="Q48" s="4" t="str">
        <x:v>Americas</x:v>
      </x:c>
      <x:c r="R48" s="4" t="str">
        <x:v>Included</x:v>
      </x:c>
    </x:row>
    <x:row r="49" ht="402" hidden="0" customHeight="1">
      <x:c r="A49" s="16" t="str">
        <x:v>AM049</x:v>
      </x:c>
      <x:c r="B49" s="4" t="str">
        <x:v>Ecuador 2025 presidential-runoff foreign land-entry ban</x:v>
      </x:c>
      <x:c r="C49" s="4" t="str">
        <x:v>Ecuador; Colombia; Peru</x:v>
      </x:c>
      <x:c r="D49" s="4" t="str">
        <x:v>Foreign entry at land frontier</x:v>
      </x:c>
      <x:c r="E49" s="4" t="str">
        <x:v>Foreign persons entering Ecuador across its northern and southern land frontiers.
Direction: Into Ecuador; Ecuadorian entry and departure are not barred by the foreign-entry restriction.
Exceptions: Ecuadorian citizens; goods transport and trade activities protected by the decree’s general provision. Observed Huaquillas checks allowed Ecuadorian identity-card holders while goods still crossed.</x:v>
      </x:c>
      <x:c r="F49" s="4" t="str">
        <x:v>AM049-R1 — Announced window
Foreign persons entering Ecuador by land from Colombia or Peru
Start: 2025-04-11.
Scheduled endpoint: 2025-04-14.
Ordered window: 3 calendar-day difference; actual end not established
AM049-C7P1 — Observed operation
Ecuadorian foreign-entry checks at Huaquillas
Start: unknown.
Last confirmed: 2025-04-12. Reopening is not established.
dated evidence; numeric duration withheld; see qualification</x:v>
      </x:c>
      <x:c r="G49"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Crime and law enforcement
Reported reason
Applies to: Recorded episode; exact overlap not separately established
The recorded rationale and claim assessment support the selected subcategories. All applicable broad categories are retained together; no primary rationale is imposed.</x:v>
      </x:c>
      <x:c r="H49" s="4" t="str">
        <x:v>AM049-R1: Scheduled April 11 16:00 to April 14 23:59 only; endpoint date inclusive. Goods/trade and Ecuadorian movement excluded. Field report notes foreign persons in Tulcán with unknown entry route/status; no universal physical closure or actual endpoint inferred.
AM049-C7P1: One dated implementation observation. Ecuadorian movement and goods are outside the restriction; no continuous interval or April 14 physical reopening is inferred.</x:v>
      </x:c>
      <x:c r="I49" s="4" t="str">
        <x:v>Second full-register audit, 26 October 2026: additional source-audited corrections incorporated. See the phase, scope and qualification columns for the accepted findings.</x:v>
      </x:c>
      <x:c r="J49" s="18" t="d">
        <x:v>2026-10-26T00:00:00.000Z</x:v>
      </x:c>
      <x:c r="K49" s="21" t="str">
        <x:f>IFERROR(HYPERLINK("https://www.gob.pe/institucion/rree/noticias/1144379-comunicado-sobre-las-restricciones-de-ingreso-establecidas-por-el-gobierno-de-ecuador-en-la-frontera-comun","Peru Foreign Ministry"),"Peru Foreign Ministry")</x:f>
        <x:v>Peru Foreign Ministry</x:v>
      </x:c>
      <x:c r="L49" s="21" t="str">
        <x:f>IFERROR(HYPERLINK("https://www.eluniverso.com/noticias/intercultural/ecuatorianos-pueden-ingresar-al-pais-o-salir-hacia-colombia-por-rumichaca-pero-los-extranjeros-tienen-restriccion-nota/","El Universo"),"El Universo")</x:f>
        <x:v>El Universo</x:v>
      </x:c>
      <x:c r="M49" s="21" t="str">
        <x:f>IFERROR(HYPERLINK("https://www.ecuavisa.com/seguridad/militares-ecuatorianos-controlan-el-ingreso-de-extranjeros-en-la-frontera-con-peru-20250412-0032.html","ecuavisa.com"),"ecuavisa.com")</x:f>
        <x:v>ecuavisa.com</x:v>
      </x:c>
      <x:c r="N49" s="4" t="str">
        <x:v>https://www.gob.pe/institucion/rree/noticias/1144379-comunicado-sobre-las-restricciones-de-ingreso-establecidas-por-el-gobierno-de-ecuador-en-la-frontera-comun
https://www.eluniverso.com/noticias/intercultural/ecuatorianos-pueden-ingresar-al-pais-o-salir-hacia-colombia-por-rumichaca-pero-los-extranjeros-tienen-restriccion-nota/
https://www.ecuavisa.com/seguridad/militares-ecuatorianos-controlan-el-ingreso-de-extranjeros-en-la-frontera-con-peru-20250412-0032.html
https://efe.com/mundo/2025-04-12/ecuador-elecciones-frontera-militares/</x:v>
      </x:c>
      <x:c r="O49" s="4" t="str">
        <x:v>Second full-register audit source access, 26 October 2026
https://www.eluniverso.com/noticias/intercultural/ecuatorianos-pueden-ingresar-al-pais-o-salir-hacia-colombia-por-rumichaca-pero-los-extranjeros-tienen-restriccion-nota/: full text (previously retrieved text re-examined)
https://www.ecuavisa.com/seguridad/militares-ecuatorianos-controlan-el-ingreso-de-extranjeros-en-la-frontera-con-peru-20250412-0032.html: full text (fresh retrieval)
Earlier URLs not separately inspected in this second assessment:
https://www.gob.pe/institucion/rree/noticias/1144379-comunicado-sobre-las-restricciones-de-ingreso-establecidas-por-el-gobierno-de-ecuador-en-la-frontera-comun
https://efe.com/mundo/2025-04-12/ecuador-elecciones-frontera-militares/
Prior audit access record
Full-register audit source access (evidence cutoff 25 October 2026)
https://www.eluniverso.com/noticias/intercultural/ecuatorianos-pueden-ingresar-al-pais-o-salir-hacia-colombia-por-rumichaca-pero-los-extranjeros-tienen-restriccion-nota/: full text
https://www.ecuavisa.com/seguridad/militares-ecuatorianos-controlan-el-ingreso-de-extranjeros-en-la-frontera-con-peru-20250412-0032.html: full text
https://www.gob.pe/institucion/rree/noticias/1144379-comunicado-sobre-las-restricciones-de-ingreso-establecidas-por-el-gobierno-de-ecuador-en-la-frontera-comun: inaccessible — 418 response.
Earlier source URLs not separately listed in this audit’s retrieval log (historical access notes below are not fresh verification):
https://efe.com/mundo/2025-04-12/ecuador-elecciones-frontera-militares/
Earlier recorded access
Source 1: indexed excerpt; failed
Source 2: indexed excerpt; full
Source 3: access detail is retained in the source catalogue.</x:v>
      </x:c>
      <x:c r="P49" s="20" t="n">
        <x:v>2</x:v>
      </x:c>
      <x:c r="Q49" s="4" t="str">
        <x:v>Americas</x:v>
      </x:c>
      <x:c r="R49" s="4" t="str">
        <x:v>Included</x:v>
      </x:c>
    </x:row>
    <x:row r="50" ht="409" hidden="0" customHeight="1">
      <x:c r="A50" s="16" t="str">
        <x:v>AM046</x:v>
      </x:c>
      <x:c r="B50" s="4" t="str">
        <x:v>Colombia 2026 election frontier closure 2026-03-07</x:v>
      </x:c>
      <x:c r="C50" s="4" t="str">
        <x:v>Colombia; Venezuela; Brazil; Peru; Ecuador; Panama</x:v>
      </x:c>
      <x:c r="D50" s="4" t="str">
        <x:v>Authorised land and river frontier traveller movements</x:v>
      </x:c>
      <x:c r="E50" s="4" t="str">
        <x:v>Ordinary travellers through authorized land and river frontier posts.
Direction: Entry and exit of travellers under the national order; observed operation is scoped to the Norte de Santander–Táchira bridge group.
Exceptions: Accredited force majeure or fortuitous events.</x:v>
      </x:c>
      <x:c r="F50" s="4" t="str">
        <x:v>AM046-R1 — Announced window
Colombia authorised land and river posts, ordinary travellers
Start: 2026-03-07.
Scheduled endpoint: 2026-03-09.
Ordered window: 2 calendar-day difference; actual end not established
AM046-C6OP1 — Observed operation
Ordinary formal traveller passage at international bridges linking Norte de Santander and Táchira.
Start: 2026-03-07.
Scoped endpoint: 2026-03-09.
2 calendar-day difference; scoped endpoint only</x:v>
      </x:c>
      <x:c r="G50"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0" s="4" t="str">
        <x:v>March 9 reopening is observed for the Norte de Santander–Táchira bridge group. Other national gates remain covered only by the scheduled order.
AM046-R1: Scheduled 36-hour window from March 7 at 18:00 to March 9 at 06:00; exceptional transit permitted. No observed enforcement or reopening.
AM046-C6OP1: Local bridge group only; individual gates not enumerated. Irregular paths and statutory exceptions are not treated as formal reopening. Calendar-date interval, not nationwide physical closure. The computed two-day date difference is a calendar-date measure; the reported elapsed closure was 36 hours.</x:v>
      </x:c>
      <x:c r="I50" s="4" t="str">
        <x:v>Second full-register audit, 26 October 2026: additional source-audited corrections incorporated. See the phase, scope and qualification columns for the accepted findings.</x:v>
      </x:c>
      <x:c r="J50" s="18" t="d">
        <x:v>2026-10-26T00:00:00.000Z</x:v>
      </x:c>
      <x:c r="K50" s="21" t="str">
        <x:f>IFERROR(HYPERLINK("https://www.funcionpublica.gov.co/eva/gestornormativo/norma.php?i=272496","Función Pública"),"Función Pública")</x:f>
        <x:v>Función Pública</x:v>
      </x:c>
      <x:c r="L50" s="21" t="str">
        <x:f>IFERROR(HYPERLINK("https://caracol.com.co/2026/03/09/con-normalidad-se-da-apertura-a-los-puentes-internaciones-entre-colombia-y-venezuela/?outputType=amp","caracol.com.co"),"caracol.com.co")</x:f>
        <x:v>caracol.com.co</x:v>
      </x:c>
      <x:c r="M50" s="21" t="str">
        <x:f>IFERROR(HYPERLINK("https://portal.migracioncolombia.gov.co/detalle-noticia/agenda-migcol/comunicaciones-y-prensa/asi-sera-el-cierre-temporal-de-fronteras-por-elecciones-legislativas-del-8-de-marzo","Migración Colombia"),"Migración Colombia")</x:f>
        <x:v>Migración Colombia</x:v>
      </x:c>
      <x:c r="N50" s="4" t="str">
        <x:v>https://www.funcionpublica.gov.co/eva/gestornormativo/norma.php?i=272496
https://caracol.com.co/2026/03/09/con-normalidad-se-da-apertura-a-los-puentes-internaciones-entre-colombia-y-venezuela/?outputType=amp
https://portal.migracioncolombia.gov.co/detalle-noticia/agenda-migcol/comunicaciones-y-prensa/asi-sera-el-cierre-temporal-de-fronteras-por-elecciones-legislativas-del-8-de-marzo
https://elpais.com/america-colombia/elecciones-presidenciales/2026-03-07/elecciones-en-colombia-el-horario-de-la-ley-seca-el-cierre-de-fronteras-y-otras-medidas-por-las-votaciones-del-8-de-marzo.html</x:v>
      </x:c>
      <x:c r="O50" s="4" t="str">
        <x:v>Second full-register audit source access, 26 October 2026
https://portal.migracioncolombia.gov.co/detalle-noticia/agenda-migcol/comunicaciones-y-prensa/asi-sera-el-cierre-temporal-de-fronteras-por-elecciones-legislativas-del-8-de-marzo: search extract (previously retrieved text re-examined) — Substantive indexed official text inspected; direct source failed.
https://caracol.com.co/2026/03/09/con-normalidad-se-da-apertura-a-los-puentes-internaciones-entre-colombia-y-venezuela/?outputType=amp: full text (fresh retrieval) — Caracol-derived paraphrase kept short; no all-country operational inference.
Earlier URLs not separately inspected in this second assessment:
https://www.funcionpublica.gov.co/eva/gestornormativo/norma.php?i=272496
https://elpais.com/america-colombia/elecciones-presidenciales/2026-03-07/elecciones-en-colombia-el-horario-de-la-ley-seca-el-cierre-de-fronteras-y-otras-medidas-por-las-votaciones-del-8-de-marzo.html
Prior audit access record
Full-register audit source access (evidence cutoff 25 October 2026)
https://portal.migracioncolombia.gov.co/detalle-noticia/agenda-migcol/comunicaciones-y-prensa/asi-sera-el-cierre-temporal-de-fronteras-por-elecciones-legislativas-del-8-de-marzo: search extract — Substantive indexed official text inspected; direct source failed.
https://caracol.com.co/2026/03/09/con-normalidad-se-da-apertura-a-los-puentes-internaciones-entre-colombia-y-venezuela/?outputType=amp: full text — Caracol-derived paraphrase kept short; no all-country operational inference.
Earlier source URLs not separately listed in this audit’s retrieval log (historical access notes below are not fresh verification):
https://www.funcionpublica.gov.co/eva/gestornormativo/norma.php?i=272496
https://elpais.com/america-colombia/elecciones-presidenciales/2026-03-07/elecciones-en-colombia-el-horario-de-la-ley-seca-el-cierre-de-fronteras-y-otras-medidas-por-las-votaciones-del-8-de-marzo.html
Earlier recorded access
Source 1: indexed excerpt
Source 2: access detail is retained in the source catalogue.
Source 3: full page</x:v>
      </x:c>
      <x:c r="P50" s="20" t="n">
        <x:v>2</x:v>
      </x:c>
      <x:c r="Q50" s="4" t="str">
        <x:v>Americas</x:v>
      </x:c>
      <x:c r="R50" s="4" t="str">
        <x:v>Included</x:v>
      </x:c>
    </x:row>
    <x:row r="51" ht="409" hidden="0" customHeight="1">
      <x:c r="A51" s="16" t="str">
        <x:v>AM047</x:v>
      </x:c>
      <x:c r="B51" s="4" t="str">
        <x:v>Colombia 2026 election frontier closure 2026-05-30</x:v>
      </x:c>
      <x:c r="C51" s="4" t="str">
        <x:v>Colombia; Venezuela; Brazil; Peru; Ecuador; Panama</x:v>
      </x:c>
      <x:c r="D51" s="4" t="str">
        <x:v>Authorised land and river frontier traveller movements</x:v>
      </x:c>
      <x:c r="E51" s="4" t="str">
        <x:v>Ordinary travellers through authorized land and river frontier posts.
Direction: Entry and exit of travellers under the national order; observed reopening evidence is scoped to Rumichaca.
Exceptions: Accredited force majeure or fortuitous events.</x:v>
      </x:c>
      <x:c r="F51" s="4" t="str">
        <x:v>AM047-R1 — Announced window
Colombia authorised land/river posts, ordinary travellers
Start: 2026-05-30.
Scheduled endpoint: 2026-06-01.
Ordered window: 2 calendar-day difference; actual end not established
AM047-C6OP1 — Observed operation
Ordinary traveller passage at Rumichaca under Colombia's election restriction.
Start: 2026-05-30.
Observed scoped reopening: 2026-06-01.
2 calendar-day difference; scoped endpoint only</x:v>
      </x:c>
      <x:c r="G51"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1" s="4" t="str">
        <x:v>AM047-R1: Scheduled 30 May at 18:00–1 June at 06:00; force-majeure passage excepted. No completed endpoint or continuous field enforcement established.
AM047-C6OP1: Local retrospective implementation account, not observation of every crossing or every minute. Tariff removal and freight queues are separate policy matters. The computed two-day date difference is a calendar-date measure; the reported elapsed closure was 36 hours.</x:v>
      </x:c>
      <x:c r="I51" s="4" t="str">
        <x:v>Second full-register audit, 26 October 2026: additional source-audited corrections incorporated. See the phase, scope and qualification columns for the accepted findings.</x:v>
      </x:c>
      <x:c r="J51" s="18" t="d">
        <x:v>2026-10-26T00:00:00.000Z</x:v>
      </x:c>
      <x:c r="K51" s="21" t="str">
        <x:f>IFERROR(HYPERLINK("https://portal.migracioncolombia.gov.co/planeacion-y-estadistica/observatorio-om3/actualidad-y-recursos/notas-de-prensa/detalle/agenda-migcol/comunicaciones-y-prensa/asi-sera-el-cierre-temporal-de-fronteras-por-elecciones-presidenciales-del-31-de-mayo","Migración Colombia"),"Migración Colombia")</x:f>
        <x:v>Migración Colombia</x:v>
      </x:c>
      <x:c r="L51" s="21" t="str">
        <x:f>IFERROR(HYPERLINK("https://www.elespectador.com/mundo/america/asi-amanecio-rumichaca-tras-las-elecciones-en-colombia-y-la-eliminacion-de-aranceles/","El Espectador"),"El Espectador")</x:f>
        <x:v>El Espectador</x:v>
      </x:c>
      <x:c r="M51" s="21" t="str">
        <x:f>IFERROR(HYPERLINK("https://www.migracioncolombia.gov.co/detalle-noticia/agenda-migcol/comunicaciones-y-prensa/asi-sera-el-cierre-temporal-de-fronteras-por-elecciones-presidenciales-del-31-de-mayo","Migración Colombia"),"Migración Colombia")</x:f>
        <x:v>Migración Colombia</x:v>
      </x:c>
      <x:c r="N51" s="4" t="str">
        <x:v>https://portal.migracioncolombia.gov.co/planeacion-y-estadistica/observatorio-om3/actualidad-y-recursos/notas-de-prensa/detalle/agenda-migcol/comunicaciones-y-prensa/asi-sera-el-cierre-temporal-de-fronteras-por-elecciones-presidenciales-del-31-de-mayo
https://www.elespectador.com/mundo/america/asi-amanecio-rumichaca-tras-las-elecciones-en-colombia-y-la-eliminacion-de-aranceles/
https://www.migracioncolombia.gov.co/detalle-noticia/agenda-migcol/comunicaciones-y-prensa/asi-sera-el-cierre-temporal-de-fronteras-por-elecciones-presidenciales-del-31-de-mayo
https://www.funcionpublica.gov.co/eva/gestornormativo/norma.php?i=272496</x:v>
      </x:c>
      <x:c r="O51" s="4" t="str">
        <x:v>Second full-register audit source access, 26 October 2026
https://portal.migracioncolombia.gov.co/planeacion-y-estadistica/observatorio-om3/actualidad-y-recursos/notas-de-prensa/detalle/agenda-migcol/comunicaciones-y-prensa/asi-sera-el-cierre-temporal-de-fronteras-por-elecciones-presidenciales-del-31-de-mayo: search extract (previously retrieved text re-examined) — Substantive indexed official text inspected; direct source failed.
https://www.elespectador.com/mundo/america/asi-amanecio-rumichaca-tras-las-elecciones-en-colombia-y-la-eliminacion-de-aranceles/: full text (fresh retrieval)
Earlier URLs not separately inspected in this second assessment:
https://www.migracioncolombia.gov.co/detalle-noticia/agenda-migcol/comunicaciones-y-prensa/asi-sera-el-cierre-temporal-de-fronteras-por-elecciones-presidenciales-del-31-de-mayo
https://www.funcionpublica.gov.co/eva/gestornormativo/norma.php?i=272496
Prior audit access record
Full-register audit source access (evidence cutoff 25 October 2026)
https://portal.migracioncolombia.gov.co/planeacion-y-estadistica/observatorio-om3/actualidad-y-recursos/notas-de-prensa/detalle/agenda-migcol/comunicaciones-y-prensa/asi-sera-el-cierre-temporal-de-fronteras-por-elecciones-presidenciales-del-31-de-mayo: search extract — Substantive indexed official text inspected; direct source failed.
https://www.elespectador.com/mundo/america/asi-amanecio-rumichaca-tras-las-elecciones-en-colombia-y-la-eliminacion-de-aranceles/: full text
Earlier source URLs not separately listed in this audit’s retrieval log (historical access notes below are not fresh verification):
https://www.migracioncolombia.gov.co/detalle-noticia/agenda-migcol/comunicaciones-y-prensa/asi-sera-el-cierre-temporal-de-fronteras-por-elecciones-presidenciales-del-31-de-mayo
https://www.funcionpublica.gov.co/eva/gestornormativo/norma.php?i=272496
Earlier recorded access
Source 1: indexed excerpt; indexed extract
Source 2: full text
Source 3: unavailable</x:v>
      </x:c>
      <x:c r="P51" s="20" t="n">
        <x:v>2</x:v>
      </x:c>
      <x:c r="Q51" s="4" t="str">
        <x:v>Americas</x:v>
      </x:c>
      <x:c r="R51" s="4" t="str">
        <x:v>Included</x:v>
      </x:c>
    </x:row>
    <x:row r="52" ht="409" hidden="0" customHeight="1">
      <x:c r="A52" s="16" t="str">
        <x:v>AM048</x:v>
      </x:c>
      <x:c r="B52" s="4" t="str">
        <x:v>Colombia 2026 election frontier closure 2026-06-20</x:v>
      </x:c>
      <x:c r="C52" s="4" t="str">
        <x:v>Colombia; Venezuela; Brazil; Peru; Ecuador; Panama</x:v>
      </x:c>
      <x:c r="D52" s="4" t="str">
        <x:v>Authorised land and river frontier traveller movements</x:v>
      </x:c>
      <x:c r="E52" s="4" t="str">
        <x:v>Ordinary travellers at authorized land and river crossings, subject to statutory and humanitarian exceptions; an all-cargo prohibition is not established by the inspected decree.
Direction: Entry and exit of persons under the national order; operational evidence is scoped to reported Colombia–Venezuela crossings.
Exceptions: Force majeure, fortuitous events, medical emergencies, humanitarian assistance, protection of fundamental rights and other justified exceptional circumstances under Decree 631.</x:v>
      </x:c>
      <x:c r="F52" s="4" t="str">
        <x:v>AM048-R1 — Announced window
Colombia authorised land/river posts for entry/exit of persons outside statutory and humanitarian exceptions
Start: 2026-06-20.
Scheduled endpoint: 2026-06-22.
Ordered window: 2 calendar-day difference; actual end not established
AM048-C7P1 — Observed operation
Colombia–Venezuela authorized crossings reported in Norte de Santander, Arauca and La Guajira
Start: 2026-06-20.
Observed scoped reopening: 2026-06-22.
dated evidence; numeric duration withheld; see qualification</x:v>
      </x:c>
      <x:c r="G52"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2" s="4" t="str">
        <x:v>AM048-R1: Calendar dates only: actual legal start hour unknown within 20 June. Do not report an exact 48-hour implemented closure; old 36-hour notice superseded.
AM048-C7P1: Scoped operational envelope, not proof of uninterrupted denial at every post. Humanitarian exceptions and exact implementation hour remain qualified; other national frontiers retain scheduled evidence only.</x:v>
      </x:c>
      <x:c r="I52" s="4" t="str">
        <x:v>Second full-register audit, 26 October 2026: source checks completed; readability or formatting changes incorporated. No additional substantive factual correction is counted for this record.</x:v>
      </x:c>
      <x:c r="J52" s="18" t="d">
        <x:v>2026-10-26T00:00:00.000Z</x:v>
      </x:c>
      <x:c r="K52" s="21" t="str">
        <x:f>IFERROR(HYPERLINK("https://cancilleria.gov.co/normograma/compilacion/docs/decreto_0631_2026.htm","Colombian Government / Foreign Ministry legal compilation"),"Colombian Government / Foreign Ministry legal compilation")</x:f>
        <x:v>Colombian Government / Foreign Ministry legal compilation</x:v>
      </x:c>
      <x:c r="L52" s="21" t="str">
        <x:f>IFERROR(HYPERLINK("https://eldiario.com/2026/06/22/reapertura-fronteriza-colombia-venezuela/","El Diario"),"El Diario")</x:f>
        <x:v>El Diario</x:v>
      </x:c>
      <x:c r="M52" s="21" t="str">
        <x:f>IFERROR(HYPERLINK("https://www.elpais.com.co/amp/colombia/colombia-adelanto-cierre-de-la-frontera-con-venezuela-por-elecciones-y-sorprendio-a-viajeros-en-norte-de-santander-2007.html","El País Colombia"),"El País Colombia")</x:f>
        <x:v>El País Colombia</x:v>
      </x:c>
      <x:c r="N52" s="4" t="str">
        <x:v>https://cancilleria.gov.co/normograma/compilacion/docs/decreto_0631_2026.htm
https://eldiario.com/2026/06/22/reapertura-fronteriza-colombia-venezuela/
https://www.elpais.com.co/amp/colombia/colombia-adelanto-cierre-de-la-frontera-con-venezuela-por-elecciones-y-sorprendio-a-viajeros-en-norte-de-santander-2007.html
https://www.migracioncolombia.gov.co/detalle-noticia/agenda-migcol/comunicaciones-y-prensa/fronteras-terrestres-y-fluviales-del-pais-cerraran-temporalmente-durante-la-segunda-vuelta-presidencial
https://portal.migracioncolombia.gov.co/detalle-noticia/agenda-migcol/comunicaciones-y-prensa/fronteras-terrestres-y-fluviales-del-pais-cerraran-temporalmente-durante-la-segunda-vuelta-presidencial</x:v>
      </x:c>
      <x:c r="O52" s="4" t="str">
        <x:v>Second full-register audit source access, 26 October 2026
https://cancilleria.gov.co/normograma/compilacion/docs/decreto_0631_2026.htm: full text (fresh retrieval)
https://eldiario.com/2026/06/22/reapertura-fronteriza-colombia-venezuela/: full text (fresh retrieval) — Does not establish uninterrupted exclusion at every gate.
Earlier URLs not separately inspected in this second assessment:
https://www.elpais.com.co/amp/colombia/colombia-adelanto-cierre-de-la-frontera-con-venezuela-por-elecciones-y-sorprendio-a-viajeros-en-norte-de-santander-2007.html
https://www.migracioncolombia.gov.co/detalle-noticia/agenda-migcol/comunicaciones-y-prensa/fronteras-terrestres-y-fluviales-del-pais-cerraran-temporalmente-durante-la-segunda-vuelta-presidencial
https://portal.migracioncolombia.gov.co/detalle-noticia/agenda-migcol/comunicaciones-y-prensa/fronteras-terrestres-y-fluviales-del-pais-cerraran-temporalmente-durante-la-segunda-vuelta-presidencial
Prior audit access record
Full-register audit source access (evidence cutoff 25 October 2026)
https://cancilleria.gov.co/normograma/compilacion/docs/decreto_0631_2026.htm: full text
https://eldiario.com/2026/06/22/reapertura-fronteriza-colombia-venezuela/: full text — Does not establish uninterrupted exclusion at every gate.
Earlier source URLs not separately listed in this audit’s retrieval log (historical access notes below are not fresh verification):
https://www.elpais.com.co/amp/colombia/colombia-adelanto-cierre-de-la-frontera-con-venezuela-por-elecciones-y-sorprendio-a-viajeros-en-norte-de-santander-2007.html
https://www.migracioncolombia.gov.co/detalle-noticia/agenda-migcol/comunicaciones-y-prensa/fronteras-terrestres-y-fluviales-del-pais-cerraran-temporalmente-durante-la-segunda-vuelta-presidencial
https://portal.migracioncolombia.gov.co/detalle-noticia/agenda-migcol/comunicaciones-y-prensa/fronteras-terrestres-y-fluviales-del-pais-cerraran-temporalmente-durante-la-segunda-vuelta-presidencial
Earlier recorded access
Source 1: full; full text
Source 2: full text
Source 3: full text</x:v>
      </x:c>
      <x:c r="P52" s="20" t="n">
        <x:v>2</x:v>
      </x:c>
      <x:c r="Q52" s="4" t="str">
        <x:v>Americas</x:v>
      </x:c>
      <x:c r="R52" s="4" t="str">
        <x:v>Included</x:v>
      </x:c>
    </x:row>
    <x:row r="53" ht="409" hidden="0" customHeight="1">
      <x:c r="A53" s="16" t="str">
        <x:v>CC028</x:v>
      </x:c>
      <x:c r="B53" s="4" t="str">
        <x:v>Armenia–Azerbaijan longstanding closure of ordinary transport links</x:v>
      </x:c>
      <x:c r="C53" s="4" t="str">
        <x:v>Armenia; Azerbaijan</x:v>
      </x:c>
      <x:c r="D53" s="4" t="str">
        <x:v>Ordinary direct interstate transport links: Armenia–mainland Azerbaijan, and separately Nakhchivan links through Armenia. Individual posts are not enumerated. The separate Lachin regime and rail transit via Georgia are excluded.</x:v>
      </x:c>
      <x:c r="E53" s="4" t="str">
        <x:v>Ordinary direct passengers and trade
Direction: Both directions in practice; the historical blockades had distinct mainland and Nakhchivan scopes.
Exceptions: Lachin corridor operated under a separate conflict-related regime (CC020); extraordinary humanitarian passage and rail shipments via Georgia do not establish ordinary direct reopening.</x:v>
      </x:c>
      <x:c r="F53" s="4" t="str">
        <x:v>CC028-R1 — Longstanding restricted transport regime
Ordinary direct transport between Armenia and mainland Azerbaijan; separate Lachin and humanitarian routes excluded.
Full-blockade onset: summer 1991 (represented as 1991-06-01 to 1991-08-31); earlier interruptions were sporadic from 1989. These bounds do not date every individual road or railway closure.
Last dated general border-closure confirmation: 2025-06-12. Ordinary direct reopening is not established.
The sustained restriction exceeds 24 hours; no exact uninterrupted route-wide day total is assigned.
CC028-AUDIT20261026-1 — Longstanding restricted transport regime
Nakhchivan transport links through Armenia, distinguished from the earlier mainland blockade.
Blockade onset: June 1992 (1992-06-01 to 1992-06-30), as described by HRW. Attribution of responsibility was disputed.
Last dated general border-closure confirmation: 2025-06-12. Ordinary direct reopening is not established.
The sustained restriction exceeds 24 hours; no exact uninterrupted route-wide day total is assigned.
Current FCDO advice checked 26 October 2026 describes the Armenia–Azerbaijan border as closed. This is advisory confirmation, not a new onset or a gate-by-gate operational observation.</x:v>
      </x:c>
      <x:c r="G53" s="4" t="str">
        <x:v>Security / Armed conflict and military confrontation
Interstate disputes and pressure / Diplomatic disputes and retaliation
Analytical interpretation of the conflict-associated transport blockades described by Human Rights Watch. Applies separately to CC028-R1 and CC028-AUDIT20261026-1. Responsibility for the Nakhchivan blockade was disputed: Azerbaijan attributed it to Armenia, while Armenian officials attributed the rail interruption to Azerbaijan’s blockade of Armenia. These attributed explanations do not establish the motive for every individual refusal or exceptional crossing.</x:v>
      </x:c>
      <x:c r="H53" s="4" t="str">
        <x:v>CC028-R1: HRW describes sporadic Armenia-directed transport interruptions from 1989 and a full blockade by summer 1991. June–August bounds represent the reported season, not a first day for each road or railway.
CC028-AUDIT20261026-1: HRW separately dates Nakhchivan’s blockade from June 1992. The parties disputed responsibility, and the source also describes earlier train attacks; those attacks are not treated as the same continuous blockade. June bounds preserve month precision.
Both restrictions were sustained and exceed 24 hours. Their chronology must not be combined into one common 1991 onset or one exact network-wide duration. Reuters described the heavily militarised interstate border as closed on 12 June 2025; FCDO advice checked 26 October 2026 still describes closure. These general confirmations do not enumerate each route or its exceptional movements.
Armenia’s prime minister stated on 11 March 2026 that rail shipments had arrived via Azerbaijan and Georgia from November 2025, while direct regional connections remained under development. Third-country transit is not direct Armenia–Azerbaijan border reopening.</x:v>
      </x:c>
      <x:c r="I53" s="4" t="str">
        <x:v>Second full-register audit, 26 October 2026: additional source-audited corrections incorporated. See the phase, scope and qualification columns for the accepted findings.</x:v>
      </x:c>
      <x:c r="J53" s="18" t="d">
        <x:v>2026-10-26T00:00:00.000Z</x:v>
      </x:c>
      <x:c r="K53" s="21" t="str">
        <x:f>IFERROR(HYPERLINK("https://www.hrw.org/reports/AZER%20Conflict%20in%20N-K%20Dec94_0.pdf","Human Rights Watch"),"Human Rights Watch")</x:f>
        <x:v>Human Rights Watch</x:v>
      </x:c>
      <x:c r="L53" s="21" t="str">
        <x:f>IFERROR(HYPERLINK("https://m.investing.com/news/commodities-news/in-armenia-rising-ceasefire-violations-bring-fears-of-war-with-azerbaijan-4092434?ampMode=1","Investing.com"),"Investing.com")</x:f>
        <x:v>Investing.com</x:v>
      </x:c>
      <x:c r="M53" s="21" t="str">
        <x:f>IFERROR(HYPERLINK("https://www.primeminister.am/en/interviews-and-press-conferences/item/2025/03/04/Nikol-Pashinyan-article/","Armenian Prime Minister"),"Armenian Prime Minister")</x:f>
        <x:v>Armenian Prime Minister</x:v>
      </x:c>
      <x:c r="N53" s="4" t="str">
        <x:v>https://www.hrw.org/reports/AZER%20Conflict%20in%20N-K%20Dec94_0.pdf
https://m.investing.com/news/commodities-news/in-armenia-rising-ceasefire-violations-bring-fears-of-war-with-azerbaijan-4092434?ampMode=1
https://www.primeminister.am/en/interviews-and-press-conferences/item/2025/03/04/Nikol-Pashinyan-article/
https://www.primeminister.am/en/foreign-visits/item/2026/03/11/Nikol-Pashinyan-visiting-Strasbourg/
https://www.investing.com/news/commodities-news/in-armenia-rising-ceasefire-violations-bring-fears-of-war-with-azerbaijan-4092434
https://www.gov.uk/foreign-travel-advice/armenia/regional-risks
https://www.reuters.com/world/armenia-rising-ceasefire-violations-bring-fears-war-with-azerbaijan-2025-06-12/</x:v>
      </x:c>
      <x:c r="O53" s="4" t="str">
        <x:v>Second full-register audit source access, 26 October 2026
https://www.hrw.org/reports/AZER%20Conflict%20in%20N-K%20Dec94_0.pdf: full text (fresh retrieval) — Not a gate-by-gate chronology.
https://www.investing.com/news/commodities-news/in-armenia-rising-ceasefire-violations-bring-fears-of-war-with-azerbaijan-4092434: full text (fresh retrieval)
https://www.primeminister.am/en/foreign-visits/item/2026/03/11/Nikol-Pashinyan-visiting-Strasbourg/: full text (fresh retrieval)
https://www.gov.uk/foreign-travel-advice/armenia/regional-risks: full text (fresh retrieval) — Checked October 26, 2026; not a dated physical observation.
Earlier URLs not separately inspected in this second assessment:
https://m.investing.com/news/commodities-news/in-armenia-rising-ceasefire-violations-bring-fears-of-war-with-azerbaijan-4092434?ampMode=1
https://www.primeminister.am/en/interviews-and-press-conferences/item/2025/03/04/Nikol-Pashinyan-article/
https://www.reuters.com/world/armenia-rising-ceasefire-violations-bring-fears-war-with-azerbaijan-2025-06-12/
Prior audit access record
Full-register audit source access (evidence cutoff 25 October 2026)
https://www.hrw.org/reports/AZER%20Conflict%20in%20N-K%20Dec94_0.pdf: full text — Page 23 note 18 and page 149; no exact first closure date
https://www.primeminister.am/en/interviews-and-press-conferences/item/2025/03/04/Nikol-Pashinyan-article/: full text — Official political attribution
https://www.reuters.com/world/armenia-rising-ceasefire-violations-bring-fears-war-with-azerbaijan-2025-06-12/: full text — Retrospective history, not exact onset
https://www.gov.uk/foreign-travel-advice/armenia/regional-risks: full text — Retrieved 25 October 2026; not proof of continuous historical enforcement
https://www.primeminister.am/en/foreign-visits/item/2026/03/11/Nikol-Pashinyan-visiting-Strasbourg/: full text — Not a direct Armenia–Azerbaijan border opening
Earlier source URLs not separately listed in this audit’s retrieval log (historical access notes below are not fresh verification):
https://m.investing.com/news/commodities-news/in-armenia-rising-ceasefire-violations-bring-fears-of-war-with-azerbaijan-4092434?ampMode=1
https://www.investing.com/news/commodities-news/in-armenia-rising-ceasefire-violations-bring-fears-of-war-with-azerbaijan-4092434
Earlier recorded access
Source 1: full
Source 2: full; failed
Source 3: full</x:v>
      </x:c>
      <x:c r="P53" s="20" t="n">
        <x:v>2</x:v>
      </x:c>
      <x:c r="Q53" s="4" t="str">
        <x:v>Central Asia and Caucasus</x:v>
      </x:c>
      <x:c r="R53" s="4" t="str">
        <x:v>Included</x:v>
      </x:c>
    </x:row>
    <x:row r="54" ht="409" hidden="0" customHeight="1">
      <x:c r="A54" s="16" t="str">
        <x:v>CC004</x:v>
      </x:c>
      <x:c r="B54" s="4" t="str">
        <x:v>Turkey–Armenia longstanding land-border closure</x:v>
      </x:c>
      <x:c r="C54" s="4" t="str">
        <x:v>Türkiye; Armenia</x:v>
      </x:c>
      <x:c r="D54" s="4" t="str">
        <x:v>Ordinary direct land travel across the Turkey–Armenia frontier; authorised humanitarian, diplomatic and border-commission crossings excluded.</x:v>
      </x:c>
      <x:c r="E54" s="4" t="str">
        <x:v>Ordinary direct land travel and trade
Direction: Both directions in practical operation
Exceptions: Authorised humanitarian, diplomatic and border-commission movements, including aid at Margara–Alican on 11 and 15 February 2023, reciprocal diplomatic pedestrian passage on 30 July 2024, and a Syria-bound aid convoy entering Türkiye on 22 March 2025. These do not establish general reopening.</x:v>
      </x:c>
      <x:c r="F54" s="4" t="str">
        <x:v>CC004-D1 — Longstanding restricted regime
Ordinary direct land travel across the Turkey–Armenia frontier is unavailable, with individually authorised exceptions.
Historical milestone: April 1993 cessation of previously limited cross-border permissions; this is not an established first onset of ordinary public closure. Earlier access was already limited and arranged on demand.
Last dated official confirmation: 2026-05-13. Ordinary reopening is not established.
Exact ordinary-closure onset and uninterrupted elapsed duration are unknown. Current FCDO advice checked 26 October 2026 also describes the land border as closed.</x:v>
      </x:c>
      <x:c r="G54"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Diplomatic disputes and retaliation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54" s="4" t="str">
        <x:v>CC004-D1: Official history places the closure in 1993 and Crisis Group in early April. Scholarly research by Vahram Ter-Matevosyan qualifies this: before April, crossings were already limited to agreed uses, including humanitarian transport and rail traffic. April 1993 is therefore a historical tightening milestone, not proof that an ordinary public border first closed then. No exact first onset or uninterrupted duration is assigned.
Authorised humanitarian crossings in February 2023 and a Syria-bound convoy entering on 22 March 2025 are exceptions. Türkiye also identifies reciprocal diplomatic pedestrian crossings on 30 July 2024 and routine border-commission use. These do not establish ordinary reopening.
The 13 May 2026 Turkish statement concerns trade documentation via third countries and says work on opening the common border is ongoing. FCDO advice checked 26 October 2026 still describes the land border as closed; this is current advisory evidence, not a newly dated operational observation at every post.</x:v>
      </x:c>
      <x:c r="I54" s="4" t="str">
        <x:v>Second full-register audit, 26 October 2026: additional source-audited corrections incorporated. See the phase, scope and qualification columns for the accepted findings.</x:v>
      </x:c>
      <x:c r="J54" s="18" t="d">
        <x:v>2026-10-26T00:00:00.000Z</x:v>
      </x:c>
      <x:c r="K54" s="21" t="str">
        <x:f>IFERROR(HYPERLINK("https://www.mfa.am/en/bilateral-relations/tr","mfa.am"),"mfa.am")</x:f>
        <x:v>mfa.am</x:v>
      </x:c>
      <x:c r="L54" s="21" t="str">
        <x:f>IFERROR(HYPERLINK("https://apnews.com/article/c09e5d21617d45e524268eea1a2ff70b","Associated Press"),"Associated Press")</x:f>
        <x:v>Associated Press</x:v>
      </x:c>
      <x:c r="M54" s="21" t="str">
        <x:f>IFERROR(HYPERLINK("https://www.mfa.gov.tr/relations-between-turkiye-and-armenia.en.mfa","Turkish MFA"),"Turkish MFA")</x:f>
        <x:v>Turkish MFA</x:v>
      </x:c>
      <x:c r="N54" s="4" t="str">
        <x:v>https://www.mfa.am/en/bilateral-relations/tr
https://apnews.com/article/c09e5d21617d45e524268eea1a2ff70b
https://www.mfa.gov.tr/relations-between-turkiye-and-armenia.en.mfa
https://www.mfa.gov.tr/sc_-6_-disisleri-bakanligi-sozcusu-oncu-keceli-nin-ulkemiz-ile-ermenistan-arasinda-dogrudan-ticaretin-baslatilmasi-hk-sc.en.mfa
https://www.gov.uk/foreign-travel-advice/armenia/regional-risks
https://www.iletisim.gov.tr/turkce/haberler/detay/ermenilerle-sinirlarin-acildigi-iddiasina-iliskin-aciklama
https://crisisgroup-staging.sbx.so/qna/europe-central-asia/armenia/turkey-armenia-talks-hold-promise-opening-long-shut-border
https://www.researchgate.net/publication/354057423_Deadlocked_in_history_and_geopolitics_Revisiting_Armenia-Turkey_relations
https://armenia-turkey.net/files/2020-04/ngAJuYuPcnTbbc2A0wEDGVzPaI.pdf</x:v>
      </x:c>
      <x:c r="O54" s="4" t="str">
        <x:v>Second full-register audit source access, 26 October 2026
https://www.mfa.am/en/bilateral-relations/tr: full text (fresh retrieval)
https://crisisgroup-staging.sbx.so/qna/europe-central-asia/armenia/turkey-armenia-talks-hold-promise-opening-long-shut-border: full text (fresh retrieval) — Exact gate-by-gate day not supplied.
https://www.mfa.gov.tr/sc_-6_-disisleri-bakanligi-sozcusu-oncu-keceli-nin-ulkemiz-ile-ermenistan-arasinda-dogrudan-ticaretin-baslatilmasi-hk-sc.en.mfa: full text (fresh retrieval)
https://www.iletisim.gov.tr/turkce/haberler/detay/ermenilerle-sinirlarin-acildigi-iddiasina-iliskin-aciklama: full text (fresh retrieval)
https://www.gov.uk/foreign-travel-advice/armenia/regional-risks: full text (fresh retrieval) — Checked October 26; not a dated operational observation.
https://apnews.com/article/c09e5d21617d45e524268eea1a2ff70b: inaccessible (fresh retrieval) — Inaccessible in this round.
https://www.researchgate.net/publication/354057423_Deadlocked_in_history_and_geopolitics_Revisiting_Armenia-Turkey_relations: full text (fresh retrieval) — Scholarly interpretation; does not establish a first ordinary-closure date.
https://armenia-turkey.net/files/2020-04/ngAJuYuPcnTbbc2A0wEDGVzPaI.pdf: full text (fresh retrieval) — Same author as 2021 article; not independent corroboration.
Earlier URLs not separately inspected in this second assessment:
https://www.mfa.gov.tr/relations-between-turkiye-and-armenia.en.mfa
Prior audit access record
Full-register audit source access (evidence cutoff 25 October 2026)
https://www.mfa.am/en/bilateral-relations/tr: full text
https://www.gov.uk/foreign-travel-advice/armenia/regional-risks: full text — Current advice checked25October2026; not historical continuity evidence.
Earlier source URLs not separately listed in this audit’s retrieval log (historical access notes below are not fresh verification):
https://apnews.com/article/c09e5d21617d45e524268eea1a2ff70b
https://www.mfa.gov.tr/relations-between-turkiye-and-armenia.en.mfa
https://www.mfa.gov.tr/sc_-6_-disisleri-bakanligi-sozcusu-oncu-keceli-nin-ulkemiz-ile-ermenistan-arasinda-dogrudan-ticaretin-baslatilmasi-hk-sc.en.mfa
https://www.iletisim.gov.tr/turkce/haberler/detay/ermenilerle-sinirlarin-acildigi-iddiasina-iliskin-aciklama
Earlier recorded access
Source 1: full
Source 2: blocked page; search extract
Source 3: body</x:v>
      </x:c>
      <x:c r="P54" s="20" t="n">
        <x:v>1</x:v>
      </x:c>
      <x:c r="Q54" s="4" t="str">
        <x:v>Central Asia and Caucasus</x:v>
      </x:c>
      <x:c r="R54" s="4" t="str">
        <x:v>Included</x:v>
      </x:c>
    </x:row>
    <x:row r="55" ht="409" hidden="0" customHeight="1">
      <x:c r="A55" s="16" t="str">
        <x:v>CC029</x:v>
      </x:c>
      <x:c r="B55" s="4" t="str">
        <x:v>Abkhaz de facto authorities close Shamgona–Tagiloni crossing</x:v>
      </x:c>
      <x:c r="C55" s="4" t="str">
        <x:v>Georgia</x:v>
      </x:c>
      <x:c r="D55" s="4" t="str">
        <x:v>Shamgona–Tagiloni
Shamgona–Tagiloni administrative-boundary crossing</x:v>
      </x:c>
      <x:c r="E55" s="4" t="str">
        <x:v>Local cross-boundary residents
Direction: Both directions
Exceptions: Other crossing points available</x:v>
      </x:c>
      <x:c r="F55" s="4" t="str">
        <x:v>CC029-D1 — Observed operation
Ordinary passage at Shamgona–Tagiloni, as documented in the 2017 Public Defender report.
Start: 2016-04-15.
Last confirmed: 2017-11-16. Reopening is not established.
confirmed through 2017-11-16; at least 580 calendar-day difference; reopening unknown
Later status: a DRI report covering September 2023–September 2024 again identifies Shamgona–Tagiloni among abolished crossings, with only Enguri and Pakhulani–Saberio available. This is reporting-period confirmation, not an exact new observation day or reopening.</x:v>
      </x:c>
      <x:c r="G55" s="4" t="str">
        <x:v>Administration and service operation / Checkpoint authorisation and consolidation
Attributed official justification
Applies to: Only the closure or restriction described by the cited source; no added temporal overlap claim
The district head described concentrating control at Enguri as administratively easier and more effective. The reported abolition took effect on 15 April. No additional motive is inferred.</x:v>
      </x:c>
      <x:c r="H55" s="4" t="str">
        <x:v>CC029-D1: Radio Atinati reports effective abolition on 15 April 2016, with consolidation at Enguri given as the official reason. The Public Defender confirmed the named closure in November 2017.
A DRI report covering September 2023–September 2024 again describes the named crossing as abolished and identifies Enguri and Pakhulani–Saberio as the remaining routes. Its reporting-period evidence supports a later closure status, but not an exact day of inspection, every intervening day of operation, or automatic extension to October 2026. Other routes remained available; exemptions at the abolished post are not established.</x:v>
      </x:c>
      <x:c r="I55" s="4" t="str">
        <x:v>Second full-register audit, 26 October 2026: additional source-audited corrections incorporated. See the phase, scope and qualification columns for the accepted findings.</x:v>
      </x:c>
      <x:c r="J55" s="18" t="d">
        <x:v>2026-10-26T00:00:00.000Z</x:v>
      </x:c>
      <x:c r="K55" s="21" t="str">
        <x:f>IFERROR(HYPERLINK("https://ombudsman.ge/eng/spetsialuri-angarishebi/special-report-of-the-public-defender-of-georgia-on-the-impacts-of-the-closure-of-crossing-points-on-the-rights-of-the-population-living-along-abkhazias-administrative-boundary-line","Public Defender of Georgia"),"Public Defender of Georgia")</x:f>
        <x:v>Public Defender of Georgia</x:v>
      </x:c>
      <x:c r="L55" s="21" t="str">
        <x:f>IFERROR(HYPERLINK("https://www.radioatinati.ge/regioni/article/57051-de-faqto-afkhazethis-mthavrobam-thagilonis-gamshvebi-punqti-gaauqma.html","radioatinati.ge"),"radioatinati.ge")</x:f>
        <x:v>radioatinati.ge</x:v>
      </x:c>
      <x:c r="M55" s="21" t="str">
        <x:f>IFERROR(HYPERLINK("https://civil.ge/archives/126211","civil.ge"),"civil.ge")</x:f>
        <x:v>civil.ge</x:v>
      </x:c>
      <x:c r="N55" s="4" t="str">
        <x:v>https://ombudsman.ge/eng/spetsialuri-angarishebi/special-report-of-the-public-defender-of-georgia-on-the-impacts-of-the-closure-of-crossing-points-on-the-rights-of-the-population-living-along-abkhazias-administrative-boundary-line
https://www.radioatinati.ge/regioni/article/57051-de-faqto-afkhazethis-mthavrobam-thagilonis-gamshvebi-punqti-gaauqma.html
https://civil.ge/archives/126211
https://www.ekhokavkaza.com/a/27682188.html
https://digitallibrary.un.org/nanna/record/839440/files/A_70_1021--S_2016_725-RU.pdf?registerDownload=1&amp;version=1&amp;withMetadata=0&amp;withWatermark=0
https://occupied.eastwatch.eu/abkhazia/checkpoint-regime-abkhazia/
https://democracyresearch.org/files/344web%20eng%201072024.pdf</x:v>
      </x:c>
      <x:c r="O55" s="4" t="str">
        <x:v>Second full-register audit source access, 26 October 2026
https://www.radioatinati.ge/regioni/article/57051-de-faqto-afkhazethis-mthavrobam-thagilonis-gamshvebi-punqti-gaauqma.html: full text (fresh retrieval)
https://ombudsman.ge/eng/spetsialuri-angarishebi/special-report-of-the-public-defender-of-georgia-on-the-impacts-of-the-closure-of-crossing-points-on-the-rights-of-the-population-living-along-abkhazias-administrative-boundary-line: search extract (previously retrieved text re-examined) — Cached substantive indexed extract.
https://democracyresearch.org/files/344web%20eng%201072024.pdf: full text (fresh retrieval) — No exact named-post inspection day; direct access within occupied areas constrained.
Earlier URLs not separately inspected in this second assessment:
https://civil.ge/archives/126211
https://www.ekhokavkaza.com/a/27682188.html
https://digitallibrary.un.org/nanna/record/839440/files/A_70_1021--S_2016_725-RU.pdf?registerDownload=1&amp;version=1&amp;withMetadata=0&amp;withWatermark=0
https://occupied.eastwatch.eu/abkhazia/checkpoint-regime-abkhazia/
Prior audit access record
Full-register audit source access (evidence cutoff 25 October 2026)
https://www.radioatinati.ge/regioni/article/57051-de-faqto-afkhazethis-mthavrobam-thagilonis-gamshvebi-punqti-gaauqma.html: full text — Authority quotation; exemptions not specified
https://ombudsman.ge/eng/spetsialuri-angarishebi/special-report-of-the-public-defender-of-georgia-on-the-impacts-of-the-closure-of-crossing-points-on-the-rights-of-the-population-living-along-abkhazias-administrative-boundary-line: search extract — Direct fetch 403; substantive indexed extract recovered
https://occupied.eastwatch.eu/abkhazia/checkpoint-regime-abkhazia/: search extract — Recently crawled page does not itself supply a new dated operational observation
Earlier source URLs not separately listed in this audit’s retrieval log (historical access notes below are not fresh verification):
https://civil.ge/archives/126211
https://www.ekhokavkaza.com/a/27682188.html
https://digitallibrary.un.org/nanna/record/839440/files/A_70_1021--S_2016_725-RU.pdf?registerDownload=1&amp;version=1&amp;withMetadata=0&amp;withWatermark=0
Earlier recorded access
Source 1: Direct page 403; substantive indexed official text recovered
Source 2: access detail is retained in the source catalogue.
Source 3: access detail is retained in the source catalogue.</x:v>
      </x:c>
      <x:c r="P55" s="20" t="n">
        <x:v>1</x:v>
      </x:c>
      <x:c r="Q55" s="4" t="str">
        <x:v>Central Asia and Caucasus</x:v>
      </x:c>
      <x:c r="R55" s="4" t="str">
        <x:v>Included</x:v>
      </x:c>
    </x:row>
    <x:row r="56" ht="409" hidden="0" customHeight="1">
      <x:c r="A56" s="16" t="str">
        <x:v>CC015</x:v>
      </x:c>
      <x:c r="B56" s="4" t="str">
        <x:v>Abkhaz de facto authorities abolish two local crossing points</x:v>
      </x:c>
      <x:c r="C56" s="4" t="str">
        <x:v>Georgia</x:v>
      </x:c>
      <x:c r="D56" s="4" t="str">
        <x:v>Khurcha–Nabakevi; Orsantia–Otobaia
Two administrative-boundary crossings</x:v>
      </x:c>
      <x:c r="E56" s="4" t="str">
        <x:v>Local residents, schoolchildren, patients and traders
Direction: Both directions
Exceptions: Alternative routes remained</x:v>
      </x:c>
      <x:c r="F56" s="4" t="str">
        <x:v>CC015-D1 — Observed operation
Ordinary operation of Khurcha–Nabakevi and Orsantia–Otobaia, through the dated Public Defender account.
Start: 2017-03-04 to 2017-03-06.
Last confirmed: 2017-11-16. Reopening is not established.
confirmed through 2017-11-16; at least 255 calendar-day difference; reopening unknown
Later scoped status observations
2022-11-20: A Georgian Foundation for Strategic and International Studies inventory lists both Khurcha–Nabakevi and Orsantia–Otobaia as closed since 2017.
2023-11-16: EUMM monitors at Nabakevi–Khurcha describe it as a former crossing point closed to regular cross-ABL traffic. This later direct monitoring account concerns Nabakevi–Khurcha only; it does not date status at Orsantia–Otobaia or prove uninterrupted daily enforcement.</x:v>
      </x:c>
      <x:c r="G56" s="4" t="str">
        <x:v>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6" s="4" t="str">
        <x:v>CC015-D1: The three candidate onset dates remain a bound, not a resolved finding. The Council of Europe text's inconsistent decision year is not silently corrected. Alternative crossings remained; nothing is projected to 2026.
Later evidence: The GFSIS inventory explicitly dates its status information to 20 November 2022 and lists both posts as closed. Its direct page was inaccessible, so this is retained as an indexed secondary account. EUMM’s 16 November 2023 visit directly corroborates continued regular-traffic closure at Nabakevi–Khurcha only. Neither source establishes an exact reopening, all intervening daily operations, or status in 2026.</x:v>
      </x:c>
      <x:c r="I56" s="4" t="str">
        <x:v>Second full-register audit, 26 October 2026: additional source-audited corrections incorporated. See the phase, scope and qualification columns for the accepted findings.</x:v>
      </x:c>
      <x:c r="J56" s="18" t="d">
        <x:v>2026-10-26T00:00:00.000Z</x:v>
      </x:c>
      <x:c r="K56" s="21" t="str">
        <x:f>IFERROR(HYPERLINK("https://ombudsman.ge/eng/spetsialuri-angarishebi/special-report-of-the-public-defender-of-georgia-on-the-impacts-of-the-closure-of-crossing-points-on-the-rights-of-the-population-living-along-abkhazias-administrative-boundary-line","Public Defender of Georgia"),"Public Defender of Georgia")</x:f>
        <x:v>Public Defender of Georgia</x:v>
      </x:c>
      <x:c r="L56" s="21" t="str">
        <x:f>IFERROR(HYPERLINK("https://civil.ge/archives/126214","Civil Georgia"),"Civil Georgia")</x:f>
        <x:v>Civil Georgia</x:v>
      </x:c>
      <x:c r="M56" s="21" t="str">
        <x:f>IFERROR(HYPERLINK("https://ombudsman.ge/res/docs/2019041112191576480.pdf","Public Defender of Georgia"),"Public Defender of Georgia")</x:f>
        <x:v>Public Defender of Georgia</x:v>
      </x:c>
      <x:c r="N56" s="4" t="str">
        <x:v>https://ombudsman.ge/eng/spetsialuri-angarishebi/special-report-of-the-public-defender-of-georgia-on-the-impacts-of-the-closure-of-crossing-points-on-the-rights-of-the-population-living-along-abkhazias-administrative-boundary-line
https://civil.ge/archives/126214
https://ombudsman.ge/res/docs/2019041112191576480.pdf
https://rm.coe.int/1680709155
https://civil.ge/archives/126231
https://www.refworld.org/sites/default/files/legacy-pdf/en/2017-8/59ba97924.pdf
https://mfaapsny.org/en/allnews/news/statements_speeches/zayavlenie-mid-abkhazii2/
https://sovanews.tv/2017/03/05/16007/
https://www.ombudsman.ge/eng/akhali-ambebi/public-discussion-on-human-rights-in-conflict-affected-regions-existing-challenges-and-state-strategy
https://occupied.eastwatch.eu/abkhazia/checkpoint-regime-abkhazia/
https://eumm.eu/en/new_media_gallery/oqfm3cuh9gv-yxfn/?print=yes
https://kremlin-roadmap.gfsis.org.ge/news/display/1782
https://www.eumm.eu/en/press_and_public_information/press_releases/37478/?month=9&amp;year=2023</x:v>
      </x:c>
      <x:c r="O56" s="4" t="str">
        <x:v>Second full-register audit source access, 26 October 2026
https://civil.ge/archives/126214: full text (fresh retrieval)
https://ombudsman.ge/eng/spetsialuri-angarishebi/special-report-of-the-public-defender-of-georgia-on-the-impacts-of-the-closure-of-crossing-points-on-the-rights-of-the-population-living-along-abkhazias-administrative-boundary-line: search extract (fresh retrieval) — Full report PDF returned 403.
https://rm.coe.int/1680709155: full text (fresh retrieval) — Inconsistent December decision year; no independent access inside Abkhazia.
https://eumm.eu/en/new_media_gallery/oqfm3cuh9gv-yxfn/?print=yes: full text (fresh retrieval) — Print timestamp is not a publication date.
https://kremlin-roadmap.gfsis.org.ge/news/display/1782: search extract (fresh retrieval) — Direct opening returns 403; indexed extract.
https://www.eumm.eu/en/press_and_public_information/press_releases/37478/?month=9&amp;year=2023: full text (fresh retrieval)
Earlier URLs not separately inspected in this second assessment:
https://ombudsman.ge/res/docs/2019041112191576480.pdf
https://civil.ge/archives/126231
https://www.refworld.org/sites/default/files/legacy-pdf/en/2017-8/59ba97924.pdf
https://mfaapsny.org/en/allnews/news/statements_speeches/zayavlenie-mid-abkhazii2/
https://sovanews.tv/2017/03/05/16007/
https://www.ombudsman.ge/eng/akhali-ambebi/public-discussion-on-human-rights-in-conflict-affected-regions-existing-challenges-and-state-strategy
https://occupied.eastwatch.eu/abkhazia/checkpoint-regime-abkhazia/
Prior audit access record
Full-register audit source access (evidence cutoff 25 October 2026)
https://civil.ge/archives/126214: full text — Does not establish continuous checkpoint operations.
https://www.ombudsman.ge/eng/akhali-ambebi/public-discussion-on-human-rights-in-conflict-affected-regions-existing-challenges-and-state-strategy: search extract — Main report page/PDF returned 403; official indexed event statement retrieved.
https://rm.coe.int/1680709155: full text — Contains inconsistent December decision year; report based on interviews/open sources without Abkhazia access.
https://occupied.eastwatch.eu/abkhazia/checkpoint-regime-abkhazia/: full text — Update date does not date each historical statement or prove current status at both named posts.
https://eumm.eu/en/new_media_gallery/oqfm3cuh9gv-yxfn/?print=yes: search extract — 2026 print timestamp is not treated as publication date.
Earlier source URLs not separately listed in this audit’s retrieval log (historical access notes below are not fresh verification):
https://ombudsman.ge/eng/spetsialuri-angarishebi/special-report-of-the-public-defender-of-georgia-on-the-impacts-of-the-closure-of-crossing-points-on-the-rights-of-the-population-living-along-abkhazias-administrative-boundary-line
https://ombudsman.ge/res/docs/2019041112191576480.pdf
https://civil.ge/archives/126231
https://www.refworld.org/sites/default/files/legacy-pdf/en/2017-8/59ba97924.pdf
https://mfaapsny.org/en/allnews/news/statements_speeches/zayavlenie-mid-abkhazii2/
https://sovanews.tv/2017/03/05/16007/
Earlier recorded access
Source 1: indexed extract
Source 2: full text
Source 3: substantial indexed passage; direct PDF failed</x:v>
      </x:c>
      <x:c r="P56" s="20" t="n">
        <x:v>1</x:v>
      </x:c>
      <x:c r="Q56" s="4" t="str">
        <x:v>Central Asia and Caucasus</x:v>
      </x:c>
      <x:c r="R56" s="4" t="str">
        <x:v>Included</x:v>
      </x:c>
    </x:row>
    <x:row r="57" ht="342" hidden="0" customHeight="1">
      <x:c r="A57" s="16" t="str">
        <x:v>CC016</x:v>
      </x:c>
      <x:c r="B57" s="4" t="str">
        <x:v>Abkhaz H1N1 closure at Enguri</x:v>
      </x:c>
      <x:c r="C57" s="4" t="str">
        <x:v>Georgia</x:v>
      </x:c>
      <x:c r="D57" s="4" t="str">
        <x:v>Enguri bridge
Ordinary departures from Abkhazia through Enguri under the H1N1 restriction</x:v>
      </x:c>
      <x:c r="E57" s="4" t="str">
        <x:v>Ordinary local departures excluding medical cases, Enguri HPP staff and visa-holders permitted under exceptions
Direction: Principally Abkhazia-to-Tbilisi-controlled territory; return entry into Abkhazia allowed under initial rules
Exceptions: Return into Abkhazia under initial rules; medical cases, Enguri HPP staff and visa-holders; ordinary document requirements persisted</x:v>
      </x:c>
      <x:c r="F57" s="4" t="str">
        <x:v>CC016-D1 — Observed operation
Ordinary departures from Abkhazia through Enguri under the H1N1 restriction; Ordinary local departures excluding medical cases, Enguri HPP staff and visa-holders permitted under exceptions; Principally Abkhazia-to-Tbilisi-controlled territory; return entry into Abkhazia allowed under initial rules
Start: 2019-01-10 to 2019-01-11.
Observed scoped reopening: 2019-02-05.
25–26 calendar-day difference; scoped endpoint only</x:v>
      </x:c>
      <x:c r="G5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7" s="4" t="str">
        <x:v>Abkhaz onset is bounded January 10–11 across substantive accounts. January 11 at 20:00 in Civil Georgia concerns South Ossetia and must not be transferred to Enguri. February 5 restoration and directional exceptions remain supported.
CC016-D1: Outbound ordinary passage only, with return, medical, HPP and visa exceptions. The 5 February restoration was reported as temporary and subject to continued screening and reassessment; it is the first scoped reopening, not proof of permanent repeal. Onset remains bounded January 10–11.</x:v>
      </x:c>
      <x:c r="I57" s="4" t="str">
        <x:v>Second full-register audit, 26 October 2026: qualified. Fresh reports corroborate the bounded onset and temporary 5 February reopening of ordinary outbound passage, with screening and exceptions retained.</x:v>
      </x:c>
      <x:c r="J57" s="18" t="d">
        <x:v>2026-10-26T00:00:00.000Z</x:v>
      </x:c>
      <x:c r="K57" s="21" t="str">
        <x:f>IFERROR(HYPERLINK("https://dfwatch.net/abkhazia-reopens-enguri-bridge-after-nearly-month-long-flu-quarantine-52886/","Democracy &amp; Freedom Watch"),"Democracy &amp; Freedom Watch")</x:f>
        <x:v>Democracy &amp; Freedom Watch</x:v>
      </x:c>
      <x:c r="L57" s="21" t="str">
        <x:f>IFERROR(HYPERLINK("https://civil.ge/archives/275744","Civil Georgia"),"Civil Georgia")</x:f>
        <x:v>Civil Georgia</x:v>
      </x:c>
      <x:c r="M57" s="21" t="str">
        <x:f>IFERROR(HYPERLINK("https://civil.ge/archives/273471","Civil Georgia"),"Civil Georgia")</x:f>
        <x:v>Civil Georgia</x:v>
      </x:c>
      <x:c r="N57" s="4" t="str">
        <x:v>https://dfwatch.net/abkhazia-reopens-enguri-bridge-after-nearly-month-long-flu-quarantine-52886/
https://civil.ge/archives/275744
https://civil.ge/archives/273471
https://www.eng.kavkaz-uzel.eu/articles/46067
https://www.hrc.ge/files/reports/74Zone%20of%20Barbed%20Wires-Report%20-eng%202019.pdf</x:v>
      </x:c>
      <x:c r="O57" s="4" t="str">
        <x:v>Second full-register audit source access, 26 October 2026
https://dfwatch.net/abkhazia-reopens-enguri-bridge-after-nearly-month-long-flu-quarantine-52886/: full text (fresh retrieval)
https://civil.ge/archives/273471: full text (fresh retrieval)
https://www.eng.kavkaz-uzel.eu/articles/46067: full text (fresh retrieval)
Earlier URLs not separately inspected in this second assessment:
https://civil.ge/archives/275744
https://www.hrc.ge/files/reports/74Zone%20of%20Barbed%20Wires-Report%20-eng%202019.pdf
Prior audit access record
Full-register audit source access (evidence cutoff 25 October 2026)
https://dfwatch.net/abkhazia-reopens-enguri-bridge-after-nearly-month-long-flu-quarantine-52886/: full text
https://civil.ge/archives/275744: full text
https://civil.ge/archives/273471: full text
https://www.eng.kavkaz-uzel.eu/articles/46067: full text
Earlier source URLs not separately listed in this audit’s retrieval log (historical access notes below are not fresh verification):
https://www.hrc.ge/files/reports/74Zone%20of%20Barbed%20Wires-Report%20-eng%202019.pdf
Earlier recorded access
Source 1: full text
Source 2: full text
Source 3: full text</x:v>
      </x:c>
      <x:c r="P57" s="20" t="n">
        <x:v>1</x:v>
      </x:c>
      <x:c r="Q57" s="4" t="str">
        <x:v>Central Asia and Caucasus</x:v>
      </x:c>
      <x:c r="R57" s="4" t="str">
        <x:v>Included</x:v>
      </x:c>
    </x:row>
    <x:row r="58" ht="390" hidden="0" customHeight="1">
      <x:c r="A58" s="16" t="str">
        <x:v>CC017</x:v>
      </x:c>
      <x:c r="B58" s="4" t="str">
        <x:v>South Ossetian H1N1 crossing closure</x:v>
      </x:c>
      <x:c r="C58" s="4" t="str">
        <x:v>Georgia</x:v>
      </x:c>
      <x:c r="D58" s="4" t="str">
        <x:v>Not individually enumerated
Crossings with Georgian government-controlled territory</x:v>
      </x:c>
      <x:c r="E58" s="4" t="str">
        <x:v>Local travellers
Direction: Both directions
Exceptions: Special-list humanitarian exits operated February 20–22, 2019; this was not a general reopening.</x:v>
      </x:c>
      <x:c r="F58" s="4" t="str">
        <x:v>CC017-D1 — Observed operation
Ordinary non-exempt passage across South Ossetian-controlled crossings during the H1N1 restriction.
Start: 2019-01-11 to 2019-01-12.
Observed scoped reopening: 2019-03-15.
62–63 calendar-day difference; scoped endpoint only</x:v>
      </x:c>
      <x:c r="G5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8" s="4" t="str">
        <x:v>CC017-D1: The special-list, one-direction humanitarian window on 20–22 February is an exception, not ordinary reopening. This period does not claim total denial of every traveller.</x:v>
      </x:c>
      <x:c r="I58" s="4" t="str">
        <x:v>Second full-register audit, 26 October 2026: qualified. Reopened source texts support March 15 ordinary restoration and the separate February special-list exit window.</x:v>
      </x:c>
      <x:c r="J58" s="18" t="d">
        <x:v>2026-10-26T00:00:00.000Z</x:v>
      </x:c>
      <x:c r="K58" s="21" t="str">
        <x:f>IFERROR(HYPERLINK("https://www.interfax-russia.ru/military/news_eng/325733","Interfax"),"Interfax")</x:f>
        <x:v>Interfax</x:v>
      </x:c>
      <x:c r="L58" s="21" t="str">
        <x:f>IFERROR(HYPERLINK("https://civil.ge/archives/273471","Civil Georgia"),"Civil Georgia")</x:f>
        <x:v>Civil Georgia</x:v>
      </x:c>
      <x:c r="M58" s="21" t="str">
        <x:f>IFERROR(HYPERLINK("https://www.democracyresearch.org/files/62DRI%20report%20ENG%202020%20%281%29.pdf","Democracy Research Institute"),"Democracy Research Institute")</x:f>
        <x:v>Democracy Research Institute</x:v>
      </x:c>
      <x:c r="N58" s="4" t="str">
        <x:v>https://www.interfax-russia.ru/military/news_eng/325733
https://civil.ge/archives/273471
https://www.democracyresearch.org/files/62DRI%20report%20ENG%202020%20%281%29.pdf
https://www.unmissions.org/en/dppa/press-releases/statement-of-the-co-chairs-of-the-geneva-international-discussions-2
https://civil.ge/archives/279479
https://www.interfax-russia.ru/military/news_eng/324454</x:v>
      </x:c>
      <x:c r="O58" s="4" t="str">
        <x:v>Second full-register audit source access, 26 October 2026
https://www.interfax-russia.ru/military/news_eng/325733: full text (fresh retrieval)
https://civil.ge/archives/273471: full text (fresh retrieval)
https://civil.ge/archives/279479: full text (fresh retrieval)
https://www.interfax-russia.ru/military/news_eng/324454: full text (fresh retrieval)
Earlier URLs not separately inspected in this second assessment:
https://www.democracyresearch.org/files/62DRI%20report%20ENG%202020%20%281%29.pdf
https://www.unmissions.org/en/dppa/press-releases/statement-of-the-co-chairs-of-the-geneva-international-discussions-2
Prior audit access record
Full-register audit source access (evidence cutoff 25 October 2026)
https://civil.ge/archives/273471: full text
https://www.interfax-russia.ru/military/news_eng/325733: full text
https://civil.ge/archives/279479: full text
https://www.interfax-russia.ru/military/news_eng/324454: full text
Earlier source URLs not separately listed in this audit’s retrieval log (historical access notes below are not fresh verification):
https://www.democracyresearch.org/files/62DRI%20report%20ENG%202020%20%281%29.pdf
https://www.unmissions.org/en/dppa/press-releases/statement-of-the-co-chairs-of-the-geneva-international-discussions-2
Earlier recorded access
Source 1: full page
Source 2: search extract
Source 3: search extract</x:v>
      </x:c>
      <x:c r="P58" s="20" t="n">
        <x:v>1</x:v>
      </x:c>
      <x:c r="Q58" s="4" t="str">
        <x:v>Central Asia and Caucasus</x:v>
      </x:c>
      <x:c r="R58" s="4" t="str">
        <x:v>Included</x:v>
      </x:c>
    </x:row>
    <x:row r="59" ht="354" hidden="0" customHeight="1">
      <x:c r="A59" s="16" t="str">
        <x:v>CC010</x:v>
      </x:c>
      <x:c r="B59" s="4" t="str">
        <x:v>Abkhaz de facto closure of Enguri during Georgian protests</x:v>
      </x:c>
      <x:c r="C59" s="4" t="str">
        <x:v>Georgia</x:v>
      </x:c>
      <x:c r="D59" s="4" t="str">
        <x:v>Enguri bridge
Enguri administrative-boundary crossing</x:v>
      </x:c>
      <x:c r="E59" s="4" t="str">
        <x:v>Residents travelling between Gali and government-controlled territory
Direction: Both directions
Exceptions: Age-based partial easing reported 1 July; other exceptions not exhaustive</x:v>
      </x:c>
      <x:c r="F59" s="4" t="str">
        <x:v>CC010-D1 — Formal policy
Enguri restriction on ordinary travellers outside the child/older-person exceptions, to formal lifting.
Start: 2019-06-27.
Policy endpoint: 2019-10-02.
Formal policy: 97 calendar-day difference; operational continuity not established</x:v>
      </x:c>
      <x:c r="G59" s="4" t="str">
        <x:v>Security / Unspecified security
Attributed official justification
Applies to: Recorded episode; exact overlap not separately established
Civil Georgia quotes the de facto security service linking the restriction to perceived provocative rallies affecting Abkhaz statehood. These are attributed authority claims; their truth and any primary purpose are not independently established.
Interstate disputes and pressure / Territorial and frontier disputes
Attributed official justification
Applies to: Recorded episode; exact overlap not separately established
Civil Georgia quotes the de facto security service linking the restriction to perceived provocative rallies affecting Abkhaz statehood. These are attributed authority claims; their truth and any primary purpose are not independently established.</x:v>
      </x:c>
      <x:c r="H59" s="4" t="str">
        <x:v>CC010-D1: Formal restriction period only, not observed first passage. Age-based and other authorised exceptions remain excluded; it is not a continuous all-person closure.</x:v>
      </x:c>
      <x:c r="I59" s="4" t="str">
        <x:v>Second full-register audit, 26 October 2026: qualified. The October lifting announcement and July partial-access account support the existing qualified formal period.</x:v>
      </x:c>
      <x:c r="J59" s="18" t="d">
        <x:v>2026-10-26T00:00:00.000Z</x:v>
      </x:c>
      <x:c r="K59" s="21" t="str">
        <x:f>IFERROR(HYPERLINK("https://civil.ge/archives/322471/amp","Civil.ge"),"Civil.ge")</x:f>
        <x:v>Civil.ge</x:v>
      </x:c>
      <x:c r="L59" s="21" t="str">
        <x:f>IFERROR(HYPERLINK("https://1tv.ge/lang/en/news/occupation-regime-partially-lifted-restrictions-at-enguri-bridge/","Georgian Public Broadcaster 1 TV"),"Georgian Public Broadcaster 1 TV")</x:f>
        <x:v>Georgian Public Broadcaster 1 TV</x:v>
      </x:c>
      <x:c r="M59" s="21" t="str">
        <x:f>IFERROR(HYPERLINK("https://civil.ge/archives/311211/amp","Civil Georgia"),"Civil Georgia")</x:f>
        <x:v>Civil Georgia</x:v>
      </x:c>
      <x:c r="N59" s="4" t="str">
        <x:v>https://civil.ge/archives/322471/amp
https://1tv.ge/lang/en/news/occupation-regime-partially-lifted-restrictions-at-enguri-bridge/
https://civil.ge/archives/311211/amp
https://civil.ge/archives/322471
https://www.ombudsman.ge/res/docs/2020070407523954521.pdf</x:v>
      </x:c>
      <x:c r="O59" s="4" t="str">
        <x:v>Second full-register audit source access, 26 October 2026
https://civil.ge/archives/322471/amp: full text (fresh retrieval)
https://1tv.ge/lang/en/news/occupation-regime-partially-lifted-restrictions-at-enguri-bridge/: full text (previously retrieved text re-examined) — Fresh opening timed out; original full text independently read.
Earlier URLs not separately inspected in this second assessment:
https://civil.ge/archives/311211/amp
https://civil.ge/archives/322471
https://www.ombudsman.ge/res/docs/2020070407523954521.pdf
Prior audit access record
Full-register audit source access (evidence cutoff 25 October 2026)
https://civil.ge/archives/322471: full text — Does not establish uninterrupted operation or first passage.
https://1tv.ge/lang/en/news/occupation-regime-partially-lifted-restrictions-at-enguri-bridge/: full text — Does not establish uninterrupted operation or first passage.
Earlier source URLs not separately listed in this audit’s retrieval log (historical access notes below are not fresh verification):
https://civil.ge/archives/322471/amp
https://civil.ge/archives/311211/amp
https://www.ombudsman.ge/res/docs/2020070407523954521.pdf
Earlier recorded access
Source 1: full page
Source 2: full page
Source 3: full text</x:v>
      </x:c>
      <x:c r="P59" s="20" t="n">
        <x:v>1</x:v>
      </x:c>
      <x:c r="Q59" s="4" t="str">
        <x:v>Central Asia and Caucasus</x:v>
      </x:c>
      <x:c r="R59" s="4" t="str">
        <x:v>Included</x:v>
      </x:c>
    </x:row>
    <x:row r="60" ht="409" hidden="0" customHeight="1">
      <x:c r="A60" s="16" t="str">
        <x:v>CC026</x:v>
      </x:c>
      <x:c r="B60" s="4" t="str">
        <x:v>Rishtan–Sokh restriction following disputed August 2019 reopening</x:v>
      </x:c>
      <x:c r="C60" s="4" t="str">
        <x:v>Uzbekistan; Kyrgyzstan</x:v>
      </x:c>
      <x:c r="D60" s="4" t="str">
        <x:v>Rishtan–Kaytpas route to Sokh; Tul–Otukchu ceremony/nonoperation reporting. Lenburg–Apkan claimed open by Uzbek Border Troops but operation disputed.
Route connecting Uzbekistan’s mainland to Sokh exclave through Kyrgyzstan</x:v>
      </x:c>
      <x:c r="E60" s="4" t="str">
        <x:v>Local pedestrians and cars
Direction: Both directions
Exceptions: Alternative routes existed</x:v>
      </x:c>
      <x:c r="F60" s="4" t="str">
        <x:v>CC026-FU1 — Formal policy
Kaytpas and Otukchu road posts on Rishtan–Sokh route; reported passenger reopening
Start: unknown.
Policy endpoint: 2021-04-01.
Formal policy: dated evidence; numeric duration withheld; see qualification</x:v>
      </x:c>
      <x:c r="G60" s="4" t="str">
        <x:v>Trade and protectionism / Customs and transport rules
Attributed official justification
Applies to: Recorded episode; exact overlap not separately established
Veterinary/phytosanitary compliance is attributed to officials. This supports biosecurity and trade administration, without establishing a protectionist intent or validating an unretrieved EAEU order.
Health and biosecurity / Animal and plant disease control
Attributed official justification
Applies to: Recorded episode; exact overlap not separately established
Veterinary/phytosanitary compliance is attributed to officials. This supports biosecurity and trade administration, without establishing a protectionist intent or validating an unretrieved EAEU order.</x:v>
      </x:c>
      <x:c r="H60" s="4" t="str">
        <x:v>CC026-FU1: Endpoint-only formal reopening; null onset preserves the unresolved 2019 operational sequence and overlapping pandemic restrictions. No assertion of uninterrupted closure or observed first traveller.
duration: The scoped April 1 2021 permission endpoint can be represented, but disputed 2019 onset and later pandemic overlap still prevent continuous duration.
Current onset finding: RFE/RL's April 1 report directly documents Kaytpas and Otukchu passenger/vehicle reopening ceremony and says freight trucks were still prohibited. Unknown onset is appropriate. A ceremony/reported permission is insufficient to establish the first actual passenger or uninterrupted 2019–2021 closure.
Current continuity finding: No evidence establishes uninterrupted enforcement between the dated observations or actual lifting of an announced order.</x:v>
      </x:c>
      <x:c r="I60" s="4" t="str">
        <x:v>Second full-register audit, 26 October 2026: qualified. The April 1, 2021 passenger permission is corroborated; the failed 2019 ceremony still cannot supply a continuous operational interval.</x:v>
      </x:c>
      <x:c r="J60" s="18" t="d">
        <x:v>2026-10-26T00:00:00.000Z</x:v>
      </x:c>
      <x:c r="K60" s="21" t="str">
        <x:f>IFERROR(HYPERLINK("https://www.azattyqasia.org/amp/31182172.html","azattyqasia.org"),"azattyqasia.org")</x:f>
        <x:v>azattyqasia.org</x:v>
      </x:c>
      <x:c r="L60" s="21" t="str">
        <x:f>IFERROR(HYPERLINK("https://kun.uz/en/news/2021/04/02/road-connecting-rishtan-and-sokh-opened","kun.uz"),"kun.uz")</x:f>
        <x:v>kun.uz</x:v>
      </x:c>
      <x:c r="M60" s="21" t="str">
        <x:f>IFERROR(HYPERLINK("https://kun.uz/en/96094343","Kun.uz"),"Kun.uz")</x:f>
        <x:v>Kun.uz</x:v>
      </x:c>
      <x:c r="N60" s="4" t="str">
        <x:v>https://www.azattyqasia.org/amp/31182172.html
https://kun.uz/en/news/2021/04/02/road-connecting-rishtan-and-sokh-opened
https://kun.uz/en/96094343
https://www.centralasian.org/a/30142820.html
https://cacianalyst.org/publications/analytical-articles/item/13669-the-sokh-enclave-a-breakthrough-in-central-asian-cooperation.html
https://kun.uz/ru/news/2019/09/07/pochemu-doroga-rishtan-sox-zakrylas-ne-uspev-otkrytsya-kogda-sbudutsya-mechty-jiteley-soxskogo-rayona
https://kun.uz/ru/53253800
https://www.azattyqasia.org/a/kyrgyzstan-soh-border-road/30146785.html
https://anhor.uz/ru/novosti/24563-2
https://kun.uz/news/2019/08/31/ozbekiston-va-qirgiziston-chegarasida-yangi-otkazish-punktlari-ish-boshladi?q=/uz/76789617</x:v>
      </x:c>
      <x:c r="O60" s="4" t="str">
        <x:v>Second full-register audit source access, 26 October 2026
https://www.azattyqasia.org/amp/31182172.html: full text (fresh retrieval)
https://kun.uz/ru/news/2019/09/07/pochemu-doroga-rishtan-sox-zakrylas-ne-uspev-otkrytsya-kogda-sbudutsya-mechty-jiteley-soxskogo-rayona: full text (fresh retrieval)
Earlier URLs not separately inspected in this second assessment:
https://kun.uz/en/news/2021/04/02/road-connecting-rishtan-and-sokh-opened
https://kun.uz/en/96094343
https://www.centralasian.org/a/30142820.html
https://cacianalyst.org/publications/analytical-articles/item/13669-the-sokh-enclave-a-breakthrough-in-central-asian-cooperation.html
https://kun.uz/ru/53253800
https://www.azattyqasia.org/a/kyrgyzstan-soh-border-road/30146785.html
https://anhor.uz/ru/novosti/24563-2
https://kun.uz/news/2019/08/31/ozbekiston-va-qirgiziston-chegarasida-yangi-otkazish-punktlari-ish-boshladi?q=/uz/76789617
Prior audit access record
Full-register audit source access (evidence cutoff 25 October 2026)
https://www.centralasian.org/a/30142820.html: full text — Conflicting official accounts; no original EAEU instrument
https://www.azattyqasia.org/amp/31182172.html: full text — Ceremony/report rather than first-passage log
https://kun.uz/ru/news/2019/09/07/pochemu-doroga-rishtan-sox-zakrylas-ne-uspev-otkrytsya-kogda-sbudutsya-mechty-jiteley-soxskogo-rayona: full text — Mixture of eyewitness and attributed accounts
Earlier source URLs not separately listed in this audit’s retrieval log (historical access notes below are not fresh verification):
https://kun.uz/en/news/2021/04/02/road-connecting-rishtan-and-sokh-opened
https://kun.uz/en/96094343
https://cacianalyst.org/publications/analytical-articles/item/13669-the-sokh-enclave-a-breakthrough-in-central-asian-cooperation.html
https://kun.uz/ru/53253800
https://www.azattyqasia.org/a/kyrgyzstan-soh-border-road/30146785.html
https://anhor.uz/ru/novosti/24563-2
https://kun.uz/news/2019/08/31/ozbekiston-va-qirgiziston-chegarasida-yangi-otkazish-punktlari-ish-boshladi?q=/uz/76789617
Earlier recorded access
Source 1: access detail is retained in the source catalogue.
Source 2: access detail is retained in the source catalogue.
Source 3: full</x:v>
      </x:c>
      <x:c r="P60" s="20" t="n">
        <x:v>1</x:v>
      </x:c>
      <x:c r="Q60" s="4" t="str">
        <x:v>Central Asia and Caucasus</x:v>
      </x:c>
      <x:c r="R60" s="4" t="str">
        <x:v>Included</x:v>
      </x:c>
    </x:row>
    <x:row r="61" ht="409" hidden="0" customHeight="1">
      <x:c r="A61" s="16" t="str">
        <x:v>CC009</x:v>
      </x:c>
      <x:c r="B61" s="4" t="str">
        <x:v>South Ossetia de facto authorities close Odzisi and Sinaguri passages</x:v>
      </x:c>
      <x:c r="C61" s="4" t="str">
        <x:v>Georgia</x:v>
      </x:c>
      <x:c r="D61" s="4" t="str">
        <x:v>Odzisi; Sinaguri; later reopening source uses Karzmani
Administrative boundary separating South Ossetia/Tskhinvali region from Georgian government-controlled territory</x:v>
      </x:c>
      <x:c r="E61" s="4" t="str">
        <x:v>Local commuters, including Akhalgori residents
Direction: Both directions
Exceptions: Medical and other exceptional permissions; special-pass holiday openings included June 13–17, 2022, with an earlier Easter window also reported.</x:v>
      </x:c>
      <x:c r="F61" s="4" t="str">
        <x:v>CC009-D1 — Observed operation
Ordinary passage at Odzisi, to the start of limited monthly opening in August 2022.
Start: 2019-09-04.
Observed scoped reopening: 2022-08-01 to 2022-08-31.
1062–1092 calendar-day difference; scoped endpoint only
CC009-C7P1 — Intermittent regime
Odzisi Thursday–Sunday weekly opening with residual access restrictions
Start: 2026-09-01 to 2026-09-08.
Last confirmed: 2026-10-16. Reopening is not established.
Intermittent regime envelope; total closed days unknown</x:v>
      </x:c>
      <x:c r="G61"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Territorial and frontier disputes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61" s="4" t="str">
        <x:v>CC009-D1: Odzisi is common to both endpoint accounts; Sinaguri and Karzmani are not silently equated. The whole August 2022 endpoint range is retained. Medical permissions and special-pass holiday openings, including June 13–17, 2022 and an earlier Easter window, are exceptions to the ordinary-passage restriction. This is not a continuously sealed all-person frontier. Later monthly 20th–30th windows remain limited access.
CC009-C7P1: Exact implementation day unknown. September1–8 is a source-constrained envelope, not a verified daily sequence. October22 publication is retrospective evidence only; no full reopening or continuous closed-day count is inferred.</x:v>
      </x:c>
      <x:c r="I61" s="4" t="str">
        <x:v>Second full-register audit, 26 October 2026: qualified. Both phases remain well scoped: September 2019 closure, limited August 2022 access and the September 2026 weekly regime are distinct.</x:v>
      </x:c>
      <x:c r="J61" s="18" t="d">
        <x:v>2026-10-26T00:00:00.000Z</x:v>
      </x:c>
      <x:c r="K61" s="21" t="str">
        <x:f>IFERROR(HYPERLINK("https://eumm.eu/en/press_and_public_information/press_releases/36637/","EUMM"),"EUMM")</x:f>
        <x:v>EUMM</x:v>
      </x:c>
      <x:c r="L61" s="21" t="str">
        <x:f>IFERROR(HYPERLINK("https://eumm.eu/en/press_and_public_information/press_releases/37280/?print=yes","EUMM"),"EUMM")</x:f>
        <x:v>EUMM</x:v>
      </x:c>
      <x:c r="M61" s="21" t="str">
        <x:f>IFERROR(HYPERLINK("https://civil.ge/archives/496229","Civil Georgia"),"Civil Georgia")</x:f>
        <x:v>Civil Georgia</x:v>
      </x:c>
      <x:c r="N61" s="4" t="str">
        <x:v>https://eumm.eu/en/press_and_public_information/press_releases/36637/
https://eumm.eu/en/press_and_public_information/press_releases/37280/?print=yes
https://civil.ge/archives/496229
https://civil.ge/archives/504980/amp
https://www.eumm.eu/en/press_and_public_information/press_releases/37772/
https://www.osce.org/chairpersonship/667386
https://www.osce.org/chairpersonship/669090
https://eumm.eu/en/press_and_public_information/press_releases/37280/
https://1tv.ge/lang/en/news/eumm-releases-statement-regarding-situation-at-administrative-boundary-line/
https://eumm.eu/en/press_and_public_information/press_releases/36637/?print=yes
https://www.eumm.eu/en/press_and_public_information/press_releases/37010/?month=9&amp;print=yes&amp;year=2021</x:v>
      </x:c>
      <x:c r="O61" s="4" t="str">
        <x:v>Second full-register audit source access, 26 October 2026
https://eumm.eu/en/press_and_public_information/press_releases/36637/: full text (fresh retrieval)
https://eumm.eu/en/press_and_public_information/press_releases/37280/?print=yes: full text (fresh retrieval)
https://civil.ge/archives/504980/amp: full text (fresh retrieval) — Not first witnessed passage; invalid November 31 wording not adopted.
https://civil.ge/archives/496229: full text (fresh retrieval)
https://www.eumm.eu/en/press_and_public_information/press_releases/37772/: full text (fresh retrieval)
https://www.osce.org/chairpersonship/667386: full text (previously retrieved text re-examined) — Does not specify exact day.
https://www.osce.org/chairpersonship/669090: full text (fresh retrieval)
Earlier URLs not separately inspected in this second assessment:
https://eumm.eu/en/press_and_public_information/press_releases/37280/
https://1tv.ge/lang/en/news/eumm-releases-statement-regarding-situation-at-administrative-boundary-line/
https://eumm.eu/en/press_and_public_information/press_releases/36637/?print=yes
https://www.eumm.eu/en/press_and_public_information/press_releases/37010/?month=9&amp;print=yes&amp;year=2021
Prior audit access record
Full-register audit source access (evidence cutoff 25 October 2026)
https://eumm.eu/en/press_and_public_information/press_releases/36637/: full text — Does not establish uninterrupted operation or first passage.
https://eumm.eu/en/press_and_public_information/press_releases/37280/?print=yes: full text — Does not establish uninterrupted operation or first passage.
https://civil.ge/archives/496229: full text — Does not establish uninterrupted operation or first passage.
https://www.eumm.eu/en/press_and_public_information/press_releases/37772/: full text — Does not establish uninterrupted operation or first passage.
https://www.osce.org/chairpersonship/667386: full text — Does not establish uninterrupted operation or first passage.
https://www.osce.org/chairpersonship/669090: full text — Does not establish uninterrupted operation or first passage.
Earlier source URLs not separately listed in this audit’s retrieval log (historical access notes below are not fresh verification):
https://civil.ge/archives/504980/amp
https://eumm.eu/en/press_and_public_information/press_releases/37280/
https://1tv.ge/lang/en/news/eumm-releases-statement-regarding-situation-at-administrative-boundary-line/
https://eumm.eu/en/press_and_public_information/press_releases/36637/?print=yes
https://www.eumm.eu/en/press_and_public_information/press_releases/37010/?month=9&amp;print=yes&amp;year=2021
Earlier recorded access
Source 1: full page
Source 2: full page
Source 3: full text</x:v>
      </x:c>
      <x:c r="P61" s="20" t="n">
        <x:v>2</x:v>
      </x:c>
      <x:c r="Q61" s="4" t="str">
        <x:v>Central Asia and Caucasus</x:v>
      </x:c>
      <x:c r="R61" s="4" t="str">
        <x:v>Included</x:v>
      </x:c>
    </x:row>
    <x:row r="62" ht="409" hidden="0" customHeight="1">
      <x:c r="A62" s="16" t="str">
        <x:v>CC003</x:v>
      </x:c>
      <x:c r="B62" s="4" t="str">
        <x:v>Azerbaijan prolonged pandemic land-entry closure</x:v>
      </x:c>
      <x:c r="C62" s="4" t="str">
        <x:v>Azerbaijan; Russia; Georgia; Iran; Türkiye</x:v>
      </x:c>
      <x:c r="D62" s="4" t="str">
        <x:v>Not individually enumerated
External land crossings otherwise available for ordinary travel</x:v>
      </x:c>
      <x:c r="E62" s="4" t="str">
        <x:v>Ordinary passenger travel
Direction: Primarily land entry; ordinary bilateral travel restricted
Exceptions: Freight; exceptional authorised crossings. Exit conditions vary by nationality and require separate checking.</x:v>
      </x:c>
      <x:c r="F62" s="4" t="str">
        <x:v>CC003-D1 — Formal policy
Ordinary non-permitted foreign road entry into mainland Azerbaijan across the Georgia, Russia and Iran frontiers; freight and individually authorised entry excluded.
Start: 2020-02-29 to 2020-03-18.
Last confirmed: 2026-09-03. Reopening is not established.
Formal policy: confirmed through 2026-09-03; at least 2360 calendar-day difference; reopening unknown</x:v>
      </x:c>
      <x:c r="G6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62" s="4" t="str">
        <x:v>Mainland restrictions began in stages: Iran February 29, Georgia March 14 and Russia March 18, 2020. No simultaneous national onset is implied. Uniform exit rules remain outside the retained road-entry scope. September 3, 2026 is a dated last confirmation, not an assumed cutoff or future extension.
CC003-D1: Nakhchivan–Turkey phases and Georgia passenger rail reopening are excluded. The September Czech page's all-land wording conflicts with Azerbaijan's specific rail permission from 25 May 2026 and documented 26 May outward train. Exit rules differ; no post-3 September persistence inferred.</x:v>
      </x:c>
      <x:c r="I62" s="4" t="str">
        <x:v>Second full-register audit, 26 October 2026: qualified. The narrow road-entry scope survives review; current advice still overgeneralizes rail and exit rules, so specific Azerbaijani permissions remain essential.</x:v>
      </x:c>
      <x:c r="J62" s="18" t="d">
        <x:v>2026-10-26T00:00:00.000Z</x:v>
      </x:c>
      <x:c r="K62" s="21" t="str">
        <x:f>IFERROR(HYPERLINK("https://mzv.gov.cz/baku/en/visa_and_consular_information/consular_section/specific_for_destination/land_borders_of_the_republic_of.html","Embassy of the Czech Republic in Baku"),"Embassy of the Czech Republic in Baku")</x:f>
        <x:v>Embassy of the Czech Republic in Baku</x:v>
      </x:c>
      <x:c r="L62" s="21" t="str">
        <x:f>IFERROR(HYPERLINK("https://travel.gc.ca/destinations/azerbaijan","Canada travel advice"),"Canada travel advice")</x:f>
        <x:v>Canada travel advice</x:v>
      </x:c>
      <x:c r="M62" s="21" t="str">
        <x:f>IFERROR(HYPERLINK("https://mzv.gov.cz/baku/en/visa_and_consular_information/consular_section/specific_for_destination/covid19_current_conditions_for_traveling.html","mzv.gov.cz"),"mzv.gov.cz")</x:f>
        <x:v>mzv.gov.cz</x:v>
      </x:c>
      <x:c r="N62" s="4" t="str">
        <x:v>https://mzv.gov.cz/baku/en/visa_and_consular_information/consular_section/specific_for_destination/land_borders_of_the_republic_of.html
https://travel.gc.ca/destinations/azerbaijan
https://mzv.gov.cz/baku/en/visa_and_consular_information/consular_section/specific_for_destination/covid19_current_conditions_for_traveling.html
https://eurasianet.org/azerbaijan-land-borders-remain-sealed-for-individuals-but-not-trade
https://eurasianet.org/two-years-on-azerbaijans-land-borders-remain-closed
https://mfa.gov.az/en/category/entry-rules-to-the-republic-of-azerbaijan-during-covid-19-pandemic
https://www.migration.gov.az/index.php/en/news_detail/16833
https://e-qanun.az/framework/61878
https://www.economy.ge/index.php?lang=en&amp;nw=3093&amp;page=news
https://traceca-org.org/ge/news/single-news/n/urgent_azerbaijan_regime_of_cargo_transportation_in_terms_of_covid_19_pandemics/
https://apa.az/en/domestic-news/Azerbaijan-closes-border-with-Iran-314036
https://www.mfa.gov.az/en/category/entry-rules-to-the-republic-of-azerbaijan-during-covid-19-pandemic
https://en.apa.az/domestic-policy/Azerbaijan-closes-border-with-Iran-314036
https://en.apa.az/official-news/azerbaijan-and-georgia-to-reopen-railway-border-crossings-from-may-25-2026-507360
https://anewz.tv/region/south-caucasus/20389/baku-tbilisi-overnight-train-arrives-in-georgia/news
https://mfa.gov.az/index.php/en/news/no04920nbspinformation-of-the-press-service-department-of-the-mfa-of-the-republic-of-azerbaijan
https://wiki.unece.org/spaces/CTRBSBC/pages/101548396/Azerbaijan
https://www.gov.uk/foreign-travel-advice/azerbaijan/entry-requirements</x:v>
      </x:c>
      <x:c r="O62" s="4" t="str">
        <x:v>Second full-register audit source access, 26 October 2026
https://en.apa.az/domestic-policy/Azerbaijan-closes-border-with-Iran-314036: full text (fresh retrieval)
https://wiki.unece.org/spaces/CTRBSBC/pages/101548396/Azerbaijan: search extract (previously retrieved text re-examined) — Original indexed extract inspected; fresh direct opening returns 403.
https://mzv.gov.cz/baku/en/visa_and_consular_information/consular_section/specific_for_destination/land_borders_of_the_republic_of.html: full text (fresh retrieval) — All-land wording overstates rail and exit restrictions.
https://mfa.gov.az/en/category/entry-rules-to-the-republic-of-azerbaijan-during-covid-19-pandemic: search extract (fresh retrieval) — Direct opening timed out; indexed source text.
https://www.migration.gov.az/index.php/en/news_detail/16833: full text (fresh retrieval)
https://www.gov.uk/foreign-travel-advice/azerbaijan/entry-requirements: full text (fresh retrieval) — Exit wording conflicts with Azerbaijan MFA; not used to broaden scope.
Earlier URLs not separately inspected in this second assessment:
https://travel.gc.ca/destinations/azerbaijan
https://mzv.gov.cz/baku/en/visa_and_consular_information/consular_section/specific_for_destination/covid19_current_conditions_for_traveling.html
https://eurasianet.org/azerbaijan-land-borders-remain-sealed-for-individuals-but-not-trade
https://eurasianet.org/two-years-on-azerbaijans-land-borders-remain-closed
https://e-qanun.az/framework/61878
https://www.economy.ge/index.php?lang=en&amp;nw=3093&amp;page=news
https://traceca-org.org/ge/news/single-news/n/urgent_azerbaijan_regime_of_cargo_transportation_in_terms_of_covid_19_pandemics/
https://apa.az/en/domestic-news/Azerbaijan-closes-border-with-Iran-314036
https://www.mfa.gov.az/en/category/entry-rules-to-the-republic-of-azerbaijan-during-covid-19-pandemic
https://en.apa.az/official-news/azerbaijan-and-georgia-to-reopen-railway-border-crossings-from-may-25-2026-507360
https://anewz.tv/region/south-caucasus/20389/baku-tbilisi-overnight-train-arrives-in-georgia/news
https://mfa.gov.az/index.php/en/news/no04920nbspinformation-of-the-press-service-department-of-the-mfa-of-the-republic-of-azerbaijan
Prior audit access record
Full-register audit source access (evidence cutoff 25 October 2026)
https://en.apa.az/domestic-policy/Azerbaijan-closes-border-with-Iran-314036: full text — Does not establish all-person continuous closure.
https://wiki.unece.org/spaces/CTRBSBC/pages/101548396/Azerbaijan: search extract — Direct URL returned 403.
https://www.mfa.gov.az/en/category/entry-rules-to-the-republic-of-azerbaijan-during-covid-19-pandemic: search extract — Direct URL timed out; undated page is a current observation, not a new policy onset.
https://www.migration.gov.az/index.php/en/news_detail/16833: full text — Does not establish all-person continuous closure.
https://mzv.gov.cz/baku/en/visa_and_consular_information/consular_section/specific_for_destination/land_borders_of_the_republic_of.html: full text — Blanket wording conflicts with Azerbaijan's specific rail/exit permissions.
Earlier source URLs not separately listed in this audit’s retrieval log (historical access notes below are not fresh verification):
https://travel.gc.ca/destinations/azerbaijan
https://mzv.gov.cz/baku/en/visa_and_consular_information/consular_section/specific_for_destination/covid19_current_conditions_for_traveling.html
https://eurasianet.org/azerbaijan-land-borders-remain-sealed-for-individuals-but-not-trade
https://eurasianet.org/two-years-on-azerbaijans-land-borders-remain-closed
https://mfa.gov.az/en/category/entry-rules-to-the-republic-of-azerbaijan-during-covid-19-pandemic
https://e-qanun.az/framework/61878
https://www.economy.ge/index.php?lang=en&amp;nw=3093&amp;page=news
https://traceca-org.org/ge/news/single-news/n/urgent_azerbaijan_regime_of_cargo_transportation_in_terms_of_covid_19_pandemics/
https://apa.az/en/domestic-news/Azerbaijan-closes-border-with-Iran-314036
https://en.apa.az/official-news/azerbaijan-and-georgia-to-reopen-railway-border-crossings-from-may-25-2026-507360
https://anewz.tv/region/south-caucasus/20389/baku-tbilisi-overnight-train-arrives-in-georgia/news
https://mfa.gov.az/index.php/en/news/no04920nbspinformation-of-the-press-service-department-of-the-mfa-of-the-republic-of-azerbaijan
Earlier recorded access
Source 1: full; full text
Source 2: search extract
Source 3: full</x:v>
      </x:c>
      <x:c r="P62" s="20" t="n">
        <x:v>1</x:v>
      </x:c>
      <x:c r="Q62" s="4" t="str">
        <x:v>Central Asia and Caucasus</x:v>
      </x:c>
      <x:c r="R62" s="4" t="str">
        <x:v>Included</x:v>
      </x:c>
    </x:row>
    <x:row r="63" ht="366" hidden="0" customHeight="1">
      <x:c r="A63" s="16" t="str">
        <x:v>CC021</x:v>
      </x:c>
      <x:c r="B63" s="4" t="str">
        <x:v>Afghanistan briefly closes Iran-facing Islam Qala during COVID emergence</x:v>
      </x:c>
      <x:c r="C63" s="4" t="str">
        <x:v>Afghanistan; Iran</x:v>
      </x:c>
      <x:c r="D63" s="4" t="str">
        <x:v>Islam Qala–Dogharoun
Islam Qala–Dogharoun crossing</x:v>
      </x:c>
      <x:c r="E63" s="4" t="str">
        <x:v>Passengers, particularly returning Afghans
Direction: Entry from Iran primarily
Exceptions: Reopening prioritised returnees; precise trade exceptions not established</x:v>
      </x:c>
      <x:c r="F63" s="4" t="str">
        <x:v>CC021-D1 — Observed operation
Islam Qala–Dogharoun crossing; Passengers, particularly returning Afghans; Entry from Iran primarily
Start: 2020-02-23.
Observed scoped reopening: 2020-02-24.
1 calendar-day difference; scoped endpoint only</x:v>
      </x:c>
      <x:c r="G6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63" s="4" t="str">
        <x:v>CC021-D1: 24 February is the local Islam Qala account; wider Iran-border compilation says open by 25 February, possibly a later status observation. No whole-frontier duration. Reopening prioritised returnees; precise trade exceptions not established</x:v>
      </x:c>
      <x:c r="I63" s="4" t="str">
        <x:v>Second full-register audit, 26 October 2026: qualified. Local Islam Qala evidence supports the February 23–24 interruption; the one-day span does not establish strict greater-than-24-hours eligibility.</x:v>
      </x:c>
      <x:c r="J63" s="18" t="d">
        <x:v>2026-10-26T00:00:00.000Z</x:v>
      </x:c>
      <x:c r="K63" s="21" t="str">
        <x:f>IFERROR(HYPERLINK("https://www.afghanistan-analysts.org/en/reports/economy-development-environment/between-disregard-and-compliance-reacting-to-the-coronavirus-in-herat-city/","Afghanistan Analysts Network"),"Afghanistan Analysts Network")</x:f>
        <x:v>Afghanistan Analysts Network</x:v>
      </x:c>
      <x:c r="L63" s="21" t="str">
        <x:f>IFERROR(HYPERLINK("https://wiki.unece.org/pages/viewpage.action?navigatingVersions=true&amp;pageId=128421290","UNECE border observatory"),"UNECE border observatory")</x:f>
        <x:v>UNECE border observatory</x:v>
      </x:c>
      <x:c r="M63" s="21" t="str">
        <x:f>IFERROR(HYPERLINK("https://www.afghanistan-analysts.org/en/reports/economy-development-environment/no-large-outbreak-yet-the-coronavirus-situation-in-afghanistan/","afghanistan-analysts.org"),"afghanistan-analysts.org")</x:f>
        <x:v>afghanistan-analysts.org</x:v>
      </x:c>
      <x:c r="N63" s="4" t="str">
        <x:v>https://www.afghanistan-analysts.org/en/reports/economy-development-environment/between-disregard-and-compliance-reacting-to-the-coronavirus-in-herat-city/
https://wiki.unece.org/pages/viewpage.action?navigatingVersions=true&amp;pageId=128421290
https://www.afghanistan-analysts.org/en/reports/economy-development-environment/no-large-outbreak-yet-the-coronavirus-situation-in-afghanistan/
https://1tvnews.af/2380/</x:v>
      </x:c>
      <x:c r="O63" s="4" t="str">
        <x:v>Second full-register audit source access, 26 October 2026
https://www.afghanistan-analysts.org/en/reports/economy-development-environment/between-disregard-and-compliance-reacting-to-the-coronavirus-in-herat-city/: full text (fresh retrieval) — Not a whole-frontier operational log.
Earlier URLs not separately inspected in this second assessment:
https://wiki.unece.org/pages/viewpage.action?navigatingVersions=true&amp;pageId=128421290
https://www.afghanistan-analysts.org/en/reports/economy-development-environment/no-large-outbreak-yet-the-coronavirus-situation-in-afghanistan/
https://1tvnews.af/2380/
Prior audit access record
Full-register audit source access (evidence cutoff 25 October 2026)
https://www.afghanistan-analysts.org/en/reports/economy-development-environment/between-disregard-and-compliance-reacting-to-the-coronavirus-in-herat-city/: full text — Bounded to identified time and traffic scope.
Earlier source URLs not separately listed in this audit’s retrieval log (historical access notes below are not fresh verification):
https://wiki.unece.org/pages/viewpage.action?navigatingVersions=true&amp;pageId=128421290
https://www.afghanistan-analysts.org/en/reports/economy-development-environment/no-large-outbreak-yet-the-coronavirus-situation-in-afghanistan/
https://1tvnews.af/2380/
Earlier recorded access
Source 1: full page
Source 2: search extract
Source 3: access detail is retained in the source catalogue.</x:v>
      </x:c>
      <x:c r="P63" s="20" t="n">
        <x:v>1</x:v>
      </x:c>
      <x:c r="Q63" s="4" t="str">
        <x:v>Central Asia and Caucasus</x:v>
      </x:c>
      <x:c r="R63" s="4" t="str">
        <x:v>Included</x:v>
      </x:c>
    </x:row>
    <x:row r="64" ht="390" hidden="0" customHeight="1">
      <x:c r="A64" s="16" t="str">
        <x:v>CC006</x:v>
      </x:c>
      <x:c r="B64" s="4" t="str">
        <x:v>Armenia initial Iran-frontier COVID passenger closure</x:v>
      </x:c>
      <x:c r="C64" s="4" t="str">
        <x:v>Armenia; Iran</x:v>
      </x:c>
      <x:c r="D64" s="4" t="str">
        <x:v>Meghri–Norduz
Armenia–Iran land crossing</x:v>
      </x:c>
      <x:c r="E64" s="4" t="str">
        <x:v>Passenger land transport
Direction: Bilateral communications restricted by Armenia
Exceptions: Freight with driver controls; citizens returning to their own country; diplomatic and official visitors; foreign legal residents under the amended instrument</x:v>
      </x:c>
      <x:c r="F64" s="4" t="str">
        <x:v>CC006-D1 — Formal policy
Legal life of Armenia's Iran-specific Decision 197-N restriction, with its amendments and exemptions.
Start: 2020-02-25.
Policy endpoint: 2020-03-22.
Formal policy: 26 calendar-day difference; operational continuity not established</x:v>
      </x:c>
      <x:c r="G6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64" s="4" t="str">
        <x:v>CC006-D1: This is the legal instrument's period, not a physical closure interval. The earlier 24 February announcement is not its registry effective date. National restrictions overlapped and continued; repeal is not reopening.</x:v>
      </x:c>
      <x:c r="I64" s="4" t="str">
        <x:v>Second full-register audit, 26 October 2026: qualified. The legal registry directly confirms February 25 effectiveness and March 22 repeal; neither is being confused with announcement or reopening.</x:v>
      </x:c>
      <x:c r="J64" s="18" t="d">
        <x:v>2026-10-26T00:00:00.000Z</x:v>
      </x:c>
      <x:c r="K64" s="21" t="str">
        <x:f>IFERROR(HYPERLINK("https://www.primeminister.am/en/press-release/item/2020/02/24/Nikol-Pashinyan-meeting/","Prime Minister of Armenia"),"Prime Minister of Armenia")</x:f>
        <x:v>Prime Minister of Armenia</x:v>
      </x:c>
      <x:c r="L64" s="21" t="str">
        <x:f>IFERROR(HYPERLINK("https://www.arlis.am/hy/acts/139575","Armenian legal information system ARLIS"),"Armenian legal information system ARLIS")</x:f>
        <x:v>Armenian legal information system ARLIS</x:v>
      </x:c>
      <x:c r="M64" s="21" t="str">
        <x:f>IFERROR(HYPERLINK("https://www.arlis.am/hy/acts/140427","ARLIS"),"ARLIS")</x:f>
        <x:v>ARLIS</x:v>
      </x:c>
      <x:c r="N64" s="4" t="str">
        <x:v>https://www.primeminister.am/en/press-release/item/2020/02/24/Nikol-Pashinyan-meeting/
https://www.arlis.am/hy/acts/139575
https://www.arlis.am/hy/acts/140427
https://en.armradio.am/2020/03/21/armenia-iran-to-allow-more-goods-to-be-transported/
https://arka.am/en/news/business/customs_checkpoint_in_armenian_meghri_resumes_operations_in_normal_mode/
https://armenpress.am/en/article/1006185</x:v>
      </x:c>
      <x:c r="O64" s="4" t="str">
        <x:v>Second full-register audit source access, 26 October 2026
https://www.arlis.am/hy/acts/139575: full text (fresh retrieval)
https://www.arlis.am/hy/acts/140427: full text (fresh retrieval)
Earlier URLs not separately inspected in this second assessment:
https://www.primeminister.am/en/press-release/item/2020/02/24/Nikol-Pashinyan-meeting/
https://en.armradio.am/2020/03/21/armenia-iran-to-allow-more-goods-to-be-transported/
https://arka.am/en/news/business/customs_checkpoint_in_armenian_meghri_resumes_operations_in_normal_mode/
https://armenpress.am/en/article/1006185
Prior audit access record
Full-register audit source access (evidence cutoff 25 October 2026)
https://www.arlis.am/hy/acts/139575: full text
https://www.arlis.am/hy/acts/140427: full text
Earlier source URLs not separately listed in this audit’s retrieval log (historical access notes below are not fresh verification):
https://www.primeminister.am/en/press-release/item/2020/02/24/Nikol-Pashinyan-meeting/
https://en.armradio.am/2020/03/21/armenia-iran-to-allow-more-goods-to-be-transported/
https://arka.am/en/news/business/customs_checkpoint_in_armenian_meghri_resumes_operations_in_normal_mode/
https://armenpress.am/en/article/1006185
Earlier recorded access
Source 1: indexed extract
Source 2: full page
Source 3: full page</x:v>
      </x:c>
      <x:c r="P64" s="20" t="n">
        <x:v>1</x:v>
      </x:c>
      <x:c r="Q64" s="4" t="str">
        <x:v>Central Asia and Caucasus</x:v>
      </x:c>
      <x:c r="R64" s="4" t="str">
        <x:v>Included</x:v>
      </x:c>
    </x:row>
    <x:row r="65" ht="409" hidden="0" customHeight="1">
      <x:c r="A65" s="16" t="str">
        <x:v>CC018</x:v>
      </x:c>
      <x:c r="B65" s="4" t="str">
        <x:v>Abkhaz COVID restrictions at Enguri</x:v>
      </x:c>
      <x:c r="C65" s="4" t="str">
        <x:v>Georgia</x:v>
      </x:c>
      <x:c r="D65" s="4" t="str">
        <x:v>Enguri bridge
Enguri administrative-boundary passage</x:v>
      </x:c>
      <x:c r="E65" s="4" t="str">
        <x:v>Ordinary residents travelling across the boundary
Direction: Both directions except directional humanitarian permissions
Exceptions: Time-limited return corridors; pensioners, elderly people and medical or special-needs cases</x:v>
      </x:c>
      <x:c r="F65" s="4" t="str">
        <x:v>CC018-R1 — Intermittent regime
Enguri ordinary civilian passage under pandemic restrictions, interrupted by limited humanitarian and category permissions
Start: 2020-02-27.
Policy endpoint: 2021-07-05.
Intermittent regime envelope; total closed days unknown</x:v>
      </x:c>
      <x:c r="G6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65" s="4" t="str">
        <x:v>CC018-R1: The envelope is not a count of days fully closed. Initial restrictions were reported on 27 February 2020, with broader closure reported from 14 March. Return corridors operated on 26–31 May, 22–24 June, 13–17 July and 5–9 August 2020; another return window was announced for 3–10 December. These permissions concerned specified returnees and do not establish ordinary two-way access. Pension and social-benefit access was allowed from 16 October 2020; further elderly, pensioner and special-needs permissions preceded the July 2021 easing.
The 5 July 2021 endpoint concerns restoration for people holding permission to cross. It is not unrestricted passage for everyone, and does not establish an exact first operational crossing or continuous closure between the documented windows.</x:v>
      </x:c>
      <x:c r="I65" s="4" t="str">
        <x:v>Second full-register audit, 26 October 2026: additional source-audited corrections incorporated. See the phase, scope and qualification columns for the accepted findings.</x:v>
      </x:c>
      <x:c r="J65" s="18" t="d">
        <x:v>2026-10-26T00:00:00.000Z</x:v>
      </x:c>
      <x:c r="K65" s="21" t="str">
        <x:f>IFERROR(HYPERLINK("https://civil.ge/archives/385358","Civil Georgia"),"Civil Georgia")</x:f>
        <x:v>Civil Georgia</x:v>
      </x:c>
      <x:c r="L65" s="21" t="str">
        <x:f>IFERROR(HYPERLINK("https://civil.ge/archives/430781","Civil Georgia"),"Civil Georgia")</x:f>
        <x:v>Civil Georgia</x:v>
      </x:c>
      <x:c r="M65" s="21" t="str">
        <x:f>IFERROR(HYPERLINK("https://smr.gov.ge/en/news/read/2080/the-enguri-crossing-point-fully-reopened-from-july-5-2021-)","Georgian State Minister for Reconciliation"),"Georgian State Minister for Reconciliation")</x:f>
        <x:v>Georgian State Minister for Reconciliation</x:v>
      </x:c>
      <x:c r="N65" s="4" t="str">
        <x:v>https://civil.ge/archives/385358
https://civil.ge/archives/430781
https://smr.gov.ge/en/news/read/2080/the-enguri-crossing-point-fully-reopened-from-july-5-2021-)
https://1tv.ge/lang/en/news/occupation-regime-of-abkhazia-restricted-movement-on-enguri-bridge/
https://civil.ge/archives/353727
https://smr.gov.ge/en/news/read/2080/the-enguri-crossing-point-fully-reopened-from-july-5-2021-
https://civil.ge/archives/385358/amp
https://www.eumm.eu/en/press_and_public_information/press_releases/37064/?print=yes</x:v>
      </x:c>
      <x:c r="O65" s="4" t="str">
        <x:v>Second full-register audit source access, 26 October 2026
https://1tv.ge/lang/en/news/occupation-regime-of-abkhazia-restricted-movement-on-enguri-bridge/: full text (fresh retrieval)
https://civil.ge/archives/353727: full text (fresh retrieval)
https://civil.ge/archives/385358: full text (fresh retrieval)
https://civil.ge/archives/430781: full text (fresh retrieval)
Earlier URLs not separately inspected in this second assessment:
https://smr.gov.ge/en/news/read/2080/the-enguri-crossing-point-fully-reopened-from-july-5-2021-)
https://smr.gov.ge/en/news/read/2080/the-enguri-crossing-point-fully-reopened-from-july-5-2021-
https://civil.ge/archives/385358/amp
https://www.eumm.eu/en/press_and_public_information/press_releases/37064/?print=yes
Prior audit access record
Full-register audit source access (evidence cutoff 25 October 2026)
https://civil.ge/archives/385358: full text
https://civil.ge/archives/430781: full text
Earlier source URLs not separately listed in this audit’s retrieval log (historical access notes below are not fresh verification):
https://smr.gov.ge/en/news/read/2080/the-enguri-crossing-point-fully-reopened-from-july-5-2021-)
https://1tv.ge/lang/en/news/occupation-regime-of-abkhazia-restricted-movement-on-enguri-bridge/
https://civil.ge/archives/353727
https://smr.gov.ge/en/news/read/2080/the-enguri-crossing-point-fully-reopened-from-july-5-2021-
https://civil.ge/archives/385358/amp
https://www.eumm.eu/en/press_and_public_information/press_releases/37064/?print=yes
Earlier recorded access
Source 1: full
Source 2: full
Source 3: indexed excerpt</x:v>
      </x:c>
      <x:c r="P65" s="20" t="n">
        <x:v>1</x:v>
      </x:c>
      <x:c r="Q65" s="4" t="str">
        <x:v>Central Asia and Caucasus</x:v>
      </x:c>
      <x:c r="R65" s="4" t="str">
        <x:v>Included</x:v>
      </x:c>
    </x:row>
    <x:row r="66" ht="342" hidden="0" customHeight="1">
      <x:c r="A66" s="16" t="str">
        <x:v>CC005</x:v>
      </x:c>
      <x:c r="B66" s="4" t="str">
        <x:v>Georgia pandemic passenger entry restrictions</x:v>
      </x:c>
      <x:c r="C66" s="4" t="str">
        <x:v>Georgia; Russia; Azerbaijan; Armenia; Türkiye</x:v>
      </x:c>
      <x:c r="D66" s="4" t="str">
        <x:v>Not individually enumerated
National land-border entry regime; initial neighbouring-country phase</x:v>
      </x:c>
      <x:c r="E66" s="4" t="str">
        <x:v>Foreign passengers; destination-nationality conditions on exit to three neighbours
Direction: Entry principally; exit restrictions reflected partner decisions
Exceptions: Georgian citizens/families; cargo and specified authorised travellers</x:v>
      </x:c>
      <x:c r="F66" s="4" t="str">
        <x:v>CC005-D1 — Formal policy
Georgia's general foreign land-entry restriction phase from 18 March, to Georgia-side health-conditional reopening permission.
Start: 2020-03-18.
Policy endpoint: 2021-06-01.
Formal policy: 440 calendar-day difference; operational continuity not established</x:v>
      </x:c>
      <x:c r="G6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66" s="4" t="str">
        <x:v>CC005-D1: This selected phase does not claim to be the earliest restriction. Citizens, eligible families, cargo and authorised travellers were exempt. Partner-country restrictions and first actual crossings are not inferred.</x:v>
      </x:c>
      <x:c r="I66" s="4" t="str">
        <x:v>Second full-register audit, 26 October 2026: qualified. The selected March 18 general foreign-entry phase and June 1 policy endpoint are directly supported; earlier neighbour restrictions are correctly distinguished.</x:v>
      </x:c>
      <x:c r="J66" s="18" t="d">
        <x:v>2026-10-26T00:00:00.000Z</x:v>
      </x:c>
      <x:c r="K66" s="21" t="str">
        <x:f>IFERROR(HYPERLINK("https://www.matsne.gov.ge/en/document/view/4821121?publication=21","Matsne legislative portal"),"Matsne legislative portal")</x:f>
        <x:v>Matsne legislative portal</x:v>
      </x:c>
      <x:c r="L66" s="21" t="str">
        <x:f>IFERROR(HYPERLINK("https://civil.ge/archives/424124","Civil.ge"),"Civil.ge")</x:f>
        <x:v>Civil.ge</x:v>
      </x:c>
      <x:c r="M66" s="21" t="str">
        <x:f>IFERROR(HYPERLINK("https://civil.ge/archives/424124/amp","civil.ge"),"civil.ge")</x:f>
        <x:v>civil.ge</x:v>
      </x:c>
      <x:c r="N66" s="4" t="str">
        <x:v>https://www.matsne.gov.ge/en/document/view/4821121?publication=21
https://civil.ge/archives/424124
https://civil.ge/archives/424124/amp
https://matsne.gov.ge/en/document/view/4821121?fullscreen=1&amp;impose=parallelEn</x:v>
      </x:c>
      <x:c r="O66" s="4" t="str">
        <x:v>Second full-register audit source access, 26 October 2026
https://www.matsne.gov.ge/en/document/view/4821121?publication=21: full text (fresh retrieval) — Consolidated historical version; not a gate-level operational log.
https://civil.ge/archives/424124: full text (fresh retrieval)
Earlier URLs not separately inspected in this second assessment:
https://civil.ge/archives/424124/amp
https://matsne.gov.ge/en/document/view/4821121?fullscreen=1&amp;impose=parallelEn
Prior audit access record
Full-register audit source access (evidence cutoff 25 October 2026)
https://www.matsne.gov.ge/en/document/view/4821121?publication=21: full text — Does not establish uninterrupted operation or first passage.
https://civil.ge/archives/424124: full text — Does not establish uninterrupted operation or first passage.
Earlier source URLs not separately listed in this audit’s retrieval log (historical access notes below are not fresh verification):
https://civil.ge/archives/424124/amp
https://matsne.gov.ge/en/document/view/4821121?fullscreen=1&amp;impose=parallelEn
Earlier recorded access
Source 1: full page
Source 2: full page
Source 3: access detail is retained in the source catalogue.</x:v>
      </x:c>
      <x:c r="P66" s="20" t="n">
        <x:v>1</x:v>
      </x:c>
      <x:c r="Q66" s="4" t="str">
        <x:v>Central Asia and Caucasus</x:v>
      </x:c>
      <x:c r="R66" s="4" t="str">
        <x:v>Included</x:v>
      </x:c>
    </x:row>
    <x:row r="67" ht="409" hidden="0" customHeight="1">
      <x:c r="A67" s="16" t="str">
        <x:v>CC002</x:v>
      </x:c>
      <x:c r="B67" s="4" t="str">
        <x:v>Kazakhstan pandemic restriction on entry and exit</x:v>
      </x:c>
      <x:c r="C67" s="4" t="str">
        <x:v>Kazakhstan; Russia; China; Kyrgyzstan; Uzbekistan; Turkmenistan</x:v>
      </x:c>
      <x:c r="D67" s="4" t="str">
        <x:v>Not individually enumerated
National border restrictions; verified 2022 easing applies to three land frontiers</x:v>
      </x:c>
      <x:c r="E67" s="4" t="str">
        <x:v>Nonessential cross-border travellers
Direction: Entry and exit
Exceptions: Freight, returning citizens, departing foreigners, diplomats, eligible residents/family and other categories; detailed rules evolved.</x:v>
      </x:c>
      <x:c r="F67" s="4" t="str">
        <x:v>CC002-FU1 — Formal policy
Foreign entry via land posts on Kazakhstan’s Russia, Kyrgyzstan and Uzbekistan frontiers
Start: unknown.
Policy endpoint: 2022-04-11.
Formal policy: dated evidence; numeric duration withheld; see qualification
Scoped actual-use observation — 2022-04-11
The Kyrgyz Border Service reported that Kyrgyz nationals began crossing at Ak-Jol from 00:00 on 11 April. This confirms reported passage for that cohort at that post; it does not establish first passage at every Kazakhstan frontier or the onset of an uninterrupted closure. The report does not separately specify the direction of these movements.</x:v>
      </x:c>
      <x:c r="G6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67" s="4" t="str">
        <x:v>The 16 March 2020 emergency measures are documented, but intervening amendments and exceptions prevent treating them as a continuous same-scope closure until April 2022. The later procedure is titled from 11 May 2020, while the available English text incorporates later amendments; its title does not establish the onset of each current provision.
CC002-FU1: Formal easing on 11 April 2022 concerns land posts with Russia, Kyrgyzstan and Uzbekistan. No China or Turkmenistan easing is inferred. PCR or vaccination conditions remained.
The Kyrgyz Border Service separately reported Kyrgyz nationals crossing Ak-Jol from 00:00 on 11 April. This is a limited actual-use observation, not proof of all-post restoration, the first passage of every foreign cohort or uninterrupted preceding enforcement. Exact duration remains unknown.</x:v>
      </x:c>
      <x:c r="I67" s="4" t="str">
        <x:v>Second full-register audit, 26 October 2026: additional source-audited corrections incorporated. See the phase, scope and qualification columns for the accepted findings.</x:v>
      </x:c>
      <x:c r="J67" s="18" t="d">
        <x:v>2026-10-26T00:00:00.000Z</x:v>
      </x:c>
      <x:c r="K67" s="21" t="str">
        <x:f>IFERROR(HYPERLINK("https://www.gov.kz/org/mfa-brussels/press/article/details/81500","Kazakhstan MFA"),"Kazakhstan MFA")</x:f>
        <x:v>Kazakhstan MFA</x:v>
      </x:c>
      <x:c r="L67" s="21" t="str">
        <x:f>IFERROR(HYPERLINK("https://invest.gov.kz/media-center/press-releases/ob-ogranichenii-na-vezd-i-vyezd-s-territorii-respubliki-kazakhstan/","invest.gov.kz"),"invest.gov.kz")</x:f>
        <x:v>invest.gov.kz</x:v>
      </x:c>
      <x:c r="M67" s="21" t="str">
        <x:f>IFERROR(HYPERLINK("https://www.gov.kz/org/knb/press/news/details/60015?lang=ru","Kazakhstan National Security Committee"),"Kazakhstan National Security Committee")</x:f>
        <x:v>Kazakhstan National Security Committee</x:v>
      </x:c>
      <x:c r="N67" s="4" t="str">
        <x:v>https://www.gov.kz/org/mfa-brussels/press/article/details/81500
https://invest.gov.kz/media-center/press-releases/ob-ogranichenii-na-vezd-i-vyezd-s-territorii-respubliki-kazakhstan/
https://www.gov.kz/org/knb/press/news/details/60015?lang=ru
https://www.gov.kz/org/mfa-tallin/documents/details/312143
https://www.gov.kz/memleket/entities/mfa/press/news/details/329109?lang=en
https://eurasianet.org/uzbekistan-confirms-covid-19-case-closes-borders
https://primeminister.kz/en/news/mvk-prinyaty-resheniya-po-snyatiyu-ryada-ogranicheniy-v-svyazi-so-stabilizaciey-epidsituacii-v-rk-632
https://invest.gov.kz/zh/amp/news/6783/
https://www.gov.kz/org/mfa/press/article/details/24379?lang=en
https://en.archive.kabar.kg/news/kazakhstan-lifts-land-border-restrictions/</x:v>
      </x:c>
      <x:c r="O67" s="4" t="str">
        <x:v>Second full-register audit source access, 26 October 2026
https://invest.gov.kz/media-center/press-releases/ob-ogranichenii-na-vezd-i-vyezd-s-territorii-respubliki-kazakhstan/: full text (fresh retrieval)
https://primeminister.kz/en/news/mvk-prinyaty-resheniya-po-snyatiyu-ryada-ogranicheniy-v-svyazi-so-stabilizaciey-epidsituacii-v-rk-632: full text (fresh retrieval)
https://www.gov.kz/org/mfa-brussels/press/article/details/81500: full text (fresh retrieval)
https://www.gov.kz/org/mfa/press/article/details/24379?lang=en: full text (fresh retrieval) — Page updated April 2022; body identifies February 2021 approval. Cannot backdate every provision to title.
https://en.archive.kabar.kg/news/kazakhstan-lifts-land-border-restrictions/: full text (fresh retrieval)
Earlier URLs not separately inspected in this second assessment:
https://www.gov.kz/org/knb/press/news/details/60015?lang=ru
https://www.gov.kz/org/mfa-tallin/documents/details/312143
https://www.gov.kz/memleket/entities/mfa/press/news/details/329109?lang=en
https://eurasianet.org/uzbekistan-confirms-covid-19-case-closes-borders
https://invest.gov.kz/zh/amp/news/6783/
Prior audit access record
Full-register audit source access (evidence cutoff 25 October 2026)
https://invest.gov.kz/media-center/press-releases/ob-ogranichenii-na-vezd-i-vyezd-s-territorii-respubliki-kazakhstan/: full text
https://primeminister.kz/en/news/mvk-prinyaty-resheniya-po-snyatiyu-ryada-ogranicheniy-v-svyazi-so-stabilizaciey-epidsituacii-v-rk-632: full text
https://www.gov.kz/org/mfa-brussels/press/article/details/81500: full text
https://invest.gov.kz/zh/amp/news/6783/: search extract
Earlier source URLs not separately listed in this audit’s retrieval log (historical access notes below are not fresh verification):
https://www.gov.kz/org/knb/press/news/details/60015?lang=ru
https://www.gov.kz/org/mfa-tallin/documents/details/312143
https://www.gov.kz/memleket/entities/mfa/press/news/details/329109?lang=en
https://eurasianet.org/uzbekistan-confirms-covid-19-case-closes-borders
Earlier recorded access
Source 1: full
Source 2: access detail is retained in the source catalogue.
Source 3: full</x:v>
      </x:c>
      <x:c r="P67" s="20" t="n">
        <x:v>1</x:v>
      </x:c>
      <x:c r="Q67" s="4" t="str">
        <x:v>Central Asia and Caucasus</x:v>
      </x:c>
      <x:c r="R67" s="4" t="str">
        <x:v>Included</x:v>
      </x:c>
    </x:row>
    <x:row r="68" ht="409" hidden="0" customHeight="1">
      <x:c r="A68" s="16" t="str">
        <x:v>CC007</x:v>
      </x:c>
      <x:c r="B68" s="4" t="str">
        <x:v>Armenia national pandemic land-passenger restrictions</x:v>
      </x:c>
      <x:c r="C68" s="4" t="str">
        <x:v>Armenia; Georgia; Iran</x:v>
      </x:c>
      <x:c r="D68" s="4" t="str">
        <x:v>Armenia’s changing emergency and quarantine restrictions on foreign land entry; initial high-risk travel-history scope and later ordinary noncitizen scope.</x:v>
      </x:c>
      <x:c r="E68" s="4" t="str">
        <x:v>Foreign travellers from or recently in listed high-risk countries under the March emergency framework; ordinary noncitizen land entrants under the September successor rule.
Direction: foreign land entry; citizen land exit restrictions are separately documented and not timed by this phase.
Exceptions changed and included citizens, eligible families and residents, diplomatic groups, specified funeral visitors, freight and train crews, and authorised cases.</x:v>
      </x:c>
      <x:c r="F68" s="4" t="str">
        <x:v>CC007-D1 — Formal policy
Emergency and successor quarantine framework restricting foreign land entry; affected travel histories, exemptions and legal provisions changed.
Framework began: 2020-03-16.
Policy endpoint for the ordinary noncitizen land-entry restriction: 2021-01-12.
Framework date difference: 302 calendar days. This is not a uniform-cohort or uninterrupted operational closure interval.</x:v>
      </x:c>
      <x:c r="G6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68" s="4" t="str">
        <x:v>CC007-D1: The March 16 emergency framework initially restricted foreign travellers arriving from, or recently visiting, a changing list of high-risk countries; the MFA list dated March 22 includes Georgia and Iran. It must not be treated as proof that an identical all-nationality restriction operated from March 16.
The September 11 successor quarantine rule explicitly prohibited noncitizen land entry, with exceptions for eligible family members and legal residents, diplomatic groups, specified funeral visitors, cargo and train crews, and individually authorised cases. January 12, 2021 is the reported effective date of testing-based permission, not an independently observed first crossing.
The selected dates describe the changing legal framework. They do not time citizen exit, Iran’s earlier separate instrument, a stable excluded cohort, or uninterrupted all-post enforcement.</x:v>
      </x:c>
      <x:c r="I68" s="4" t="str">
        <x:v>Second full-register audit, 26 October 2026: additional source-audited corrections incorporated. See the phase, scope and qualification columns for the accepted findings.</x:v>
      </x:c>
      <x:c r="J68" s="18" t="d">
        <x:v>2026-10-26T00:00:00.000Z</x:v>
      </x:c>
      <x:c r="K68" s="21" t="str">
        <x:f>IFERROR(HYPERLINK("https://www.mfa.am/en/press-releases/2020/09/11/quarantaine_RA/10438","Armenian MFA"),"Armenian MFA")</x:f>
        <x:v>Armenian MFA</x:v>
      </x:c>
      <x:c r="L68" s="21" t="str">
        <x:f>IFERROR(HYPERLINK("https://wiki.unece.org/spaces/CTRBSBC/pages/101548392/Armenia","UNECE border observatory"),"UNECE border observatory")</x:f>
        <x:v>UNECE border observatory</x:v>
      </x:c>
      <x:c r="M68" s="21" t="str">
        <x:f>IFERROR(HYPERLINK("https://www.primeminister.am/en/press-release/item/2020/03/16/Nikol-Pashinyan-National-Assambly/","Armenian PM Office"),"Armenian PM Office")</x:f>
        <x:v>Armenian PM Office</x:v>
      </x:c>
      <x:c r="N68" s="4" t="str">
        <x:v>https://www.mfa.am/en/press-releases/2020/09/11/quarantaine_RA/10438
https://wiki.unece.org/spaces/CTRBSBC/pages/101548392/Armenia
https://www.primeminister.am/en/press-release/item/2020/03/16/Nikol-Pashinyan-National-Assambly/
https://www.mfa.am/en/COVID-19/2020/03/22/COVID-19-Restrictions/10163
https://en.armradio.am/2021/01/13/foreigners-are-now-allowed-to-enter-armenia-both-via-air-and-land-borders-mfa/
https://arka.am/en/news/society/armenia_removes_covid_19_restrictions_for_foreigners_entering_the_country_through_land_border/?sphrase_id=5685968
https://www.pan.am/en/289354
https://www.arlis.am/Annexes/5/2020__298-N_english.pdf</x:v>
      </x:c>
      <x:c r="O68" s="4" t="str">
        <x:v>Second full-register audit source access, 26 October 2026
https://www.mfa.am/en/COVID-19/2020/03/22/COVID-19-Restrictions/10163: full text (fresh retrieval)
https://www.mfa.am/en/press-releases/2020/09/11/quarantaine_RA/10438: full text (fresh retrieval)
https://www.pan.am/en/289354: full text (fresh retrieval) — Headline overstates removal of health requirements; body retains PCR.
https://en.armradio.am/2021/01/13/foreigners-are-now-allowed-to-enter-armenia-both-via-air-and-land-borders-mfa/: full text (fresh retrieval)
https://www.arlis.am/Annexes/5/2020__298-N_english.pdf: inaccessible (fresh retrieval) — Direct PDF inaccessible.
Earlier URLs not separately inspected in this second assessment:
https://wiki.unece.org/spaces/CTRBSBC/pages/101548392/Armenia
https://www.primeminister.am/en/press-release/item/2020/03/16/Nikol-Pashinyan-National-Assambly/
https://arka.am/en/news/society/armenia_removes_covid_19_restrictions_for_foreigners_entering_the_country_through_land_border/?sphrase_id=5685968
Prior audit access record
Full-register audit source access (evidence cutoff 25 October 2026)
https://www.mfa.am/en/COVID-19/2020/03/22/COVID-19-Restrictions/10163: full text — Does not establish uninterrupted operation or first passage.
https://www.mfa.am/en/press-releases/2020/09/11/quarantaine_RA/10438: full text — Does not establish uninterrupted operation or first passage.
https://www.pan.am/en/289354: full text — Does not establish uninterrupted operation or first passage.
https://wiki.unece.org/spaces/CTRBSBC/pages/101548392/Armenia: search extract — Does not establish uninterrupted operation or first passage.
https://arka.am/en/news/society/armenia_removes_covid_19_restrictions_for_foreigners_entering_the_country_through_land_border/?sphrase_id=5685968: full text — Does not establish uninterrupted operation or first passage.
Earlier source URLs not separately listed in this audit’s retrieval log (historical access notes below are not fresh verification):
https://www.primeminister.am/en/press-release/item/2020/03/16/Nikol-Pashinyan-National-Assambly/
https://en.armradio.am/2021/01/13/foreigners-are-now-allowed-to-enter-armenia-both-via-air-and-land-borders-mfa/
https://www.arlis.am/Annexes/5/2020__298-N_english.pdf
Earlier recorded access
Source 1: full page
Source 2: original blocked; substantive indexed extract
Source 3: full page</x:v>
      </x:c>
      <x:c r="P68" s="20" t="n">
        <x:v>1</x:v>
      </x:c>
      <x:c r="Q68" s="4" t="str">
        <x:v>Central Asia and Caucasus</x:v>
      </x:c>
      <x:c r="R68" s="4" t="str">
        <x:v>Included</x:v>
      </x:c>
    </x:row>
    <x:row r="69" ht="409" hidden="0" customHeight="1">
      <x:c r="A69" s="16" t="str">
        <x:v>CC008</x:v>
      </x:c>
      <x:c r="B69" s="4" t="str">
        <x:v>Uzbekistan pandemic road-passenger suspension</x:v>
      </x:c>
      <x:c r="C69" s="4" t="str">
        <x:v>Uzbekistan; Kazakhstan; Kyrgyzstan; Tajikistan; Turkmenistan; Afghanistan</x:v>
      </x:c>
      <x:c r="D69" s="4" t="str">
        <x:v>Not individually enumerated
National passenger road connections</x:v>
      </x:c>
      <x:c r="E69" s="4" t="str">
        <x:v>Cross-border passengers
Direction: Entry and exit
Exceptions: Freight exempt, subject to special procedures/checkpoints</x:v>
      </x:c>
      <x:c r="F69" s="4" t="str">
        <x:v>CC008-R1 — Formal policy
Uzbekistan-side general suspension of ordinary international road passenger travel at frontiers other than Kyrgyzstan, subject to authorized-travel exemptions
Start: 2020-03-16.
Policy endpoint: 2020-10-01.
Formal policy: 199 calendar-day difference; operational continuity not established</x:v>
      </x:c>
      <x:c r="G6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69" s="4" t="str">
        <x:v>CC008-R1: Formal general-policy phase only. Uzbek–Kyrgyz land restrictions were lifted September 1 2020 and are excluded from this period. General legal cancellation October 1 did not establish simultaneous bilateral physical opening: border-service account gives Afghanistan October 16 and Kazakhstan October 23, while Turkmenistan and Tajikistan remained restricted in November. Freight and authorized travel excluded.</x:v>
      </x:c>
      <x:c r="I69" s="4" t="str">
        <x:v>Second full-register audit, 26 October 2026: qualified. Fresh official tourism and border-service reporting corroborates the October policy endpoint and the deliberately separate frontier operating dates.</x:v>
      </x:c>
      <x:c r="J69" s="18" t="d">
        <x:v>2026-10-26T00:00:00.000Z</x:v>
      </x:c>
      <x:c r="K69" s="21" t="str">
        <x:f>IFERROR(HYPERLINK("https://eurasianet.org/uzbekistan-confirms-covid-19-case-closes-borders","Eurasianet"),"Eurasianet")</x:f>
        <x:v>Eurasianet</x:v>
      </x:c>
      <x:c r="L69" s="21" t="str">
        <x:f>IFERROR(HYPERLINK("https://uzbekistan.travel/en/o/uzbekistan-opens-international-flights-during-pandemic/","Uzbekistan Tourism"),"Uzbekistan Tourism")</x:f>
        <x:v>Uzbekistan Tourism</x:v>
      </x:c>
      <x:c r="M69" s="21" t="str">
        <x:f>IFERROR(HYPERLINK("https://www.uzembassy.it/news/11321?language=en","Uzbek Embassy in Italy"),"Uzbek Embassy in Italy")</x:f>
        <x:v>Uzbek Embassy in Italy</x:v>
      </x:c>
      <x:c r="N69" s="4" t="str">
        <x:v>https://eurasianet.org/uzbekistan-confirms-covid-19-case-closes-borders
https://uzbekistan.travel/en/o/uzbekistan-opens-international-flights-during-pandemic/
https://www.uzembassy.it/news/11321?language=en
https://www.uzembassy.uk/news/730?language=en
https://kun.uz/en/30948255
https://kun.uz/en/25572783
https://wiki.unece.org/pages/viewpage.action?pageId=117507976
https://kun.uz/en/news/2020/03/15/uzbekistan-closes-its-borders-suspends-all-international-flights
https://kun.uz/en/news/2020/09/01/special-commission-explains-the-procedure-for-crossing-the-uzbek-kyrgyz-border</x:v>
      </x:c>
      <x:c r="O69" s="4" t="str">
        <x:v>Second full-register audit source access, 26 October 2026
https://kun.uz/en/news/2020/03/15/uzbekistan-closes-its-borders-suspends-all-international-flights: full text (fresh retrieval)
https://uzbekistan.travel/en/o/uzbekistan-opens-international-flights-during-pandemic/: full text (fresh retrieval)
https://kun.uz/en/25572783: full text (fresh retrieval)
Earlier URLs not separately inspected in this second assessment:
https://eurasianet.org/uzbekistan-confirms-covid-19-case-closes-borders
https://www.uzembassy.it/news/11321?language=en
https://www.uzembassy.uk/news/730?language=en
https://kun.uz/en/30948255
https://wiki.unece.org/pages/viewpage.action?pageId=117507976
https://kun.uz/en/news/2020/09/01/special-commission-explains-the-procedure-for-crossing-the-uzbek-kyrgyz-border
Prior audit access record
Full-register audit source access (evidence cutoff 25 October 2026)
https://kun.uz/en/news/2020/03/15/uzbekistan-closes-its-borders-suspends-all-international-flights: full text — Does not establish uninterrupted operation or first passage.
https://uzbekistan.travel/en/o/uzbekistan-opens-international-flights-during-pandemic/: full text — Does not establish uninterrupted operation or first passage.
https://kun.uz/en/30948255: full text — Does not establish uninterrupted operation or first passage.
https://kun.uz/en/25572783: full text — Does not establish uninterrupted operation or first passage.
Earlier source URLs not separately listed in this audit’s retrieval log (historical access notes below are not fresh verification):
https://eurasianet.org/uzbekistan-confirms-covid-19-case-closes-borders
https://www.uzembassy.it/news/11321?language=en
https://www.uzembassy.uk/news/730?language=en
https://wiki.unece.org/pages/viewpage.action?pageId=117507976
https://kun.uz/en/news/2020/09/01/special-commission-explains-the-procedure-for-crossing-the-uzbek-kyrgyz-border
Earlier recorded access
Source 1: full
Source 2: full
Source 3: indexed excerpt; failed</x:v>
      </x:c>
      <x:c r="P69" s="20" t="n">
        <x:v>1</x:v>
      </x:c>
      <x:c r="Q69" s="4" t="str">
        <x:v>Central Asia and Caucasus</x:v>
      </x:c>
      <x:c r="R69" s="4" t="str">
        <x:v>Included</x:v>
      </x:c>
    </x:row>
    <x:row r="70" ht="409" hidden="0" customHeight="1">
      <x:c r="A70" s="16" t="str">
        <x:v>CC011</x:v>
      </x:c>
      <x:c r="B70" s="4" t="str">
        <x:v>Kyrgyzstan pandemic restriction on foreign land entry</x:v>
      </x:c>
      <x:c r="C70" s="4" t="str">
        <x:v>Kyrgyzstan; Kazakhstan; Uzbekistan; Tajikistan; China</x:v>
      </x:c>
      <x:c r="D70" s="4" t="str">
        <x:v>Not individually enumerated
All external checkpoints, including land</x:v>
      </x:c>
      <x:c r="E70" s="4" t="str">
        <x:v>Foreign citizens and stateless entrants
Direction: Entry; foreigners permitted normal departure
Exceptions: Citizens; diplomats; freight crews; residents and qualifying family; later students/medical/funeral and listed nationalities</x:v>
      </x:c>
      <x:c r="F70" s="4" t="str">
        <x:v>CC011-R1 — Formal policy
Statutory foreign/stateless entry-restriction regime under Kyrgyz Order 84-r as amended, including land checkpoints
Start: 2020-03-19.
Policy endpoint: 2022-04-30.
Formal policy: 772 calendar-day difference; operational continuity not established</x:v>
      </x:c>
      <x:c r="G7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70" s="4" t="str">
        <x:v>CC011-R1: Measures legal regime lifetime, not uninterrupted denial to a stable nationality or category. Earlier relaxations and separate Tajik conflict ban remain separate. Initial official source indexed; repeal partially paywalled.</x:v>
      </x:c>
      <x:c r="I70" s="4" t="str">
        <x:v>Second full-register audit, 26 October 2026: qualified. The initial operative clause and repeal clause independently confirm the legal lifetime already recorded.</x:v>
      </x:c>
      <x:c r="J70" s="18" t="d">
        <x:v>2026-10-26T00:00:00.000Z</x:v>
      </x:c>
      <x:c r="K70" s="21" t="str">
        <x:f>IFERROR(HYPERLINK("https://www.gov.kg/ru/npa/s/2321","Kyrgyz Cabinet"),"Kyrgyz Cabinet")</x:f>
        <x:v>Kyrgyz Cabinet</x:v>
      </x:c>
      <x:c r="L70" s="21" t="str">
        <x:f>IFERROR(HYPERLINK("https://base.spinform.ru/show_doc.fwx/show_doc.fwx?rgn=147138","Kyrgyz Cabinet of Ministers, text/metadata reproduced by SPINFORM"),"Kyrgyz Cabinet of Ministers, text/metadata reproduced by SPINFORM")</x:f>
        <x:v>Kyrgyz Cabinet of Ministers, text/metadata reproduced by SPINFORM</x:v>
      </x:c>
      <x:c r="M70" s="21" t="str">
        <x:f>IFERROR(HYPERLINK("https://base.spinform.ru/show_doc.fwx/show_doc.fwx?rgn=125428","Spinform"),"Spinform")</x:f>
        <x:v>Spinform</x:v>
      </x:c>
      <x:c r="N70" s="4" t="str">
        <x:v>https://www.gov.kg/ru/npa/s/2321
https://base.spinform.ru/show_doc.fwx/show_doc.fwx?rgn=147138
https://base.spinform.ru/show_doc.fwx/show_doc.fwx?rgn=125428
https://www.gov.kg/index.php/ru/npa/s/2321
https://prg.kz/Document/?doc_id=32279608
https://www.gov.kg/ru/post/s/uproshcheny-usloviya-vezda-v-stranu-grazhdan-inostrannykh-gosudarstv-i-lits-bez-grazhdanstva
https://www.alta.ru/tamdoc/20kg0084/
https://oper.vb.kg/doc/391271_kyrgyzstan_otkryl_granicy_dlia_grajdan_drygih_stran.html
https://24.kg/english/200989_List_of_countries_whose_citizens_can_come_to_Kyrgyzstan_by_land_to_be_expanded/
https://online.toktom.kg/NewsTopic/6655
https://cbd.minjust.gov.kg/57-17476/edition/1118287/ru
https://prg.kz/Document/?doc_id=32797089</x:v>
      </x:c>
      <x:c r="O70" s="4" t="str">
        <x:v>Second full-register audit source access, 26 October 2026
https://www.gov.kg/ru/npa/s/2321: search extract (fresh retrieval) — Fresh direct opening timed out in raw 014.
https://prg.kz/Document/?doc_id=32797089: full text (fresh retrieval) — Public operative excerpt; full document is restricted.
Earlier URLs not separately inspected in this second assessment:
https://base.spinform.ru/show_doc.fwx/show_doc.fwx?rgn=147138
https://base.spinform.ru/show_doc.fwx/show_doc.fwx?rgn=125428
https://www.gov.kg/index.php/ru/npa/s/2321
https://prg.kz/Document/?doc_id=32279608
https://www.gov.kg/ru/post/s/uproshcheny-usloviya-vezda-v-stranu-grazhdan-inostrannykh-gosudarstv-i-lits-bez-grazhdanstva
https://www.alta.ru/tamdoc/20kg0084/
https://oper.vb.kg/doc/391271_kyrgyzstan_otkryl_granicy_dlia_grajdan_drygih_stran.html
https://24.kg/english/200989_List_of_countries_whose_citizens_can_come_to_Kyrgyzstan_by_land_to_be_expanded/
https://online.toktom.kg/NewsTopic/6655
https://cbd.minjust.gov.kg/57-17476/edition/1118287/ru
Prior audit access record
Full-register audit source access (evidence cutoff 25 October 2026)
https://www.gov.kg/ru/npa/s/2321: search extract — Direct access timed out; substantive official indexed text inspected.
https://prg.kz/Document/?doc_id=32279608: full text — Public excerpt only. Metadata conflicts with operative repeal reference.
https://prg.kz/Document/?doc_id=32797089: full text — Public excerpt; full document access restricted.
https://www.gov.kg/ru/post/s/uproshcheny-usloviya-vezda-v-stranu-grazhdan-inostrannykh-gosudarstv-i-lits-bez-grazhdanstva: search extract — Direct page timed out.
Earlier source URLs not separately listed in this audit’s retrieval log (historical access notes below are not fresh verification):
https://base.spinform.ru/show_doc.fwx/show_doc.fwx?rgn=147138
https://base.spinform.ru/show_doc.fwx/show_doc.fwx?rgn=125428
https://www.gov.kg/index.php/ru/npa/s/2321
https://www.alta.ru/tamdoc/20kg0084/
https://oper.vb.kg/doc/391271_kyrgyzstan_otkryl_granicy_dlia_grajdan_drygih_stran.html
https://24.kg/english/200989_List_of_countries_whose_citizens_can_come_to_Kyrgyzstan_by_land_to_be_expanded/
https://online.toktom.kg/NewsTopic/6655
https://cbd.minjust.gov.kg/57-17476/edition/1118287/ru
Earlier recorded access
Source 1: indexed excerpt; failed
Source 2: full; indexed excerpt; partial metadata
Source 3: indexed excerpt</x:v>
      </x:c>
      <x:c r="P70" s="20" t="n">
        <x:v>1</x:v>
      </x:c>
      <x:c r="Q70" s="4" t="str">
        <x:v>Central Asia and Caucasus</x:v>
      </x:c>
      <x:c r="R70" s="4" t="str">
        <x:v>Included</x:v>
      </x:c>
    </x:row>
    <x:row r="71" ht="409" hidden="0" customHeight="1">
      <x:c r="A71" s="16" t="str">
        <x:v>CC013</x:v>
      </x:c>
      <x:c r="B71" s="4" t="str">
        <x:v>Turkmenistan pandemic foreign-passenger restrictions</x:v>
      </x:c>
      <x:c r="C71" s="4" t="str">
        <x:v>Turkmenistan; Iran; Uzbekistan; Kazakhstan; Afghanistan</x:v>
      </x:c>
      <x:c r="D71" s="4" t="str">
        <x:v>Not individually enumerated
National land-entry regime</x:v>
      </x:c>
      <x:c r="E71" s="4" t="str">
        <x:v>Foreign passengers/tourists
Direction: Foreign entry
Exceptions: Initial March report excepted diplomats, international-organisation personnel, transport crews and foreign business staff. Freight-carrier procedures subsequently changed; see CC014. Returning-citizen details remain incomplete.</x:v>
      </x:c>
      <x:c r="F71" s="4" t="str">
        <x:v>CC013-R1 — Announced window
Initial Turkmenistan foreign/stateless entry restriction including land crossings, with expressly listed exemptions
Start: 2020-03-20.
Scheduled endpoint: 2020-04-20.
Ordered window: 31 calendar-day difference; actual end not established
Later tourist-access bound: dated operator guidance reports tourist land entry available by 2023-08-28 with visa and health conditions. This is not an exact reopening or official repeal, and does not establish uninterrupted closure since 2020.
Earlier named-post access account — May 2023
A first-person tourist travelogue describes entering Turkmenistan from Uzbekistan at Dashoguz during a May 2023 trip, with an arranged guide and invitation. This is a self-reported passage at one post, not an official reopening date or proof of every checkpoint.</x:v>
      </x:c>
      <x:c r="G7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71" s="4" t="str">
        <x:v>CC013-R1: Scheduled through-date April 20 retained inclusively from Russian wording; exact expiry clock time is unspecified. This is not observed reopening. Subsequent extensions and exact legal repeal remain unresolved; freight-carrier regime is separate. Advantour guidance updated 28 August 2023 explicitly reports tourist land borders open, subject to visa and arrival PCR. This supplies a qualified later-access bound, not an exact first reopening date, proof of all checkpoints, or evidence of uninterrupted closure from 2020. Conflicting March 2023 reopening announcements are not treated as observed passage.
Earlier scoped evidence: Oskar Lehner’s account of a May 2023 journey describes tourist entry from Uzbekistan at Dashoguz. The month dates the reported journey, not a known publication day. Treat this as a qualified first-person access account; do not assign an exact first reopening or generalize to transit visas, all nationalities or all gates. The later 28 August operator guidance remains a separate corroborating observation.</x:v>
      </x:c>
      <x:c r="I71" s="4" t="str">
        <x:v>Second full-register audit, 26 October 2026: additional source-audited corrections incorporated. See the phase, scope and qualification columns for the accepted findings.</x:v>
      </x:c>
      <x:c r="J71" s="18" t="d">
        <x:v>2026-10-26T00:00:00.000Z</x:v>
      </x:c>
      <x:c r="K71" s="21" t="str">
        <x:f>IFERROR(HYPERLINK("https://turkmenportal.com/ru/news/26238-turkmenistan-usilivaet-mery-po-predotvrashcheniyu-proniknoveniya-koronavirusa","Turkmenportal"),"Turkmenportal")</x:f>
        <x:v>Turkmenportal</x:v>
      </x:c>
      <x:c r="L71" s="21" t="str">
        <x:f>IFERROR(HYPERLINK("https://www.unescap.org/sites/default/d8files/2021-03/Turkmenistan_COVID%20Country%20profile%20230321.pdf","UNESCAP"),"UNESCAP")</x:f>
        <x:v>UNESCAP</x:v>
      </x:c>
      <x:c r="M71" s="21" t="str">
        <x:f>IFERROR(HYPERLINK("https://www.rferl.org/a/turkmenistan-tourism-thaw-locals-travel-visas-repression/33757731.html","RFE/RL"),"RFE/RL")</x:f>
        <x:v>RFE/RL</x:v>
      </x:c>
      <x:c r="N71" s="4" t="str">
        <x:v>https://turkmenportal.com/ru/news/26238-turkmenistan-usilivaet-mery-po-predotvrashcheniyu-proniknoveniya-koronavirusa
https://www.unescap.org/sites/default/d8files/2021-03/Turkmenistan_COVID%20Country%20profile%20230321.pdf
https://www.rferl.org/a/turkmenistan-tourism-thaw-locals-travel-visas-repression/33757731.html
https://nomadsland.travel/en/before-you-go/blog/turkmenistan-reopens-its-borders
https://www.advantour.com/turkmenistan/covid-19.htm
https://tdh.gov.tm/ru/post/22411/kompleksnye-mery-po-neproniknoveniyu-na-territoriyu-strany-koronavirusnoi-infektsii-obsuzhdeny-na-zasedanii-pravitelstva
https://koryogroup.com/blog/turkmenistan-opens-for-tourism
https://2021-2025.state.gov/reports/2021-country-reports-on-human-rights-practices/turkmenistan/
https://pmc.ncbi.nlm.nih.gov/articles/PMC8724746/
https://www.oskarlehnertravel.news/turkmenistan-may-2023</x:v>
      </x:c>
      <x:c r="O71" s="4" t="str">
        <x:v>Second full-register audit source access, 26 October 2026
https://turkmenportal.com/ru/news/26238-turkmenistan-usilivaet-mery-po-predotvrashcheniyu-proniknoveniya-koronavirusa: full text (fresh retrieval)
https://www.advantour.com/turkmenistan/covid-19.htm: full text (fresh retrieval) — Commercial guidance, no named first passage.
https://www.oskarlehnertravel.news/turkmenistan-may-2023: full text (fresh retrieval) — Personal account; exact crossing day and page publication date unknown.
https://koryogroup.com/blog/turkmenistan-opens-for-tourism: search extract (fresh retrieval) — Not witnessed passage or securely land-specific.
Earlier URLs not separately inspected in this second assessment:
https://www.unescap.org/sites/default/d8files/2021-03/Turkmenistan_COVID%20Country%20profile%20230321.pdf
https://www.rferl.org/a/turkmenistan-tourism-thaw-locals-travel-visas-repression/33757731.html
https://nomadsland.travel/en/before-you-go/blog/turkmenistan-reopens-its-borders
https://tdh.gov.tm/ru/post/22411/kompleksnye-mery-po-neproniknoveniyu-na-territoriyu-strany-koronavirusnoi-infektsii-obsuzhdeny-na-zasedanii-pravitelstva
https://2021-2025.state.gov/reports/2021-country-reports-on-human-rights-practices/turkmenistan/
https://pmc.ncbi.nlm.nih.gov/articles/PMC8724746/
Prior audit access record
Full-register audit source access (evidence cutoff 25 October 2026)
https://turkmenportal.com/ru/news/26238-turkmenistan-usilivaet-mery-po-predotvrashcheniyu-proniknoveniya-koronavirusa: full text — Does not establish continuous checkpoint operations.
https://www.advantour.com/turkmenistan/covid-19.htm: full text — Commercial operator advice, not an official repeal or first-crossing observation; no individual posts specified.
https://koryogroup.com/blog/turkmenistan-opens-for-tourism: full text — Announcement before reopening; not land-specific operations.
https://nomadsland.travel/en/before-you-go/blog/turkmenistan-reopens-its-borders: full text — No secure publication date or named land crossing.
Earlier source URLs not separately listed in this audit’s retrieval log (historical access notes below are not fresh verification):
https://www.unescap.org/sites/default/d8files/2021-03/Turkmenistan_COVID%20Country%20profile%20230321.pdf
https://www.rferl.org/a/turkmenistan-tourism-thaw-locals-travel-visas-repression/33757731.html
https://tdh.gov.tm/ru/post/22411/kompleksnye-mery-po-neproniknoveniyu-na-territoriyu-strany-koronavirusnoi-infektsii-obsuzhdeny-na-zasedanii-pravitelstva
https://2021-2025.state.gov/reports/2021-country-reports-on-human-rights-practices/turkmenistan/
https://pmc.ncbi.nlm.nih.gov/articles/PMC8724746/
Earlier recorded access
Source 1: full
Source 2: indexed excerpt
Source 3: indexed excerpt</x:v>
      </x:c>
      <x:c r="P71" s="20" t="n">
        <x:v>1</x:v>
      </x:c>
      <x:c r="Q71" s="4" t="str">
        <x:v>Central Asia and Caucasus</x:v>
      </x:c>
      <x:c r="R71" s="4" t="str">
        <x:v>Included</x:v>
      </x:c>
    </x:row>
    <x:row r="72" ht="409" hidden="0" customHeight="1">
      <x:c r="A72" s="16" t="str">
        <x:v>CC014</x:v>
      </x:c>
      <x:c r="B72" s="4" t="str">
        <x:v>Turkmenistan bars foreign trucks/drivers while allowing cargo transfer</x:v>
      </x:c>
      <x:c r="C72" s="4" t="str">
        <x:v>Turkmenistan; Iran; Uzbekistan; Kazakhstan; Afghanistan</x:v>
      </x:c>
      <x:c r="D72" s="4" t="str">
        <x:v>Farap/Alat; Garabogaz; Sarakhs
Foreign road-carrier entry; later Uzbekistan–Iran transit corridor</x:v>
      </x:c>
      <x:c r="E72" s="4" t="str">
        <x:v>Foreign trucks and drivers
Direction: Entry/transit
Exceptions: Transloading at Farap/Garabogaz; rail cargo; later non-contact truck handovers</x:v>
      </x:c>
      <x:c r="F72" s="4" t="str">
        <x:v>CC014-D1 — Observed operation
Foreign-carrier through-road operation on the Uzbekistan–Farap–Sarakhs–Iran corridor, to officially reported resumed transit.
Start: 2020-03-23 to 2020-03-24.
Observed scoped reopening: 2022-06-01.
Contested: dated evidence; numeric duration withheld; see qualification
Held evidence: excluded from numeric duration and animation displays.</x:v>
      </x:c>
      <x:c r="G72" s="4" t="str">
        <x:v>Health and biosecurity / Human disease control
Reported reason
Applies to: Recorded episode; exact overlap not separately established
Pandemic controls and sanitary conditions support human disease control.
Trade and protectionism / Customs and transport rules
Reported reason
Applies to: Foreign-carrier exclusion and mandatory local cargo-transfer arrangement
CAREC documents exclusion of foreign trucks and transfer to Turkmen trucks. This codes transport policy content under the taxonomy, not a separate protectionist motive.</x:v>
      </x:c>
      <x:c r="H72" s="4" t="str">
        <x:v>CC014-D1: This is an authority-reported operational endpoint, not an independently observed first truck. Cargo transfer, rail and non-contact handovers continued; other Turkmen frontiers are not assigned this duration. CAREC dates March23; the contemporary Mission/IRU foreign-truck rule is effective March24. Retain this unresolved difference and withhold numeric duration.</x:v>
      </x:c>
      <x:c r="I72" s="4" t="str">
        <x:v>Second full-register audit, 26 October 2026: qualified. The March 23–24 conflict and June 1 narrow corridor restoration are independently supported; no broader reopening or exact duration is warranted.</x:v>
      </x:c>
      <x:c r="J72" s="18" t="d">
        <x:v>2026-10-26T00:00:00.000Z</x:v>
      </x:c>
      <x:c r="K72" s="21" t="str">
        <x:f>IFERROR(HYPERLINK("https://cpmm.carecprogram.org/2020-report/turkmenistan/","CAREC CPMM"),"CAREC CPMM")</x:f>
        <x:v>CAREC CPMM</x:v>
      </x:c>
      <x:c r="L72" s="21" t="str">
        <x:f>IFERROR(HYPERLINK("https://customs.gov.tm/en/news/328","Turkmen State Customs Service"),"Turkmen State Customs Service")</x:f>
        <x:v>Turkmen State Customs Service</x:v>
      </x:c>
      <x:c r="M72" s="21" t="str">
        <x:f>IFERROR(HYPERLINK("https://wiki.unece.org/plugins/viewsource/viewpagesrc.action?pageId=179700417","wiki.unece.org"),"wiki.unece.org")</x:f>
        <x:v>wiki.unece.org</x:v>
      </x:c>
      <x:c r="N72" s="4" t="str">
        <x:v>https://cpmm.carecprogram.org/2020-report/turkmenistan/
https://customs.gov.tm/en/news/328
https://wiki.unece.org/plugins/viewsource/viewpagesrc.action?pageId=179700417
https://ticaret.gov.tr/blog/ulkelerden-ticari-haberler/turkmenistan/turkmenistan-gecici-kargo-tasimaciligi-duzenlemelerini-uygulamaya-basladi
https://www.und.org.tr/medya-detay/duyurular/turkmenistan-iran-sinir-gecisleri-hakkinda
https://www.customs.gov.tm/en/news/328
https://www.turkmenportal.com/en/news/53797-dashary-yurt-awtoulaglaryna-surujileri-bilen-bilelikde-turkmenistana-girmage-rugsat-berildi
https://wiki.unece.org/spaces/CTRBSBC/pages/101548532/Turkmenistan
https://www.atd.lv/sites/default/files/jaunumi/Transit%20rules_en.pdf</x:v>
      </x:c>
      <x:c r="O72" s="4" t="str">
        <x:v>Second full-register audit source access, 26 October 2026
https://cpmm.carecprogram.org/2020-report/turkmenistan/: full text (fresh retrieval)
https://customs.gov.tm/en/news/328: full text (fresh retrieval)
https://wiki.unece.org/plugins/viewsource/viewpagesrc.action?pageId=179700417: search extract (fresh retrieval) — Indexed source text.
Earlier URLs not separately inspected in this second assessment:
https://ticaret.gov.tr/blog/ulkelerden-ticari-haberler/turkmenistan/turkmenistan-gecici-kargo-tasimaciligi-duzenlemelerini-uygulamaya-basladi
https://www.und.org.tr/medya-detay/duyurular/turkmenistan-iran-sinir-gecisleri-hakkinda
https://www.customs.gov.tm/en/news/328
https://www.turkmenportal.com/en/news/53797-dashary-yurt-awtoulaglaryna-surujileri-bilen-bilelikde-turkmenistana-girmage-rugsat-berildi
https://wiki.unece.org/spaces/CTRBSBC/pages/101548532/Turkmenistan
https://www.atd.lv/sites/default/files/jaunumi/Transit%20rules_en.pdf
Prior audit access record
Full-register audit source access (evidence cutoff 25 October 2026)
https://cpmm.carecprogram.org/2020-report/turkmenistan/: full text
https://customs.gov.tm/en/news/328: full text
https://wiki.unece.org/spaces/CTRBSBC/pages/101548532/Turkmenistan: search extract — Original viewsource URL returned 403; indexed alternate page inspected
https://www.atd.lv/sites/default/files/jaunumi/Transit%20rules_en.pdf: search extract — Rules document, not first-truck observation
https://www.turkmenportal.com/en/news/53797-dashary-yurt-awtoulaglaryna-surujileri-bilen-bilelikde-turkmenistana-girmage-rugsat-berildi: full text — Prospective 7 November announcement, not proof of first use
Earlier source URLs not separately listed in this audit’s retrieval log (historical access notes below are not fresh verification):
https://wiki.unece.org/plugins/viewsource/viewpagesrc.action?pageId=179700417
https://ticaret.gov.tr/blog/ulkelerden-ticari-haberler/turkmenistan/turkmenistan-gecici-kargo-tasimaciligi-duzenlemelerini-uygulamaya-basladi
https://www.und.org.tr/medya-detay/duyurular/turkmenistan-iran-sinir-gecisleri-hakkinda
https://www.customs.gov.tm/en/news/328
Earlier recorded access
Source 1: full page
Source 2: full page
Source 3: access detail is retained in the source catalogue.</x:v>
      </x:c>
      <x:c r="P72" s="20" t="n">
        <x:v>1</x:v>
      </x:c>
      <x:c r="Q72" s="4" t="str">
        <x:v>Central Asia and Caucasus</x:v>
      </x:c>
      <x:c r="R72" s="4" t="str">
        <x:v>Included</x:v>
      </x:c>
    </x:row>
    <x:row r="73" ht="409" hidden="0" customHeight="1">
      <x:c r="A73" s="16" t="str">
        <x:v>CC019</x:v>
      </x:c>
      <x:c r="B73" s="4" t="str">
        <x:v>Abkhaz pandemic entry restrictions on Russia-facing Psou frontier</x:v>
      </x:c>
      <x:c r="C73" s="4" t="str">
        <x:v>Georgia; Russia</x:v>
      </x:c>
      <x:c r="D73" s="4" t="str">
        <x:v>Psou
Psou frontier between Russia and Abkhazia</x:v>
      </x:c>
      <x:c r="E73" s="4" t="str">
        <x:v>Foreign passengers initially; broader categories later
Direction: Entry principally; later reciprocal travel restrictions
Exceptions: Diplomatic, Russian military, business and freight categories initially</x:v>
      </x:c>
      <x:c r="F73" s="4" t="str">
        <x:v>CC019-D1 — Formal policy
Ordinary Russian-citizen entry through Psou under the Abkhaz pandemic restriction.
Start: 2020-03-28.
Policy endpoint: 2020-08-01.
Formal policy: 126 calendar-day difference; operational continuity not established</x:v>
      </x:c>
      <x:c r="G7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73" s="4" t="str">
        <x:v>CC019-D1: Diplomatic, military, business and freight exceptions are excluded. Third-country nationals remained restricted. This is a scoped legal-permission phase, not all-nationality reopening or observed first passage.</x:v>
      </x:c>
      <x:c r="I73" s="4" t="str">
        <x:v>Second full-register audit, 26 October 2026: qualified. The Russian-citizen policy scope and August 1 endpoint survive independent review; cached official text confirms business exceptions and residual third-country limits.</x:v>
      </x:c>
      <x:c r="J73" s="18" t="d">
        <x:v>2026-10-26T00:00:00.000Z</x:v>
      </x:c>
      <x:c r="K73" s="21" t="str">
        <x:f>IFERROR(HYPERLINK("https://mfaapsny.org/en/allnews/news/othernews/i-o-prezidenta-podpisal-rasporyazhenie-o-zakrytii-gosudarstvennoy-granitsy-po-reke-psou-dlya-inostra/","Abkhaz de facto MFA"),"Abkhaz de facto MFA")</x:f>
        <x:v>Abkhaz de facto MFA</x:v>
      </x:c>
      <x:c r="L73" s="21" t="str">
        <x:f>IFERROR(HYPERLINK("https://civil.ge/archives/361234","Civil.ge"),"Civil.ge")</x:f>
        <x:v>Civil.ge</x:v>
      </x:c>
      <x:c r="M73" s="21" t="str">
        <x:f>IFERROR(HYPERLINK("https://mfaapsny.org/en/allnews/news/othernews/kommentariy-konsulskogo-departamenta-mid-abkhazii-/","Abkhaz MFA"),"Abkhaz MFA")</x:f>
        <x:v>Abkhaz MFA</x:v>
      </x:c>
      <x:c r="N73" s="4" t="str">
        <x:v>https://mfaapsny.org/en/allnews/news/othernews/i-o-prezidenta-podpisal-rasporyazhenie-o-zakrytii-gosudarstvennoy-granitsy-po-reke-psou-dlya-inostra/
https://civil.ge/archives/361234
https://mfaapsny.org/en/allnews/news/othernews/kommentariy-konsulskogo-departamenta-mid-abkhazii-/
https://jam-news.net/abkhazia-closes-border-with-russia-to-prevent-spread-of-coronavirus/
https://civil.ge/archives/361234/amp
https://www.interfax-russia.ru/military/news_eng/344320</x:v>
      </x:c>
      <x:c r="O73" s="4" t="str">
        <x:v>Second full-register audit source access, 26 October 2026
https://jam-news.net/abkhazia-closes-border-with-russia-to-prevent-spread-of-coronavirus/: full text (fresh retrieval)
https://civil.ge/archives/361234: full text (fresh retrieval)
https://mfaapsny.org/en/allnews/news/othernews/i-o-prezidenta-podpisal-rasporyazhenie-o-zakrytii-gosudarstvennoy-granitsy-po-reke-psou-dlya-inostra/: search extract (previously retrieved text re-examined) — Original URL now redirects; cached indexed text only.
https://mfaapsny.org/en/allnews/news/othernews/kommentariy-konsulskogo-departamenta-mid-abkhazii-/: search extract (previously retrieved text re-examined) — Cached indexed official text.
Earlier URLs not separately inspected in this second assessment:
https://civil.ge/archives/361234/amp
https://www.interfax-russia.ru/military/news_eng/344320
Prior audit access record
Full-register audit source access (evidence cutoff 25 October 2026)
https://mfaapsny.org/en/allnews/news/othernews/i-o-prezidenta-podpisal-rasporyazhenie-o-zakrytii-gosudarstvennoy-granitsy-po-reke-psou-dlya-inostra/: search extract — Direct URL redirects to an unrelated homepage.
https://civil.ge/archives/361234: full text — Does not establish continuous checkpoint operations.
https://mfaapsny.org/en/allnews/news/othernews/kommentariy-konsulskogo-departamenta-mid-abkhazii-/: search extract — Direct URL redirects to homepage.
https://jam-news.net/abkhazia-closes-border-with-russia-to-prevent-spread-of-coronavirus/: full text — Does not establish continuous checkpoint operations.
Earlier source URLs not separately listed in this audit’s retrieval log (historical access notes below are not fresh verification):
https://civil.ge/archives/361234/amp
https://www.interfax-russia.ru/military/news_eng/344320
Earlier recorded access
Source 1: partial page; search extract
Source 2: full page
Source 3: search extract</x:v>
      </x:c>
      <x:c r="P73" s="20" t="n">
        <x:v>1</x:v>
      </x:c>
      <x:c r="Q73" s="4" t="str">
        <x:v>Central Asia and Caucasus</x:v>
      </x:c>
      <x:c r="R73" s="4" t="str">
        <x:v>Included</x:v>
      </x:c>
    </x:row>
    <x:row r="74" ht="409" hidden="0" customHeight="1">
      <x:c r="A74" s="16" t="str">
        <x:v>CC025</x:v>
      </x:c>
      <x:c r="B74" s="4" t="str">
        <x:v>Uzbekistan restricts Afghanistan passenger land crossing</x:v>
      </x:c>
      <x:c r="C74" s="4" t="str">
        <x:v>Uzbekistan; Afghanistan</x:v>
      </x:c>
      <x:c r="D74" s="4" t="str">
        <x:v>Termez/Ayritom–Hairatan Friendship Bridge
Termez/Ayritom–Hairatan crossing</x:v>
      </x:c>
      <x:c r="E74" s="4" t="str">
        <x:v>Private passengers, including Afghans seeking refuge
Direction: Passenger entry and travel through the crossing
Exceptions: Freight, authorized cases and later Airitom free-trade-zone visits; December 2021 operational reporting also noted possible non-Afghan passenger access.</x:v>
      </x:c>
      <x:c r="F74" s="4" t="str">
        <x:v>CC025-D1 — Observed operation
Ordinary Afghan civilian passenger entry into Uzbekistan through Termez/Ayritom–Hairatan, excluding freight, authorized cases and free-trade-zone visits.
Start: 2021-06-01 to 2021-08-31.
Observed scoped reopening: 2025-11-23.
1545–1636 calendar-day difference; scoped endpoint only</x:v>
      </x:c>
      <x:c r="G74" s="4" t="str">
        <x:v>Security / Armed conflict and military confrontation
Analytical interpretation of reported context
Applies to: August 2021 conflict/takeover phase
MFA expressly cited security during the Taliban takeover; no hidden objective is inferred.
Migration / Entry and asylum control
Attributed official justification
Applies to: August 2021 admission restriction
Uzbek MFA explicitly refused Afghan refugee accommodation and threatened to stop unauthorized crossings; evacuation transit was treated separately.
Health and biosecurity / Human disease control
Reported reason
Applies to: June 2021 health restriction announced June 23
Fresh full Kun.uz body quotes the Health Ministry; diplomatic, international-driver and citizen-return exemptions remained. Exact first enforcement day and overlap with later security restrictions are not established.</x:v>
      </x:c>
      <x:c r="H74" s="4" t="str">
        <x:v>June versus August 2021 may describe different phases. Operational reporting separately dates later complete inward restriction from October 29 and outward restriction from November 7, 2021 and notes possible non-Afghan passage. The timed phase is limited to ordinary Afghan entry into Uzbekistan. November 23, 2025 is the Chamber-confirmed resumption; third-country eligibility remains outside that claim.
CC025-D1: June–August 2021 bounds preserve conflicting onset retrospectives and may encompass distinct tightening phases. December 2021 operational reporting separately dates complete inward passenger closure from October 29 and outward closure from November 7, while noting possible non-Afghan passage. Those categories and the reverse direction are not timed by this phase. The November 23, 2025 endpoint is the Chamber-confirmed resumption, not the December announcement.</x:v>
      </x:c>
      <x:c r="I74" s="4" t="str">
        <x:v>Second full-register audit, 26 October 2026: qualified. Contemporaneous June and August evidence and December operational reporting support the reader’s distinct restrictions; AFP confirms November 23, 2025 restoration, not the December publication date.</x:v>
      </x:c>
      <x:c r="J74" s="18" t="d">
        <x:v>2026-10-26T00:00:00.000Z</x:v>
      </x:c>
      <x:c r="K74" s="21" t="str">
        <x:f>IFERROR(HYPERLINK("https://agerpres.ro/politic-extern/2025/12/03/uzbekistanul-si-a-redeschis-in-totalitate-granita-cu-afganistanul-inchisa-dupa-revenirea-la-putere-a--1508347","agerpres.ro"),"agerpres.ro")</x:f>
        <x:v>agerpres.ro</x:v>
      </x:c>
      <x:c r="L74" s="21" t="str">
        <x:f>IFERROR(HYPERLINK("https://tashkenttimes.uz/business/16542-termez-hayraton-bridge-opens-for-pedestrians-after-4-year-hiatus","tashkenttimes.uz"),"tashkenttimes.uz")</x:f>
        <x:v>tashkenttimes.uz</x:v>
      </x:c>
      <x:c r="M74" s="21" t="str">
        <x:f>IFERROR(HYPERLINK("https://kuwaittimes.com/article/36628/world/asia/uzbekistan-reopens-afghan-border-closed-since-2021/amp/","Kuwait Times"),"Kuwait Times")</x:f>
        <x:v>Kuwait Times</x:v>
      </x:c>
      <x:c r="N74" s="4" t="str">
        <x:v>https://agerpres.ro/politic-extern/2025/12/03/uzbekistanul-si-a-redeschis-in-totalitate-granita-cu-afganistanul-inchisa-dupa-revenirea-la-putere-a--1508347
https://tashkenttimes.uz/business/16542-termez-hayraton-bridge-opens-for-pedestrians-after-4-year-hiatus
https://kuwaittimes.com/article/36628/world/asia/uzbekistan-reopens-afghan-border-closed-since-2021/amp/
https://s3.eu-west-1.amazonaws.com/logcluster-web-prod-files/public/2021-12/afg_lwg_meeting_minutes_211215.pdf
https://apa.az/en/xeber/cis-countries-news/afghan-border-closed-no-traffic-through-termez-checkpoint-uzbek-foreign-ministry-356807
https://kun.uz/en/news/2021/06/23/coronavirus-movement-of-citizens-across-the-uzbek-afghan-border-will-be-suspended
https://kun.uz/en/news/2021/08/30/mfa-comments-on-reports-about-opening-of-borders-with-afghanistan
https://kun.uz/en/news/2025/12/02/uzbekistan-and-afghanistan-reopen-termez-hairaton-border-for-citizens
https://uz.kursiv.media/en/2025-12-03/uzbekistan-and-afghanistan-reopen-termez-hayraton-border-crossing/
https://www.uzdaily.uz/en/foreign-ministry-in-the-near-future-the-opening-of-the-termez-checkpoint-on-the-uzbek-afghan-border-is-not-planned/</x:v>
      </x:c>
      <x:c r="O74" s="4" t="str">
        <x:v>Second full-register audit source access, 26 October 2026
https://kun.uz/en/news/2021/06/23/coronavirus-movement-of-citizens-across-the-uzbek-afghan-border-will-be-suspended: full text (fresh retrieval)
https://kun.uz/en/news/2021/08/30/mfa-comments-on-reports-about-opening-of-borders-with-afghanistan: search extract (fresh retrieval) — Substantive indexed extract; direct opening returned navigation only.
https://www.uzdaily.uz/en/foreign-ministry-in-the-near-future-the-opening-of-the-termez-checkpoint-on-the-uzbek-afghan-border-is-not-planned/: search extract (fresh retrieval) — Indexed extract.
https://s3.eu-west-1.amazonaws.com/logcluster-web-prod-files/public/2021-12/afg_lwg_meeting_minutes_211215.pdf: full text (fresh retrieval)
https://kuwaittimes.com/article/36628/world/asia/uzbekistan-reopens-afghan-border-closed-since-2021/amp/: full text (fresh retrieval)
https://kun.uz/en/news/2025/12/02/uzbekistan-and-afghanistan-reopen-termez-hairaton-border-for-citizens: full text (fresh retrieval)
https://tashkenttimes.uz/business/16542-termez-hayraton-bridge-opens-for-pedestrians-after-4-year-hiatus: search extract (fresh retrieval) — Indexed extract; conflicts with August retrospective on onset.
Earlier URLs not separately inspected in this second assessment:
https://agerpres.ro/politic-extern/2025/12/03/uzbekistanul-si-a-redeschis-in-totalitate-granita-cu-afganistanul-inchisa-dupa-revenirea-la-putere-a--1508347
https://apa.az/en/xeber/cis-countries-news/afghan-border-closed-no-traffic-through-termez-checkpoint-uzbek-foreign-ministry-356807
https://uz.kursiv.media/en/2025-12-03/uzbekistan-and-afghanistan-reopen-termez-hayraton-border-crossing/
Prior audit access record
Full-register audit source access (evidence cutoff 25 October 2026)
https://kun.uz/en/news/2021/06/23/coronavirus-movement-of-citizens-across-the-uzbek-afghan-border-will-be-suspended: full text
https://kun.uz/en/news/2021/08/30/mfa-comments-on-reports-about-opening-of-borders-with-afghanistan: search extract — Direct URL returned navigation only; indexed substantive article inspected
https://s3.eu-west-1.amazonaws.com/logcluster-web-prod-files/public/2021-12/afg_lwg_meeting_minutes_211215.pdf: full text
https://kuwaittimes.com/article/36628/world/asia/uzbekistan-reopens-afghan-border-closed-since-2021/amp/: full text
https://tashkenttimes.uz/business/16542-termez-hayraton-bridge-opens-for-pedestrians-after-4-year-hiatus: search extract — Direct retrieval 403; indexed text inspected
Earlier source URLs not separately listed in this audit’s retrieval log (historical access notes below are not fresh verification):
https://agerpres.ro/politic-extern/2025/12/03/uzbekistanul-si-a-redeschis-in-totalitate-granita-cu-afganistanul-inchisa-dupa-revenirea-la-putere-a--1508347
https://apa.az/en/xeber/cis-countries-news/afghan-border-closed-no-traffic-through-termez-checkpoint-uzbek-foreign-ministry-356807
https://kun.uz/en/news/2025/12/02/uzbekistan-and-afghanistan-reopen-termez-hairaton-border-for-citizens
https://uz.kursiv.media/en/2025-12-03/uzbekistan-and-afghanistan-reopen-termez-hayraton-border-crossing/
Earlier recorded access
Source 1: full
Source 2: indexed excerpt
Source 3: body</x:v>
      </x:c>
      <x:c r="P74" s="20" t="n">
        <x:v>1</x:v>
      </x:c>
      <x:c r="Q74" s="4" t="str">
        <x:v>Central Asia and Caucasus</x:v>
      </x:c>
      <x:c r="R74" s="4" t="str">
        <x:v>Included</x:v>
      </x:c>
    </x:row>
    <x:row r="75" ht="409" hidden="0" customHeight="1">
      <x:c r="A75" s="16" t="str">
        <x:v>CC001</x:v>
      </x:c>
      <x:c r="B75" s="4" t="str">
        <x:v>Kyrgyzstan closure to Tajik nationals and goods after border fighting</x:v>
      </x:c>
      <x:c r="C75" s="4" t="str">
        <x:v>Kyrgyzstan; Tajikistan</x:v>
      </x:c>
      <x:c r="D75" s="4" t="str">
        <x:v>Kulundu; Kairagach; Kyzyl-Bel; Bordobo; Karamyk
Five Kyrgyz–Tajik land checkpoints</x:v>
      </x:c>
      <x:c r="E75" s="4" t="str">
        <x:v>Tajik nationals, goods and vehicles
Direction: Entry/exit/transit restrictions imposed by Kyrgyzstan
Exceptions: Diplomats and approved officials; citizens returning to their own country</x:v>
      </x:c>
      <x:c r="F75" s="4" t="str">
        <x:v>CC001-D1 — Formal policy
Additional Kyrgyz conflict-related restriction on Tajik nationals and goods at Kairagach and Kyzyl-Bel, to formal restoration at those posts.
Start: 2021-05-21.
Policy endpoint: 2025-03-13.
Formal policy: 1392 calendar-day difference; operational continuity not established</x:v>
      </x:c>
      <x:c r="G75"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Territorial and frontier disputes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75" s="4" t="str">
        <x:v>CC001-D1: Formal scope only: diplomats, approved officials and return-home travel were excepted. Earlier pandemic measures overlapped. The other three checkpoints and first actual ordinary traffic are not assigned this endpoint. A March 18 report attributes 4,414 land passages at these posts during March 13–17 to the Kyrgyz Border Service; 477 air travelers are excluded. Those counts establish reported use by the window, but not first passage of the previously barred Tajik cohort, all goods, or a continuous operational interval. Kazinform and Khovar cross-cite the same report.</x:v>
      </x:c>
      <x:c r="I75" s="4" t="str">
        <x:v>Second full-register audit, 26 October 2026: qualified. Fresh onset reporting, the two-post reopening announcement and actual passage totals corroborate the existing carefully limited formal interval.</x:v>
      </x:c>
      <x:c r="J75" s="18" t="d">
        <x:v>2026-10-26T00:00:00.000Z</x:v>
      </x:c>
      <x:c r="K75" s="21" t="str">
        <x:f>IFERROR(HYPERLINK("https://24.kg/english/195054_Cabinet_of_Ministers_imposes_restrictions_on_border_with_Tajikistan/","24.kg"),"24.kg")</x:f>
        <x:v>24.kg</x:v>
      </x:c>
      <x:c r="L75" s="21" t="str">
        <x:f>IFERROR(HYPERLINK("https://en.kabar.kg/news/two-checkpoints-opened-on-kyrgyz-tajik-border/","Kabar"),"Kabar")</x:f>
        <x:v>Kabar</x:v>
      </x:c>
      <x:c r="M75" s="21" t="str">
        <x:f>IFERROR(HYPERLINK("https://eurasianet.org/kyrgyzstan-turns-back-tajik-nationals-as-tensions-persist","Eurasianet"),"Eurasianet")</x:f>
        <x:v>Eurasianet</x:v>
      </x:c>
      <x:c r="N75" s="4" t="str">
        <x:v>https://24.kg/english/195054_Cabinet_of_Ministers_imposes_restrictions_on_border_with_Tajikistan/
https://en.kabar.kg/news/two-checkpoints-opened-on-kyrgyz-tajik-border/
https://eurasianet.org/kyrgyzstan-turns-back-tajik-nationals-as-tensions-persist
https://qazinform.com/news/some-5000-people-cross-kyrgyz-tajik-border-since-its-reopening-3ba202
https://khovar.tj/rus/2025/03/okolo-5-tysyach-chelovek-peresekli-kyrgyzsko-tadzhikskuyu-granitsu-s-momenta-otkrytiya/
https://www.rferl.org/a/kyrgyzstan-tajik-passengers-ban/31274399.html
https://invest.gov.kg/en/news/vozobnovlena-rabota-kpp-todzhvaron-k</x:v>
      </x:c>
      <x:c r="O75" s="4" t="str">
        <x:v>Second full-register audit source access, 26 October 2026
https://eurasianet.org/kyrgyzstan-turns-back-tajik-nationals-as-tensions-persist: full text (fresh retrieval)
https://en.kabar.kg/news/two-checkpoints-opened-on-kyrgyz-tajik-border/: full text (fresh retrieval)
https://qazinform.com/news/some-5000-people-cross-kyrgyz-tajik-border-since-its-reopening-3ba202: full text (fresh retrieval) — Cross-cites Khovar; not independent duplication.
https://24.kg/english/195054_Cabinet_of_Ministers_imposes_restrictions_on_border_with_Tajikistan/: inaccessible (fresh retrieval) — Direct opening returned 403.
Earlier URLs not separately inspected in this second assessment:
https://khovar.tj/rus/2025/03/okolo-5-tysyach-chelovek-peresekli-kyrgyzsko-tadzhikskuyu-granitsu-s-momenta-otkrytiya/
https://www.rferl.org/a/kyrgyzstan-tajik-passengers-ban/31274399.html
https://invest.gov.kg/en/news/vozobnovlena-rabota-kpp-todzhvaron-k
Prior audit access record
Full-register audit source access (evidence cutoff 25 October 2026)
https://24.kg/english/195054_Cabinet_of_Ministers_imposes_restrictions_on_border_with_Tajikistan/: search extract — Direct retrieval403.
https://en.kabar.kg/news/two-checkpoints-opened-on-kyrgyz-tajik-border/: full text
Earlier source URLs not separately listed in this audit’s retrieval log (historical access notes below are not fresh verification):
https://eurasianet.org/kyrgyzstan-turns-back-tajik-nationals-as-tensions-persist
https://qazinform.com/news/some-5000-people-cross-kyrgyz-tajik-border-since-its-reopening-3ba202
https://khovar.tj/rus/2025/03/okolo-5-tysyach-chelovek-peresekli-kyrgyzsko-tadzhikskuyu-granitsu-s-momenta-otkrytiya/
https://www.rferl.org/a/kyrgyzstan-tajik-passengers-ban/31274399.html
https://invest.gov.kg/en/news/vozobnovlena-rabota-kpp-todzhvaron-k
Earlier recorded access
Source 1: blocked page; search extract
Source 2: full text
Source 3: full page</x:v>
      </x:c>
      <x:c r="P75" s="20" t="n">
        <x:v>1</x:v>
      </x:c>
      <x:c r="Q75" s="4" t="str">
        <x:v>Central Asia and Caucasus</x:v>
      </x:c>
      <x:c r="R75" s="4" t="str">
        <x:v>Included</x:v>
      </x:c>
    </x:row>
    <x:row r="76" ht="409" hidden="0" customHeight="1">
      <x:c r="A76" s="16" t="str">
        <x:v>CC024</x:v>
      </x:c>
      <x:c r="B76" s="4" t="str">
        <x:v>Aqina trade disruption with reported Taliban access-road blockade</x:v>
      </x:c>
      <x:c r="C76" s="4" t="str">
        <x:v>Afghanistan; Turkmenistan</x:v>
      </x:c>
      <x:c r="D76" s="4" t="str">
        <x:v>Aqina–Ymamnazar
Reported cargo-access road obstruction affecting Aqina–Ymamnazar trade; exact roadblock location unresolved</x:v>
      </x:c>
      <x:c r="E76" s="4" t="str">
        <x:v>International transit and imports
Direction: Trade between Afghanistan and Turkmenistan
Exceptions: Not established</x:v>
      </x:c>
      <x:c r="F76" s="4" t="str">
        <x:v>CC024-FU1 — Observed operation
Reported road obstruction affecting cargo access to Aqina; exact roadblock location unresolved
Start: unknown.
Last confirmed: 2021-07-04. Reopening is not established.
dated evidence; numeric duration withheld; see qualification</x:v>
      </x:c>
      <x:c r="G76"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76" s="4" t="str">
        <x:v>Dari source recovered; access obstruction remains attributed to a named provincial official. Onset, clearance, precise roadblock location and independent corroboration remain missing.
CC024-FU1: Attributed road-obstruction observation only. Exact roadblock geometry, onset, clearance and continuity unknown; not independently verified and not a demonstrated border-gate closure.
duration: A July 4 dated roadblock allegation supports a censored observation, not an onset or continuous duration. July 11 port disruption is not proof the same roadblock persisted.
Current onset finding: July4 is a report-date confirmation only. Exact obstruction onset, clearance and uninterrupted duration remain unknown.
Current continuity finding: July4 is a report-date confirmation only. Exact obstruction onset, clearance and uninterrupted duration remain unknown.
endpoint: July4 is a report-date confirmation only. Exact obstruction onset, clearance and uninterrupted duration remain unknown.</x:v>
      </x:c>
      <x:c r="I76" s="4" t="str">
        <x:v>Second full-register audit, 26 October 2026: qualified. Fresh Dari and English sources confirm distinct reported road obstruction and port inactivity; later operating customs posts do not date clearance of the roadblock.</x:v>
      </x:c>
      <x:c r="J76" s="18" t="d">
        <x:v>2026-10-26T00:00:00.000Z</x:v>
      </x:c>
      <x:c r="K76" s="21" t="str">
        <x:f>IFERROR(HYPERLINK("https://da.azadiradio.com/a/31340108.html","Radio Azadi"),"Radio Azadi")</x:f>
        <x:v>Radio Azadi</x:v>
      </x:c>
      <x:c r="L76" s="21" t="str">
        <x:f>IFERROR(HYPERLINK("https://swn.af/en/2021/07/5296/","Salam Watandar"),"Salam Watandar")</x:f>
        <x:v>Salam Watandar</x:v>
      </x:c>
      <x:c r="M76" s="21" t="str">
        <x:f>IFERROR(HYPERLINK("https://wiki.unece.org/pages/viewpage.action?navigatingVersions=true&amp;pageId=172852545","UNECE"),"UNECE")</x:f>
        <x:v>UNECE</x:v>
      </x:c>
      <x:c r="N76" s="4" t="str">
        <x:v>https://da.azadiradio.com/a/31340108.html
https://swn.af/en/2021/07/5296/
https://wiki.unece.org/pages/viewpage.action?navigatingVersions=true&amp;pageId=172852545
https://www.mfa.gov.tm/ru/news/2750
https://www.mfa.gov.tm/index.php/en/news/2758
https://wiki.unece.org/pages/viewpage.action?navigatingVersions=true&amp;pageId=166723685
https://menafn.com/1102390651/Famine-feared-in-Faryab-after-rebels-seize-key-port
https://www.und.org.tr/medya-detay/duyurular/afganistan-turkmenistan-sinir-gecisi-aqina-gumruk-kapali
https://www.etilaatroz.com/130161/despite-collapse-of-ports-commercial-activity-continues-as-before/
https://www.mfa.gov.tm/en/news/2750
https://www.iru.org/intelligence/operational/flash-info/aqina-customs-office-border-crossing-point-between-afghanistan-and-turkmenistan-closed-international-transit</x:v>
      </x:c>
      <x:c r="O76" s="4" t="str">
        <x:v>Second full-register audit source access, 26 October 2026
https://da.azadiradio.com/a/31340108.html: full text (fresh retrieval) — Attribution rather than independent observation.
https://swn.af/en/2021/07/5296/: full text (fresh retrieval) — Different mechanism; rounded duration.
https://www.mfa.gov.tm/en/news/2750: full text (fresh retrieval) — Does not identify inland road clearance.
Earlier URLs not separately inspected in this second assessment:
https://wiki.unece.org/pages/viewpage.action?navigatingVersions=true&amp;pageId=172852545
https://www.mfa.gov.tm/ru/news/2750
https://www.mfa.gov.tm/index.php/en/news/2758
https://wiki.unece.org/pages/viewpage.action?navigatingVersions=true&amp;pageId=166723685
https://menafn.com/1102390651/Famine-feared-in-Faryab-after-rebels-seize-key-port
https://www.und.org.tr/medya-detay/duyurular/afganistan-turkmenistan-sinir-gecisi-aqina-gumruk-kapali
https://www.etilaatroz.com/130161/despite-collapse-of-ports-commercial-activity-continues-as-before/
https://www.iru.org/intelligence/operational/flash-info/aqina-customs-office-border-crossing-point-between-afghanistan-and-turkmenistan-closed-international-transit
Prior audit access record
Full-register audit source access (evidence cutoff 25 October 2026)
https://da.azadiradio.com/a/31340108.html: full text — Attribution, not independent roadblock observation
https://swn.af/en/2021/07/5296/: full text — Different mechanism, rounded duration
https://www.mfa.gov.tm/en/news/2750: full text — Does not locate or date clearance of prior road obstruction
Earlier source URLs not separately listed in this audit’s retrieval log (historical access notes below are not fresh verification):
https://wiki.unece.org/pages/viewpage.action?navigatingVersions=true&amp;pageId=172852545
https://www.mfa.gov.tm/ru/news/2750
https://www.mfa.gov.tm/index.php/en/news/2758
https://wiki.unece.org/pages/viewpage.action?navigatingVersions=true&amp;pageId=166723685
https://menafn.com/1102390651/Famine-feared-in-Faryab-after-rebels-seize-key-port
https://www.und.org.tr/medya-detay/duyurular/afganistan-turkmenistan-sinir-gecisi-aqina-gumruk-kapali
https://www.etilaatroz.com/130161/despite-collapse-of-ports-commercial-activity-continues-as-before/
https://www.iru.org/intelligence/operational/flash-info/aqina-customs-office-border-crossing-point-between-afghanistan-and-turkmenistan-closed-international-transit
Earlier recorded access
Source 1: full page
Source 2: full
Source 3: indexed excerpt</x:v>
      </x:c>
      <x:c r="P76" s="20" t="n">
        <x:v>1</x:v>
      </x:c>
      <x:c r="Q76" s="4" t="str">
        <x:v>Central Asia and Caucasus</x:v>
      </x:c>
      <x:c r="R76" s="4" t="str">
        <x:v>Included</x:v>
      </x:c>
    </x:row>
    <x:row r="77" ht="390" hidden="0" customHeight="1">
      <x:c r="A77" s="16" t="str">
        <x:v>CC022</x:v>
      </x:c>
      <x:c r="B77" s="4" t="str">
        <x:v>Islam Qala–Dogharoun closure after road-construction standoff</x:v>
      </x:c>
      <x:c r="C77" s="4" t="str">
        <x:v>Afghanistan; Iran</x:v>
      </x:c>
      <x:c r="D77" s="4" t="str">
        <x:v>Islam Qala–Dogharoun
Islam Qala–Dogharoun crossing</x:v>
      </x:c>
      <x:c r="E77" s="4" t="str">
        <x:v>Crossing traffic; cargo from Iran into Afghanistan documented on 24 April 2022. Passenger travel reported operating by 26 April.
Direction: First documented cargo return was Iran to Afghanistan; later passenger direction was not enumerated.
Exceptions: Not established</x:v>
      </x:c>
      <x:c r="F77" s="4" t="str">
        <x:v>CC022-D1 — Observed operation
Islam Qala–Dogharoun crossing interruption; reopening reported on 24 April, with the first specifically documented return a cargo truck from Iran into Afghanistan.
Start: 2022-04-23.
Observed scoped reopening: 2022-04-24.
1 calendar-day difference; scoped endpoint only
Later passenger-access observation: Mehr News reported passenger travel and customs services operating by Tuesday morning, 2022-04-26. This does not establish the first passenger reopening or displace the documented 24 April cargo return.</x:v>
      </x:c>
      <x:c r="G77"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Territorial and frontier disputes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77" s="4" t="str">
        <x:v>CC022-D1: Officials reported reopening on 24 April; the specifically documented return is an Iran-to-Afghanistan cargo truck. Mehr News subsequently reported passenger travel and customs services operating by the morning of 26 April. Its later report does not establish whether passengers resumed earlier, and the two accounts do not prove continuous passenger closure until the 26th. Reverse-direction traffic is not separately enumerated. The 23–24 April cargo dates give a one-calendar-day difference, not measured elapsed hours.</x:v>
      </x:c>
      <x:c r="I77" s="4" t="str">
        <x:v>Second full-register audit, 26 October 2026: additional source-audited corrections incorporated. See the phase, scope and qualification columns for the accepted findings.</x:v>
      </x:c>
      <x:c r="J77" s="18" t="d">
        <x:v>2026-10-26T00:00:00.000Z</x:v>
      </x:c>
      <x:c r="K77" s="21" t="str">
        <x:f>IFERROR(HYPERLINK("https://www.aa.com.tr/en/asia-pacific/iran-closes-afghan-border-crossing-after-skirmishes-with-taliban/2571219","Anadolu Agency"),"Anadolu Agency")</x:f>
        <x:v>Anadolu Agency</x:v>
      </x:c>
      <x:c r="L77" s="21" t="str">
        <x:f>IFERROR(HYPERLINK("https://pajhwok.com/2022/04/25/afghanistan-iran-border-crossing-reopens/","Pajhwok Afghan News"),"Pajhwok Afghan News")</x:f>
        <x:v>Pajhwok Afghan News</x:v>
      </x:c>
      <x:c r="M77" s="21" t="str">
        <x:f>IFERROR(HYPERLINK("https://tribune.com.pk/story/2353942/iran-closes-afghan-border-crossing-after-skirmishes-with-taliban?amp=1","tribune.com.pk"),"tribune.com.pk")</x:f>
        <x:v>tribune.com.pk</x:v>
      </x:c>
      <x:c r="N77" s="4" t="str">
        <x:v>https://www.aa.com.tr/en/asia-pacific/iran-closes-afghan-border-crossing-after-skirmishes-with-taliban/2571219
https://pajhwok.com/2022/04/25/afghanistan-iran-border-crossing-reopens/
https://tribune.com.pk/story/2353942/iran-closes-afghan-border-crossing-after-skirmishes-with-taliban?amp=1
https://www.sarkhat.com/en/group/qjnmbz/
https://en.mehrnews.com/news/186154/Iran-Afghanistan-main-border-crossing-reopens-after-two-days</x:v>
      </x:c>
      <x:c r="O77" s="4" t="str">
        <x:v>Second full-register audit source access, 26 October 2026
https://www.aa.com.tr/en/asia-pacific/iran-closes-afghan-border-crossing-after-skirmishes-with-taliban/2571219: full text (fresh retrieval)
https://pajhwok.com/2022/04/25/afghanistan-iran-border-crossing-reopens/: full text (fresh retrieval)
https://en.mehrnews.com/news/186154/Iran-Afghanistan-main-border-crossing-reopens-after-two-days: full text (fresh retrieval) — Later narrative does not reconcile the earlier Sunday cargo restoration.
Earlier URLs not separately inspected in this second assessment:
https://tribune.com.pk/story/2353942/iran-closes-afghan-border-crossing-after-skirmishes-with-taliban?amp=1
https://www.sarkhat.com/en/group/qjnmbz/
Prior audit access record
Full-register audit source access (evidence cutoff 25 October 2026)
https://www.aa.com.tr/en/asia-pacific/iran-closes-afghan-border-crossing-after-skirmishes-with-taliban/2571219: full text
https://pajhwok.com/2022/04/25/afghanistan-iran-border-crossing-reopens/: full text
https://www.sarkhat.com/en/group/qjnmbz/: search extract — Original not recovered; no exact first-crossing date accepted
Earlier source URLs not separately listed in this audit’s retrieval log (historical access notes below are not fresh verification):
https://tribune.com.pk/story/2353942/iran-closes-afghan-border-crossing-after-skirmishes-with-taliban?amp=1
Earlier recorded access
Source 1: full text
Source 2: full text
Source 3: access detail is retained in the source catalogue.</x:v>
      </x:c>
      <x:c r="P77" s="20" t="n">
        <x:v>1</x:v>
      </x:c>
      <x:c r="Q77" s="4" t="str">
        <x:v>Central Asia and Caucasus</x:v>
      </x:c>
      <x:c r="R77" s="4" t="str">
        <x:v>Included</x:v>
      </x:c>
    </x:row>
    <x:row r="78" ht="409" hidden="0" customHeight="1">
      <x:c r="A78" s="16" t="str">
        <x:v>CC020</x:v>
      </x:c>
      <x:c r="B78" s="4" t="str">
        <x:v>Lachin corridor obstruction and tightening access restrictions</x:v>
      </x:c>
      <x:c r="C78" s="4" t="str">
        <x:v>Armenia; Azerbaijan</x:v>
      </x:c>
      <x:c r="D78" s="4" t="str">
        <x:v>Lachin corridor
Road linking Armenia with Nagorno-Karabakh</x:v>
      </x:c>
      <x:c r="E78" s="4" t="str">
        <x:v>Civilian movement, essential goods and humanitarian relief
Direction: Both directions; scope varied by phase
Exceptions: Intermittent ICRC aid and medical evacuations; aid passage on 18 September 2023; outward refugee passage to Armenia documented on 24 September 2023.</x:v>
      </x:c>
      <x:c r="F78" s="4" t="str">
        <x:v>CC020-D1 — Intermittent regime
Phased restriction of ordinary and humanitarian access along Lachin from the December protest obstruction through the August aid-access crisis; movement classes and mechanisms changed.
Start: 2022-12-12.
Last confirmed restriction in this phase: 2023-08-18; this is not a reopening date.
Later scoped access: ICRC aid delivery through Lachin on 2023-09-18; refugee arrivals in Armenia through the corridor documented on 2023-09-24.
Neither observation establishes ordinary two-way reopening. Total closed days are unknown.</x:v>
      </x:c>
      <x:c r="G78" s="4" t="str">
        <x:v>Policy and socioeconomic demands / Rights and other policy grievances
Reported reason
Applies to: December 2022–April 2023 protest obstruction
Self-described environmental protesters objected to alleged illegal mining and denied inspections; authenticity and state sponsorship remain contested.
Security / Smuggling and illicit trafficking
Attributed official justification
Applies to: April 23, 2023 checkpoint-control phase
Azerbaijan MFA alleged illicit movement of weapons, mines, natural resources and cultural property; the allegations are not treated as proved.
Security / Public order and immediate safety
Attributed official justification
Applies to: April 23, 2023 checkpoint-control phase
Azerbaijan MFA expressly described the checkpoint as ensuring security and safety of movement.
Interstate disputes and pressure / Territorial and frontier disputes
Attributed official justification
Applies to: April 23, 2023 checkpoint-control phase
Azerbaijan linked control to disputed military infrastructure, state sovereignty and the frontier; coding does not determine sovereignty or legality.</x:v>
      </x:c>
      <x:c r="H78" s="4" t="str">
        <x:v>CC020-D1: An envelope of protest obstruction, checkpoint control and tightening aid restrictions. Medical and family passage occurred, and ordinary passage in May/June was contested. August 18 is a last confirmation, not a reopening. Envelope length is not days fully closed.
ICRC directly records aid delivery through Lachin on 18 September 2023. On 24 September, EFE reported the first group of refugees arriving in Armenia through the corridor with Russian peacekeeper accompaniment. These are different scoped access observations: aid entry and outward refugee passage. They do not establish a first ordinary two-way reopening, uninterrupted access thereafter, or continued closure to the present.</x:v>
      </x:c>
      <x:c r="I78" s="4" t="str">
        <x:v>Second full-register audit, 26 October 2026: additional source-audited corrections incorporated. See the phase, scope and qualification columns for the accepted findings.</x:v>
      </x:c>
      <x:c r="J78" s="18" t="d">
        <x:v>2026-10-26T00:00:00.000Z</x:v>
      </x:c>
      <x:c r="K78" s="21" t="str">
        <x:f>IFERROR(HYPERLINK("https://www.icj-cij.org/node/202558","icj-cij.org"),"icj-cij.org")</x:f>
        <x:v>icj-cij.org</x:v>
      </x:c>
      <x:c r="L78" s="21" t="str">
        <x:f>IFERROR(HYPERLINK("https://www.icrc.org/en/document/azerbaijan-armenia-sides-must-reach-humanitarian-consensus-to-ease-suffering","ICRC"),"ICRC")</x:f>
        <x:v>ICRC</x:v>
      </x:c>
      <x:c r="M78" s="21" t="str">
        <x:f>IFERROR(HYPERLINK("https://www.icrc.org/en/document/azerbaijanarmenia-icrc-calls-civilians-be-protected","ICRC"),"ICRC")</x:f>
        <x:v>ICRC</x:v>
      </x:c>
      <x:c r="N78" s="4" t="str">
        <x:v>https://www.icj-cij.org/node/202558
https://www.icrc.org/en/document/azerbaijan-armenia-sides-must-reach-humanitarian-consensus-to-ease-suffering
https://www.icrc.org/en/document/azerbaijanarmenia-icrc-calls-civilians-be-protected
https://www.icj-cij.org/node/202958
https://www.icrc.org/en/document/operational-update-situation-along-lachin-corridor
https://eurasianet.org/azerbaijani-activists-end-blockade-of-nagorno-karabakh
https://commonslibrary.parliament.uk/research-briefings/cdp-2023-0015/
https://www.icrc.org/en/document/operational-update-icrcs-work-across-lachin-corridor
https://efe.com/latest-news/2023-09-24/armenians-in-karabakh-to-leave-amid-ethnic-cleansing-fears-after-azerbaijans-victory/
https://www.icj-cij.org/node/202552
https://www.mfa.gov.az/en/news/no22023
https://berlin.mfa.gov.az/en/news/ministry-of-foreign-affairs-of-the-republic-of-azerbaijan-has-issued-a-statement-on-the-establishment-of-a-border-checkpoint-at-the-beginning-of-the-lachin-khankandi-road
https://researchbriefings.files.parliament.uk/documents/CDP-2023-0015/CDP-2023-0015.pdf
https://mfa.gov.az/en/news/no22023</x:v>
      </x:c>
      <x:c r="O78" s="4" t="str">
        <x:v>Second full-register audit source access, 26 October 2026
https://researchbriefings.files.parliament.uk/documents/CDP-2023-0015/CDP-2023-0015.pdf: full text (fresh retrieval)
https://www.icrc.org/en/document/operational-update-situation-along-lachin-corridor: full text (fresh retrieval)
https://www.icrc.org/en/document/operational-update-icrcs-work-across-lachin-corridor: full text (fresh retrieval)
https://www.icrc.org/en/document/azerbaijanarmenia-icrc-calls-civilians-be-protected: full text (fresh retrieval)
https://efe.com/latest-news/2023-09-24/armenians-in-karabakh-to-leave-amid-ethnic-cleansing-fears-after-azerbaijans-victory/: full text (fresh retrieval) — Not ordinary two-way passenger or commercial restoration.
https://www.mfa.gov.az/en/news/no22023: search extract (fresh retrieval) — Direct page unavailable; substantive official indexed extract.
Earlier URLs not separately inspected in this second assessment:
https://www.icj-cij.org/node/202558
https://www.icrc.org/en/document/azerbaijan-armenia-sides-must-reach-humanitarian-consensus-to-ease-suffering
https://www.icj-cij.org/node/202958
https://eurasianet.org/azerbaijani-activists-end-blockade-of-nagorno-karabakh
https://commonslibrary.parliament.uk/research-briefings/cdp-2023-0015/
https://www.icj-cij.org/node/202552
https://berlin.mfa.gov.az/en/news/ministry-of-foreign-affairs-of-the-republic-of-azerbaijan-has-issued-a-statement-on-the-establishment-of-a-border-checkpoint-at-the-beginning-of-the-lachin-khankandi-road
https://mfa.gov.az/en/news/no22023
Prior audit access record
Full-register audit source access (evidence cutoff 25 October 2026)
https://researchbriefings.files.parliament.uk/documents/CDP-2023-0015/CDP-2023-0015.pdf: full text — Secondary synthesis; contested motives
https://www.icrc.org/en/document/azerbaijan-armenia-sides-must-reach-humanitarian-consensus-to-ease-suffering: full text — Specific humanitarian cohort
https://www.icrc.org/en/document/operational-update-icrcs-work-across-lachin-corridor: full text — No complete ordinary-access status
https://mfa.gov.az/en/news/no22023: search extract — Search extract; direct fetch timeout
https://www.icrc.org/en/document/azerbaijanarmenia-icrc-calls-civilians-be-protected: full text — Does not establish broad reopening
https://www.icj-cij.org/node/202558: inaccessible — 403
Earlier source URLs not separately listed in this audit’s retrieval log (historical access notes below are not fresh verification):
https://www.icj-cij.org/node/202958
https://www.icrc.org/en/document/operational-update-situation-along-lachin-corridor
https://eurasianet.org/azerbaijani-activists-end-blockade-of-nagorno-karabakh
https://commonslibrary.parliament.uk/research-briefings/cdp-2023-0015/
https://efe.com/latest-news/2023-09-24/armenians-in-karabakh-to-leave-amid-ethnic-cleansing-fears-after-azerbaijans-victory/
https://www.icj-cij.org/node/202552
https://www.mfa.gov.az/en/news/no22023
https://berlin.mfa.gov.az/en/news/ministry-of-foreign-affairs-of-the-republic-of-azerbaijan-has-issued-a-statement-on-the-establishment-of-a-border-checkpoint-at-the-beginning-of-the-lachin-khankandi-road
Earlier recorded access
Source 1: indexed excerpt
Source 2: full
Source 3: full page</x:v>
      </x:c>
      <x:c r="P78" s="20" t="n">
        <x:v>1</x:v>
      </x:c>
      <x:c r="Q78" s="4" t="str">
        <x:v>Central Asia and Caucasus</x:v>
      </x:c>
      <x:c r="R78" s="4" t="str">
        <x:v>Included</x:v>
      </x:c>
    </x:row>
    <x:row r="79" ht="378" hidden="0" customHeight="1">
      <x:c r="A79" s="16" t="str">
        <x:v>CC032</x:v>
      </x:c>
      <x:c r="B79" s="4" t="str">
        <x:v>Abkhaz restriction on exit via Enguri ahead of Tbilisi opposition rally</x:v>
      </x:c>
      <x:c r="C79" s="4" t="str">
        <x:v>Georgia</x:v>
      </x:c>
      <x:c r="D79" s="4" t="str">
        <x:v>Enguri bridge
Enguri crossing exit towards Georgian-controlled territory</x:v>
      </x:c>
      <x:c r="E79" s="4" t="str">
        <x:v>People leaving Abkhazia
Direction: One-way exit restriction
Exceptions: Medical travellers, elderly and Enguri hydropower staff; entry into Abkhazia unchanged</x:v>
      </x:c>
      <x:c r="F79" s="4" t="str">
        <x:v>CC032-D1 — Formal policy
Exit from Abkhazia through Enguri under the rally-related restriction.
Start: 2023-04-07.
Policy endpoint: 2023-04-10.
Formal policy: 3 calendar-day difference; operational continuity not established</x:v>
      </x:c>
      <x:c r="G79" s="4" t="str">
        <x:v>Power and regime politics / Opposition and political reform
Reported reason
Applies to: April 2023 rally-related restriction
Authority explicitly linked the restriction to the April 9 opposition rally; no hidden motive is inferred.
Security / Public order and immediate safety
Attributed official justification
Applies to: April 2023 rally-related restriction
Latipov cited possible destabilization and safety of the population.</x:v>
      </x:c>
      <x:c r="H79" s="4" t="str">
        <x:v>CC032-D1: Formal policy dates only, from one authority-reporting chain. Entry into Abkhazia remained unchanged; medical travellers, older people and hydropower staff had exceptions. Physical resumption is not observed.</x:v>
      </x:c>
      <x:c r="I79" s="4" t="str">
        <x:v>Second full-register audit, 26 October 2026: qualified. Direct de facto security-service reporting confirms the April 7–10 one-way policy restriction; fresh texts do not establish first physical passage.</x:v>
      </x:c>
      <x:c r="J79" s="18" t="d">
        <x:v>2026-10-26T00:00:00.000Z</x:v>
      </x:c>
      <x:c r="K79" s="21" t="str">
        <x:f>IFERROR(HYPERLINK("https://civil.ge/archives/536797","Civil.ge"),"Civil.ge")</x:f>
        <x:v>Civil.ge</x:v>
      </x:c>
      <x:c r="L79" s="21" t="str">
        <x:f>IFERROR(HYPERLINK("https://civil.ge/archives/537045","Civil.ge"),"Civil.ge")</x:f>
        <x:v>Civil.ge</x:v>
      </x:c>
      <x:c r="M79" s="21" t="str">
        <x:f>IFERROR(HYPERLINK("https://www.apsnypress.info/ru/item/4821-snyaty-ogranicheniya-na-vyezd-iz-abkhazii-cherez-reku-ingur","Apsnypress"),"Apsnypress")</x:f>
        <x:v>Apsnypress</x:v>
      </x:c>
      <x:c r="N79" s="4" t="str">
        <x:v>https://civil.ge/archives/536797
https://civil.ge/archives/537045
https://www.apsnypress.info/ru/item/4821-snyaty-ogranicheniya-na-vyezd-iz-abkhazii-cherez-reku-ingur
https://civil.ge/archives/536797/amp
https://civil.ge/archives/537045/amp
https://sovanews.tv/2023/04/08/de-fakto-vlasti-abhazii-zakryli-graniczu-opasayas-destabilizaczii-v-gruzii-iz-za-protestov/</x:v>
      </x:c>
      <x:c r="O79" s="4" t="str">
        <x:v>Second full-register audit source access, 26 October 2026
https://civil.ge/archives/536797: full text (fresh retrieval)
https://civil.ge/archives/537045: full text (fresh retrieval)
https://www.apsnypress.info/ru/item/4821-snyaty-ogranicheniya-na-vyezd-iz-abkhazii-cherez-reku-ingur: full text (fresh retrieval) — Same authority lineage as Civil Georgia; last modified April 12.
https://sovanews.tv/2023/04/08/de-fakto-vlasti-abhazii-zakryli-graniczu-opasayas-destabilizaczii-v-gruzii-iz-za-protestov/: full text (fresh retrieval)
Earlier URLs not separately inspected in this second assessment:
https://civil.ge/archives/536797/amp
https://civil.ge/archives/537045/amp
Prior audit access record
Full-register audit source access (evidence cutoff 25 October 2026)
https://www.apsnypress.info/ru/item/4821-snyaty-ogranicheniya-na-vyezd-iz-abkhazii-cherez-reku-ingur: full text — Authority reporting chain
https://civil.ge/archives/536797: full text — Authority quotation
https://sovanews.tv/2023/04/08/de-fakto-vlasti-abhazii-zakryli-graniczu-opasayas-destabilizaczii-v-gruzii-iz-za-protestov/: full text — Same authority origin
https://civil.ge/archives/537045: full text — No direct first-passage observation
Earlier source URLs not separately listed in this audit’s retrieval log (historical access notes below are not fresh verification):
https://civil.ge/archives/536797/amp
https://civil.ge/archives/537045/amp
Earlier recorded access
Source 1: full page
Source 2: full page
Source 3: full page</x:v>
      </x:c>
      <x:c r="P79" s="20" t="n">
        <x:v>1</x:v>
      </x:c>
      <x:c r="Q79" s="4" t="str">
        <x:v>Central Asia and Caucasus</x:v>
      </x:c>
      <x:c r="R79" s="4" t="str">
        <x:v>Included</x:v>
      </x:c>
    </x:row>
    <x:row r="80" ht="234" hidden="0" customHeight="1">
      <x:c r="A80" s="16" t="str">
        <x:v>CC023</x:v>
      </x:c>
      <x:c r="B80" s="4" t="str">
        <x:v>Milak–Zaranj closure after Iran–Taliban clashes</x:v>
      </x:c>
      <x:c r="C80" s="4" t="str">
        <x:v>Afghanistan; Iran</x:v>
      </x:c>
      <x:c r="D80" s="4" t="str">
        <x:v>Milak–Zaranj
Milak–Zaranj commercial crossing</x:v>
      </x:c>
      <x:c r="E80" s="4" t="str">
        <x:v>Cross-border trade; passenger scope unverified
Direction: Commercial crossing closed
Exceptions: Not established</x:v>
      </x:c>
      <x:c r="F80" s="4" t="str">
        <x:v>CC023-D1 — Observed operation
Milak–Zaranj commercial crossing; Cross-border trade; passenger scope unverified; Commercial crossing closed
Start: 2023-05-27.
Observed scoped reopening: 2023-05-28.
1 calendar-day difference; scoped endpoint only</x:v>
      </x:c>
      <x:c r="G80"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80" s="4" t="str">
        <x:v>CC023-D1: One official reporting lineage for the trade endpoint; do not generalise to the entire Iran–Afghan frontier. Not established</x:v>
      </x:c>
      <x:c r="I80" s="4" t="str">
        <x:v>Second full-register audit, 26 October 2026: qualified. Named transport-official reporting supports the May 27–28 commercial interruption; passenger restoration and elapsed hours remain unproved.</x:v>
      </x:c>
      <x:c r="J80" s="18" t="d">
        <x:v>2026-10-26T00:00:00.000Z</x:v>
      </x:c>
      <x:c r="K80" s="21" t="str">
        <x:f>IFERROR(HYPERLINK("https://kabulnow.com/2023/05/afghanistan-iran-nimroz-crossing-reopens-day-after-border-clashes/","KabulNow"),"KabulNow")</x:f>
        <x:v>KabulNow</x:v>
      </x:c>
      <x:c r="L80" s="21"/>
      <x:c r="M80" s="21"/>
      <x:c r="N80" s="4" t="str">
        <x:v>https://kabulnow.com/2023/05/afghanistan-iran-nimroz-crossing-reopens-day-after-border-clashes/
https://amu.tv/50075/
https://en.setopati.com/International/161135</x:v>
      </x:c>
      <x:c r="O80" s="4" t="str">
        <x:v>Second full-register audit source access, 26 October 2026
https://kabulnow.com/2023/05/afghanistan-iran-nimroz-crossing-reopens-day-after-border-clashes/: full text (fresh retrieval) — One official reporting lineage; passengers and exact elapsed time absent.
Earlier URLs not separately inspected in this second assessment:
https://amu.tv/50075/
https://en.setopati.com/International/161135
Prior audit access record
Full-register audit source access (evidence cutoff 25 October 2026)
https://kabulnow.com/2023/05/afghanistan-iran-nimroz-crossing-reopens-day-after-border-clashes/: full text
https://amu.tv/50075/: search extract — Does not refute later same-day report
https://en.setopati.com/International/161135: search extract — Same Iranian agency for some official details
Earlier recorded access
Source 1: full text</x:v>
      </x:c>
      <x:c r="P80" s="20" t="n">
        <x:v>1</x:v>
      </x:c>
      <x:c r="Q80" s="4" t="str">
        <x:v>Central Asia and Caucasus</x:v>
      </x:c>
      <x:c r="R80" s="4" t="str">
        <x:v>Included</x:v>
      </x:c>
    </x:row>
    <x:row r="81" ht="402" hidden="0" customHeight="1">
      <x:c r="A81" s="16" t="str">
        <x:v>CC031</x:v>
      </x:c>
      <x:c r="B81" s="4" t="str">
        <x:v>South Ossetian election-period closure of normally limited crossings</x:v>
      </x:c>
      <x:c r="C81" s="4" t="str">
        <x:v>Georgia</x:v>
      </x:c>
      <x:c r="D81" s="4" t="str">
        <x:v>Odzisi/Akhalgori; wider simplified crossing points
Crossings with Georgian-controlled territory; Akhalgori specifically verified</x:v>
      </x:c>
      <x:c r="E81" s="4" t="str">
        <x:v>Local residents ordinarily eligible to cross
Direction: Both directions
Exceptions: Not established</x:v>
      </x:c>
      <x:c r="F81" s="4" t="str">
        <x:v>CC031-R1 — Announced window
Election-specific suspension of Razdakhan/Akhalgori and Pereu simplified crossings
Start: 2024-10-25.
Scheduled endpoint: 2024-10-28.
Contested: Ordered window: dated evidence; numeric duration withheld; see qualification
Held evidence: excluded from numeric duration and animation displays.</x:v>
      </x:c>
      <x:c r="G81"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81" s="4" t="str">
        <x:v>CC031-R1: Interfax assigns October 25–28 at 08:00 to crossing closure; the original October 10 KGB notice and its English translation assign those times to enhanced service and state that the crossings will not operate in October. Exact special-closure bounds remain unresolved.
phase CC031-R1 start/end: Fresh original-language retrieval sustains the conflict: precise October 25–28 times describe enhanced security service. No new original operating order resolves crossing onset/reopening; retain existing contested phase hold.</x:v>
      </x:c>
      <x:c r="I81" s="4" t="str">
        <x:v>Second full-register audit, 26 October 2026: qualified. The original Russian KGB notice continues to contradict assigning its enhanced-security clock to the closure itself. Retain the existing held precise interval.</x:v>
      </x:c>
      <x:c r="J81" s="18" t="d">
        <x:v>2026-10-26T00:00:00.000Z</x:v>
      </x:c>
      <x:c r="K81" s="21" t="str">
        <x:f>IFERROR(HYPERLINK("https://civil.ge/archives/628008","Civil Georgia"),"Civil Georgia")</x:f>
        <x:v>Civil Georgia</x:v>
      </x:c>
      <x:c r="L81" s="21" t="str">
        <x:f>IFERROR(HYPERLINK("https://interfax.com/newsroom/top-stories/106488/","Interfax"),"Interfax")</x:f>
        <x:v>Interfax</x:v>
      </x:c>
      <x:c r="M81" s="21" t="str">
        <x:f>IFERROR(HYPERLINK("https://cominf.org/en/node/1166559168","RES"),"RES")</x:f>
        <x:v>RES</x:v>
      </x:c>
      <x:c r="N81" s="4" t="str">
        <x:v>https://civil.ge/archives/628008
https://interfax.com/newsroom/top-stories/106488/
https://cominf.org/en/node/1166559168
https://cominf.org/node/1166559172
https://www.ombudsman.ge/res/docs/2025091211433999093.pdf
https://www.theioi.org/downloads/a78qh/Georgia%20-%20Annual%20report%20-%202024.pdf
https://cominf.org/en/node/1166559205</x:v>
      </x:c>
      <x:c r="O81" s="4" t="str">
        <x:v>Second full-register audit source access, 26 October 2026
https://cominf.org/node/1166559172: full text (fresh retrieval)
https://interfax.com/newsroom/top-stories/106488/: full text (fresh retrieval)
Earlier URLs not separately inspected in this second assessment:
https://civil.ge/archives/628008
https://cominf.org/en/node/1166559168
https://www.ombudsman.ge/res/docs/2025091211433999093.pdf
https://www.theioi.org/downloads/a78qh/Georgia%20-%20Annual%20report%20-%202024.pdf
https://cominf.org/en/node/1166559205
Prior audit access record
Full-register audit source access (evidence cutoff 25 October 2026)
https://cominf.org/en/node/1166559168: full text — Authority statement, not passage observation
https://cominf.org/node/1166559172: full text — Does not assign those times to crossing closure
https://interfax.com/newsroom/top-stories/106488/: full text — Conflicts with original authority wording
Earlier source URLs not separately listed in this audit’s retrieval log (historical access notes below are not fresh verification):
https://civil.ge/archives/628008
https://www.ombudsman.ge/res/docs/2025091211433999093.pdf
https://www.theioi.org/downloads/a78qh/Georgia%20-%20Annual%20report%20-%202024.pdf
https://cominf.org/en/node/1166559205
Earlier recorded access
Source 1: full
Source 2: full
Source 3: indexed excerpt; full</x:v>
      </x:c>
      <x:c r="P81" s="20" t="n">
        <x:v>1</x:v>
      </x:c>
      <x:c r="Q81" s="4" t="str">
        <x:v>Central Asia and Caucasus</x:v>
      </x:c>
      <x:c r="R81" s="4" t="str">
        <x:v>Included</x:v>
      </x:c>
    </x:row>
    <x:row r="82" ht="294" hidden="0" customHeight="1">
      <x:c r="A82" s="16" t="str">
        <x:v>CC030</x:v>
      </x:c>
      <x:c r="B82" s="4" t="str">
        <x:v>Abkhaz election-period restriction ordered at Enguri</x:v>
      </x:c>
      <x:c r="C82" s="4" t="str">
        <x:v>Georgia</x:v>
      </x:c>
      <x:c r="D82" s="4" t="str">
        <x:v>Enguri bridge
Enguri crossing</x:v>
      </x:c>
      <x:c r="E82" s="4" t="str">
        <x:v>Ordinary non-exempt travellers; duration scope is departures from Abkhazia via Enguri
Direction: Movement restricted; returning residents exempt
Exceptions: Returning residents and electricity-system personnel</x:v>
      </x:c>
      <x:c r="F82" s="4" t="str">
        <x:v>CC030-D1 — Observed operation
Enguri crossing; Ordinary non-exempt travellers; duration scope is departures from Abkhazia via Enguri; Movement restricted; returning residents exempt
Start: 2024-10-23.
Observed scoped reopening: 2024-10-30.
7 calendar-day difference; scoped endpoint only</x:v>
      </x:c>
      <x:c r="G82"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82" s="4" t="str">
        <x:v>CC030-D1: Radio Atinati reports citizens crossing in both directions from the morning of 30 October and confirms closure began 23 October. Resident returns and electricity personnel were exceptions; this was not complete impermeability. Returning residents and electricity-system personnel</x:v>
      </x:c>
      <x:c r="I82" s="4" t="str">
        <x:v>Second full-register audit, 26 October 2026: qualified. Local October 30 reporting confirms actual two-way traffic and the October 23 onset; the original announcement correctly preserves returnee and energy-worker exceptions.</x:v>
      </x:c>
      <x:c r="J82" s="18" t="d">
        <x:v>2026-10-26T00:00:00.000Z</x:v>
      </x:c>
      <x:c r="K82" s="21" t="str">
        <x:f>IFERROR(HYPERLINK("https://civil.ge/archives/628865","civil.ge"),"civil.ge")</x:f>
        <x:v>civil.ge</x:v>
      </x:c>
      <x:c r="L82" s="21" t="str">
        <x:f>IFERROR(HYPERLINK("https://www.radioatinati.ge/regioni/article/86460-enguris-khidi-gaikhsna.html","radioatinati.ge"),"radioatinati.ge")</x:f>
        <x:v>radioatinati.ge</x:v>
      </x:c>
      <x:c r="M82" s="21" t="str">
        <x:f>IFERROR(HYPERLINK("https://archive20222024.apsnypress.info/ru/home/novosti/item/13473-s-23-po-30-oktyabrya-budet-priostanovlen-propusk-grazhdan-cherez-kpp-ingur","archive20222024.apsnypress.info"),"archive20222024.apsnypress.info")</x:f>
        <x:v>archive20222024.apsnypress.info</x:v>
      </x:c>
      <x:c r="N82" s="4" t="str">
        <x:v>https://civil.ge/archives/628865
https://www.radioatinati.ge/regioni/article/86460-enguris-khidi-gaikhsna.html
https://archive20222024.apsnypress.info/ru/home/novosti/item/13473-s-23-po-30-oktyabrya-budet-priostanovlen-propusk-grazhdan-cherez-kpp-ingur</x:v>
      </x:c>
      <x:c r="O82" s="4" t="str">
        <x:v>Second full-register audit source access, 26 October 2026
https://civil.ge/archives/628865: full text (fresh retrieval)
https://www.radioatinati.ge/regioni/article/86460-enguris-khidi-gaikhsna.html: full text (fresh retrieval)
Earlier URLs not separately inspected in this second assessment:
https://archive20222024.apsnypress.info/ru/home/novosti/item/13473-s-23-po-30-oktyabrya-budet-priostanovlen-propusk-grazhdan-cherez-kpp-ingur
Prior audit access record
Full-register audit source access (evidence cutoff 25 October 2026)
https://www.radioatinati.ge/regioni/article/86460-enguris-khidi-gaikhsna.html: full text — Scope retains exceptions
https://civil.ge/archives/628865: full text — Authority announcement
Earlier source URLs not separately listed in this audit’s retrieval log (historical access notes below are not fresh verification):
https://archive20222024.apsnypress.info/ru/home/novosti/item/13473-s-23-po-30-oktyabrya-budet-priostanovlen-propusk-grazhdan-cherez-kpp-ingur
Earlier recorded access
Source 1: full
Source 2: full
Source 3: access detail is retained in the source catalogue.</x:v>
      </x:c>
      <x:c r="P82" s="20" t="n">
        <x:v>1</x:v>
      </x:c>
      <x:c r="Q82" s="4" t="str">
        <x:v>Central Asia and Caucasus</x:v>
      </x:c>
      <x:c r="R82" s="4" t="str">
        <x:v>Included</x:v>
      </x:c>
    </x:row>
    <x:row r="83" ht="409" hidden="0" customHeight="1">
      <x:c r="A83" s="16" t="str">
        <x:v>CC012</x:v>
      </x:c>
      <x:c r="B83" s="4" t="str">
        <x:v>Tajikistan pandemic foreign entry/exit restrictions</x:v>
      </x:c>
      <x:c r="C83" s="4" t="str">
        <x:v>Tajikistan; Uzbekistan; Kyrgyzstan; China; Afghanistan</x:v>
      </x:c>
      <x:c r="D83" s="4" t="str">
        <x:v>Not individually enumerated
National foreign-traveller controls; verified easing on Uzbekistan frontier</x:v>
      </x:c>
      <x:c r="E83" s="4" t="str">
        <x:v>Foreign citizens and stateless travellers
Direction: Entry and exit
Exceptions: Diplomats, international organisations, international freight/rail crews; exceptional authorised departure</x:v>
      </x:c>
      <x:c r="F83" s="4" t="str">
        <x:v>CC012-FU1 — Formal policy
Tajik-side Uzbekistan-frontier checkpoints, normal crossing regime restored subject to health documents
Start: unknown.
Policy endpoint: 2022-03-15.
Formal policy: dated evidence; numeric duration withheld; see qualification
Separate actual-use observation — 2022-03-22
Asia-Plus reports a traveller driving from Khujand to Tashkent through Fotekhobod–Oybek on 22 March. This supports reported outward road passage toward Uzbekistan at that pair, not first foreign entry into Tajikistan or reopening at every checkpoint.</x:v>
      </x:c>
      <x:c r="G8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83" s="4" t="str">
        <x:v>CC012-FU1: Official Tajik text supports normal Uzbekistan-frontier procedures from 15 March 2022 subject to health documents. It is available as substantial indexed text; direct retrieval failed. Exact onset and uninterrupted enforcement of the same foreign-entry scope remain unknown.
An Asia-Plus report dated 23 March describes an unnamed traveller crossing Fotekhobod–Oybek by car toward Uzbekistan on 22 March. This is a limited actual-use observation, not a first crossing, not evidence of foreign entry into Tajikistan, and not proof of all-post restoration. The same report distinguishes Uzbekistan’s 16 March easing from Tajikistan’s 15 March decision. No other-frontier endpoint or exact elapsed duration is inferred.</x:v>
      </x:c>
      <x:c r="I83" s="4" t="str">
        <x:v>Second full-register audit, 26 October 2026: additional source-audited corrections incorporated. See the phase, scope and qualification columns for the accepted findings.</x:v>
      </x:c>
      <x:c r="J83" s="18" t="d">
        <x:v>2026-10-26T00:00:00.000Z</x:v>
      </x:c>
      <x:c r="K83" s="21" t="str">
        <x:f>IFERROR(HYPERLINK("https://www.mfa.tj/ru/main/view/9890/reshenie-respublikanskogo-shtaba-po-predotvrashcheniyu-rasprostraneniya-koronavirusa-v-tadzhikistane","mfa.tj"),"mfa.tj")</x:f>
        <x:v>mfa.tj</x:v>
      </x:c>
      <x:c r="L83" s="21" t="str">
        <x:f>IFERROR(HYPERLINK("https://www.mfa.tj/ru/tashkent/view/9937/s-15-marta-deyatelnost-propusknykh-punktov-gosudarstvennoi-granitsy-tadzhikistana-s-uzbekistanom-perevoditsya-na-obychnyi-rezhim","mfa.tj"),"mfa.tj")</x:f>
        <x:v>mfa.tj</x:v>
      </x:c>
      <x:c r="M83" s="21" t="str">
        <x:f>IFERROR(HYPERLINK("https://www.mfa.tj/en/main/view/5919/temporary-restrictions-on-the-entry-and-exit-of-all-foreign-citizens-and-stateless-persons-through-all-checkpoints-on-the-state-border-of-tajikistan","Tajik MFA"),"Tajik MFA")</x:f>
        <x:v>Tajik MFA</x:v>
      </x:c>
      <x:c r="N83" s="4" t="str">
        <x:v>https://www.mfa.tj/ru/main/view/9890/reshenie-respublikanskogo-shtaba-po-predotvrashcheniyu-rasprostraneniya-koronavirusa-v-tadzhikistane
https://www.mfa.tj/ru/tashkent/view/9937/s-15-marta-deyatelnost-propusknykh-punktov-gosudarstvennoi-granitsy-tadzhikistana-s-uzbekistanom-perevoditsya-na-obychnyi-rezhim
https://www.mfa.tj/en/main/view/5919/temporary-restrictions-on-the-entry-and-exit-of-all-foreign-citizens-and-stateless-persons-through-all-checkpoints-on-the-state-border-of-tajikistan
https://www.mfa.tj/en/main/view/9890/decision-of-the-republican-task-force-to-strengthen-anti-epidemic-measures-to-prevent-the-spread-of-the-infectious-disease-covid-19
https://asiaplus.news/en/2022/03/29/majlisi-namoyandagon-board-approves-amendments-made-to-the-tajik-uzbek-agreement-on-mutual-travels/
https://asiaplus.news/en/2022/03/09/tajikistan-to-reopen-all-bcps-along-its-common-border-with-uzbekistan-on-march-15/
https://www.mfa.tj/ru/main/view/5919/vremennye-ogranicheniya-na-vezd-i-vyezd-inostrannykh-grazhdan-i-lits-bez-grazhdanstva-cherez-punkty-propuska-na-gosudarstvennoi-granitse-tadzhikistana
https://ghsindex.org/wp-content/uploads/2021/12/Tajikistan.pdf
https://kun.uz/en/news/2022/03/08/tajikistan-to-resume-normal-operation-of-checkpoints-on-border-with-uzbekistan
https://mfa.tj/ru/main/view/5890/soobshchenie-o-vremennom-zakrytii-gosudarstvennoi-granitsy-tadzhikistana-s-kyrgyzstanom
https://mid.tj/index.php/en/main/view/9890/decision-of-the-republican-task-force-to-strengthen-anti-epidemic-measures-to-prevent-the-spread-of-the-infectious-disease-covid-19
https://wiki.unece.org/spaces/CTRBSBC/pages/101548526/Tajikistan
https://interfax.com/newsroom/top-stories/68401/
https://asiaplus.news/2022/03/23/istochnik-na-kontrolno-propusknyh-punktah-tadzhiksko-uzbekskoj-graniczy-obrazovalis-ocheredi-iz-lyudej-i-mashin/</x:v>
      </x:c>
      <x:c r="O83" s="4" t="str">
        <x:v>Second full-register audit source access, 26 October 2026
https://interfax.com/newsroom/top-stories/68401/: full text (fresh retrieval)
https://www.mfa.tj/ru/tashkent/view/9937/s-15-marta-deyatelnost-propusknykh-punktov-gosudarstvennoi-granitsy-tadzhikistana-s-uzbekistanom-perevoditsya-na-obychnyi-rezhim: search extract (fresh retrieval) — Direct source timed out.
https://kun.uz/en/news/2022/03/08/tajikistan-to-resume-normal-operation-of-checkpoints-on-border-with-uzbekistan: full text (fresh retrieval)
https://asiaplus.news/2022/03/23/istochnik-na-kontrolno-propusknyh-punktah-tadzhiksko-uzbekskoj-graniczy-obrazovalis-ocheredi-iz-lyudej-i-mashin/: full text (fresh retrieval) — Unnamed reader, not independently observed first passage; direction differs from foreign-entry cohort.
Earlier URLs not separately inspected in this second assessment:
https://www.mfa.tj/ru/main/view/9890/reshenie-respublikanskogo-shtaba-po-predotvrashcheniyu-rasprostraneniya-koronavirusa-v-tadzhikistane
https://www.mfa.tj/en/main/view/5919/temporary-restrictions-on-the-entry-and-exit-of-all-foreign-citizens-and-stateless-persons-through-all-checkpoints-on-the-state-border-of-tajikistan
https://www.mfa.tj/en/main/view/9890/decision-of-the-republican-task-force-to-strengthen-anti-epidemic-measures-to-prevent-the-spread-of-the-infectious-disease-covid-19
https://asiaplus.news/en/2022/03/29/majlisi-namoyandagon-board-approves-amendments-made-to-the-tajik-uzbek-agreement-on-mutual-travels/
https://asiaplus.news/en/2022/03/09/tajikistan-to-reopen-all-bcps-along-its-common-border-with-uzbekistan-on-march-15/
https://www.mfa.tj/ru/main/view/5919/vremennye-ogranicheniya-na-vezd-i-vyezd-inostrannykh-grazhdan-i-lits-bez-grazhdanstva-cherez-punkty-propuska-na-gosudarstvennoi-granitse-tadzhikistana
https://ghsindex.org/wp-content/uploads/2021/12/Tajikistan.pdf
https://mfa.tj/ru/main/view/5890/soobshchenie-o-vremennom-zakrytii-gosudarstvennoi-granitsy-tadzhikistana-s-kyrgyzstanom
https://mid.tj/index.php/en/main/view/9890/decision-of-the-republican-task-force-to-strengthen-anti-epidemic-measures-to-prevent-the-spread-of-the-infectious-disease-covid-19
https://wiki.unece.org/spaces/CTRBSBC/pages/101548526/Tajikistan
Prior audit access record
Full-register audit source access (evidence cutoff 25 October 2026)
https://interfax.com/newsroom/top-stories/68401/: search extract — Page body was partial in opening output; indexed text supplied the remaining exceptions.
https://www.mfa.tj/ru/tashkent/view/9937/s-15-marta-deyatelnost-propusknykh-punktov-gosudarstvennoi-granitsy-tadzhikistana-s-uzbekistanom-perevoditsya-na-obychnyi-rezhim: search extract — Direct page failed.
https://kun.uz/en/news/2022/03/08/tajikistan-to-resume-normal-operation-of-checkpoints-on-border-with-uzbekistan: full text — Does not establish continuous checkpoint operations.
https://www.mfa.tj/en/main/view/5919/temporary-restrictions-on-the-entry-and-exit-of-all-foreign-citizens-and-stateless-persons-through-all-checkpoints-on-the-state-border-of-tajikistan: inaccessible — 502 response.
Earlier source URLs not separately listed in this audit’s retrieval log (historical access notes below are not fresh verification):
https://www.mfa.tj/ru/main/view/9890/reshenie-respublikanskogo-shtaba-po-predotvrashcheniyu-rasprostraneniya-koronavirusa-v-tadzhikistane
https://www.mfa.tj/en/main/view/9890/decision-of-the-republican-task-force-to-strengthen-anti-epidemic-measures-to-prevent-the-spread-of-the-infectious-disease-covid-19
https://asiaplus.news/en/2022/03/29/majlisi-namoyandagon-board-approves-amendments-made-to-the-tajik-uzbek-agreement-on-mutual-travels/
https://asiaplus.news/en/2022/03/09/tajikistan-to-reopen-all-bcps-along-its-common-border-with-uzbekistan-on-march-15/
https://www.mfa.tj/ru/main/view/5919/vremennye-ogranicheniya-na-vezd-i-vyezd-inostrannykh-grazhdan-i-lits-bez-grazhdanstva-cherez-punkty-propuska-na-gosudarstvennoi-granitse-tadzhikistana
https://ghsindex.org/wp-content/uploads/2021/12/Tajikistan.pdf
https://mfa.tj/ru/main/view/5890/soobshchenie-o-vremennom-zakrytii-gosudarstvennoi-granitsy-tadzhikistana-s-kyrgyzstanom
https://mid.tj/index.php/en/main/view/9890/decision-of-the-republican-task-force-to-strengthen-anti-epidemic-measures-to-prevent-the-spread-of-the-infectious-disease-covid-19
https://wiki.unece.org/spaces/CTRBSBC/pages/101548526/Tajikistan
Earlier recorded access
Source 1: access detail is retained in the source catalogue.
Source 2: access detail is retained in the source catalogue.
Source 3: indexed excerpt; failed</x:v>
      </x:c>
      <x:c r="P83" s="20" t="n">
        <x:v>1</x:v>
      </x:c>
      <x:c r="Q83" s="4" t="str">
        <x:v>Central Asia and Caucasus</x:v>
      </x:c>
      <x:c r="R83" s="4" t="str">
        <x:v>Included</x:v>
      </x:c>
    </x:row>
    <x:row r="84" ht="409" hidden="0" customHeight="1">
      <x:c r="A84" s="16" t="str">
        <x:v>CC027</x:v>
      </x:c>
      <x:c r="B84" s="4" t="str">
        <x:v>Uzbekistan–Tajikistan longstanding local checkpoint closures eased in 2018</x:v>
      </x:c>
      <x:c r="C84" s="4" t="str">
        <x:v>Uzbekistan; Tajikistan</x:v>
      </x:c>
      <x:c r="D84" s="4" t="str">
        <x:v>Jarteppa; Qushkent; Uchturgan; Khavastabad; Bekabad; Pap; Ravat; Gulbahor (spellings vary)
Selected road crossings; separate rail reopening phase</x:v>
      </x:c>
      <x:c r="E84" s="4" t="str">
        <x:v>Local passengers and trade at selected posts
Direction: Both directions at affected posts
Exceptions: Other crossings, including Dousti and Fotehobod, remained available</x:v>
      </x:c>
      <x:c r="F84" s="4" t="str">
        <x:v>CC027-FU1 — Formal policy
Jartepa, Kushkent, Uchkurgan, Khavastabad, Bekabad, Pap, Ravat and Gulbahor road checkpoints only
Start: unknown.
Policy endpoint: 2018-03-01.
Formal policy: dated evidence; numeric duration withheld; see qualification</x:v>
      </x:c>
      <x:c r="G84" s="4" t="str">
        <x:v>Interstate disputes and pressure / Diplomatic disputes and retaliation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84" s="4" t="str">
        <x:v>CC027-FU1: Endpoint-only formal reopening; individual onsets and prior exceptions are unknown. Excludes Amuzang rail and avoids treating mixed ten-post reporting or rounded years as a common interval.
duration: Eight named road posts have a March 1 permission endpoint, separate from railway operation. Their different historical onsets and any prior partial access remain unresolved.
Current onset finding: Two reports of the same Uzbek MFA announcement name eight road posts and one rail post reopened 1 March 2018. The road-only list is supported. Individual closure starts and prior access exceptions are unknown; the ceremony cannot supply a common multi-year duration.
Current continuity finding: No evidence establishes uninterrupted enforcement between the dated observations or actual lifting of an announced order.</x:v>
      </x:c>
      <x:c r="I84" s="4" t="str">
        <x:v>Second full-register audit, 26 October 2026: qualified. The eight-road-post March 1 permission list is supported; broader ten-post reporting mixes a railway and another post and does not establish common historical onsets.</x:v>
      </x:c>
      <x:c r="J84" s="18" t="d">
        <x:v>2026-10-26T00:00:00.000Z</x:v>
      </x:c>
      <x:c r="K84" s="21" t="str">
        <x:f>IFERROR(HYPERLINK("https://www.uzdaily.uz/en/nine-checkpoints-at-uzbek-tajik-border-opened/","UzDaily"),"UzDaily")</x:f>
        <x:v>UzDaily</x:v>
      </x:c>
      <x:c r="L84" s="21" t="str">
        <x:f>IFERROR(HYPERLINK("https://en.archive.kabar.kg/news/nine-checkpoints-resume-operation-on-uzbek-tajik-border/","en.archive.kabar.kg"),"en.archive.kabar.kg")</x:f>
        <x:v>en.archive.kabar.kg</x:v>
      </x:c>
      <x:c r="M84" s="21" t="str">
        <x:f>IFERROR(HYPERLINK("https://asiaplus.news/en/2018/03/01/ten-border-crossing-points-reopen-along-tajik-uzbek-border/","Asia-Plus"),"Asia-Plus")</x:f>
        <x:v>Asia-Plus</x:v>
      </x:c>
      <x:c r="N84" s="4" t="str">
        <x:v>https://www.uzdaily.uz/en/nine-checkpoints-at-uzbek-tajik-border-opened/
https://en.archive.kabar.kg/news/nine-checkpoints-resume-operation-on-uzbek-tajik-border/
https://asiaplus.news/en/2018/03/01/ten-border-crossing-points-reopen-along-tajik-uzbek-border/
https://mfa.tj/ru/main/view/2993/informatsionnoe-soobshchenie-ob-otkrytii-punktov-propuska-cherez-tadzhiksko-uzbekskuyu-gosudarstvennuyu-granitsu
https://www.aa.com.tr/tr/dunya/ozbekistan-tacikistan-sinir-kapilari-10-yil-sonra-yeniden-acildi/1077528</x:v>
      </x:c>
      <x:c r="O84" s="4" t="str">
        <x:v>Second full-register audit source access, 26 October 2026
https://www.uzdaily.uz/en/nine-checkpoints-at-uzbek-tajik-border-opened/: full text (fresh retrieval)
https://en.archive.kabar.kg/news/nine-checkpoints-resume-operation-on-uzbek-tajik-border/: full text (fresh retrieval)
https://asiaplus.news/en/2018/03/01/ten-border-crossing-points-reopen-along-tajik-uzbek-border/: full text (fresh retrieval)
Earlier URLs not separately inspected in this second assessment:
https://mfa.tj/ru/main/view/2993/informatsionnoe-soobshchenie-ob-otkrytii-punktov-propuska-cherez-tadzhiksko-uzbekskuyu-gosudarstvennuyu-granitsu
https://www.aa.com.tr/tr/dunya/ozbekistan-tacikistan-sinir-kapilari-10-yil-sonra-yeniden-acildi/1077528
Prior audit access record
Full-register audit source access (evidence cutoff 25 October 2026)
https://www.uzdaily.uz/en/nine-checkpoints-at-uzbek-tajik-border-opened/: full text — Text has stray Yakutia token; corroborated list from Kabar
https://en.archive.kabar.kg/news/nine-checkpoints-resume-operation-on-uzbek-tajik-border/: full text — Same MFA origin, not independent operational log
https://mfa.tj/ru/main/view/2993/informatsionnoe-soobshchenie-ob-otkrytii-punktov-propuska-cherez-tadzhiksko-uzbekskuyu-gosudarstvennuyu-granitsu: inaccessible — Timeout
Earlier source URLs not separately listed in this audit’s retrieval log (historical access notes below are not fresh verification):
https://asiaplus.news/en/2018/03/01/ten-border-crossing-points-reopen-along-tajik-uzbek-border/
https://www.aa.com.tr/tr/dunya/ozbekistan-tacikistan-sinir-kapilari-10-yil-sonra-yeniden-acildi/1077528
Earlier recorded access
Source 1: indexed excerpt
Source 2: access detail is retained in the source catalogue.
Source 3: full</x:v>
      </x:c>
      <x:c r="P84" s="20" t="n">
        <x:v>1</x:v>
      </x:c>
      <x:c r="Q84" s="4" t="str">
        <x:v>Central Asia and Caucasus</x:v>
      </x:c>
      <x:c r="R84" s="4" t="str">
        <x:v>Included</x:v>
      </x:c>
    </x:row>
    <x:row r="85" ht="409" hidden="0" customHeight="1">
      <x:c r="A85" s="16" t="str">
        <x:v>EA025</x:v>
      </x:c>
      <x:c r="B85" s="4" t="str">
        <x:v>Kaesong industrial complex cross-border access shutdown</x:v>
      </x:c>
      <x:c r="C85" s="4" t="str">
        <x:v>South Korea; North Korea</x:v>
      </x:c>
      <x:c r="D85" s="4" t="str">
        <x:v>Kaesong industrial access across inter-Korean demarcation line; not every DMZ movement</x:v>
      </x:c>
      <x:c r="E85" s="4" t="str">
        <x:v>South Korean factory personnel and industrial flows
Direction: Both directions for complex operations
Exceptions: Subsequent diplomatic crossings elsewhere not part of industrial regime.</x:v>
      </x:c>
      <x:c r="F85" s="4" t="str">
        <x:v>EA025-D1 — Observed operation
Ordinary cross-border industrial access for the Kaesong complex, confirmed through the tenth-anniversary ministry account.
Start: 2016-02-11.
Last confirmed: 2026-02-10. Reopening is not established.
confirmed through 2026-02-10; at least 3652 calendar-day difference; reopening unknown</x:v>
      </x:c>
      <x:c r="G85" s="4" t="str">
        <x:v>Security / Armed conflict and military confrontation
Reported reason
Applies to: South Korean February 2016 suspension; later overlap not separately established
South Korean authorities linked suspension to nuclear/missile policy and cutting associated funding; North Korean retaliation is separately attributed.
Interstate disputes and pressure / Sanctions and coercive pressure
Reported reason
Applies to: South Korean February 2016 suspension; later overlap not separately established
South Korean authorities linked suspension to nuclear/missile policy and cutting associated funding; North Korean retaliation is separately attributed.
Interstate disputes and pressure / Diplomatic disputes and retaliation
Reported reason
Applies to: North Korean February 11, 2016 closure and expulsion
Yonhap explicitly attributes North Korea's measure to retaliation against Seoul's suspension; distinct from South Korea's funding-cutoff purpose.</x:v>
      </x:c>
      <x:c r="H85" s="4" t="str">
        <x:v>EA025-D1: Ordinary cross-border industrial production access only. Diplomatic liaison-office work, facility inspection and invited businessmen's ceremonial visits at Kaesong in 2018 are excluded; they do not establish industrial reopening. The 11 February onset is the reported North Korean closure/expulsion, not a precisely observed final-exit time. No status after 10 February 2026 is inferred.</x:v>
      </x:c>
      <x:c r="I85" s="4" t="str">
        <x:v>Second full-register audit, 26 October 2026: qualified. Kaesong ordinary joint-industrial access remains supported as a sustained closure through the February 10, 2026 anniversary account; it does not mean every DMZ or Kaesong visit was impossible.</x:v>
      </x:c>
      <x:c r="J85" s="18" t="d">
        <x:v>2026-10-26T00:00:00.000Z</x:v>
      </x:c>
      <x:c r="K85" s="21" t="str">
        <x:f>IFERROR(HYPERLINK("https://en.yna.co.kr/view/AEN20160211009352315","en.yna.co.kr"),"en.yna.co.kr")</x:f>
        <x:v>en.yna.co.kr</x:v>
      </x:c>
      <x:c r="L85" s="21" t="str">
        <x:f>IFERROR(HYPERLINK("https://www.koreatimes.co.kr/amp/foreignaffairs/northkorea/20260210/s-korea-hopes-for-prompt-reopening-of-inter-korean-factory-zone-in-kaesong-ministry","The Korea Times / Yonhap"),"The Korea Times / Yonhap")</x:f>
        <x:v>The Korea Times / Yonhap</x:v>
      </x:c>
      <x:c r="M85" s="21" t="str">
        <x:f>IFERROR(HYPERLINK("https://m-en.yna.co.kr/view/AEN20260210005151315","m-en.yna.co.kr"),"m-en.yna.co.kr")</x:f>
        <x:v>m-en.yna.co.kr</x:v>
      </x:c>
      <x:c r="N85" s="4" t="str">
        <x:v>https://en.yna.co.kr/view/AEN20160211009352315
https://www.koreatimes.co.kr/amp/foreignaffairs/northkorea/20260210/s-korea-hopes-for-prompt-reopening-of-inter-korean-factory-zone-in-kaesong-ministry
https://m-en.yna.co.kr/view/AEN20260210005151315
https://en.yna.co.kr/view/AEN20180914001054315
https://en.yna.co.kr/view/AEN20260210005100315
https://www.nkleadershipwatch.org/2016/02/11/cprk-issues-statement-on-the-closure-of-kaesong-industrial-zone/
https://beyondparallel.csis.org/kaesong-industrial-complex-not-operational-despite-minor-activity/
https://isearch.ccourt.go.kr/download.do?filePath=%2Fst_xml%2Fsdata3%2Fccourt%2FxmlData_new%2FxmlFile%2F0%2F010400%2F2022%2Fpdf%2Fe2016m364_1.pdf</x:v>
      </x:c>
      <x:c r="O85" s="4" t="str">
        <x:v>Second full-register audit source access, 26 October 2026
https://www.koreatimes.co.kr/amp/foreignaffairs/northkorea/20260210/s-korea-hopes-for-prompt-reopening-of-inter-korean-factory-zone-in-kaesong-ministry: full text (fresh retrieval) — Limited to the stated dated scope; repeated reporting is not independent corroboration.
https://en.yna.co.kr/view/AEN20160211009352315: full text (previously retrieved text re-examined) — Limited to the stated dated scope; repeated reporting is not independent corroboration.
https://www.nkleadershipwatch.org/2016/02/11/cprk-issues-statement-on-the-closure-of-kaesong-industrial-zone/: full text (previously retrieved text re-examined) — Limited to the stated dated scope; repeated reporting is not independent corroboration.
Earlier URLs not separately inspected in this second assessment:
https://m-en.yna.co.kr/view/AEN20260210005151315
https://en.yna.co.kr/view/AEN20180914001054315
https://en.yna.co.kr/view/AEN20260210005100315
https://beyondparallel.csis.org/kaesong-industrial-complex-not-operational-despite-minor-activity/
https://isearch.ccourt.go.kr/download.do?filePath=%2Fst_xml%2Fsdata3%2Fccourt%2FxmlData_new%2FxmlFile%2F0%2F010400%2F2022%2Fpdf%2Fe2016m364_1.pdf
Prior audit access record
Full-register audit source access (evidence cutoff 25 October 2026)
https://en.yna.co.kr/view/AEN20160211009352315: full text — See specific claim qualifications.
https://www.nkleadershipwatch.org/2016/02/11/cprk-issues-statement-on-the-closure-of-kaesong-industrial-zone/: full text — See specific claim qualifications.
https://www.koreatimes.co.kr/amp/foreignaffairs/northkorea/20260210/s-korea-hopes-for-prompt-reopening-of-inter-korean-factory-zone-in-kaesong-ministry: full text — See specific claim qualifications.
https://beyondparallel.csis.org/kaesong-industrial-complex-not-operational-despite-minor-activity/: full text — See specific claim qualifications.
Earlier source URLs not separately listed in this audit’s retrieval log (historical access notes below are not fresh verification):
https://m-en.yna.co.kr/view/AEN20260210005151315
https://en.yna.co.kr/view/AEN20180914001054315
https://en.yna.co.kr/view/AEN20260210005100315
https://isearch.ccourt.go.kr/download.do?filePath=%2Fst_xml%2Fsdata3%2Fccourt%2FxmlData_new%2FxmlFile%2F0%2F010400%2F2022%2Fpdf%2Fe2016m364_1.pdf
Earlier recorded access
Source 1: full
Source 2: full text
Source 3: full</x:v>
      </x:c>
      <x:c r="P85" s="20" t="n">
        <x:v>1</x:v>
      </x:c>
      <x:c r="Q85" s="4" t="str">
        <x:v>East and Southeast Asia and Oceania</x:v>
      </x:c>
      <x:c r="R85" s="4" t="str">
        <x:v>Included</x:v>
      </x:c>
    </x:row>
    <x:row r="86" ht="402" hidden="0" customHeight="1">
      <x:c r="A86" s="16" t="str">
        <x:v>EA034</x:v>
      </x:c>
      <x:c r="B86" s="4" t="str">
        <x:v>Myanmar closes Three Pagodas Pass in drainage and territorial dispute</x:v>
      </x:c>
      <x:c r="C86" s="4" t="str">
        <x:v>Myanmar; Thailand</x:v>
      </x:c>
      <x:c r="D86" s="4" t="str">
        <x:v>Payathonzu/Three Pagodas Pass temporary local crossing</x:v>
      </x:c>
      <x:c r="E86" s="4" t="str">
        <x:v>Daily commuters and local goods
Direction: Both directions at local crossing
Exceptions: Commuters resumed; large items still restricted in September report.</x:v>
      </x:c>
      <x:c r="F86" s="4" t="str">
        <x:v>EA034-D1 — Observed operation
Local commuter and visitor passage at Three Pagodas Pass during the drainage/construction dispute.
Start: 2017-07-26.
Observed scoped reopening: 2017-07-26 to 2017-07-27.
0–1 calendar-day difference; reopening day conflicts between reports. Strict duration greater than 24 hours is not established.</x:v>
      </x:c>
      <x:c r="G86" s="4" t="str">
        <x:v>Interstate disputes and pressure / Territorial and frontier disputes
Reported reason
Applies to: July 2017 closure
Drainage and road works allegedly encroached on Myanmar land and flooded Payathonzu.
Interstate disputes and pressure / Sanctions and coercive pressure
Analytical interpretation of reported context
Applies to: July 2017 closure and negotiations
KIC states objections were ignored, Myanmar closed the checkpoint, and subsequent talks secured a suspension of works. This supports coercive pressure without inferring an unrelated security purpose.</x:v>
      </x:c>
      <x:c r="H86" s="4" t="str">
        <x:v>Contemporary MGR reporting dates the closure to 26 July 2017, around 09:00. Thai PBS on 27 July reports agreement to reopen that day after a day of prohibited passage; Channel 8 links restored normal opening to the previous afternoon’s negotiations. KIC’s later account also links commuter reopening to the 26 July talks. The 26–27 July endpoint range preserves this disagreement without selecting an exact reopening clock. The earlier July-wide onset bound is replaced by the contemporary dated report. Large goods remained restricted in the September KIC account; commuter reopening is not complete goods restoration. The Karen News and BNI versions share KIC provenance.</x:v>
      </x:c>
      <x:c r="I86" s="4" t="str">
        <x:v>Second full-register audit, 26 October 2026: additional source-audited corrections incorporated. See the phase, scope and qualification columns for the accepted findings.</x:v>
      </x:c>
      <x:c r="J86" s="18" t="d">
        <x:v>2026-10-26T00:00:00.000Z</x:v>
      </x:c>
      <x:c r="K86" s="21" t="str">
        <x:f>IFERROR(HYPERLINK("https://karennews.org/2017/09/thailand-requests-upgrading-three-pagodas-pass-to-an-official-permanent-border-crossing/","Karen News"),"Karen News")</x:f>
        <x:v>Karen News</x:v>
      </x:c>
      <x:c r="L86" s="21" t="str">
        <x:f>IFERROR(HYPERLINK("https://www.bnionline.net/en/news/karen-state/item/3303-thailand-halts-drainage-construction-at-three-pagodas-pass-after-flood-problems.html","Burma News International"),"Burma News International")</x:f>
        <x:v>Burma News International</x:v>
      </x:c>
      <x:c r="M86" s="21" t="str">
        <x:f>IFERROR(HYPERLINK("https://www.bnionline.net/en/news/karen-state/item/3444-thailand-requests-upgrading-three-pagodas-pass-to-an-official-permanent-border-crossing.html","bnionline.net"),"bnionline.net")</x:f>
        <x:v>bnionline.net</x:v>
      </x:c>
      <x:c r="N86" s="4" t="str">
        <x:v>https://karennews.org/2017/09/thailand-requests-upgrading-three-pagodas-pass-to-an-official-permanent-border-crossing/
https://www.bnionline.net/en/news/karen-state/item/3303-thailand-halts-drainage-construction-at-three-pagodas-pass-after-flood-problems.html
https://www.bnionline.net/en/news/karen-state/item/3444-thailand-requests-upgrading-three-pagodas-pass-to-an-official-permanent-border-crossing.html
https://mgronline.com/local/detail/9600000076036
https://www.thaipbs.or.th/program/WanmaiThaiPBS/watch/43393
https://www.thaich8.com/news_detail/42409</x:v>
      </x:c>
      <x:c r="O86" s="4" t="str">
        <x:v>Second full-register audit source access, 26 October 2026
https://mgronline.com/local/detail/9600000076036: full text (fresh retrieval)
https://www.thaipbs.or.th/program/WanmaiThaiPBS/watch/43393: full text (fresh retrieval) — Programme synopsis inspected; video not transcribed.
https://www.thaich8.com/news_detail/42409: full text (fresh retrieval) — Sequence suggests July 26 restoration; conflicts with Thai PBS.
https://karennews.org/2017/09/thailand-requests-upgrading-three-pagodas-pass-to-an-official-permanent-border-crossing/: full text (fresh retrieval)
https://www.bnionline.net/en/news/karen-state/item/3303-thailand-halts-drainage-construction-at-three-pagodas-pass-after-flood-problems.html: full text (fresh retrieval) — Same KIC lineage as Karen News.
Earlier URLs not separately inspected in this second assessment:
https://www.bnionline.net/en/news/karen-state/item/3444-thailand-requests-upgrading-three-pagodas-pass-to-an-official-permanent-border-crossing.html
Prior audit access record
Full-register audit source access (evidence cutoff 25 October 2026)
https://karennews.org/2017/09/thailand-requests-upgrading-three-pagodas-pass-to-an-official-permanent-border-crossing/: full text
https://www.bnionline.net/en/news/karen-state/item/3303-thailand-halts-drainage-construction-at-three-pagodas-pass-after-flood-problems.html: full text — Same newsroom lineage as the later Karen News report.
Earlier source URLs not separately listed in this audit’s retrieval log (historical access notes below are not fresh verification):
https://www.bnionline.net/en/news/karen-state/item/3444-thailand-requests-upgrading-three-pagodas-pass-to-an-official-permanent-border-crossing.html
Earlier recorded access
Source 1: full page
Source 2: search extract
Source 3: access detail is retained in the source catalogue.</x:v>
      </x:c>
      <x:c r="P86" s="20" t="n">
        <x:v>1</x:v>
      </x:c>
      <x:c r="Q86" s="4" t="str">
        <x:v>East and Southeast Asia and Oceania</x:v>
      </x:c>
      <x:c r="R86" s="4" t="str">
        <x:v>Included</x:v>
      </x:c>
    </x:row>
    <x:row r="87" ht="282" hidden="0" customHeight="1">
      <x:c r="A87" s="16" t="str">
        <x:v>EA032</x:v>
      </x:c>
      <x:c r="B87" s="4" t="str">
        <x:v>Myanmar military closes Kyin San Kyawt export gate after security incident</x:v>
      </x:c>
      <x:c r="C87" s="4" t="str">
        <x:v>Myanmar; China</x:v>
      </x:c>
      <x:c r="D87" s="4" t="str">
        <x:v>Kyin San Kyawt–Wanding export crossing near Muse</x:v>
      </x:c>
      <x:c r="E87" s="4" t="str">
        <x:v>Myanmar fruit and seafood export trucks
Direction: Myanmar exports to China
Exceptions: Diverted vehicles admitted at Kyukok-Pansai from December 29; other Muse gates operated.</x:v>
      </x:c>
      <x:c r="F87" s="4" t="str">
        <x:v>EA032-D1 — Observed operation
Myanmar export passage through Kyin San Kyawt, to the reported temporary reopening.
Start: 2018-12-01 to 2018-12-27.
Observed scoped reopening: 2019-01-10.
14–40 calendar-day difference; scoped endpoint only</x:v>
      </x:c>
      <x:c r="G87" s="4" t="str">
        <x:v>Security / Armed attacks and terrorism
Attributed official justification
Applies to: Recorded episode; exact overlap not separately established
The recorded rationale and claim assessment support the selected subcategories. All applicable broad categories are retained together; no primary rationale is imposed.</x:v>
      </x:c>
      <x:c r="H87" s="4" t="str">
        <x:v>EA032-D1: No exact onset is selected from conflicting accounts. Diversions through Kyukok-Pansai and other Muse gates continued; Chinese inspection delays are separate. Temporary reopening ends this selected phase only.</x:v>
      </x:c>
      <x:c r="I87" s="4" t="str">
        <x:v>Second full-register audit, 26 October 2026: qualified. Fresh Xinhua and RFA reporting supports the temporary 10 January 2019 export reopening. Conflicting December onset accounts and continued alternative-gate traffic remain appropriately qualified.</x:v>
      </x:c>
      <x:c r="J87" s="18" t="d">
        <x:v>2026-10-26T00:00:00.000Z</x:v>
      </x:c>
      <x:c r="K87" s="21" t="str">
        <x:f>IFERROR(HYPERLINK("https://www.xinhuanet.com/english/2019-01/10/c_137734535.htm","Xinhua"),"Xinhua")</x:f>
        <x:v>Xinhua</x:v>
      </x:c>
      <x:c r="L87" s="21" t="str">
        <x:f>IFERROR(HYPERLINK("https://www.rfa.org/english/news/myanmar/myanmar-holds-talks-with-china-to-reopen-border-crossing-01082019165648.html","Radio Free Asia"),"Radio Free Asia")</x:f>
        <x:v>Radio Free Asia</x:v>
      </x:c>
      <x:c r="M87" s="21" t="str">
        <x:f>IFERROR(HYPERLINK("https://www.rfa.org/english/news/myanmar/myanmar-army-shuts-down-border-crossing-12272018161751.html","Radio Free Asia"),"Radio Free Asia")</x:f>
        <x:v>Radio Free Asia</x:v>
      </x:c>
      <x:c r="N87" s="4" t="str">
        <x:v>https://www.xinhuanet.com/english/2019-01/10/c_137734535.htm
https://www.rfa.org/english/news/myanmar/myanmar-holds-talks-with-china-to-reopen-border-crossing-01082019165648.html
https://www.rfa.org/english/news/myanmar/myanmar-army-shuts-down-border-crossing-12272018161751.html</x:v>
      </x:c>
      <x:c r="O87" s="4" t="str">
        <x:v>Second full-register audit source access, 26 October 2026
https://www.xinhuanet.com/english/2019-01/10/c_137734535.htm: full text (fresh retrieval)
https://www.rfa.org/english/news/myanmar/myanmar-holds-talks-with-china-to-reopen-border-crossing-01082019165648.html: full text (fresh retrieval)
https://www.rfa.org/english/news/myanmar/myanmar-army-shuts-down-border-crossing-12272018161751.html: full text (fresh retrieval) — Relative onset conflicts with later dated accounts.
Prior audit access record
Full-register audit source access (evidence cutoff 25 October 2026)
https://www.xinhuanet.com/english/2019-01/10/c_137734535.htm: full text
https://www.rfa.org/english/news/myanmar/myanmar-holds-talks-with-china-to-reopen-border-crossing-01082019165648.html: full text — Later 27 December onset conflicts with contemporary RFA wording.
https://www.rfa.org/english/news/myanmar/myanmar-army-shuts-down-border-crossing-12272018161751.html: full text — Exact earlier onset cannot be safely inferred from relative week wording alone.
Earlier recorded access
Source 1: full page
Source 2: full page
Source 3: search extract</x:v>
      </x:c>
      <x:c r="P87" s="20" t="n">
        <x:v>1</x:v>
      </x:c>
      <x:c r="Q87" s="4" t="str">
        <x:v>East and Southeast Asia and Oceania</x:v>
      </x:c>
      <x:c r="R87" s="4" t="str">
        <x:v>Included</x:v>
      </x:c>
    </x:row>
    <x:row r="88" ht="409" hidden="0" customHeight="1">
      <x:c r="A88" s="16" t="str">
        <x:v>EA005</x:v>
      </x:c>
      <x:c r="B88" s="4" t="str">
        <x:v>Zabaikalsk Manzhouli passenger crossing suspended during COVID</x:v>
      </x:c>
      <x:c r="C88" s="4" t="str">
        <x:v>Russia; China</x:v>
      </x:c>
      <x:c r="D88" s="4" t="str">
        <x:v>Zabaikalsk Manzhouli road crossing</x:v>
      </x:c>
      <x:c r="E88" s="4" t="str">
        <x:v>Road passengers
Direction: Both-way road passenger service; first trips largely Chinese nationals
Exceptions: Freight continued using restricted driver arrangements</x:v>
      </x:c>
      <x:c r="F88" s="4" t="str">
        <x:v>EA005-D1 — Observed operation
Ordinary road-passenger service at Zabaikalsk–Manzhouli, to the first restored passenger buses, chiefly for Chinese nationals.
Start: 2020-02-01 to 2020-04-30.
Observed scoped reopening: 2023-01-08.
983–1072 calendar-day difference; scoped endpoint only
Separate formal-policy context: Russia ordered restrictions at Zabaikalsk and other named crossings from January 31, 2020. On April 8, Russia’s consul in Harbin reported China would suspend remaining Manzhouli passenger entry from April 9, with freight personnel excepted and possible Russian returns unresolved. These distinct directions/categories do not resolve the February-versus-April ordinary-service onset disagreement.</x:v>
      </x:c>
      <x:c r="G8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88" s="4" t="str">
        <x:v>EA005-D1: The onset disagreement may concern different sides/phases and is not resolved. Freight continued under special arrangements. The endpoint is initial passenger-service restoration, not unrestricted tourism or all-nationality entry. The April 9 Chinese-side passenger suspension is a specific contemporaneous policy date; it must not be substituted for the uncertain first interruption of every ordinary passenger service. The January 31 Russian restriction likewise does not establish an observed all-category closure.</x:v>
      </x:c>
      <x:c r="I88" s="4" t="str">
        <x:v>Second full-register audit, 26 October 2026: qualified. Independent re-reading confirms the January 8, 2023 first-bus reopening and the unresolved February-versus-April onset accounts. Separate January 31 Russian and April 9 Chinese rules must not be collapsed into an exact all-category onset.</x:v>
      </x:c>
      <x:c r="J88" s="18" t="d">
        <x:v>2026-10-26T00:00:00.000Z</x:v>
      </x:c>
      <x:c r="K88" s="21" t="str">
        <x:f>IFERROR(HYPERLINK("https://interfax.com/newsroom/top-stories/86739/","Interfax"),"Interfax")</x:f>
        <x:v>Interfax</x:v>
      </x:c>
      <x:c r="L88" s="21" t="str">
        <x:f>IFERROR(HYPERLINK("https://english.scio.gov.cn/in-depth/2023-01/13/content_85057935.htm","State Council Information Office"),"State Council Information Office")</x:f>
        <x:v>State Council Information Office</x:v>
      </x:c>
      <x:c r="M88" s="21" t="str">
        <x:f>IFERROR(HYPERLINK("https://www.nia.gov.cn/n741435/n741532/c1554902/content.html","National Immigration Administration / People’s Daily"),"National Immigration Administration / People’s Daily")</x:f>
        <x:v>National Immigration Administration / People’s Daily</x:v>
      </x:c>
      <x:c r="N88" s="4" t="str">
        <x:v>https://interfax.com/newsroom/top-stories/86739/
https://english.scio.gov.cn/in-depth/2023-01/13/content_85057935.htm
https://www.nia.gov.cn/n741435/n741532/c1554902/content.html
https://interfax.com/newsroom/top-stories/86703/
https://en.apa.az/asia/China-to-close-last-passenger-checkpoint-on-Russian-border-317449
https://www.interfax.ru/amp/693361</x:v>
      </x:c>
      <x:c r="O88" s="4" t="str">
        <x:v>Second full-register audit source access, 26 October 2026
https://interfax.com/newsroom/top-stories/86703/: full text (fresh retrieval) — Customs account; first-day scope is narrower than unrestricted tourism.
https://www.nia.gov.cn/n741435/n741532/c1554902/content.html: full text (fresh retrieval) — Republication of one People's Daily report, not independent second corroboration.
https://en.apa.az/asia/China-to-close-last-passenger-checkpoint-on-Russian-border-317449: full text (fresh retrieval) — Consul reports future policy; Russian return treatment explicitly unresolved.
https://www.interfax.ru/amp/693361: full text (fresh retrieval) — Legal order not an observed first cessation of ordinary buses.
Earlier URLs not separately inspected in this second assessment:
https://interfax.com/newsroom/top-stories/86739/
https://english.scio.gov.cn/in-depth/2023-01/13/content_85057935.htm
Prior audit access record
Full-register audit source access (evidence cutoff 25 October 2026)
https://interfax.com/newsroom/top-stories/86703/: full text — See specific claim qualifications.
https://www.nia.gov.cn/n741435/n741532/c1554902/content.html: full text — See specific claim qualifications.
https://en.apa.az/asia/China-to-close-last-passenger-checkpoint-on-Russian-border-317449: full text — See specific claim qualifications.
https://www.interfax.ru/amp/693361: full text — See specific claim qualifications.
Earlier source URLs not separately listed in this audit’s retrieval log (historical access notes below are not fresh verification):
https://interfax.com/newsroom/top-stories/86739/
https://english.scio.gov.cn/in-depth/2023-01/13/content_85057935.htm
Earlier recorded access
Source 1: full text
Source 2: unavailable
Source 3: full text</x:v>
      </x:c>
      <x:c r="P88" s="20" t="n">
        <x:v>1</x:v>
      </x:c>
      <x:c r="Q88" s="4" t="str">
        <x:v>East and Southeast Asia and Oceania</x:v>
      </x:c>
      <x:c r="R88" s="4" t="str">
        <x:v>Included</x:v>
      </x:c>
    </x:row>
    <x:row r="89" ht="409" hidden="0" customHeight="1">
      <x:c r="A89" s="16" t="str">
        <x:v>EA006</x:v>
      </x:c>
      <x:c r="B89" s="4" t="str">
        <x:v>Primorye China passenger checkpoints COVID closure</x:v>
      </x:c>
      <x:c r="C89" s="4" t="str">
        <x:v>Russia; China</x:v>
      </x:c>
      <x:c r="D89" s="4" t="str">
        <x:v>Kraskino and other Primorye road crossings</x:v>
      </x:c>
      <x:c r="E89" s="4" t="str">
        <x:v>Passenger buses
Direction: Both directions at Kraskino: first reported buses carried Chinese citizens entering and leaving Russia; broader eligibility limited.
Exceptions: Freight retained; first resumed buses carried Chinese citizens. Russian evacuation buses through Kraskino were expressly scheduled for February 1 and 3, 2020; these special returns are distinct from ordinary service. Tourist groups remained excluded at the January 2023 initial resumption.</x:v>
      </x:c>
      <x:c r="F89" s="4" t="str">
        <x:v>EA006-D1 — Observed operation
Kraskino road-passenger bus service, to observed Chinese-national buses in both directions.
Start: 2020-01-01 to 2020-12-31.
Observed scoped reopening: 2023-01-09.
739–1104 calendar-day difference; scoped endpoint only
Onset context: Russia’s formal restrictions at Kraskino–Hunchun took effect January 31, 2020; special Russian evacuation buses were scheduled for February 1 and 3. PrimaMedia retrospectively dates passenger-channel closure to February 2020. These narrow the historical context but do not independently identify the first actual ordinary-service refusal; existing operational bounds are not replaced with a formal date.</x:v>
      </x:c>
      <x:c r="G8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89" s="4" t="str">
        <x:v>Kraskino passenger channel was authorised to resume January 8; the specifically reported four buses crossed January 9, not the January 10 publication date. Other Primorye posts and tourist groups had different arrangements.
EA006-D1: Endpoint is the documented Chinese-national bus passage, distinct from January 8 authorised restoration and January 10 publication. Other Primorye posts, tourist groups and freight remain outside this phase. Earlier formal restrictions took effect January 31, 2020, with planned evacuation exceptions in early February. The exact ordinary-service interruption still requires reconciliation with the retrospective February account; no all-year uniform closure is inferred.</x:v>
      </x:c>
      <x:c r="I89" s="4" t="str">
        <x:v>Second full-register audit, 26 October 2026: qualified. The 9 January 2023 Chinese-national bus crossings remain the correct observed endpoint; 8 January authorization and January 2020 Russian policy are different events.</x:v>
      </x:c>
      <x:c r="J89" s="18" t="d">
        <x:v>2026-10-26T00:00:00.000Z</x:v>
      </x:c>
      <x:c r="K89" s="21" t="str">
        <x:f>IFERROR(HYPERLINK("https://interfax.com/newsroom/top-stories/86739/","Interfax"),"Interfax")</x:f>
        <x:v>Interfax</x:v>
      </x:c>
      <x:c r="L89" s="21" t="str">
        <x:f>IFERROR(HYPERLINK("https://www.akm.ru/eng/press/in-primorye-after-a-three-year-break-passenger-traffic-with-china-resumed-at-the-turiy-rog-checkpoin/","AK&amp;M"),"AK&amp;M")</x:f>
        <x:v>AK&amp;M</x:v>
      </x:c>
      <x:c r="M89" s="21" t="str">
        <x:f>IFERROR(HYPERLINK("https://primamedia.ru/news/1430815/","primamedia.ru"),"primamedia.ru")</x:f>
        <x:v>primamedia.ru</x:v>
      </x:c>
      <x:c r="N89" s="4" t="str">
        <x:v>https://interfax.com/newsroom/top-stories/86739/
https://www.akm.ru/eng/press/in-primorye-after-a-three-year-break-passenger-traffic-with-china-resumed-at-the-turiy-rog-checkpoin/
https://primamedia.ru/news/1430815/
https://www.vedomosti.ru/society/news/2023/01/10/958444-passazhirskie-avtobusi-peresekli-granitsu-rossii-i-kitaya
https://dvtu.customs.gov.ru/news/document/375161
https://www.interfax.ru/amp/693361
https://www.interfax-russia.ru/tourism/news/rossiyan-nachnut-evakuirovat-iz-kitaya-cherez-punkty-propuska-v-primore-1-fevralya
https://www.interfax.ru/russia/695323</x:v>
      </x:c>
      <x:c r="O89" s="4" t="str">
        <x:v>Second full-register audit source access, 26 October 2026
https://interfax.com/newsroom/top-stories/86739/: full text (fresh retrieval) — Does not date the buses explicitly; paired with PrimaMedia.
https://primamedia.ru/news/1430815/: full text (fresh retrieval) — Retrospective onset lacks exact first refusal.
https://www.interfax.ru/amp/693361: full text (previously retrieved text re-examined) — Policy rather than observed bus-service interruption.
https://www.interfax-russia.ru/tourism/news/rossiyan-nachnut-evakuirovat-iz-kitaya-cherez-punkty-propuska-v-primore-1-fevralya: search extract (previously retrieved text re-examined) — Fresh direct body was short; original cached extract inspected. Schedule does not prove actual crossing.
Earlier URLs not separately inspected in this second assessment:
https://www.akm.ru/eng/press/in-primorye-after-a-three-year-break-passenger-traffic-with-china-resumed-at-the-turiy-rog-checkpoin/
https://www.vedomosti.ru/society/news/2023/01/10/958444-passazhirskie-avtobusi-peresekli-granitsu-rossii-i-kitaya
https://dvtu.customs.gov.ru/news/document/375161
https://www.interfax.ru/russia/695323
Prior audit access record
Full-register audit source access (evidence cutoff 25 October 2026)
https://primamedia.ru/news/1430815/: full text — See specific claim qualifications.
https://interfax.com/newsroom/top-stories/86739/: full text — See specific claim qualifications.
https://www.interfax.ru/amp/693361: full text — See specific claim qualifications.
https://www.interfax-russia.ru/tourism/news/rossiyan-nachnut-evakuirovat-iz-kitaya-cherez-punkty-propuska-v-primore-1-fevralya: search extract — See specific claim qualifications.
https://www.interfax.ru/russia/695323: search extract — See specific claim qualifications.
Earlier source URLs not separately listed in this audit’s retrieval log (historical access notes below are not fresh verification):
https://www.akm.ru/eng/press/in-primorye-after-a-three-year-break-passenger-traffic-with-china-resumed-at-the-turiy-rog-checkpoin/
https://www.vedomosti.ru/society/news/2023/01/10/958444-passazhirskie-avtobusi-peresekli-granitsu-rossii-i-kitaya
https://dvtu.customs.gov.ru/news/document/375161
Earlier recorded access
Source 1: full page
Source 2: full page
Source 3: access detail is retained in the source catalogue.</x:v>
      </x:c>
      <x:c r="P89" s="20" t="n">
        <x:v>1</x:v>
      </x:c>
      <x:c r="Q89" s="4" t="str">
        <x:v>East and Southeast Asia and Oceania</x:v>
      </x:c>
      <x:c r="R89" s="4" t="str">
        <x:v>Included</x:v>
      </x:c>
    </x:row>
    <x:row r="90" ht="409" hidden="0" customHeight="1">
      <x:c r="A90" s="16" t="str">
        <x:v>EA018</x:v>
      </x:c>
      <x:c r="B90" s="4" t="str">
        <x:v>Papua New Guinea Indonesia Wutung Skouw COVID closure</x:v>
      </x:c>
      <x:c r="C90" s="4" t="str">
        <x:v>Papua New Guinea; Indonesia</x:v>
      </x:c>
      <x:c r="D90" s="4" t="str">
        <x:v>Wutung Skouw</x:v>
      </x:c>
      <x:c r="E90" s="4" t="str">
        <x:v>Ordinary cross-border travellers and goods
Direction: Initial PNG gate closure blocked travel and trade, including entry by returning PNG citizens; endpoint is partial restored bilateral operation.
Exceptions: Initial PNG order expressly excepted World Health Organization and International Committee of the Red Cross officials. Later authorized exceptions are not fully reconstructed. February 2020 approved citizen returns and the later 2022 PNG-to-Jayapura restoration are distinct category-specific permissions. A planned June 2021 goods-only opening was postponed.</x:v>
      </x:c>
      <x:c r="F90" s="4" t="str">
        <x:v>EA018-D1 — Observed operation
Initial PNG Wutung gate closure, ending at the minister-reported lifting by 11 February 2020.
Start: 2020-01-29.
Last confirmed ordinary-entry closure: 2020-02-02.
Reported lifting occurred after that observation and by 2020-02-11; exact first restored passage is unknown.
4–13 calendar-day difference bounds; minister-reported scoped lifting only
EA018-AUDIT20261025-1 — Formal policy
Later Wutung–Skouw border restriction, separately documented after the February 2020 lifting.
Start: unknown.
Last confirmed restriction: 2021-07-07, reported July 8.
Later scoped reopening: 2022-10-24, reported by Indonesia’s BNPP and PNG Customs.
Dated observations only; numeric duration withheld. The proposed June 21, 2021 goods-only opening had been postponed; July 21 was another conditional plan, not observed passage.</x:v>
      </x:c>
      <x:c r="G90" s="4" t="str">
        <x:v>Health and biosecurity / Human disease control
Reported reason
Applies to: EA018-D1 and EA018-AUDIT20261025-1.
The initial PNG restriction and the later postponed reopening were attributed to COVID-19 prevention. These are separate dated measures; continuity between them is not established.</x:v>
      </x:c>
      <x:c r="H90" s="4" t="str">
        <x:v>EA018-D1: The initial January 29 closure was still preventing ordinary entry in the consul’s February 2 account, reported February 3. The minister said the ban had been lifted by February 11. This supports conservative 4–13 calendar-day difference bounds and a restriction longer than 24 hours, without identifying the exact first restored passage. A February 6 report also allowed approved returning citizens until a deadline inconsistently written February 8/9; this is not general business reopening.
EA018-AUDIT20261025-1: Later reclosure is independently documented in July 2021, but its start and intervening continuity are unknown. The June 21 goods-only opening was postponed and July 21 remained conditional. BNPP reports Wutung–Skouw operation restored October 24, 2022; PNG Customs separately confirms PNG citizens could travel to Jayapura. This does not turn the initial January 2020 spell into a continuous multi-year closure or establish unrestricted entry for all nationalities.</x:v>
      </x:c>
      <x:c r="I90" s="4" t="str">
        <x:v>Second full-register audit, 26 October 2026: additional source-audited corrections incorporated. See the phase, scope and qualification columns for the accepted findings.</x:v>
      </x:c>
      <x:c r="J90" s="18" t="d">
        <x:v>2026-10-26T00:00:00.000Z</x:v>
      </x:c>
      <x:c r="K90" s="21" t="str">
        <x:f>IFERROR(HYPERLINK("https://www.thenational.com.pg/stranded-at-border/","The National PNG"),"The National PNG")</x:f>
        <x:v>The National PNG</x:v>
      </x:c>
      <x:c r="L90" s="21" t="str">
        <x:f>IFERROR(HYPERLINK("https://www.thenational.com.pg/border-crossing-between-png-indonesia-closed/","The National PNG"),"The National PNG")</x:f>
        <x:v>The National PNG</x:v>
      </x:c>
      <x:c r="M90" s="21" t="str">
        <x:f>IFERROR(HYPERLINK("https://www.thenational.com.pg/my-blog-page/page/9821/?PageSpeed=noscript","The National"),"The National")</x:f>
        <x:v>The National</x:v>
      </x:c>
      <x:c r="N90" s="4" t="str">
        <x:v>https://www.thenational.com.pg/stranded-at-border/
https://www.thenational.com.pg/border-crossing-between-png-indonesia-closed/
https://www.thenational.com.pg/my-blog-page/page/9821/?PageSpeed=noscript
https://bnpp.go.id/berita/menanti-2-tahun-border-post-wutung-png-dibuka-kini-jalur-perlintasan-plbn-skouw-papua-resmi-beroperasi
https://www.thenational.com.pg/border-post-at-wutung-re-opens/
https://www.papuatimes.co.id/2022/10/27/png-buka-kembali-pos-perbatasan-wutung/
https://www.thenational.com.pg/png-citizens-given-until-feb-9-to-return/
https://papuatengah.antaranews.com/berita/21365/pintu-perbatasan-indonesia-png-di-wutung-kembali-dibuka
https://www.medcom.id/english/world/Rkje99Gb-papua-new-guinea-reopens-wutung-border-post
https://www.papua.go.id/view-detail-berita-7754/perbatasan-wutung-dibuka-akhir-bulan-jika-kasus-covid-19-turun.html</x:v>
      </x:c>
      <x:c r="O90" s="4" t="str">
        <x:v>Second full-register audit source access, 26 October 2026
https://www.thenational.com.pg/stranded-at-border/: full text (fresh retrieval) — February 2 consul statement anchors continued refusal; publication is February 3.
https://www.thenational.com.pg/border-crossing-between-png-indonesia-closed/: full text (previously retrieved text re-examined) — Scope and duration qualifications apply.
https://www.thenational.com.pg/my-blog-page/page/9821/?PageSpeed=noscript: search extract (fresh retrieval) — Article survives in indexed archive; minister says lifted by February 11, not exact first passage.
https://www.thenational.com.pg/png-citizens-given-until-feb-9-to-return/: full text (previously retrieved text re-examined) — Deadline text conflicts February 8/9; neither treated as general reopening.
https://www.papua.go.id/view-detail-berita-7754/perbatasan-wutung-dibuka-akhir-bulan-jika-kasus-covid-19-turun.html: full text (previously retrieved text re-examined) — Scope and duration qualifications apply.
https://bnpp.go.id/berita/menanti-2-tahun-border-post-wutung-png-dibuka-kini-jalur-perlintasan-plbn-skouw-papua-resmi-beroperasi: search extract (previously retrieved text re-examined) — Fresh direct timeout; cached substantive official index text inspected.
https://www.thenational.com.pg/border-post-at-wutung-re-opens/: search extract (fresh retrieval) — Scope and duration qualifications apply.
Earlier URLs not separately inspected in this second assessment:
https://www.papuatimes.co.id/2022/10/27/png-buka-kembali-pos-perbatasan-wutung/
https://papuatengah.antaranews.com/berita/21365/pintu-perbatasan-indonesia-png-di-wutung-kembali-dibuka
https://www.medcom.id/english/world/Rkje99Gb-papua-new-guinea-reopens-wutung-border-post
Prior audit access record
Full-register audit source access (evidence cutoff 25 October 2026)
https://www.thenational.com.pg/stranded-at-border/: search extract — See specific claim qualifications.
https://www.thenational.com.pg/border-crossing-between-png-indonesia-closed/: full text — See specific claim qualifications.
https://www.thenational.com.pg/my-blog-page/page/9821/?PageSpeed=noscript: search extract — Direct archive pagination has moved; substantive indexed article text recovered.
https://www.thenational.com.pg/png-citizens-given-until-feb-9-to-return/: full text — See specific claim qualifications.
https://www.papua.go.id/view-detail-berita-7754/perbatasan-wutung-dibuka-akhir-bulan-jika-kasus-covid-19-turun.html: full text — See specific claim qualifications.
https://bnpp.go.id/berita/menanti-2-tahun-border-post-wutung-png-dibuka-kini-jalur-perlintasan-plbn-skouw-papua-resmi-beroperasi: search extract — Full request timeout; substantive official indexed text inspected.
https://www.thenational.com.pg/border-post-at-wutung-re-opens/: search extract — See specific claim qualifications.
Earlier source URLs not separately listed in this audit’s retrieval log (historical access notes below are not fresh verification):
https://www.papuatimes.co.id/2022/10/27/png-buka-kembali-pos-perbatasan-wutung/
https://papuatengah.antaranews.com/berita/21365/pintu-perbatasan-indonesia-png-di-wutung-kembali-dibuka
https://www.medcom.id/english/world/Rkje99Gb-papua-new-guinea-reopens-wutung-border-post
Earlier recorded access
Source 1: full page
Source 2: full page
Source 3: indexed only</x:v>
      </x:c>
      <x:c r="P90" s="20" t="n">
        <x:v>2</x:v>
      </x:c>
      <x:c r="Q90" s="4" t="str">
        <x:v>East and Southeast Asia and Oceania</x:v>
      </x:c>
      <x:c r="R90" s="4" t="str">
        <x:v>Included</x:v>
      </x:c>
    </x:row>
    <x:row r="91" ht="330" hidden="0" customHeight="1">
      <x:c r="A91" s="16" t="str">
        <x:v>EA022</x:v>
      </x:c>
      <x:c r="B91" s="4" t="str">
        <x:v>Russia North Korea rail freight COVID suspension</x:v>
      </x:c>
      <x:c r="C91" s="4" t="str">
        <x:v>Russia; North Korea</x:v>
      </x:c>
      <x:c r="D91" s="4" t="str">
        <x:v>Khasan–Tumangang railway</x:v>
      </x:c>
      <x:c r="E91" s="4" t="str">
        <x:v>Rail freight
Direction: Both directions; verified first shipment Russia to North Korea</x:v>
      </x:c>
      <x:c r="F91" s="4" t="str">
        <x:v>EA022-D1 — Observed operation
Khasan–Tumangang rail freight suspension, to the railway-reported first resumed shipment.
Start: 2020-02-01 to 2020-02-29.
Observed scoped reopening: 2022-11-01.
976–1004 calendar-day difference; scoped endpoint only</x:v>
      </x:c>
      <x:c r="G9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91" s="4" t="str">
        <x:v>Far East Railways told Kommersant freight ceased in February 2020 and the first resumed train departed through the crossing November 1, 2022. November 2 is the report date; February 3, 2020 applies specifically to passengers.
EA022-D1: Freight onset remains month precision; February 3 is the passenger suspension date. November 1 is authority-reported first freight passage, not independently observed imagery; November 4 imagery is later corroboration. Passenger service excluded.</x:v>
      </x:c>
      <x:c r="I91" s="4" t="str">
        <x:v>Second full-register audit, 26 October 2026: qualified. Fresh railway-attributed reporting confirms the November 1, 2022 first resumed freight shipment, distinct from its November 2 publication and the February 3 passenger suspension.</x:v>
      </x:c>
      <x:c r="J91" s="18" t="d">
        <x:v>2026-10-26T00:00:00.000Z</x:v>
      </x:c>
      <x:c r="K91" s="21" t="str">
        <x:f>IFERROR(HYPERLINK("https://interfax.com/newsroom/top-stories/84561/","Interfax"),"Interfax")</x:f>
        <x:v>Interfax</x:v>
      </x:c>
      <x:c r="L91" s="21" t="str">
        <x:f>IFERROR(HYPERLINK("https://www.38north.org/2022/11/first-traffic-observed-on-north-korea-russia-railway-link-in-several-years/","38 North"),"38 North")</x:f>
        <x:v>38 North</x:v>
      </x:c>
      <x:c r="M91" s="21" t="str">
        <x:f>IFERROR(HYPERLINK("https://www.kommersant.ru/doc/5646308","kommersant.ru"),"kommersant.ru")</x:f>
        <x:v>kommersant.ru</x:v>
      </x:c>
      <x:c r="N91" s="4" t="str">
        <x:v>https://interfax.com/newsroom/top-stories/84561/
https://www.38north.org/2022/11/first-traffic-observed-on-north-korea-russia-railway-link-in-several-years/
https://www.kommersant.ru/doc/5646308
https://mintrans.gov.ru/press-center/branch-news/5782</x:v>
      </x:c>
      <x:c r="O91" s="4" t="str">
        <x:v>Second full-register audit source access, 26 October 2026
https://www.kommersant.ru/doc/5646308: full text (fresh retrieval) — Evidence is limited to the stated movement and dates.
https://interfax.com/newsroom/top-stories/84561/: full text (previously retrieved text re-examined) — Evidence is limited to the stated movement and dates.
https://www.38north.org/2022/11/first-traffic-observed-on-north-korea-russia-railway-link-in-several-years/: full text (previously retrieved text re-examined) — Evidence is limited to the stated movement and dates.
Earlier URLs not separately inspected in this second assessment:
https://mintrans.gov.ru/press-center/branch-news/5782
Prior audit access record
Full-register audit source access (evidence cutoff 25 October 2026)
https://www.kommersant.ru/doc/5646308: full text — See specific claim qualifications.
https://interfax.com/newsroom/top-stories/84561/: full text — See specific claim qualifications.
https://www.38north.org/2022/11/first-traffic-observed-on-north-korea-russia-railway-link-in-several-years/: full text — See specific claim qualifications.
https://mintrans.gov.ru/press-center/branch-news/5782: full text — See specific claim qualifications.
Earlier recorded access
Source 1: full page
Source 2: full relevant article text
Source 3: access detail is retained in the source catalogue.</x:v>
      </x:c>
      <x:c r="P91" s="20" t="n">
        <x:v>1</x:v>
      </x:c>
      <x:c r="Q91" s="4" t="str">
        <x:v>East and Southeast Asia and Oceania</x:v>
      </x:c>
      <x:c r="R91" s="4" t="str">
        <x:v>Included</x:v>
      </x:c>
    </x:row>
    <x:row r="92" ht="409" hidden="0" customHeight="1">
      <x:c r="A92" s="16" t="str">
        <x:v>EA028</x:v>
      </x:c>
      <x:c r="B92" s="4" t="str">
        <x:v>China Laos Boten Mohan passenger restrictions persist after Laos reopening</x:v>
      </x:c>
      <x:c r="C92" s="4" t="str">
        <x:v>China; Laos</x:v>
      </x:c>
      <x:c r="D92" s="4" t="str">
        <x:v>Boten–Mohan road checkpoint</x:v>
      </x:c>
      <x:c r="E92" s="4" t="str">
        <x:v>Ordinary cross-border passengers
Direction: Both directions, asymmetrical eligibility
Exceptions: Approved business and essential travel existed before 2023, including November 2020 fast-track arrangements. Broader January 2023 eligible non-tourist restoration did not establish tourist-visa entry into China.</x:v>
      </x:c>
      <x:c r="F92" s="4" t="str">
        <x:v>EA028-D1 — Observed operation
Restriction on ordinary non-exempt road passengers at Boten–Mohan, to broader eligible non-tourist restoration on January 8, 2023; approved business, official and project travellers excluded.
Start: 2020-01-01 to 2020-03-06.
Observed scoped reopening: 2023-01-08.
1038–1103 calendar-day difference; scoped endpoint only</x:v>
      </x:c>
      <x:c r="G9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92" s="4" t="str">
        <x:v>EA028-D1: RFA documented restriction to essential cargo and business travellers at Boten by 6 March 2020; that is an observation bound, not the exact first day. Approved business and essential movement existed before 2023, including fast-track arrangements from November 2020. Laos reopened May 9, 2022; Chinese tourist-visa entry remained excluded after January 8, 2023. This phase does not assert an uninterrupted ban on all business travellers or all two-way movement. Freight and the new April 2023 railway service are excluded.</x:v>
      </x:c>
      <x:c r="I92" s="4" t="str">
        <x:v>Second full-register audit, 26 October 2026: qualified. Actual January 8, 2023 road crossings and the earlier essential/business exceptions are corroborated; neither tourist entry to China nor universal closure is implied.</x:v>
      </x:c>
      <x:c r="J92" s="18" t="d">
        <x:v>2026-10-26T00:00:00.000Z</x:v>
      </x:c>
      <x:c r="K92" s="21" t="str">
        <x:f>IFERROR(HYPERLINK("https://kpl.gov.la/en/detail.aspx?id=70945","KPL"),"KPL")</x:f>
        <x:v>KPL</x:v>
      </x:c>
      <x:c r="L92" s="21" t="str">
        <x:f>IFERROR(HYPERLINK("https://www.rfa.org/english/news/laos/laos-china-border-01092023033743.html","Radio Free Asia"),"Radio Free Asia")</x:f>
        <x:v>Radio Free Asia</x:v>
      </x:c>
      <x:c r="M92" s="21" t="str">
        <x:f>IFERROR(HYPERLINK("https://www.vientianetimes.org.la/sub-new/Previous_07_y23/freeContent/FreeConten07_More_y23.php","Vientiane Times"),"Vientiane Times")</x:f>
        <x:v>Vientiane Times</x:v>
      </x:c>
      <x:c r="N92" s="4" t="str">
        <x:v>https://kpl.gov.la/en/detail.aspx?id=70945
https://www.rfa.org/english/news/laos/laos-china-border-01092023033743.html
https://www.vientianetimes.org.la/sub-new/Previous_07_y23/freeContent/FreeConten07_More_y23.php
https://kpl.gov.la/en/detail.aspx?id=55410
https://www.rfa.org/english/news/laos/border-11052020184350.html
https://jclao.com/idle-factories-empty-trade-zone-highlight-coronavirus-impact-on-southeast-asia/
https://www.rfa.org/english/news/laos/coronavirus-southeastasia-03062020161747.html</x:v>
      </x:c>
      <x:c r="O92" s="4" t="str">
        <x:v>Second full-register audit source access, 26 October 2026
https://www.rfa.org/english/news/laos/coronavirus-southeastasia-03062020161747.html: full text (fresh retrieval) — Early-February blanket closure explicitly excludes Boten.
https://www.rfa.org/english/news/laos/border-11052020184350.html: full text (fresh retrieval)
https://www.rfa.org/english/news/laos/laos-china-border-01092023033743.html: full text (fresh retrieval)
https://kpl.gov.la/en/detail.aspx?id=70945: full text (fresh retrieval)
Earlier URLs not separately inspected in this second assessment:
https://www.vientianetimes.org.la/sub-new/Previous_07_y23/freeContent/FreeConten07_More_y23.php
https://kpl.gov.la/en/detail.aspx?id=55410
https://jclao.com/idle-factories-empty-trade-zone-highlight-coronavirus-impact-on-southeast-asia/
Prior audit access record
Full-register audit source access (evidence cutoff 25 October 2026)
https://www.rfa.org/english/news/laos/coronavirus-southeastasia-03062020161747.html: full text — J&amp;C's 7 March reproduction is the same RFA lineage; not a second confirmation. Early February wording concerns other checkpoints and is not an exact Boten start.
https://kpl.gov.la/en/detail.aspx?id=70945: full text
https://www.vientianetimes.org.la/sub-new/Previous_07_y23/freeContent/FreeConten07_More_y23.php: full text — Future expected tourist opening is not treated as actual.
https://kpl.gov.la/en/detail.aspx?id=55410: full text
https://www.rfa.org/english/news/laos/border-11052020184350.html: full text
https://www.rfa.org/english/news/laos/laos-china-border-01092023033743.html: full text
Earlier source URLs not separately listed in this audit’s retrieval log (historical access notes below are not fresh verification):
https://jclao.com/idle-factories-empty-trade-zone-highlight-coronavirus-impact-on-southeast-asia/
Earlier recorded access
Source 1: search extract
Source 2: search extract
Source 3: search extract</x:v>
      </x:c>
      <x:c r="P92" s="20" t="n">
        <x:v>1</x:v>
      </x:c>
      <x:c r="Q92" s="4" t="str">
        <x:v>East and Southeast Asia and Oceania</x:v>
      </x:c>
      <x:c r="R92" s="4" t="str">
        <x:v>Included</x:v>
      </x:c>
    </x:row>
    <x:row r="93" ht="366" hidden="0" customHeight="1">
      <x:c r="A93" s="16" t="str">
        <x:v>EA023</x:v>
      </x:c>
      <x:c r="B93" s="4" t="str">
        <x:v>North Korea suspends international tourist entry including land routes</x:v>
      </x:c>
      <x:c r="C93" s="4" t="str">
        <x:v>North Korea; China; Russia</x:v>
      </x:c>
      <x:c r="D93" s="4" t="str">
        <x:v>International tourist land entries; Rason via Quanhe–Wonjong is documented partial reopening</x:v>
      </x:c>
      <x:c r="E93" s="4" t="str">
        <x:v>Foreign tourists; initial restrictions also affected delegations
Direction: Entry to North Korea
Exceptions: Later repatriations and diplomatic visits; Russian air tours in 2024 do not establish land reopening. Staff inspection visit February 13 2025.</x:v>
      </x:c>
      <x:c r="F93" s="4" t="str">
        <x:v>EA023-D1 — Observed operation
Ordinary international land tours to Rason via Quanhe–Wonjong, to the first documented resumed tour group.
Start: 2020-01-22.
Observed scoped reopening: 2025-02-20.
1856 calendar-day difference; scoped endpoint only</x:v>
      </x:c>
      <x:c r="G9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93" s="4" t="str">
        <x:v>EA023-D1: The staff inspection on February 13 is an exception, not ordinary tourist reopening. Russian air tours, diplomatic travel and repatriations are excluded. The March 2025 reclosure is a separate phase; other North Korean tourist regions are not assigned this endpoint.</x:v>
      </x:c>
      <x:c r="I93" s="4" t="str">
        <x:v>Second full-register audit, 26 October 2026: qualified. The January 22, 2020 tourist suspension and February 20, 2025 ordinary Rason land-tour reopening are supported. Prior Russian air tours and February 13 staff inspection do not displace that scoped endpoint.</x:v>
      </x:c>
      <x:c r="J93" s="18" t="d">
        <x:v>2026-10-26T00:00:00.000Z</x:v>
      </x:c>
      <x:c r="K93" s="21" t="str">
        <x:f>IFERROR(HYPERLINK("https://www.uritours.com/blog/coronavirus-north-korea-temporarily-closes-borders/","Uri Tours"),"Uri Tours")</x:f>
        <x:v>Uri Tours</x:v>
      </x:c>
      <x:c r="L93" s="21" t="str">
        <x:f>IFERROR(HYPERLINK("https://koryogroup.com/blog/north-korea-borders-to-reopen/","Koryo Tours"),"Koryo Tours")</x:f>
        <x:v>Koryo Tours</x:v>
      </x:c>
      <x:c r="M93" s="21" t="str">
        <x:f>IFERROR(HYPERLINK("https://www.channelnewsasia.com/east-asia/north-korea-reopens-foreign-tourists-special-economic-zone-pyongyang-closed-4966381","CNA"),"CNA")</x:f>
        <x:v>CNA</x:v>
      </x:c>
      <x:c r="N93" s="4" t="str">
        <x:v>https://www.uritours.com/blog/coronavirus-north-korea-temporarily-closes-borders/
https://koryogroup.com/blog/north-korea-borders-to-reopen/
https://www.channelnewsasia.com/east-asia/north-korea-reopens-foreign-tourists-special-economic-zone-pyongyang-closed-4966381
https://koryogroup.com/blog/north-korea-borders-open-rason</x:v>
      </x:c>
      <x:c r="O93" s="4" t="str">
        <x:v>Second full-register audit source access, 26 October 2026
https://www.uritours.com/blog/coronavirus-north-korea-temporarily-closes-borders/: full text (fresh retrieval) — Evidence is limited to the stated movement and dates.
https://www.channelnewsasia.com/east-asia/north-korea-reopens-foreign-tourists-special-economic-zone-pyongyang-closed-4966381: full text (previously retrieved text re-examined) — Evidence is limited to the stated movement and dates.
https://koryogroup.com/blog/north-korea-borders-open-rason: full text (previously retrieved text re-examined) — Evidence is limited to the stated movement and dates.
https://koryogroup.com/blog/north-korea-borders-to-reopen/: full text (fresh retrieval) — Evidence is limited to the stated movement and dates.
Prior audit access record
Full-register audit source access (evidence cutoff 25 October 2026)
https://www.uritours.com/blog/coronavirus-north-korea-temporarily-closes-borders/: full text — See specific claim qualifications.
https://koryogroup.com/blog/north-korea-borders-to-reopen/: full text — See specific claim qualifications.
https://www.channelnewsasia.com/east-asia/north-korea-reopens-foreign-tourists-special-economic-zone-pyongyang-closed-4966381: full text — See specific claim qualifications.
https://koryogroup.com/blog/north-korea-borders-open-rason: full text — See specific claim qualifications.
Earlier recorded access
Source 1: full; full text
Source 2: full page
Source 3: full; full text</x:v>
      </x:c>
      <x:c r="P93" s="20" t="n">
        <x:v>1</x:v>
      </x:c>
      <x:c r="Q93" s="4" t="str">
        <x:v>East and Southeast Asia and Oceania</x:v>
      </x:c>
      <x:c r="R93" s="4" t="str">
        <x:v>Included</x:v>
      </x:c>
    </x:row>
    <x:row r="94" ht="409" hidden="0" customHeight="1">
      <x:c r="A94" s="16" t="str">
        <x:v>EA003</x:v>
      </x:c>
      <x:c r="B94" s="4" t="str">
        <x:v>Mongolia China COVID passenger closure with phased reopening</x:v>
      </x:c>
      <x:c r="C94" s="4" t="str">
        <x:v>Mongolia; China</x:v>
      </x:c>
      <x:c r="D94" s="4" t="str">
        <x:v>Land passenger crossings including Zamiin Uud Erenhot</x:v>
      </x:c>
      <x:c r="E94" s="4" t="str">
        <x:v>Pedestrians road passengers and subsequently other passenger modes
Direction: China–Mongolia passenger movements; nationality and direction exceptions in official rules
Exceptions: Named freight crossings remained exempt; specified return routes for citizens</x:v>
      </x:c>
      <x:c r="F94" s="4" t="str">
        <x:v>EA003-D1 — Reported road restrictions and observed scoped reopening
Ordinary road-passenger service at Zamiin Uud–Erenhot, to the first resumed passenger coach.
Exact first operational interruption: not established. Reuters reports national road restrictions from 2020-01-27; a contemporary Montsame account dates selective road restrictions to 2020-01-28, with permitted cohorts. February 1 rules further changed nationality and direction conditions.
Observed scoped reopening: 2023-01-08.
Exact complete operational duration withheld because the first service interruption is unresolved. The municipal-government reopening account describes a three-year suspension of this road-passenger channel, supporting a duration greater than 24 hours without validating the 1,077-day total.
REC50-R11-EA003-P1 — Observed operation
Regional Erenhot–Ulaanbaatar international passenger-train suspension, to the first observed Ulaanbaatar-to-Erenhot return
Start: 2020-02-14.
Observed scoped reopening: 2023-08-30.
Contested: dated evidence; numeric duration withheld; see qualification
Held evidence: excluded from numeric duration and animation displays.</x:v>
      </x:c>
      <x:c r="G94" s="4" t="str">
        <x:v>Health and biosecurity / Human disease control
Inherited road-phase reason retained; the official Grassland Railway account expressly attributes the newly documented regional train suspension to pandemic-control needs.
Applies to: EA003-D1 road-passenger phase retained; REC50-R11-EA003-P1 separately documents regional passenger rail. Overlapping phases are not additive closure counts.
Human disease control remains the attributed rationale. The new official railway report supplies phase-specific support for the regional passenger-train suspension; it does not establish other motives or uniform rules across every train route.</x:v>
      </x:c>
      <x:c r="H94" s="4" t="str">
        <x:v>EA003-D1: The national January 27 report is retained as reported chronology, not an independently established first interruption of every ordinary road-passenger service at Zamiin Uud. Montsame-derived accounts date selective road restrictions to January 28 and still permit specified business/transit Mongolians and foreign travellers. The February 1 embassy rules further distinguish foreign entry, citizens' returns and freight. These changing cohorts prevent treating January 27–January 8, 2023 as a verified complete 1,077-day operational spell. January 8 remains the observed first resumed passenger-coach endpoint. A municipal-government report describes the road-passenger channel as suspended for three years, supporting greater-than-24-hour eligibility independently of the unresolved exact onset. Other posts and rail services have separate histories; NIA and People's Daily share one reporting origin.
REC50-R11-EA003-P1: The regional Erenhot–Ulaanbaatar suspension is reported from 14 February 2020 and the first inbound return is observed on 30 August 2023. Those dates differ by 1,293 days, while a CCTV account reports a 1,295-day pause. Numeric duration is withheld pending reconciliation; the January road endpoint is unchanged. The Beijing train has a different suspension date; earlier nationality-specific ticket limits and the future two-way timetable are distinct. This adds evidence to the existing parent rather than creating another parent.
Rail duration and temporal anchor: Reconcile the 1,295-day reported passenger-train pause with the 1,293-day difference between the separately reported dates; preserve the regional route and first inbound-return scope.</x:v>
      </x:c>
      <x:c r="I94" s="4" t="str">
        <x:v>Second full-register audit, 26 October 2026: additional source-audited corrections incorporated. See the phase, scope and qualification columns for the accepted findings.</x:v>
      </x:c>
      <x:c r="J94" s="18" t="d">
        <x:v>2026-10-26T00:00:00.000Z</x:v>
      </x:c>
      <x:c r="K94" s="21" t="str">
        <x:f>IFERROR(HYPERLINK("https://www.thestar.com.my/news/world/2020/01/27/mongolia-shuts-universities-border-crossings-to-halt-virus-spread","The Star Malaysia"),"The Star Malaysia")</x:f>
        <x:v>The Star Malaysia</x:v>
      </x:c>
      <x:c r="L94" s="21" t="str">
        <x:f>IFERROR(HYPERLINK("https://en.embassyofmongolia.co.uk/5612","Embassy of Mongolia UK"),"Embassy of Mongolia UK")</x:f>
        <x:v>Embassy of Mongolia UK</x:v>
      </x:c>
      <x:c r="M94" s="21" t="str">
        <x:f>IFERROR(HYPERLINK("https://english.www.gov.cn/archive/statistics/202312/04/content_WS656d52b2c6d0868f4e8e1df9.html","China State Council"),"China State Council")</x:f>
        <x:v>China State Council</x:v>
      </x:c>
      <x:c r="N94" s="4" t="str">
        <x:v>https://www.thestar.com.my/news/world/2020/01/27/mongolia-shuts-universities-border-crossings-to-halt-virus-spread
https://en.embassyofmongolia.co.uk/5612
https://english.www.gov.cn/archive/statistics/202312/04/content_WS656d52b2c6d0868f4e8e1df9.html
https://en.iss.gov.mn/?p=1089
https://www.nia.gov.cn/n741435/n741532/c1554902/content.html
https://m.thepaper.cn/newsDetail_forward_24430767
https://www.thepaper.cn/newsDetail_forward_6032808
https://news.china.com.cn/2023-08/31/content_110221071.htm
https://archive.timesleader.com/article/770790/report-mongolia-closes-border-with-china-amid-virus-fears
https://en.apa.az/asia/Mongolia-shuts-universities-border-crossings-to-halt-virus-spread-309339
https://www.capitalsinitiative.com/2020/04/02/mongolia-on-high-alert-due-to-coronavirus-outbreak/
https://akipress.com/news%3A633621%3AMongolia_s_border_with_China_remains_open%2C_some_restrictions_have_been_imposed/
https://app.bjtitle.com/8816/newshow.php?did=356416815496248&amp;mood=&amp;newsid=6400768&amp;typeid=5&amp;uid=0
https://nmj.xlgl.gov.cn/eportal/ui?articleKey=2be0bbc415e64de5a08e309991e4802c&amp;columnId=8af76e1bbda843fab3946f86763a0bd3&amp;pageId=8d86bd8f31334bc088d1498b0aee7af0</x:v>
      </x:c>
      <x:c r="O94" s="4" t="str">
        <x:v>Second full-register audit source access, 26 October 2026
https://en.apa.az/asia/Mongolia-shuts-universities-border-crossings-to-halt-virus-spread-309339: full text (previously retrieved text re-examined) — Cached relevant full article passage read directly after fresh open did not expose body. National statement does not identify first actual Zamiin Uud service interruption.
https://www.capitalsinitiative.com/2020/04/02/mongolia-on-high-alert-due-to-coronavirus-outbreak/: full text (fresh retrieval) — Original Montsame URL not recovered; April is reprint publication, not event date.
https://akipress.com/news%3A633621%3AMongolia_s_border_with_China_remains_open%2C_some_restrictions_have_been_imposed/: search extract (fresh retrieval) — Direct access 403; substantive indexed account inspected. Same Montsame origin should not be counted as independent from its reprints.
https://en.embassyofmongolia.co.uk/5612: search extract (fresh retrieval) — Original notice republished July 2023; direct retrieval timed out. Indexed substantive rules inspected.
https://www.nia.gov.cn/n741435/n741532/c1554902/content.html: full text (fresh retrieval) — One reporting origin; reopening report does not independently supply January 27 onset.
https://www.thepaper.cn/newsDetail_forward_6032808: full text (fresh retrieval) — Official announcement relayed by newspaper, not daily operation logs.
https://m.thepaper.cn/newsDetail_forward_24430767: full text (fresh retrieval) — Future two-way timetable is separate from the observed first return.
https://app.bjtitle.com/8816/newshow.php?did=356416815496248&amp;mood=&amp;newsid=6400768&amp;typeid=5&amp;uid=0: search extract (fresh retrieval) — Indexed reproduction; discrepancy with dated boundary subtraction remains unresolved.
https://nmj.xlgl.gov.cn/eportal/ui?articleKey=2be0bbc415e64de5a08e309991e4802c&amp;columnId=8af76e1bbda843fab3946f86763a0bd3&amp;pageId=8d86bd8f31334bc088d1498b0aee7af0: full text (fresh retrieval) — Approximate multi-year description supports a greater-than-24-hour interruption but not the exact first operational start.
Earlier URLs not separately inspected in this second assessment:
https://www.thestar.com.my/news/world/2020/01/27/mongolia-shuts-universities-border-crossings-to-halt-virus-spread
https://english.www.gov.cn/archive/statistics/202312/04/content_WS656d52b2c6d0868f4e8e1df9.html
https://en.iss.gov.mn/?p=1089
https://news.china.com.cn/2023-08/31/content_110221071.htm
https://archive.timesleader.com/article/770790/report-mongolia-closes-border-with-china-amid-virus-fears
Prior audit access record
Full-register audit source access (evidence cutoff 25 October 2026)
https://en.apa.az/asia/Mongolia-shuts-universities-border-crossings-to-halt-virus-spread-309339: full text — See specific claim qualifications.
https://en.embassyofmongolia.co.uk/5612: search extract — Full request timed out; substantive indexed rules inspected.
https://www.nia.gov.cn/n741435/n741532/c1554902/content.html: full text — See specific claim qualifications.
https://www.thepaper.cn/newsDetail_forward_6032808: full text — See specific claim qualifications.
https://m.thepaper.cn/newsDetail_forward_24430767: full text — See specific claim qualifications.
https://news.china.com.cn/2023-08/31/content_110221071.htm: search extract — See specific claim qualifications.
Earlier source URLs not separately listed in this audit’s retrieval log (historical access notes below are not fresh verification):
https://www.thestar.com.my/news/world/2020/01/27/mongolia-shuts-universities-border-crossings-to-halt-virus-spread
https://english.www.gov.cn/archive/statistics/202312/04/content_WS656d52b2c6d0868f4e8e1df9.html
https://en.iss.gov.mn/?p=1089
https://archive.timesleader.com/article/770790/report-mongolia-closes-border-with-china-amid-virus-fears
Earlier recorded access
Source 1: search extract
Source 2: search extract
Source 3: search extract</x:v>
      </x:c>
      <x:c r="P94" s="20" t="n">
        <x:v>2</x:v>
      </x:c>
      <x:c r="Q94" s="4" t="str">
        <x:v>East and Southeast Asia and Oceania</x:v>
      </x:c>
      <x:c r="R94" s="4" t="str">
        <x:v>Included</x:v>
      </x:c>
    </x:row>
    <x:row r="95" ht="409" hidden="0" customHeight="1">
      <x:c r="A95" s="16" t="str">
        <x:v>EA004</x:v>
      </x:c>
      <x:c r="B95" s="4" t="str">
        <x:v>Russia Mongolia COVID road passenger closure</x:v>
      </x:c>
      <x:c r="C95" s="4" t="str">
        <x:v>Mongolia; Russia</x:v>
      </x:c>
      <x:c r="D95" s="4" t="str">
        <x:v>Road border crossings</x:v>
      </x:c>
      <x:c r="E95" s="4" t="str">
        <x:v>Ordinary passenger travel
Direction: Cross-border road passengers, subject to citizenship-specific permission</x:v>
      </x:c>
      <x:c r="F95" s="4" t="str">
        <x:v>EA004-R1 — Announced window
Mongolian restrictions at Russia road crossings; Mongolian outward passengers and foreign/stateless inward passengers
Start: 2020-03-11.
Scheduled endpoint: 2020-03-31.
Ordered window: 20 calendar-day difference; actual end not established
Later chronology: the EU Delegation’s 23 March 2020 update reports extended passenger-entry restrictions through 30 April, with specified exemptions. GoGo reports Russian road-passenger access from noon on 30 March 2022; a retrospective account gives March 29. Use March 30 as a conservative later-access bound, not an exact Mongolian repeal date or proof of an unchanged two-year closure. Russian and Mongolian measures remain distinct.</x:v>
      </x:c>
      <x:c r="G9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95" s="4" t="str">
        <x:v>EA004-R1: Starts at 20:00; end is the order's original scheduled limit, not reopening. Russian-side onset and later extensions are separate.
Later chronology: the EU Delegation’s 23 March 2020 update reports extended passenger-entry restrictions through 30 April, with specified exemptions. GoGo reports Russian road-passenger access from noon on 30 March 2022; a retrospective account gives March 29. Use March 30 as a conservative later-access bound, not an exact Mongolian repeal date or proof of an unchanged two-year closure. Russian and Mongolian measures remain distinct.</x:v>
      </x:c>
      <x:c r="I95" s="4" t="str">
        <x:v>Second full-register audit, 26 October 2026: qualified. Fresh official-order and reopening-source inspection supports the existing March 2020 scheduled phase and separate March 2022 Russian permission. No continuous two-year Mongolian closure or exact physical reopening is established.</x:v>
      </x:c>
      <x:c r="J95" s="18" t="d">
        <x:v>2026-10-26T00:00:00.000Z</x:v>
      </x:c>
      <x:c r="K95" s="21" t="str">
        <x:f>IFERROR(HYPERLINK("https://mongolianembassy.us/wp-content/uploads/2020/03/English-translation.pdf","Embassy of Mongolia in the United States"),"Embassy of Mongolia in the United States")</x:f>
        <x:v>Embassy of Mongolia in the United States</x:v>
      </x:c>
      <x:c r="L95" s="21" t="str">
        <x:f>IFERROR(HYPERLINK("https://www.eeas.europa.eu/delegations/mongolia/covid-19-update-23-march_und_en","EU Delegation Mongolia"),"EU Delegation Mongolia")</x:f>
        <x:v>EU Delegation Mongolia</x:v>
      </x:c>
      <x:c r="M95" s="21" t="str">
        <x:f>IFERROR(HYPERLINK("https://interfax.com/newsroom/top-stories/77295/","Interfax"),"Interfax")</x:f>
        <x:v>Interfax</x:v>
      </x:c>
      <x:c r="N95" s="4" t="str">
        <x:v>https://mongolianembassy.us/wp-content/uploads/2020/03/English-translation.pdf
https://www.eeas.europa.eu/delegations/mongolia/covid-19-update-23-march_und_en
https://interfax.com/newsroom/top-stories/77295/
https://documents1.worldbank.org/curated/en/099061424103023489/pdf/P174453-bf0b9d17-e860-4a94-98f7-28a4c643b9c3.pdf
https://mongolia.gogo.mn/r/ym0nd
https://en.embassyofmongolia.co.uk/5614
https://en.iss.gov.mn/?p=1539</x:v>
      </x:c>
      <x:c r="O95" s="4" t="str">
        <x:v>Second full-register audit source access, 26 October 2026
https://mongolianembassy.us/wp-content/uploads/2020/03/English-translation.pdf: full text (fresh retrieval) — Official courtesy translation; no gate-operation log.
https://www.eeas.europa.eu/delegations/mongolia/covid-19-update-23-march_und_en: full text (fresh retrieval) — Public guidance describing national policy; not post-by-post enforcement.
https://interfax.com/newsroom/top-stories/77295/: full text (fresh retrieval) — Distinct authority and cohort from initial Mongolian rule.
https://mongolia.gogo.mn/r/ym0nd: full text (fresh retrieval) — No independently observed first traveller.
https://en.iss.gov.mn/?p=1539: search extract (previously retrieved text re-examined) — Cached indexed extract read directly; not full original article or precise repeal instrument.
https://en.embassyofmongolia.co.uk/5614: search extract (previously retrieved text re-examined) — Cached indexed substantive notice read directly; migrated page dates do not replace original notice date.
Earlier URLs not separately inspected in this second assessment:
https://documents1.worldbank.org/curated/en/099061424103023489/pdf/P174453-bf0b9d17-e860-4a94-98f7-28a4c643b9c3.pdf
Prior audit access record
Full-register audit source access (evidence cutoff 25 October 2026)
https://mongolianembassy.us/wp-content/uploads/2020/03/English-translation.pdf: full text — Original order only
https://www.eeas.europa.eu/delegations/mongolia/covid-19-update-23-march_und_en: full text — Announcement, not individual crossing observation
https://interfax.com/newsroom/top-stories/77295/: full text — Different imposing authority from original phase
https://mongolia.gogo.mn/r/ym0nd: full text — Official notification relayed, not observed flow counts
https://en.iss.gov.mn/?p=1539: search extract — March 29 differs from contemporaneous March 30 notice
https://en.embassyofmongolia.co.uk/5614: search extract — Direct retrieval timed out
Earlier source URLs not separately listed in this audit’s retrieval log (historical access notes below are not fresh verification):
https://documents1.worldbank.org/curated/en/099061424103023489/pdf/P174453-bf0b9d17-e860-4a94-98f7-28a4c643b9c3.pdf
Earlier recorded access
Source 1: full; full text
Source 2: indexed excerpt
Source 3: full text</x:v>
      </x:c>
      <x:c r="P95" s="20" t="n">
        <x:v>1</x:v>
      </x:c>
      <x:c r="Q95" s="4" t="str">
        <x:v>East and Southeast Asia and Oceania</x:v>
      </x:c>
      <x:c r="R95" s="4" t="str">
        <x:v>Included</x:v>
      </x:c>
    </x:row>
    <x:row r="96" ht="409" hidden="0" customHeight="1">
      <x:c r="A96" s="16" t="str">
        <x:v>EA007</x:v>
      </x:c>
      <x:c r="B96" s="4" t="str">
        <x:v>Myawaddy Mae Sot Friendship Bridge I COVID closure</x:v>
      </x:c>
      <x:c r="C96" s="4" t="str">
        <x:v>Myanmar; Thailand</x:v>
      </x:c>
      <x:c r="D96" s="4" t="str">
        <x:v>First Friendship Bridge</x:v>
      </x:c>
      <x:c r="E96" s="4" t="str">
        <x:v>Passenger and private vehicle crossing
Direction: Both directions at Bridge I
Exceptions: Freight routed through Bridge II</x:v>
      </x:c>
      <x:c r="F96" s="4" t="str">
        <x:v>EA007-D1 — Observed operation
Ordinary passenger/private-car passage on Myawaddy–Mae Sot Friendship Bridge I.
Start: 2020-03-21 to 2020-03-23.
Observed scoped reopening: 2023-01-12.
1025–1027 calendar-day difference; scoped endpoint only</x:v>
      </x:c>
      <x:c r="G96" s="4" t="str">
        <x:v>Health and biosecurity / Human disease control
Reported reason
Applies to: Initial closure
The recorded rationale and claim assessment support the selected subcategories. All applicable broad categories are retained together; no primary rationale is imposed.
Security / Unspecified security
Analytical interpretation of reported context
Applies to: Later continuation or delayed reopening
The recorded rationale and claim assessment support the selected subcategories. All applicable broad categories are retained together; no primary rationale is imposed.</x:v>
      </x:c>
      <x:c r="H96" s="4" t="str">
        <x:v>Closure onset is bounded March 21–23, 2020: contemporary Eleven report says March 21, another contemporary official report says March 22, and the 2023 retrospective says March 23. Bridge I passenger/private-car reopening occurred January 12, 2023.
EA007-D1: The two-day onset range preserves contradictory reports. Ordinary passenger/private-car scope excludes Bridge II freight and early diversions; border-pass conditions remained after reopening.</x:v>
      </x:c>
      <x:c r="I96" s="4" t="str">
        <x:v>Second full-register audit, 26 October 2026: qualified. The ordinary passenger/private-car reopening remains 12 January 2023. A newly found 5 January report concerns limited trader/goods access and does not replace that endpoint.</x:v>
      </x:c>
      <x:c r="J96" s="18" t="d">
        <x:v>2026-10-26T00:00:00.000Z</x:v>
      </x:c>
      <x:c r="K96" s="21" t="str">
        <x:f>IFERROR(HYPERLINK("https://www.moi.gov.mm/moi:eng/news/9198","Myanmar Ministry of Information"),"Myanmar Ministry of Information")</x:f>
        <x:v>Myanmar Ministry of Information</x:v>
      </x:c>
      <x:c r="L96" s="21" t="str">
        <x:f>IFERROR(HYPERLINK("https://thailand.go.th/public/issue-focus-detail/001_08_032","Thailand government / Tourism Authority of Thailand"),"Thailand government / Tourism Authority of Thailand")</x:f>
        <x:v>Thailand government / Tourism Authority of Thailand</x:v>
      </x:c>
      <x:c r="M96" s="21" t="str">
        <x:f>IFERROR(HYPERLINK("https://www.mdn.gov.mm/en/myawady-thai-border-gates-closed","Myanmar Digital News"),"Myanmar Digital News")</x:f>
        <x:v>Myanmar Digital News</x:v>
      </x:c>
      <x:c r="N96" s="4" t="str">
        <x:v>https://www.moi.gov.mm/moi:eng/news/9198
https://thailand.go.th/public/issue-focus-detail/001_08_032
https://www.mdn.gov.mm/en/myawady-thai-border-gates-closed
https://elevenmyanmar.com/news/myanmar-migrant-workers-return-before-border-gates-are-closed
https://www.moi.gov.mm/moi%3Aeng/news/9198
https://www.mdn.gov.mm/en/thai-myanmar-friendship-bridge-1-closed-14-days
https://thailand.go.th/issue-focus-detail/001_08_032?hl=en
https://dmediag.com/news/tmfb.html</x:v>
      </x:c>
      <x:c r="O96" s="4" t="str">
        <x:v>Second full-register audit source access, 26 October 2026
https://www.moi.gov.mm/moi%3Aeng/news/9198: full text (fresh retrieval) — Official narrative does not enumerate every exceptional crossing.
https://elevenmyanmar.com/news/myanmar-migrant-workers-return-before-border-gates-are-closed: full text (fresh retrieval) — The returns are not expressly ordinary Bridge I traffic.
https://www.mdn.gov.mm/en/thai-myanmar-friendship-bridge-1-closed-14-days: search extract (fresh retrieval) — Fresh direct retrieval failed; index body inspected. Planned initial duration is not final endpoint.
https://thailand.go.th/issue-focus-detail/001_08_032?hl=en: full text (fresh retrieval) — Later tourism description cannot establish every intervening condition.
https://dmediag.com/news/tmfb.html: full text (fresh retrieval) — Single early limited-access report; does not replace later broad reopening.
Earlier URLs not separately inspected in this second assessment:
https://www.moi.gov.mm/moi:eng/news/9198
https://thailand.go.th/public/issue-focus-detail/001_08_032
https://www.mdn.gov.mm/en/myawady-thai-border-gates-closed
Prior audit access record
Full-register audit source access (evidence cutoff 25 October 2026)
https://elevenmyanmar.com/news/myanmar-migrant-workers-return-before-border-gates-are-closed: full text — See specific claim qualifications.
https://www.mdn.gov.mm/en/thai-myanmar-friendship-bridge-1-closed-14-days: search extract — See specific claim qualifications.
https://www.moi.gov.mm/moi%3Aeng/news/9198: full text — See specific claim qualifications.
https://thailand.go.th/issue-focus-detail/001_08_032?hl=en: full text — See specific claim qualifications.
Earlier source URLs not separately listed in this audit’s retrieval log (historical access notes below are not fresh verification):
https://www.moi.gov.mm/moi:eng/news/9198
https://thailand.go.th/public/issue-focus-detail/001_08_032
https://www.mdn.gov.mm/en/myawady-thai-border-gates-closed
Earlier recorded access
Source 1: full page
Source 2: full text
Source 3: full text</x:v>
      </x:c>
      <x:c r="P96" s="20" t="n">
        <x:v>1</x:v>
      </x:c>
      <x:c r="Q96" s="4" t="str">
        <x:v>East and Southeast Asia and Oceania</x:v>
      </x:c>
      <x:c r="R96" s="4" t="str">
        <x:v>Included</x:v>
      </x:c>
    </x:row>
    <x:row r="97" ht="366" hidden="0" customHeight="1">
      <x:c r="A97" s="16" t="str">
        <x:v>EA026</x:v>
      </x:c>
      <x:c r="B97" s="4" t="str">
        <x:v>Mae Sai Tachileik Bridge I COVID passenger closure</x:v>
      </x:c>
      <x:c r="C97" s="4" t="str">
        <x:v>Thailand; Myanmar</x:v>
      </x:c>
      <x:c r="D97" s="4" t="str">
        <x:v>First Friendship Bridge Mae Sai–Tachileik</x:v>
      </x:c>
      <x:c r="E97" s="4" t="str">
        <x:v>Pedestrians, motorcycles and small vehicles
Direction: Both directions
Exceptions: Bridge II trucks remained a separate route. More than 200 returning migrant workers were specially admitted over Bridge I on March 23, 2020 after health checks.</x:v>
      </x:c>
      <x:c r="F97" s="4" t="str">
        <x:v>EA026-D1 — Observed operation
Ordinary people/small-vehicle passage on Mae Sai–Tachileik Bridge I.
Start: 2020-03-23 to 2020-03-24.
Observed scoped reopening: 2023-02-20.
1063–1064 calendar-day difference; scoped endpoint only</x:v>
      </x:c>
      <x:c r="G97" s="4" t="str">
        <x:v>Health and biosecurity / Human disease control
Reported reason
Applies to: Initial closure
The recorded rationale and claim assessment support the selected subcategories. All applicable broad categories are retained together; no primary rationale is imposed.
Security / Unspecified security
Analytical interpretation of reported context
Applies to: Later continuation or delayed reopening
The recorded rationale and claim assessment support the selected subcategories. All applicable broad categories are retained together; no primary rationale is imposed.</x:v>
      </x:c>
      <x:c r="H97" s="4" t="str">
        <x:v>EA026-D1: March 23–24 onset range preserved. SHAN reports special reopening on March 23 to admit more than 200 returning migrant workers after health checks; this is excluded from ordinary travel. February 20 restoration retained trial hours, border passes and health conditions. Bridge II freight is separate.</x:v>
      </x:c>
      <x:c r="I97" s="4" t="str">
        <x:v>Second full-register audit, 26 October 2026: qualified. Mae Sai–Tachileik Bridge I's ordinary passenger restriction and February 20, 2023 restoration are supported; the special March 23 migrant return and Bridge II freight remain excluded.</x:v>
      </x:c>
      <x:c r="J97" s="18" t="d">
        <x:v>2026-10-26T00:00:00.000Z</x:v>
      </x:c>
      <x:c r="K97" s="21" t="str">
        <x:f>IFERROR(HYPERLINK("https://www.nationthailand.com/thailand/general/40025038","The Nation Thailand"),"The Nation Thailand")</x:f>
        <x:v>The Nation Thailand</x:v>
      </x:c>
      <x:c r="L97" s="21" t="str">
        <x:f>IFERROR(HYPERLINK("https://www.bnionline.net/en/news/tachileik-mae-sai-bridge-reopens-after-3-years-closure","Burma News International"),"Burma News International")</x:f>
        <x:v>Burma News International</x:v>
      </x:c>
      <x:c r="M97" s="21" t="str">
        <x:f>IFERROR(HYPERLINK("https://coconuts.co/bangkok/news/thai-myanmar-crossing-reopens-at-mae-sai-after-3-years/","Coconuts Bangkok"),"Coconuts Bangkok")</x:f>
        <x:v>Coconuts Bangkok</x:v>
      </x:c>
      <x:c r="N97" s="4" t="str">
        <x:v>https://www.nationthailand.com/thailand/general/40025038
https://www.bnionline.net/en/news/tachileik-mae-sai-bridge-reopens-after-3-years-closure
https://coconuts.co/bangkok/news/thai-myanmar-crossing-reopens-at-mae-sai-after-3-years/
https://english.shannews.org/archives/20537</x:v>
      </x:c>
      <x:c r="O97" s="4" t="str">
        <x:v>Second full-register audit source access, 26 October 2026
https://www.nationthailand.com/thailand/general/40025038: full text (fresh retrieval) — Limited to the stated dated scope; repeated reporting is not independent corroboration.
https://www.bnionline.net/en/news/tachileik-mae-sai-bridge-reopens-after-3-years-closure: full text (previously retrieved text re-examined) — Limited to the stated dated scope; repeated reporting is not independent corroboration.
https://english.shannews.org/archives/20537: full text (previously retrieved text re-examined) — Limited to the stated dated scope; repeated reporting is not independent corroboration.
Earlier URLs not separately inspected in this second assessment:
https://coconuts.co/bangkok/news/thai-myanmar-crossing-reopens-at-mae-sai-after-3-years/
Prior audit access record
Full-register audit source access (evidence cutoff 25 October 2026)
https://www.nationthailand.com/thailand/general/40025038: full text — See specific claim qualifications.
https://www.bnionline.net/en/news/tachileik-mae-sai-bridge-reopens-after-3-years-closure: full text — See specific claim qualifications.
https://english.shannews.org/archives/20537: full text — See specific claim qualifications.
https://coconuts.co/bangkok/news/thai-myanmar-crossing-reopens-at-mae-sai-after-3-years/: search extract — See specific claim qualifications.
Earlier recorded access
Source 1: search extract
Source 2: full page
Source 3: search extract</x:v>
      </x:c>
      <x:c r="P97" s="20" t="n">
        <x:v>1</x:v>
      </x:c>
      <x:c r="Q97" s="4" t="str">
        <x:v>East and Southeast Asia and Oceania</x:v>
      </x:c>
      <x:c r="R97" s="4" t="str">
        <x:v>Included</x:v>
      </x:c>
    </x:row>
    <x:row r="98" ht="409" hidden="0" customHeight="1">
      <x:c r="A98" s="16" t="str">
        <x:v>EA013</x:v>
      </x:c>
      <x:c r="B98" s="4" t="str">
        <x:v>Malaysia COVID ordinary passenger land-border restrictions</x:v>
      </x:c>
      <x:c r="C98" s="4" t="str">
        <x:v>Malaysia; Singapore; Thailand; Indonesia; Brunei</x:v>
      </x:c>
      <x:c r="D98" s="4" t="str">
        <x:v>Malaysian land borders; Woodlands Tuas reopening directly observed</x:v>
      </x:c>
      <x:c r="E98" s="4" t="str">
        <x:v>Ordinary international passengers
Direction: Malaysian outward and foreign inward ordinary travel; authorised returns and freight excepted
Exceptions: Freight repatriation approved travel and later limited travel corridors
Later scoped restoration: fully vaccinated passenger travel at Woodlands and Tuas was observed on April 1 2022. Earlier limited corridors and national permission changes must not be treated as uniform access at every Malaysian land border.</x:v>
      </x:c>
      <x:c r="F98" s="4" t="str">
        <x:v>EA013-R1 — Announced window
Malaysian land-entry restrictions on foreign visitors and outward social travel by Malaysians/permanent residents
Start: 2020-03-18.
Scheduled endpoint: 2020-03-31.
Ordered window: 13 calendar-day difference; actual end not established
EA013-C7P1 — Announced window
Selected extension of Malaysian foreign-tourist/visitor admission suspension
Start: 2020-04-01.
Scheduled endpoint: 2020-04-14.
Ordered window: 13 calendar-day difference; actual end not established
EA013-C7P2 — Formal policy
Selected May 15 observation of Malaysian foreign-passenger admission restrictions
Start: unknown.
Last confirmed restriction: 2020-05-15. Later admission-restoration bound: 2022-04-01; exact earlier end of this eligibility version is unknown.
Formal policy: dated evidence; numeric duration withheld; see qualification
EA013-C7P3 — Announced window
RMCO announced window for restricted ordinary foreign entry, conditional approvals excepted
Start: 2020-06-10.
Scheduled endpoint: 2020-08-31.
Ordered window: 82 calendar-day difference; actual end not established
EA013-C7P4 — Formal policy
Permission-controlled expatriate entry/exit documented at MYEntry introduction
Start: unknown.
Last confirmed permission regime: 2020-08-10. Later removal of the pandemic travel-permission requirement: by 2022-04-01; exact earlier category-specific changes remain unknown.
Formal policy: dated evidence; numeric duration withheld; see qualification
Later restoration evidence: Malaysia’s Immigration Department confirms international reopening and discontinuation of MyTravel Pass effective 2022-04-01. Singapore ICA recorded over 11,000 travellers cleared at Woodlands and Tuas by 07:00 that day for the fully vaccinated reopening. This is a later scoped bound for the selected admission/permission observations, not an unchanged March 2020–April 2022 all-passenger interval or confirmation that every Malaysian land post reopened simultaneously.</x:v>
      </x:c>
      <x:c r="G9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98" s="4" t="str">
        <x:v>EA013-R1: The March 18–31 2020 original order is a scheduled window; March 31 does not signify actual reopening. Freight, returns, diplomats and authorised categories were excepted; transit across Brunei remained subject to state rules.
EA013-C7P1: The April 1–14 extension is an announced window. The domestic MCO chronology does not establish identical conditions at every land post or an April 14 physical reopening.
EA013-C7P2: The embassy notice of May 15, 2020 confirms the selected admission restrictions. Ordinary foreign-passport holders could leave but not re-enter; expatriate, student, dependent, temporary-work and MM2H pass holders were generally barred, with case-by-case approval for essential-service expatriates. Returning diplomats and eligible family/resident categories were excepted, while domestic helpers required approval. Start and category-specific end remain unknown. Airport quarantine references do not establish land-post implementation. The later April 1, 2022 national admission restoration is an outer bound, not proof of unchanged restrictions in between.
EA013-C7P3: The June 10–August 31 2020 RMCO envelope includes conditional approvals and changing categories. Neither August 31 physical reopening nor an uninterrupted universal passenger ban is inferred.
EA013-C7P4: The August 10 MYEntry announcement documents a category-based permission regime, not a new closure or identical requirements for every expatriate. Malaysia’s Immigration Department confirms discontinuation of MyTravel Pass from April 1 2022; this bounds the pandemic permission restriction without dating every earlier category amendment.
Actual April 1 2022 access is directly confirmed at Woodlands and Tuas for fully vaccinated travellers. Earlier limited travel corridors and changing eligibility remain exceptions. The first reopening at every Thai, Indonesian and Bruneian land post and exact legal amendment sequence are not established. No continuous operational duration is added.</x:v>
      </x:c>
      <x:c r="I98" s="4" t="str">
        <x:v>Second full-register audit, 26 October 2026: additional source-audited corrections incorporated. See the phase, scope and qualification columns for the accepted findings.</x:v>
      </x:c>
      <x:c r="J98" s="18" t="d">
        <x:v>2026-10-26T00:00:00.000Z</x:v>
      </x:c>
      <x:c r="K98" s="21" t="str">
        <x:f>IFERROR(HYPERLINK("https://www.my.emb-japan.go.jp/files/100047030.pdf","Malaysian Immigration / Japan Embassy host"),"Malaysian Immigration / Japan Embassy host")</x:f>
        <x:v>Malaysian Immigration / Japan Embassy host</x:v>
      </x:c>
      <x:c r="L98" s="21" t="str">
        <x:f>IFERROR(HYPERLINK("https://www.kln.gov.my/web/usa_los-angeles/home/-/asset_publisher/0mrKQjpIuehK/blog/announcement-temporarily?inheritRedirect=false","kln.gov.my"),"kln.gov.my")</x:f>
        <x:v>kln.gov.my</x:v>
      </x:c>
      <x:c r="M98" s="21" t="str">
        <x:f>IFERROR(HYPERLINK("https://www.kln.gov.my/web/vnm_hanoi/post/latest-update-for-foreigners-travelling-to-malays-2","kln.gov.my"),"kln.gov.my")</x:f>
        <x:v>kln.gov.my</x:v>
      </x:c>
      <x:c r="N98" s="4" t="str">
        <x:v>https://www.my.emb-japan.go.jp/files/100047030.pdf
https://www.kln.gov.my/web/usa_los-angeles/home/-/asset_publisher/0mrKQjpIuehK/blog/announcement-temporarily?inheritRedirect=false
https://www.kln.gov.my/web/vnm_hanoi/post/latest-update-for-foreigners-travelling-to-malays-2
https://www.kln.gov.my/web/vnm_hanoi/post/latest-procedure-for-visa-issuance-foreigners-entry-to-malaysia-recovery-movement-control-order-phase-10-june-until-31-august-20-1
https://esd.imi.gov.my/portal/latest-news/announcement-2020/announcement-myentry/
https://www.ica.gov.sg/news-and-publications/newsroom/media-release/statement-on-clearance-of-travellers-for-land-border-reopening
https://www.mti.gov.sg/newsroom/reopening-of-land-borders-between-singapore-and-malaysia-from-1-april-2022/
https://www.dosm.gov.my/uploads/publications/20221018154017.pdf
https://www.channelnewsasia.com/asia/malaysia-reopen-border-fully-apr-1-2551491
https://www.tourism.gov.my/index.php/media/view/malaysia-ready-to-welcome-international-travellers-as-borders-fully-reopen-on-1-april
https://www.mti.gov.sg/newsroom/written-reply-to-pq-on-vtl-1/
https://www.bernama.com/en/news.php?id=1821855
https://www.pmo.gov.sg/newsroom/singapore-and-malaysia-to-launch-vtl-land-nov-2021/
https://covid-19.moh.gov.my/terkini/032020/situasi-terkini-25-mac-2020/64Kenyataan%20Akhbar%20KPK%20COVID-19%20%2825%20Mac%202020%29%20-%20EN.pdf
https://www.dosm.gov.my/uploads/publications/20221020145906.pdf
https://esd.imi.gov.my/portal/latest-news/announcement-2022/malaysia-reopening-international-borders/</x:v>
      </x:c>
      <x:c r="O98" s="4" t="str">
        <x:v>Second full-register audit source access, 26 October 2026
https://www.my.emb-japan.go.jp/files/100047030.pdf: full text (previously retrieved text re-examined) — Not proof of universal access or exact elapsed closed hours.
https://www.dosm.gov.my/uploads/publications/20221020145906.pdf: search extract (fresh retrieval) — Publication date not inferred from URL/index metadata; chronology is not gate operation.
https://www.kln.gov.my/web/vnm_hanoi/post/latest-update-for-foreigners-travelling-to-malays-2: search extract (fresh retrieval) — Direct open still timed out at turn1220view0; substantial indexed text inspected.
https://www.kln.gov.my/web/vnm_hanoi/post/latest-procedure-for-visa-issuance-foreigners-entry-to-malaysia-recovery-movement-control-order-phase-10-june-until-31-august-20-1: search extract (previously retrieved text re-examined) — Not proof of universal access or exact elapsed closed hours.
https://esd.imi.gov.my/portal/latest-news/announcement-2020/announcement-myentry/: full text (previously retrieved text re-examined) — Not proof of universal access or exact elapsed closed hours.
https://esd.imi.gov.my/portal/latest-news/announcement-2022/malaysia-reopening-international-borders/: full text (fresh retrieval) — Not proof of universal access or exact elapsed closed hours.
https://www.ica.gov.sg/news-and-publications/newsroom/media-release/statement-on-clearance-of-travellers-for-land-border-reopening: full text (previously retrieved text re-examined) — Not proof of universal access or exact elapsed closed hours.
https://www.pmo.gov.sg/newsroom/singapore-and-malaysia-to-launch-vtl-land-nov-2021/: full text (previously retrieved text re-examined) — Not proof of universal access or exact elapsed closed hours.
Earlier URLs not separately inspected in this second assessment:
https://www.kln.gov.my/web/usa_los-angeles/home/-/asset_publisher/0mrKQjpIuehK/blog/announcement-temporarily?inheritRedirect=false
https://www.mti.gov.sg/newsroom/reopening-of-land-borders-between-singapore-and-malaysia-from-1-april-2022/
https://www.dosm.gov.my/uploads/publications/20221018154017.pdf
https://www.channelnewsasia.com/asia/malaysia-reopen-border-fully-apr-1-2551491
https://www.tourism.gov.my/index.php/media/view/malaysia-ready-to-welcome-international-travellers-as-borders-fully-reopen-on-1-april
https://www.mti.gov.sg/newsroom/written-reply-to-pq-on-vtl-1/
https://www.bernama.com/en/news.php?id=1821855
https://covid-19.moh.gov.my/terkini/032020/situasi-terkini-25-mac-2020/64Kenyataan%20Akhbar%20KPK%20COVID-19%20%2825%20Mac%202020%29%20-%20EN.pdf
Prior audit access record
Full-register audit source access (evidence cutoff 25 October 2026)
https://www.my.emb-japan.go.jp/files/100047030.pdf: full text — Scheduled window only
https://www.kln.gov.my/web/vnm_hanoi/post/latest-procedure-for-visa-issuance-foreigners-entry-to-malaysia-recovery-movement-control-order-phase-10-june-until-31-august-20-1: search extract — Direct page 502, full indexed text inspected
https://esd.imi.gov.my/portal/latest-news/announcement-2020/announcement-myentry/: full text — Not new closure onset
https://esd.imi.gov.my/portal/latest-news/announcement-2022/malaysia-reopening-international-borders/: full text — Policy scope; individual land ports not all observed
https://www.ica.gov.sg/news-and-publications/newsroom/media-release/statement-on-clearance-of-travellers-for-land-border-reopening: full text — Vaccinated travellers, not all admission conditions removed
https://www.kln.gov.my/web/vnm_hanoi/post/latest-update-for-foreigners-travelling-to-malays-2: inaccessible — Timeout and targeted search did not recover exact May 15 text
https://www.pmo.gov.sg/newsroom/singapore-and-malaysia-to-launch-vtl-land-nov-2021/: full text — Scheduled November 29 partial corridor for citizens, residents and long-term pass holders on designated Causeway buses; not independently observed first service.
Earlier source URLs not separately listed in this audit’s retrieval log (historical access notes below are not fresh verification):
https://www.kln.gov.my/web/usa_los-angeles/home/-/asset_publisher/0mrKQjpIuehK/blog/announcement-temporarily?inheritRedirect=false
https://www.mti.gov.sg/newsroom/reopening-of-land-borders-between-singapore-and-malaysia-from-1-april-2022/
https://www.dosm.gov.my/uploads/publications/20221018154017.pdf
https://www.channelnewsasia.com/asia/malaysia-reopen-border-fully-apr-1-2551491
https://www.tourism.gov.my/index.php/media/view/malaysia-ready-to-welcome-international-travellers-as-borders-fully-reopen-on-1-april
https://www.mti.gov.sg/newsroom/written-reply-to-pq-on-vtl-1/
https://www.bernama.com/en/news.php?id=1821855
https://covid-19.moh.gov.my/terkini/032020/situasi-terkini-25-mac-2020/64Kenyataan%20Akhbar%20KPK%20COVID-19%20%2825%20Mac%202020%29%20-%20EN.pdf
https://www.dosm.gov.my/uploads/publications/20221020145906.pdf
Earlier recorded access
Source 1: full
Source 2: access detail is retained in the source catalogue.
Source 3: access detail is retained in the source catalogue.</x:v>
      </x:c>
      <x:c r="P98" s="20" t="n">
        <x:v>5</x:v>
      </x:c>
      <x:c r="Q98" s="4" t="str">
        <x:v>East and Southeast Asia and Oceania</x:v>
      </x:c>
      <x:c r="R98" s="4" t="str">
        <x:v>Included</x:v>
      </x:c>
    </x:row>
    <x:row r="99" ht="409" hidden="0" customHeight="1">
      <x:c r="A99" s="16" t="str">
        <x:v>EA017</x:v>
      </x:c>
      <x:c r="B99" s="4" t="str">
        <x:v>Timor Leste COVID entry restrictions at Indonesian land border</x:v>
      </x:c>
      <x:c r="C99" s="4" t="str">
        <x:v>Timor-Leste; Indonesia</x:v>
      </x:c>
      <x:c r="D99" s="4" t="str">
        <x:v>Motaain–Batugade directly observed at onset; later national entry measures and daily land-admission regime.
Timor-Leste entry restrictions at the Indonesian land frontier; first-day operational observation specifically at Motaain–Batugade.</x:v>
      </x:c>
      <x:c r="E99" s="4" t="str">
        <x:v>Phase-specific movement: Indonesian passengers denied admission in March 2020; people and goods governed by the November 2021 weekly land-post schedule; eligible vaccinated Indonesian travellers in the March 2022 daily-entry report.
Direction: March 2020 entry into Timor-Leste; the 2021 schedule permits Monday departures and Wednesday entries, 09:00–15:00, at Motain, Suai Salele, Sakato and Oesilo. Indonesian-side controls remain separate.
Exceptions: Ministerially approved cases under the 2021 decree; essential goods and resident/family categories must be interpreted within their own policy period.</x:v>
      </x:c>
      <x:c r="F99" s="4" t="str">
        <x:v>EA017-AUDIT20261025-1 — Observed operation
Indonesian travellers denied entry into Timor-Leste at Motaain–Batugade on 19 March 2020.
Start and last confirmation: 2020-03-19. Endpoint unknown.
This is a dated first-day observation; continuity to the November 2021 weekly schedule is not established. Numeric duration withheld.
EA017-R1 — Formal policy
Weekly-hours legal restriction at Timor-Leste land posts under Decree 26/2021 Article 18, until repeal by Decree 12/2022
Start: 2021-11-29.
Policy endpoint: 2022-03-18.
Formal policy: dated evidence; numeric duration withheld; see qualification
EA017-C7P1 — Observed operation
Reported return to daily land entry for eligible Indonesian citizens into Timor-Leste
Start: unknown.
Observed scoped reopening: 2022-03-21.
dated evidence; numeric duration withheld; see qualification</x:v>
      </x:c>
      <x:c r="G9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99" s="4" t="str">
        <x:v>EA017-R1: This is the legal envelope of recurring Monday-exit/Wednesday-entry access, not continuous closure or summed closed days. Original March 19 expiry was superseded on March 18. Tatoli separately reports daily operations from March 21; no March 18 physical reopening is inferred.
EA017-C7P1: Endpoint-only operational transition. Initial implementation of the preceding weekly-hours regime is not separately observed. No continuous closed interval, unrestricted admission or blanket bilateral reopening inferred.
The March 2020 Motaain observation is separate from the November 2021 legal schedule. No uninterrupted 2020–2022 closure is inferred.</x:v>
      </x:c>
      <x:c r="I99" s="4" t="str">
        <x:v>Second full-register audit, 26 October 2026: qualified. The three phases remain properly separated: March 2020 observed refusals, the later weekly legal schedule, and March 21, 2022 actual daily-entry restoration.</x:v>
      </x:c>
      <x:c r="J99" s="18" t="d">
        <x:v>2026-10-26T00:00:00.000Z</x:v>
      </x:c>
      <x:c r="K99" s="21" t="str">
        <x:f>IFERROR(HYPERLINK("https://www.laohamutuk.org/Justice/2022/PresElec/DL26-2021%20on%20exceptional%20and%20temporary%20health%20surveillance%20measuresEn.pdf","Timor-Leste government / La'o Hamutuk host"),"Timor-Leste government / La'o Hamutuk host")</x:f>
        <x:v>Timor-Leste government / La'o Hamutuk host</x:v>
      </x:c>
      <x:c r="L99" s="21" t="str">
        <x:f>IFERROR(HYPERLINK("https://mj.gov.tl/jornal/public/docs/2022/serie_1/SERIE_I_NO_12_A.pdf","mj.gov.tl"),"mj.gov.tl")</x:f>
        <x:v>mj.gov.tl</x:v>
      </x:c>
      <x:c r="M99" s="21" t="str">
        <x:f>IFERROR(HYPERLINK("https://en.tatoli.tl/2022/03/28/indonesian-citizens-are-free-to-enter-timor-leste-in-every-day/18/","Tatoli"),"Tatoli")</x:f>
        <x:v>Tatoli</x:v>
      </x:c>
      <x:c r="N99" s="4" t="str">
        <x:v>https://www.laohamutuk.org/Justice/2022/PresElec/DL26-2021%20on%20exceptional%20and%20temporary%20health%20surveillance%20measuresEn.pdf
https://mj.gov.tl/jornal/public/docs/2022/serie_1/SERIE_I_NO_12_A.pdf
https://en.tatoli.tl/2022/03/28/indonesian-citizens-are-free-to-enter-timor-leste-in-every-day/18/
https://timor-leste.gov.tl/?p=30240
https://mj.gov.tl/jornal/?q=node/13
https://www.antaranews.com/berita/1367290/timor-leste-lakukan-lockdown-wni-tertahan-di-perbatasan
https://timor-leste.gov.tl/?lang=en&amp;p=23927
https://id.tatoli.tl/2022/03/28/mulai-21-maret-wni-bebas-melintasi-batas-timor-leste/
https://www.antaranews.com/berita/2783633/plbn-motaain-pelayanan-lintas-batas-kembali-dibuka-secara-normal
https://www.antaranews.com/berita/1367114/timor-leste-tutup-perbatasan-cegah-covid-19-masuk
https://timor-leste.gov.tl/?lang=en&amp;p=30240</x:v>
      </x:c>
      <x:c r="O99" s="4" t="str">
        <x:v>Second full-register audit source access, 26 October 2026
https://www.antaranews.com/berita/1367290/timor-leste-lakukan-lockdown-wni-tertahan-di-perbatasan: full text (previously retrieved text re-examined) — Scope and duration qualifications apply.
https://www.laohamutuk.org/Justice/2022/PresElec/DL26-2021%20on%20exceptional%20and%20temporary%20health%20surveillance%20measuresEn.pdf: full text (previously retrieved text re-examined) — Translation; Article 18 and commencement inspected.
https://mj.gov.tl/jornal/public/docs/2022/serie_1/SERIE_I_NO_12_A.pdf: full text (fresh retrieval) — Publication header and operative repeal/effect provisions inspected.
https://en.tatoli.tl/2022/03/28/indonesian-citizens-are-free-to-enter-timor-leste-in-every-day/18/: full text (fresh retrieval) — Scope and duration qualifications apply.
Earlier URLs not separately inspected in this second assessment:
https://timor-leste.gov.tl/?p=30240
https://mj.gov.tl/jornal/?q=node/13
https://timor-leste.gov.tl/?lang=en&amp;p=23927
https://id.tatoli.tl/2022/03/28/mulai-21-maret-wni-bebas-melintasi-batas-timor-leste/
https://www.antaranews.com/berita/2783633/plbn-motaain-pelayanan-lintas-batas-kembali-dibuka-secara-normal
https://www.antaranews.com/berita/1367114/timor-leste-tutup-perbatasan-cegah-covid-19-masuk
https://timor-leste.gov.tl/?lang=en&amp;p=30240
Prior audit access record
Full-register audit source access (evidence cutoff 25 October 2026)
https://www.laohamutuk.org/Justice/2022/PresElec/DL26-2021%20on%20exceptional%20and%20temporary%20health%20surveillance%20measuresEn.pdf: full text — Translation
https://mj.gov.tl/jornal/public/docs/2022/serie_1/SERIE_I_NO_12_A.pdf: full text — Legal effect differs operational date
https://en.tatoli.tl/2022/03/28/indonesian-citizens-are-free-to-enter-timor-leste-in-every-day/18/: full text — Not unrestricted bilateral admission
https://www.antaranews.com/berita/1367290/timor-leste-lakukan-lockdown-wni-tertahan-di-perbatasan: full text — One crossing and cohort observed
Earlier source URLs not separately listed in this audit’s retrieval log (historical access notes below are not fresh verification):
https://timor-leste.gov.tl/?p=30240
https://mj.gov.tl/jornal/?q=node/13
https://timor-leste.gov.tl/?lang=en&amp;p=23927
https://id.tatoli.tl/2022/03/28/mulai-21-maret-wni-bebas-melintasi-batas-timor-leste/
https://www.antaranews.com/berita/2783633/plbn-motaain-pelayanan-lintas-batas-kembali-dibuka-secara-normal
https://www.antaranews.com/berita/1367114/timor-leste-tutup-perbatasan-cegah-covid-19-masuk
https://timor-leste.gov.tl/?lang=en&amp;p=30240
Earlier recorded access
Source 1: full
Source 2: access detail is retained in the source catalogue.
Source 3: full</x:v>
      </x:c>
      <x:c r="P99" s="20" t="n">
        <x:v>3</x:v>
      </x:c>
      <x:c r="Q99" s="4" t="str">
        <x:v>East and Southeast Asia and Oceania</x:v>
      </x:c>
      <x:c r="R99" s="4" t="str">
        <x:v>Included</x:v>
      </x:c>
    </x:row>
    <x:row r="100" ht="390" hidden="0" customHeight="1">
      <x:c r="A100" s="16" t="str">
        <x:v>EA015</x:v>
      </x:c>
      <x:c r="B100" s="4" t="str">
        <x:v>Cambodia restricts reciprocal citizen travel with Vietnam</x:v>
      </x:c>
      <x:c r="C100" s="4" t="str">
        <x:v>Cambodia; Vietnam</x:v>
      </x:c>
      <x:c r="D100" s="4" t="str">
        <x:v>Cambodia Vietnam land crossing component of broader order</x:v>
      </x:c>
      <x:c r="E100" s="4" t="str">
        <x:v>Vietnamese and Cambodian ordinary-passport travellers
Direction: Reciprocal ordinary-passport citizen travel between Cambodia and Vietnam
Exceptions: Diplomatic/official passports; goods transport protected</x:v>
      </x:c>
      <x:c r="F100" s="4" t="str">
        <x:v>EA015-D1 — Formal policy
Cambodia's note restricting reciprocal ordinary-passport citizen travel with Vietnam, land component only.
Start: 2020-03-20.
Policy endpoint: 2020-06-19.
Formal policy: 91 calendar-day difference; operational continuity not established</x:v>
      </x:c>
      <x:c r="G100" s="4" t="str">
        <x:v>Health and biosecurity / Human disease control
Reported reason
Applies to: Recorded episode; exact overlap not separately established
COVID rationale explicit.
Migration / Admission and document disputes
Attributed official justification
Applies to: March 2020 Cambodian response
Hun Sen explicitly discussed Vietnamese nationals becoming stranded or irregular in Cambodia if Vietnam refused their return after quarantine; this is an admission/repatriation concern, not inferred simply from traveller nationality.
Interstate disputes and pressure / Diplomatic disputes and retaliation
Analytical interpretation of reported context
Applies to: March 2020 Cambodian response
RFA describes the order as apparently responding to Vietnam's unnotified unilateral ban; Hun Sen linked enforcement to that ban but expressly denied revenge. Preserve this qualification rather than asserting a proved retaliatory intent.</x:v>
      </x:c>
      <x:c r="H100" s="4" t="str">
        <x:v>EA015-D1: This times the Cambodian measure, not observed unrestricted bilateral passage. Diplomatic/official passports and goods were exempt; Vietnamese restrictions and general health rules persisted.</x:v>
      </x:c>
      <x:c r="I100" s="4" t="str">
        <x:v>Second full-register audit, 26 October 2026: qualified. Fresh VNA confirms June 19 termination of the Cambodian note, distinct from June 22 notification and unrestricted bilateral passage. The qualified retaliation attribution remains accurate.</x:v>
      </x:c>
      <x:c r="J100" s="18" t="d">
        <x:v>2026-10-26T00:00:00.000Z</x:v>
      </x:c>
      <x:c r="K100" s="21" t="str">
        <x:f>IFERROR(HYPERLINK("https://en.vietnamplus.vn/cambodia-lifts-restriction-on-cross-border-travel-with-vietnam-post177266.vnp","Vietnam News Agency"),"Vietnam News Agency")</x:f>
        <x:v>Vietnam News Agency</x:v>
      </x:c>
      <x:c r="L100" s="21" t="str">
        <x:f>IFERROR(HYPERLINK("https://www.rfa.org/english/news/cambodia/border-03192020162112.html","Radio Free Asia"),"Radio Free Asia")</x:f>
        <x:v>Radio Free Asia</x:v>
      </x:c>
      <x:c r="M100" s="21" t="str">
        <x:f>IFERROR(HYPERLINK("https://baochinhphu.vn/dieu-chinh-quy-dinh-qua-lai-tai-cac-cua-khau-bien-gioi-voi-campuchia-va-lao-102270397.htm","baochinhphu.vn"),"baochinhphu.vn")</x:f>
        <x:v>baochinhphu.vn</x:v>
      </x:c>
      <x:c r="N100" s="4" t="str">
        <x:v>https://en.vietnamplus.vn/cambodia-lifts-restriction-on-cross-border-travel-with-vietnam-post177266.vnp
https://www.rfa.org/english/news/cambodia/border-03192020162112.html
https://baochinhphu.vn/dieu-chinh-quy-dinh-qua-lai-tai-cac-cua-khau-bien-gioi-voi-campuchia-va-lao-102270397.htm
https://vietnamnews.vn/politics-laws/653834/cambodia-temporarily-shuts-border-with-viet-nam-over-covid-19.html</x:v>
      </x:c>
      <x:c r="O100" s="4" t="str">
        <x:v>Second full-register audit source access, 26 October 2026
https://en.vietnamplus.vn/cambodia-lifts-restriction-on-cross-border-travel-with-vietnam-post177266.vnp: full text (fresh retrieval) — Not proof of universal access or exact elapsed closed hours.
https://www.rfa.org/english/news/cambodia/border-03192020162112.html: full text (previously retrieved text re-examined) — Commentary on apparent response is not proof of retaliatory intent.
Earlier URLs not separately inspected in this second assessment:
https://baochinhphu.vn/dieu-chinh-quy-dinh-qua-lai-tai-cac-cua-khau-bien-gioi-voi-campuchia-va-lao-102270397.htm
https://vietnamnews.vn/politics-laws/653834/cambodia-temporarily-shuts-border-with-viet-nam-over-covid-19.html
Prior audit access record
Full-register audit source access (evidence cutoff 25 October 2026)
https://en.vietnamplus.vn/cambodia-lifts-restriction-on-cross-border-travel-with-vietnam-post177266.vnp: full text — See specific claim qualifications.
https://www.rfa.org/english/news/cambodia/border-03192020162112.html: full text — See specific claim qualifications.
Earlier source URLs not separately listed in this audit’s retrieval log (historical access notes below are not fresh verification):
https://baochinhphu.vn/dieu-chinh-quy-dinh-qua-lai-tai-cac-cua-khau-bien-gioi-voi-campuchia-va-lao-102270397.htm
https://vietnamnews.vn/politics-laws/653834/cambodia-temporarily-shuts-border-with-viet-nam-over-covid-19.html
Earlier recorded access
Source 1: full text
Source 2: full text
Source 3: access detail is retained in the source catalogue.</x:v>
      </x:c>
      <x:c r="P100" s="20" t="n">
        <x:v>1</x:v>
      </x:c>
      <x:c r="Q100" s="4" t="str">
        <x:v>East and Southeast Asia and Oceania</x:v>
      </x:c>
      <x:c r="R100" s="4" t="str">
        <x:v>Included</x:v>
      </x:c>
    </x:row>
    <x:row r="101" ht="409" hidden="0" customHeight="1">
      <x:c r="A101" s="16" t="str">
        <x:v>EA035</x:v>
      </x:c>
      <x:c r="B101" s="4" t="str">
        <x:v>Thailand national COVID land passenger closure and staged reopening</x:v>
      </x:c>
      <x:c r="C101" s="4" t="str">
        <x:v>Thailand; Myanmar; Laos; Cambodia; Malaysia</x:v>
      </x:c>
      <x:c r="D101" s="4" t="str">
        <x:v>Thai international land checkpoints; national umbrella with crossing-specific phases</x:v>
      </x:c>
      <x:c r="E101" s="4" t="str">
        <x:v>Thai and foreign ordinary travellers
Direction: Both-way ordinary passenger movements
Exceptions: Designated freight routes and drivers; limited citizen returns; later approved traveller schemes.</x:v>
      </x:c>
      <x:c r="F101" s="4" t="str">
        <x:v>EA035-D1 — Observed operation
Selected national-order phase restricting ordinary non-repatriation passenger admission at Sadao, to the documented passenger pilot.
Start: by 2020-03-23; earliest bound unknown.
Observed scoped reopening: 2022-04-01.
dated evidence; numeric duration withheld; see qualification</x:v>
      </x:c>
      <x:c r="G10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01" s="4" t="str">
        <x:v>EA035-D1: The 23 March date is a latest-confirmed national marker, not an exact first Sadao closure. An indexed Songkhla policy report points to 21 March, but original access and first gate-level denial remain unresolved. The 739-day difference from the selected marker is not a complete observed closure length. Limited Thai returns and freight continued; 1 April 2022 is the Sadao passenger pilot endpoint, not unrestricted entry or every Thai post.
first local operational onset / complete-duration eligibility: The selected 23 March 2020 marker dates national implementation by that day, not first Sadao denial. Earlier local policy is reported, but the original source and a first gate-level observation remain unresolved. The observed 1 April 2022 pilot endpoint is retained.</x:v>
      </x:c>
      <x:c r="I101" s="4" t="str">
        <x:v>Second full-register audit, 26 October 2026: qualified. Sadao's April 1, 2022 conditional passenger pilot is directly observed; precise first local denial remains unresolved. The prolonged ordinary-foreigner restriction supports &gt;24h even though a complete numeric duration is withheld.</x:v>
      </x:c>
      <x:c r="J101" s="18" t="d">
        <x:v>2026-10-26T00:00:00.000Z</x:v>
      </x:c>
      <x:c r="K101" s="21" t="str">
        <x:f>IFERROR(HYPERLINK("https://www.malaymail.com/news/malaysia/2020/03/23/covid-19-thailand-closes-nine-border-checkpoints-to-malaysia/1849411","Malay Mail / Bernama"),"Malay Mail / Bernama")</x:f>
        <x:v>Malay Mail / Bernama</x:v>
      </x:c>
      <x:c r="L101" s="21" t="str">
        <x:f>IFERROR(HYPERLINK("https://www.nationthailand.com/in-focus/40014082","The Nation Thailand"),"The Nation Thailand")</x:f>
        <x:v>The Nation Thailand</x:v>
      </x:c>
      <x:c r="M101" s="21" t="str">
        <x:f>IFERROR(HYPERLINK("https://www.xinhuanet.com/english/2020-03/21/c_138900181.htm","Xinhua"),"Xinhua")</x:f>
        <x:v>Xinhua</x:v>
      </x:c>
      <x:c r="N101" s="4" t="str">
        <x:v>https://www.malaymail.com/news/malaysia/2020/03/23/covid-19-thailand-closes-nine-border-checkpoints-to-malaysia/1849411
https://www.nationthailand.com/in-focus/40014082
https://www.xinhuanet.com/english/2020-03/21/c_138900181.htm
https://aseannow.com/topic/1154872-songkhla-bars-foreigners-from-use-of-border-crossings/
https://www.nationthailand.com/in-focus/40015141
https://mfa.go.th/en/content/press-briefing-25may22?page=5d5bd3da15e39c306002aaf9
https://thailand.iom.int/sites/g/files/tmzbdl1371/files/documents/unnm-covid19-sitrep_may-2022.pdf
https://www.nationthailand.com/news/30384573
https://www.caat.or.th/en/caat-media/173984/
https://www.mdn.gov.mm/en/myawady-thai-border-gates-closed
https://www.moi.gov.mm/moi%3Aeng/news/9198
https://www.nationthailand.com/thailand/general/40025038
https://elevenmyanmar.com/news/thailand-temporarily-closes-all-nine-border-checkpoints-due-to-covid-19</x:v>
      </x:c>
      <x:c r="O101" s="4" t="str">
        <x:v>Second full-register audit source access, 26 October 2026
https://www.nationthailand.com/in-focus/40014082: full text (fresh retrieval) — Limited to the stated dated scope; repeated reporting is not independent corroboration.
https://www.malaymail.com/news/malaysia/2020/03/23/covid-19-thailand-closes-nine-border-checkpoints-to-malaysia/1849411: full text (previously retrieved text re-examined) — Limited to the stated dated scope; repeated reporting is not independent corroboration.
https://www.xinhuanet.com/english/2020-03/21/c_138900181.htm: full text (previously retrieved text re-examined) — Limited to the stated dated scope; repeated reporting is not independent corroboration.
https://aseannow.com/topic/1154872-songkhla-bars-foreigners-from-use-of-border-crossings/: search extract (fresh retrieval) — Original Nation URL failed; reproduced policy text does not establish first actual gate denial.
Earlier URLs not separately inspected in this second assessment:
https://www.nationthailand.com/in-focus/40015141
https://mfa.go.th/en/content/press-briefing-25may22?page=5d5bd3da15e39c306002aaf9
https://thailand.iom.int/sites/g/files/tmzbdl1371/files/documents/unnm-covid19-sitrep_may-2022.pdf
https://www.nationthailand.com/news/30384573
https://www.caat.or.th/en/caat-media/173984/
https://www.mdn.gov.mm/en/myawady-thai-border-gates-closed
https://www.moi.gov.mm/moi%3Aeng/news/9198
https://www.nationthailand.com/thailand/general/40025038
https://elevenmyanmar.com/news/thailand-temporarily-closes-all-nine-border-checkpoints-due-to-covid-19
Prior audit access record
Full-register audit source access (evidence cutoff 25 October 2026)
https://www.malaymail.com/news/malaysia/2020/03/23/covid-19-thailand-closes-nine-border-checkpoints-to-malaysia/1849411: full text — See specific claim qualifications.
https://www.nationthailand.com/in-focus/40014082: full text — See specific claim qualifications.
https://www.xinhuanet.com/english/2020-03/21/c_138900181.htm: full text — See specific claim qualifications.
https://aseannow.com/topic/1154872-songkhla-bars-foreigners-from-use-of-border-crossings/: search extract — See specific claim qualifications.
https://www.nationthailand.com/news/30384573: inaccessible — See specific claim qualifications.
https://www.nationthailand.com/in-focus/40015141: full text — See specific claim qualifications.
Earlier source URLs not separately listed in this audit’s retrieval log (historical access notes below are not fresh verification):
https://mfa.go.th/en/content/press-briefing-25may22?page=5d5bd3da15e39c306002aaf9
https://thailand.iom.int/sites/g/files/tmzbdl1371/files/documents/unnm-covid19-sitrep_may-2022.pdf
https://www.caat.or.th/en/caat-media/173984/
https://www.mdn.gov.mm/en/myawady-thai-border-gates-closed
https://www.moi.gov.mm/moi%3Aeng/news/9198
https://www.nationthailand.com/thailand/general/40025038
https://elevenmyanmar.com/news/thailand-temporarily-closes-all-nine-border-checkpoints-due-to-covid-19
Earlier recorded access
Source 1: full text
Source 2: full text
Source 3: full text</x:v>
      </x:c>
      <x:c r="P101" s="20" t="n">
        <x:v>1</x:v>
      </x:c>
      <x:c r="Q101" s="4" t="str">
        <x:v>East and Southeast Asia and Oceania</x:v>
      </x:c>
      <x:c r="R101" s="4" t="str">
        <x:v>Included</x:v>
      </x:c>
    </x:row>
    <x:row r="102" ht="409" hidden="0" customHeight="1">
      <x:c r="A102" s="16" t="str">
        <x:v>EA016</x:v>
      </x:c>
      <x:c r="B102" s="4" t="str">
        <x:v>Laos COVID closure of international passenger border gates</x:v>
      </x:c>
      <x:c r="C102" s="4" t="str">
        <x:v>Laos; Thailand; China; Vietnam; Cambodia; Myanmar</x:v>
      </x:c>
      <x:c r="D102" s="4" t="str">
        <x:v>All international gates; land component</x:v>
      </x:c>
      <x:c r="E102" s="4" t="str">
        <x:v>International passengers
Direction: International passenger crossing; detailed direction exemptions require order-level review
Exceptions: The April 2020 foreign-ministry account excepts goods transport and emergency entry/exit. Later authorised tourist categories and route-specific permissions require separate reconstruction; the First Friendship Bridge pilot does not establish the selected Second Bridge chronology.</x:v>
      </x:c>
      <x:c r="F102" s="4" t="str">
        <x:v>EA016-D1 — Observed operation
Selected Laos national-order phase restricting ordinary passengers on Mukdahan–Savannakhet's Second Friendship Bridge, to observed reopening.
Start: 2020-03-30.
Observed scoped reopening: 2022-05-09.
Contested: dated evidence; numeric duration withheld; see qualification
Held evidence: excluded from numeric duration and animation displays.</x:v>
      </x:c>
      <x:c r="G10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02" s="4" t="str">
        <x:v>EA016-D1: Earlier local measures are not assigned the national date. The earlier First Friendship Bridge tourism pilot was a different route. Authorised exceptions remain excluded, and Chinese-side Boten restrictions did not end on this date. The saved full audit recovered competing March19, March30 and April3 passenger-rule dates. Their application to the Second Friendship Bridge and uninterrupted ordinary-passenger restriction until May9,2022 are not established. Retain the claimed date as disputed evidence; withhold the apparent 770-day operational duration.
onset: VietnamPlus dates Laos international passenger closure to March 30, 2020, but an April 5 Vietnamese government account describes April 3–19 international restrictions and March 19–April 20 bilateral smaller-gate rules. RFA observes Mukdahan–Savannakhet traffic on May 9, 2022. The exact beginning and uninterrupted ordinary-passenger regime for that bridge need reconciliation; the observed endpoint does not validate the entire 770-day span.
continuity: VietnamPlus dates Laos international passenger closure to March 30, 2020, but an April 5 Vietnamese government account describes April 3–19 international restrictions and March 19–April 20 bilateral smaller-gate rules. RFA observes Mukdahan–Savannakhet traffic on May 9, 2022. The exact beginning and uninterrupted ordinary-passenger regime for that bridge need reconciliation; the observed endpoint does not validate the entire 770-day span.</x:v>
      </x:c>
      <x:c r="I102" s="4" t="str">
        <x:v>Second full-register audit, 26 October 2026: qualified. The May 9 Second Friendship Bridge reopening is directly supported, but the exact initial bridge passenger-service halt remains unresolved. National and local measures must remain distinct.</x:v>
      </x:c>
      <x:c r="J102" s="18" t="d">
        <x:v>2026-10-26T00:00:00.000Z</x:v>
      </x:c>
      <x:c r="K102" s="21" t="str">
        <x:f>IFERROR(HYPERLINK("https://en.vietnamplus.vn/vietnam-suspends-residents-border-crossing-fromto-laos-cambodia-over-covid-19-post170993.vnp","Vietnam News Agency / VietnamPlus"),"Vietnam News Agency / VietnamPlus")</x:f>
        <x:v>Vietnam News Agency / VietnamPlus</x:v>
      </x:c>
      <x:c r="L102" s="21" t="str">
        <x:f>IFERROR(HYPERLINK("https://laoairlines.com/en/entry-requirements-to-the-lao/?paged=4","Lao Airlines"),"Lao Airlines")</x:f>
        <x:v>Lao Airlines</x:v>
      </x:c>
      <x:c r="M102" s="21" t="str">
        <x:f>IFERROR(HYPERLINK("https://www.tourismlaos.org/2021/12/24/2869/","Tourism Laos"),"Tourism Laos")</x:f>
        <x:v>Tourism Laos</x:v>
      </x:c>
      <x:c r="N102" s="4" t="str">
        <x:v>https://en.vietnamplus.vn/vietnam-suspends-residents-border-crossing-fromto-laos-cambodia-over-covid-19-post170993.vnp
https://laoairlines.com/en/entry-requirements-to-the-lao/?paged=4
https://www.tourismlaos.org/2021/12/24/2869/
https://www.rfa.org/english/news/laos/reopen-05102022163318.html
https://baochinhphu.vn/thay-doi-trong-quy-dinh-xuat-nhap-canh-giua-viet-nam-lao-de-phong-chong-covid-19-102270684.htm
https://kpl.gov.la/En/detail.aspx?id=51331
https://kpl.gov.la/en/detail.aspx?id=54568
https://laotiantimes.com/2022/05/10/quiet-at-laos-border-checkpoints-on-first-day-of-full-reopening/
https://jclao.com/lockdown-govt-toughens-virus-prevention-measures/
https://m.en.freshnewsasia.com/index.php/en/internationalnews/17575-2020-03-30-08-11-01.html
https://wiki.unece.org/pages/viewpage.action?navigatingVersions=true&amp;pageId=113345527</x:v>
      </x:c>
      <x:c r="O102" s="4" t="str">
        <x:v>Second full-register audit source access, 26 October 2026
https://en.vietnamplus.vn/vietnam-suspends-residents-border-crossing-fromto-laos-cambodia-over-covid-19-post170993.vnp: full text (fresh retrieval) — Not proof of universal access or exact elapsed closed hours.
https://baochinhphu.vn/thay-doi-trong-quy-dinh-xuat-nhap-canh-giua-viet-nam-lao-de-phong-chong-covid-19-102270684.htm: full text (previously retrieved text re-examined) — Not proof of universal access or exact elapsed closed hours.
https://m.en.freshnewsasia.com/index.php/en/internationalnews/17575-2020-03-30-08-11-01.html: search extract (previously retrieved text re-examined) — Not proof of universal access or exact elapsed closed hours.
https://www.rfa.org/english/news/laos/reopen-05102022163318.html: full text (fresh retrieval) — Not proof of universal access or exact elapsed closed hours.
https://laotiantimes.com/2022/05/10/quiet-at-laos-border-checkpoints-on-first-day-of-full-reopening/: full text (previously retrieved text re-examined) — Different bridge from the scoped Second Bridge phase.
https://wiki.unece.org/pages/viewpage.action?navigatingVersions=true&amp;pageId=113345527: search extract (fresh retrieval) — Fresh direct 403; dated index extract is Thai-side scope, not Lao initial order.
Earlier URLs not separately inspected in this second assessment:
https://laoairlines.com/en/entry-requirements-to-the-lao/?paged=4
https://www.tourismlaos.org/2021/12/24/2869/
https://kpl.gov.la/En/detail.aspx?id=51331
https://kpl.gov.la/en/detail.aspx?id=54568
https://jclao.com/lockdown-govt-toughens-virus-prevention-measures/
Prior audit access record
Full-register audit source access (evidence cutoff 25 October 2026)
https://en.vietnamplus.vn/vietnam-suspends-residents-border-crossing-fromto-laos-cambodia-over-covid-19-post170993.vnp: full text — See specific claim qualifications.
https://baochinhphu.vn/thay-doi-trong-quy-dinh-xuat-nhap-canh-giua-viet-nam-lao-de-phong-chong-covid-19-102270684.htm: full text — See specific claim qualifications.
https://www.rfa.org/english/news/laos/reopen-05102022163318.html: full text — See specific claim qualifications.
https://laotiantimes.com/2022/05/10/quiet-at-laos-border-checkpoints-on-first-day-of-full-reopening/: full text — See specific claim qualifications.
https://m.en.freshnewsasia.com/index.php/en/internationalnews/17575-2020-03-30-08-11-01.html: search extract — See specific claim qualifications.
https://www.tourismlaos.org/2021/12/24/2869/: inaccessible — See specific claim qualifications.
Earlier source URLs not separately listed in this audit’s retrieval log (historical access notes below are not fresh verification):
https://laoairlines.com/en/entry-requirements-to-the-lao/?paged=4
https://kpl.gov.la/En/detail.aspx?id=51331
https://kpl.gov.la/en/detail.aspx?id=54568
https://jclao.com/lockdown-govt-toughens-virus-prevention-measures/
Earlier recorded access
Source 1: full text
Source 2: full page
Source 3: indexed extract</x:v>
      </x:c>
      <x:c r="P102" s="20" t="n">
        <x:v>1</x:v>
      </x:c>
      <x:c r="Q102" s="4" t="str">
        <x:v>East and Southeast Asia and Oceania</x:v>
      </x:c>
      <x:c r="R102" s="4" t="str">
        <x:v>Included</x:v>
      </x:c>
    </x:row>
    <x:row r="103" ht="409" hidden="0" customHeight="1">
      <x:c r="A103" s="16" t="str">
        <x:v>EA014</x:v>
      </x:c>
      <x:c r="B103" s="4" t="str">
        <x:v>Vietnam suspends individual crossings with Laos and Cambodia</x:v>
      </x:c>
      <x:c r="C103" s="4" t="str">
        <x:v>Vietnam; Laos; Cambodia</x:v>
      </x:c>
      <x:c r="D103" s="4" t="str">
        <x:v>Main secondary and trail crossings withLaos/Cambodia</x:v>
      </x:c>
      <x:c r="E103" s="4" t="str">
        <x:v>Individuals crossing land borders
Direction: Individual entry and exit on Vietnam side</x:v>
      </x:c>
      <x:c r="F103" s="4" t="str">
        <x:v>EA014-R1 — Formal policy
Vietnam-side main/secondary gates and trails on Laos frontier, individual travel
Start: 2020-04-01.
Last confirmed: 2020-04-05. Reopening is not established.
Formal policy: confirmed through 2020-04-05; at least 4 calendar-day difference; reopening unknown
EA014-AUDIT20261025-1 — Formal policy; effective 2020-04-01, endpoint unknown
The March 31 VNA announcement also covers individuals at main/secondary gates and trails on the Cambodia frontier. The April 5 follow-up above specifically addresses Laos.
Later national policy restoration — 2022-03-15
Pre-COVID foreign-arrival immigration procedures were restored; March 17 official guidance expressly includes road entry subject to health requirements. This does not certify every minor gate or trail reopened.</x:v>
      </x:c>
      <x:c r="G10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03" s="4" t="str">
        <x:v>EA014-R1: April 5 is substantive policy observation cutoff, not reopening. Official Government News republication was fully inspected in review; original consular URL timed out. No international-gate-wide or freight ban inferred.
March 2022 restoration bounds the general foreign-entry restriction, but the historical phase specifically concerns main/secondary gates and trails. Named-gate operational endpoints and bilateral reciprocity remain unknown.</x:v>
      </x:c>
      <x:c r="I103" s="4" t="str">
        <x:v>Second full-register audit, 26 October 2026: qualified. Vietnam's two frontier phases and later national foreign-entry restoration are supported; no source establishes simultaneous reopening of every minor gate or trail.</x:v>
      </x:c>
      <x:c r="J103" s="18" t="d">
        <x:v>2026-10-26T00:00:00.000Z</x:v>
      </x:c>
      <x:c r="K103" s="21" t="str">
        <x:f>IFERROR(HYPERLINK("https://en.vietnamplus.vn/vietnam-suspends-residents-border-crossing-fromto-laos-cambodia-over-covid-19-post170993.vnp","VietnamPlus / Vietnam News Agency"),"VietnamPlus / Vietnam News Agency")</x:f>
        <x:v>VietnamPlus / Vietnam News Agency</x:v>
      </x:c>
      <x:c r="L103" s="21" t="str">
        <x:f>IFERROR(HYPERLINK("https://lanhsuvietnam.gov.vn/Lists/BaiViet/B%C3%A0i%20vi%E1%BA%BFt/DispForm.aspx?ID=1048&amp;List=dc7c7d75-6a32-4215-afeb-47d4bee70eee","Vietnam Consular Department"),"Vietnam Consular Department")</x:f>
        <x:v>Vietnam Consular Department</x:v>
      </x:c>
      <x:c r="M103" s="21" t="str">
        <x:f>IFERROR(HYPERLINK("https://baochinhphu.vn/thay-doi-trong-quy-dinh-xuat-nhap-canh-giua-viet-nam-lao-de-phong-chong-covid-19-102270684.htm","Vietnam Government News"),"Vietnam Government News")</x:f>
        <x:v>Vietnam Government News</x:v>
      </x:c>
      <x:c r="N103" s="4" t="str">
        <x:v>https://en.vietnamplus.vn/vietnam-suspends-residents-border-crossing-fromto-laos-cambodia-over-covid-19-post170993.vnp
https://lanhsuvietnam.gov.vn/Lists/BaiViet/B%C3%A0i%20vi%E1%BA%BFt/DispForm.aspx?ID=1048&amp;List=dc7c7d75-6a32-4215-afeb-47d4bee70eee
https://baochinhphu.vn/thay-doi-trong-quy-dinh-xuat-nhap-canh-giua-viet-nam-lao-de-phong-chong-covid-19-102270684.htm
https://baochinhphu.vn/dieu-chinh-quy-dinh-qua-lai-tai-cac-cua-khau-bien-gioi-voi-campuchia-va-lao-102270397.htm
https://baochinhphu.vn/khoi-phuc-chinh-sach-xuat-nhap-canh-tu-ngay-15-3-102220315170507391.htm
https://en.baochinhphu.vn/travel-restrictions-relaxed-as-viet-nam-fully-opens-borders-to-foreign-arrivals-111220317203250536.htm</x:v>
      </x:c>
      <x:c r="O103" s="4" t="str">
        <x:v>Second full-register audit source access, 26 October 2026
https://en.vietnamplus.vn/vietnam-suspends-residents-border-crossing-fromto-laos-cambodia-over-covid-19-post170993.vnp: full text (fresh retrieval) — Not proof of universal access or exact elapsed closed hours.
https://baochinhphu.vn/thay-doi-trong-quy-dinh-xuat-nhap-canh-giua-viet-nam-lao-de-phong-chong-covid-19-102270684.htm: full text (previously retrieved text re-examined) — Not proof of universal access or exact elapsed closed hours.
https://baochinhphu.vn/khoi-phuc-chinh-sach-xuat-nhap-canh-tu-ngay-15-3-102220315170507391.htm: full text (previously retrieved text re-examined) — Not proof of universal access or exact elapsed closed hours.
https://en.baochinhphu.vn/travel-restrictions-relaxed-as-viet-nam-fully-opens-borders-to-foreign-arrivals-111220317203250536.htm: full text (previously retrieved text re-examined) — Not proof of universal access or exact elapsed closed hours.
Earlier URLs not separately inspected in this second assessment:
https://lanhsuvietnam.gov.vn/Lists/BaiViet/B%C3%A0i%20vi%E1%BA%BFt/DispForm.aspx?ID=1048&amp;List=dc7c7d75-6a32-4215-afeb-47d4bee70eee
https://baochinhphu.vn/dieu-chinh-quy-dinh-qua-lai-tai-cac-cua-khau-bien-gioi-voi-campuchia-va-lao-102270397.htm
Prior audit access record
Full-register audit source access (evidence cutoff 25 October 2026)
https://en.vietnamplus.vn/vietnam-suspends-residents-border-crossing-fromto-laos-cambodia-over-covid-19-post170993.vnp: full text — See specific claim qualifications.
https://baochinhphu.vn/thay-doi-trong-quy-dinh-xuat-nhap-canh-giua-viet-nam-lao-de-phong-chong-covid-19-102270684.htm: full text — See specific claim qualifications.
https://baochinhphu.vn/khoi-phuc-chinh-sach-xuat-nhap-canh-tu-ngay-15-3-102220315170507391.htm: full text — See specific claim qualifications.
https://en.baochinhphu.vn/travel-restrictions-relaxed-as-viet-nam-fully-opens-borders-to-foreign-arrivals-111220317203250536.htm: full text — See specific claim qualifications.
Earlier source URLs not separately listed in this audit’s retrieval log (historical access notes below are not fresh verification):
https://lanhsuvietnam.gov.vn/Lists/BaiViet/B%C3%A0i%20vi%E1%BA%BFt/DispForm.aspx?ID=1048&amp;List=dc7c7d75-6a32-4215-afeb-47d4bee70eee
https://baochinhphu.vn/dieu-chinh-quy-dinh-qua-lai-tai-cac-cua-khau-bien-gioi-voi-campuchia-va-lao-102270397.htm
Earlier recorded access
Source 1: full; full text
Source 2: indexed excerpt; failed
Source 3: full; full text</x:v>
      </x:c>
      <x:c r="P103" s="20" t="n">
        <x:v>2</x:v>
      </x:c>
      <x:c r="Q103" s="4" t="str">
        <x:v>East and Southeast Asia and Oceania</x:v>
      </x:c>
      <x:c r="R103" s="4" t="str">
        <x:v>Included</x:v>
      </x:c>
    </x:row>
    <x:row r="104" ht="409" hidden="0" customHeight="1">
      <x:c r="A104" s="16" t="str">
        <x:v>EA020</x:v>
      </x:c>
      <x:c r="B104" s="4" t="str">
        <x:v>North Korea China rail freight COVID suspension</x:v>
      </x:c>
      <x:c r="C104" s="4" t="str">
        <x:v>North Korea; China</x:v>
      </x:c>
      <x:c r="D104" s="4" t="str">
        <x:v>Sinuiju–Dandong railway</x:v>
      </x:c>
      <x:c r="E104" s="4" t="str">
        <x:v>Rail cargo
Direction: Both directions
Exceptions: Other modes not assessed; passenger controls separately recorded.</x:v>
      </x:c>
      <x:c r="F104" s="4" t="str">
        <x:v>EA020-D1 — Observed operation
Cross-border freight-train movements on Sinuiju–Dandong, to the first reported resumed train.
Start: 2020-08-01 to 2020-08-31.
Observed scoped reopening: 2022-01-16.
Contested: dated evidence; numeric duration withheld; see qualification
Held evidence: excluded from numeric duration and animation displays.</x:v>
      </x:c>
      <x:c r="G10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04" s="4" t="str">
        <x:v>January 16, 2022 train movement is documented, but RFA reports a short November 2021 rail reopening and an earlier aid exception. The conflict with Yonhap's first formal opening account remains unresolved; do not count August 2020–January 2022 as an uninterrupted operational closure.
EA020-D1: January 16, 2022 movement is documented, but two contemporary RFA reports describe a November 2021 reopening and interruption; an earlier aid exception is also reported. These conflict with the later first-formal-opening account. Continuous operational duration is withheld pending reconciliation.
continuity: Fresh retrieval confirms the contrary November account is substantive. The Chinese-language targeted pass did not produce independent operating records resolving the conflict or April exception. Existing duration hold remains necessary.
Current finding: Yonhap observes January 16, 2022 Dandong freight, while RFA reports November 1, 2021 restart followed by suspension eight days later. The existing contested chronology rightly withholds a continuous interval; November movements must be resolved rather than erased by the January first-train claim.
source verification: Fresh retrieval confirms the contrary November account is substantive. The Chinese-language targeted pass did not produce independent operating records resolving the conflict or April exception. Existing duration hold remains necessary.
onset: Yonhap observes January 16, 2022 Dandong freight, while RFA reports November 1, 2021 restart followed by suspension eight days later. The existing contested chronology rightly withholds a continuous interval; November movements must be resolved rather than erased by the January first-train claim.</x:v>
      </x:c>
      <x:c r="I104" s="4" t="str">
        <x:v>Second full-register audit, 26 October 2026: qualified. The November 2021 freight restart and re-suspension reports are substantive and cannot be reconciled by treating the January 2022 train as the first possible movement. Retain the held complete-duration interval.</x:v>
      </x:c>
      <x:c r="J104" s="18" t="d">
        <x:v>2026-10-26T00:00:00.000Z</x:v>
      </x:c>
      <x:c r="K104" s="21" t="str">
        <x:f>IFERROR(HYPERLINK("https://en.yna.co.kr/view/AEN20220618001900315","Yonhap"),"Yonhap")</x:f>
        <x:v>Yonhap</x:v>
      </x:c>
      <x:c r="L104" s="21" t="str">
        <x:f>IFERROR(HYPERLINK("https://en.yna.co.kr/view/AEN20220116001352325","Yonhap"),"Yonhap")</x:f>
        <x:v>Yonhap</x:v>
      </x:c>
      <x:c r="M104" s="21" t="str">
        <x:f>IFERROR(HYPERLINK("https://www.rfa.org/english/news/korea/freight-11022021193033.html","rfa.org"),"rfa.org")</x:f>
        <x:v>rfa.org</x:v>
      </x:c>
      <x:c r="N104" s="4" t="str">
        <x:v>https://en.yna.co.kr/view/AEN20220618001900315
https://en.yna.co.kr/view/AEN20220116001352325
https://www.rfa.org/english/news/korea/freight-11022021193033.html
https://www.rfa.org/english/news/korea/virus-11082021185243.html
https://en.yna.co.kr/view/AEN20220117003200325
https://www.fmprc.gov.cn/eng./xw/fyrbt/lxjzh/202405/t20240530_11347208.html
https://www.euronews.com/2022/01/16/us-northkorea-china-train</x:v>
      </x:c>
      <x:c r="O104" s="4" t="str">
        <x:v>Second full-register audit source access, 26 October 2026
https://en.yna.co.kr/view/AEN20220618001900315: full text (previously retrieved text re-examined) — Scope and duration qualifications apply.
https://en.yna.co.kr/view/AEN20220116001352325: full text (previously retrieved text re-examined) — Scope and duration qualifications apply.
https://www.rfa.org/english/news/korea/freight-11022021193033.html: full text (fresh retrieval) — Anonymous operational sources; April aid train also reported.
https://www.rfa.org/english/news/korea/virus-11082021185243.html: full text (fresh retrieval) — Eight-day narrative and November 1 restart; not independently corroborated operating logs.
https://www.fmprc.gov.cn/eng./xw/fyrbt/lxjzh/202405/t20240530_11347208.html: search extract (previously retrieved text re-examined) — Migrated URL year is not original statement date.
Earlier URLs not separately inspected in this second assessment:
https://en.yna.co.kr/view/AEN20220117003200325
https://www.euronews.com/2022/01/16/us-northkorea-china-train
Prior audit access record
Full-register audit source access (evidence cutoff 25 October 2026)
https://en.yna.co.kr/view/AEN20220618001900315: full text — See specific claim qualifications.
https://en.yna.co.kr/view/AEN20220116001352325: full text — See specific claim qualifications.
https://www.rfa.org/english/news/korea/freight-11022021193033.html: full text — See specific claim qualifications.
https://www.rfa.org/english/news/korea/virus-11082021185243.html: full text — See specific claim qualifications.
https://www.fmprc.gov.cn/eng./xw/fyrbt/lxjzh/202405/t20240530_11347208.html: search extract — See specific claim qualifications.
https://www.euronews.com/2022/01/16/us-northkorea-china-train: search extract — See specific claim qualifications.
Earlier source URLs not separately listed in this audit’s retrieval log (historical access notes below are not fresh verification):
https://en.yna.co.kr/view/AEN20220117003200325
Earlier recorded access
Source 1: full page
Source 2: full page
Source 3: access detail is retained in the source catalogue.</x:v>
      </x:c>
      <x:c r="P104" s="20" t="n">
        <x:v>1</x:v>
      </x:c>
      <x:c r="Q104" s="4" t="str">
        <x:v>East and Southeast Asia and Oceania</x:v>
      </x:c>
      <x:c r="R104" s="4" t="str">
        <x:v>Included</x:v>
      </x:c>
    </x:row>
    <x:row r="105" ht="409" hidden="0" customHeight="1">
      <x:c r="A105" s="16" t="str">
        <x:v>EA033</x:v>
      </x:c>
      <x:c r="B105" s="4" t="str">
        <x:v>China closes remaining Kyinsankyawt Pangsai Muse freight gates during COVID surge</x:v>
      </x:c>
      <x:c r="C105" s="4" t="str">
        <x:v>China; Myanmar</x:v>
      </x:c>
      <x:c r="D105" s="4" t="str">
        <x:v>Kyinsankyawt–Wamting and Pangsai–Wamting cargo gates</x:v>
      </x:c>
      <x:c r="E105" s="4" t="str">
        <x:v>Cargo crossings at remaining operating Muse gates
Direction: Both-way trade; initially separately routed entry/exit
Exceptions: Reopening trial used containers and driver substitution; other Muse gates stayed restricted.</x:v>
      </x:c>
      <x:c r="F105" s="4" t="str">
        <x:v>EA033-D1 — Observed operation
Kyinsankyawt cargo-gate closure, to the limited container/driver-substitution reopening.
Start: 2021-07-08.
Observed scoped reopening: 2021-11-26.
141 calendar-day difference; scoped endpoint only</x:v>
      </x:c>
      <x:c r="G10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05" s="4" t="str">
        <x:v>Kyinsankyawt's qualified reopening date is November 26, 2021. A January 2023 state article prints 2022 and a December 1, 2021 article prints September 26; contemporary November 25 closed-since-July reporting, actual November 27 cargo and later operational chronology favour November 2021. Pangsai remained closed in January 2022 and has no shared endpoint.
EA033-D1: The November 26, 2021 reopening is supported by contemporary November 25 planning, November 27 actual cargo and later operational reporting. One state article prints 2022 and another prints September 26; these appear to be year/month errors and are preserved as conflicts. Pangsai is excluded from this endpoint. State-media repetitions are one lineage.</x:v>
      </x:c>
      <x:c r="I105" s="4" t="str">
        <x:v>Second full-register audit, 26 October 2026: qualified. The qualified November 26, 2021 Kyinsankyawt reopening is supported despite contradictory printed month/year references. Pangsai still lacks a verified actual endpoint and must not inherit it.</x:v>
      </x:c>
      <x:c r="J105" s="18" t="d">
        <x:v>2026-10-26T00:00:00.000Z</x:v>
      </x:c>
      <x:c r="K105" s="21" t="str">
        <x:f>IFERROR(HYPERLINK("https://www.moi.gov.mm/moi%3Aeng/news/4027","Myanmar Ministry of Information"),"Myanmar Ministry of Information")</x:f>
        <x:v>Myanmar Ministry of Information</x:v>
      </x:c>
      <x:c r="L105" s="21" t="str">
        <x:f>IFERROR(HYPERLINK("https://myanmar-now.org/en/news/limited-trade-to-restart-on-china-myanmar-border/?tztc=1","Myanmar Now"),"Myanmar Now")</x:f>
        <x:v>Myanmar Now</x:v>
      </x:c>
      <x:c r="M105" s="21" t="str">
        <x:f>IFERROR(HYPERLINK("https://www.moi.gov.mm/moi:eng/news/9216","Myanmar Ministry of Information"),"Myanmar Ministry of Information")</x:f>
        <x:v>Myanmar Ministry of Information</x:v>
      </x:c>
      <x:c r="N105" s="4" t="str">
        <x:v>https://www.moi.gov.mm/moi%3Aeng/news/4027
https://myanmar-now.org/en/news/limited-trade-to-restart-on-china-myanmar-border/?tztc=1
https://www.moi.gov.mm/moi:eng/news/9216
https://www.moi.gov.mm/moi%3Aeng/news/9127
https://myanmar-now.org/en/news/limited-trade-to-restart-on-china-myanmar-border/
https://mdn.gov.mm/en/chinese-drivers-bring-back-myanmar-watermelon-unloading-goods
https://www.moi.gov.mm/moi%3Aeng/news/11742
https://ispmyanmar.com/myanmar-china-border-trade-crisis-continues/
https://www.moi.gov.mm/moi:eng/news/4027
https://mdn.gov.mm/en/about-40-trucks-myanmar-products-exported-daily-china-through-kyinsankyawt-trade-post
https://www.moi.gov.mm/moi:eng/news/9127
https://www.mizzima.com/article/china-myanmar-border-trade-gates-reopen-8-january-after-3-year-covid-closure</x:v>
      </x:c>
      <x:c r="O105" s="4" t="str">
        <x:v>Second full-register audit source access, 26 October 2026
https://mdn.gov.mm/en/chinese-drivers-bring-back-myanmar-watermelon-unloading-goods: full text (fresh retrieval) — Limited to the stated dated scope; repeated reporting is not independent corroboration.
https://www.moi.gov.mm/moi%3Aeng/news/4027: full text (previously retrieved text re-examined) — Limited to the stated dated scope; repeated reporting is not independent corroboration.
https://myanmar-now.org/en/news/limited-trade-to-restart-on-china-myanmar-border/: full text (previously retrieved text re-examined) — Limited to the stated dated scope; repeated reporting is not independent corroboration.
https://mdn.gov.mm/en/about-40-trucks-myanmar-products-exported-daily-china-through-kyinsankyawt-trade-post: full text (previously retrieved text re-examined) — Limited to the stated dated scope; repeated reporting is not independent corroboration.
https://ispmyanmar.com/myanmar-china-border-trade-crisis-continues/: search extract (previously retrieved text re-examined) — Limited to the stated dated scope; repeated reporting is not independent corroboration.
https://www.mizzima.com/article/china-myanmar-border-trade-gates-reopen-8-january-after-3-year-covid-closure: search extract (fresh retrieval) — Prospective plan, not observed Pangsai reopening.
Earlier URLs not separately inspected in this second assessment:
https://myanmar-now.org/en/news/limited-trade-to-restart-on-china-myanmar-border/?tztc=1
https://www.moi.gov.mm/moi:eng/news/9216
https://www.moi.gov.mm/moi%3Aeng/news/9127
https://www.moi.gov.mm/moi%3Aeng/news/11742
https://www.moi.gov.mm/moi:eng/news/4027
https://www.moi.gov.mm/moi:eng/news/9127
Prior audit access record
Full-register audit source access (evidence cutoff 25 October 2026)
https://www.moi.gov.mm/moi:eng/news/4027: full text — See specific claim qualifications.
https://myanmar-now.org/en/news/limited-trade-to-restart-on-china-myanmar-border/: full text — See specific claim qualifications.
https://mdn.gov.mm/en/chinese-drivers-bring-back-myanmar-watermelon-unloading-goods: full text — See specific claim qualifications.
https://mdn.gov.mm/en/about-40-trucks-myanmar-products-exported-daily-china-through-kyinsankyawt-trade-post: full text — See specific claim qualifications.
https://www.moi.gov.mm/moi:eng/news/9127: full text — See specific claim qualifications.
https://ispmyanmar.com/myanmar-china-border-trade-crisis-continues/: search extract — See specific claim qualifications.
https://www.mizzima.com/article/china-myanmar-border-trade-gates-reopen-8-january-after-3-year-covid-closure: search extract — See specific claim qualifications.
Earlier source URLs not separately listed in this audit’s retrieval log (historical access notes below are not fresh verification):
https://www.moi.gov.mm/moi%3Aeng/news/4027
https://myanmar-now.org/en/news/limited-trade-to-restart-on-china-myanmar-border/?tztc=1
https://www.moi.gov.mm/moi:eng/news/9216
https://www.moi.gov.mm/moi%3Aeng/news/9127
https://www.moi.gov.mm/moi%3Aeng/news/11742
Earlier recorded access
Source 1: full page
Source 2: search extract
Source 3: full page</x:v>
      </x:c>
      <x:c r="P105" s="20" t="n">
        <x:v>1</x:v>
      </x:c>
      <x:c r="Q105" s="4" t="str">
        <x:v>East and Southeast Asia and Oceania</x:v>
      </x:c>
      <x:c r="R105" s="4" t="str">
        <x:v>Included</x:v>
      </x:c>
    </x:row>
    <x:row r="106" ht="342" hidden="0" customHeight="1">
      <x:c r="A106" s="16" t="str">
        <x:v>EA031</x:v>
      </x:c>
      <x:c r="B106" s="4" t="str">
        <x:v>Cambodia temporarily blocks returnees from Thailand during Delta surge</x:v>
      </x:c>
      <x:c r="C106" s="4" t="str">
        <x:v>Cambodia; Thailand</x:v>
      </x:c>
      <x:c r="D106" s="4" t="str">
        <x:v>Cambodian land checkpoints with Thailand; Banteay Meanchey/Sa Kaeo and O’Smach reopening documented</x:v>
      </x:c>
      <x:c r="E106" s="4" t="str">
        <x:v>Cambodian returning migrants, vendors and other travellers
Direction: Both-way passenger order; documented impact chiefly return to Cambodia
Exceptions: Freight and authorised emergencies.</x:v>
      </x:c>
      <x:c r="F106" s="4" t="str">
        <x:v>EA031-D1 — Observed operation
Ordinary returnee admission into Cambodia through Banteay Meanchey, to the first reported resumed returns.
Start: 2021-07-29 to 2021-07-30.
Observed scoped reopening: 2021-08-12.
13–14 calendar-day difference; scoped endpoint only</x:v>
      </x:c>
      <x:c r="G10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06" s="4" t="str">
        <x:v>EA031-D1: Goods and authorised emergencies were exempt. O'Smach resumed on August 13 and is not assigned this endpoint. Day bounds do not imply full 24-hour days of closure.</x:v>
      </x:c>
      <x:c r="I106" s="4" t="str">
        <x:v>Second full-register audit, 26 October 2026: qualified. The returnee-specific August 12 endpoint is corroborated; O’Smach’s August 13 resumption remains correctly separate.</x:v>
      </x:c>
      <x:c r="J106" s="18" t="d">
        <x:v>2026-10-26T00:00:00.000Z</x:v>
      </x:c>
      <x:c r="K106" s="21" t="str">
        <x:f>IFERROR(HYPERLINK("https://cambojanews.com/govt-locks-down-border-provinces-and-announces-new-nationwide-restrictions-amid-fears-of-spreading-delta-variant/","CamboJA News"),"CamboJA News")</x:f>
        <x:v>CamboJA News</x:v>
      </x:c>
      <x:c r="L106" s="21" t="str">
        <x:f>IFERROR(HYPERLINK("https://cambojanews.com/cambodian-migrant-workers-start-coming-home-as-border-reopens/","CamboJA News"),"CamboJA News")</x:f>
        <x:v>CamboJA News</x:v>
      </x:c>
      <x:c r="M106" s="21" t="str">
        <x:f>IFERROR(HYPERLINK("https://www.thejakartapost.com/seasia/2021/07/29/cambodia-to-impose-covid-19-lockdowns-in-areas-bordering-thailand.html","The Jakarta Post"),"The Jakarta Post")</x:f>
        <x:v>The Jakarta Post</x:v>
      </x:c>
      <x:c r="N106" s="4" t="str">
        <x:v>https://cambojanews.com/govt-locks-down-border-provinces-and-announces-new-nationwide-restrictions-amid-fears-of-spreading-delta-variant/
https://cambojanews.com/cambodian-migrant-workers-start-coming-home-as-border-reopens/
https://www.thejakartapost.com/seasia/2021/07/29/cambodia-to-impose-covid-19-lockdowns-in-areas-bordering-thailand.html</x:v>
      </x:c>
      <x:c r="O106" s="4" t="str">
        <x:v>Second full-register audit source access, 26 October 2026
https://cambojanews.com/govt-locks-down-border-provinces-and-announces-new-nationwide-restrictions-amid-fears-of-spreading-delta-variant/: full text (fresh retrieval)
https://cambojanews.com/cambodian-migrant-workers-start-coming-home-as-border-reopens/: full text (fresh retrieval)
Earlier URLs not separately inspected in this second assessment:
https://www.thejakartapost.com/seasia/2021/07/29/cambodia-to-impose-covid-19-lockdowns-in-areas-bordering-thailand.html
Prior audit access record
Full-register audit source access (evidence cutoff 25 October 2026)
https://cambojanews.com/govt-locks-down-border-provinces-and-announces-new-nationwide-restrictions-amid-fears-of-spreading-delta-variant/: full text
https://cambojanews.com/cambodian-migrant-workers-start-coming-home-as-border-reopens/: full text — Same newsroom, with separate named provincial officials; not wholly independent publications.
Earlier source URLs not separately listed in this audit’s retrieval log (historical access notes below are not fresh verification):
https://www.thejakartapost.com/seasia/2021/07/29/cambodia-to-impose-covid-19-lockdowns-in-areas-bordering-thailand.html
Earlier recorded access
Source 1: full page
Source 2: full page
Source 3: search extract</x:v>
      </x:c>
      <x:c r="P106" s="20" t="n">
        <x:v>1</x:v>
      </x:c>
      <x:c r="Q106" s="4" t="str">
        <x:v>East and Southeast Asia and Oceania</x:v>
      </x:c>
      <x:c r="R106" s="4" t="str">
        <x:v>Included</x:v>
      </x:c>
    </x:row>
    <x:row r="107" ht="409" hidden="0" customHeight="1">
      <x:c r="A107" s="16" t="str">
        <x:v>EA029</x:v>
      </x:c>
      <x:c r="B107" s="4" t="str">
        <x:v>Erenhot Zamyn Uud road freight stopped during COVID outbreak</x:v>
      </x:c>
      <x:c r="C107" s="4" t="str">
        <x:v>China; Mongolia</x:v>
      </x:c>
      <x:c r="D107" s="4" t="str">
        <x:v>Erenhot–Zamyn-Uud road freight</x:v>
      </x:c>
      <x:c r="E107" s="4" t="str">
        <x:v>Road cargo
Direction: Initial reopening China to Mongolia only
Exceptions: Rail traffic operated under different arrangements; no full rail closure inferred.</x:v>
      </x:c>
      <x:c r="F107" s="4" t="str">
        <x:v>EA029-D1 — Observed operation
China-to-Mongolia road-freight restriction through Erenhot–Zamyn-Uud until the first documented limited December trial and stranded-vehicle admissions.
Start: 2021-10-13 to 2021-10-14.
Observed scoped reopening: 2021-12-08 to 2021-12-11.
55–59 calendar-day difference; scoped endpoint only</x:v>
      </x:c>
      <x:c r="G10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07" s="4" t="str">
        <x:v>October 13–14 onset conflict remains. A December 8 border-area container trial and documented December 11 goods/vehicle admissions establish an earlier partial endpoint, bounded December 8–11. January 11, 2022 is later regular-container resumption, not the first partial road opening. Passenger and rail policies are distinct.
EA029-D1: The endpoint is bounded December 8–11 because the trial's precise passage across the boundary is not resolved, whereas December 11 entry is explicit. These limited admissions preceded regular container operations beginning January 11, 2022. Rail and passengers are separate; no uninterrupted closure through January is retained.</x:v>
      </x:c>
      <x:c r="I107" s="4" t="str">
        <x:v>Second full-register audit, 26 October 2026: qualified. The existing December 8–11 partial road-freight endpoint is preferable to January 2022 regular-container resumption; fresh reports confirm actual December 11 admissions and the earlier trial's uncertainty.</x:v>
      </x:c>
      <x:c r="J107" s="18" t="d">
        <x:v>2026-10-26T00:00:00.000Z</x:v>
      </x:c>
      <x:c r="K107" s="21" t="str">
        <x:f>IFERROR(HYPERLINK("https://www.mysteel.net/news/5026867-china-mongolia-border-trade-reviving-raw-mats-to-benefit","Mysteel"),"Mysteel")</x:f>
        <x:v>Mysteel</x:v>
      </x:c>
      <x:c r="L107" s="21" t="str">
        <x:f>IFERROR(HYPERLINK("https://wiki.unece.org/spaces/CTRBSBC/pages/101548480/Mongolia","UNECE border observatory"),"UNECE border observatory")</x:f>
        <x:v>UNECE border observatory</x:v>
      </x:c>
      <x:c r="M107" s="21" t="str">
        <x:f>IFERROR(HYPERLINK("https://wsb.xlgl.gov.cn/wsb/zwgk/zfxxgk/fdzdgknr/ywgz/d5e50e4ebfee41c797ee35fbfa6247f4/index.html","Xilin Gol Foreign Affairs Office"),"Xilin Gol Foreign Affairs Office")</x:f>
        <x:v>Xilin Gol Foreign Affairs Office</x:v>
      </x:c>
      <x:c r="N107" s="4" t="str">
        <x:v>https://www.mysteel.net/news/5026867-china-mongolia-border-trade-reviving-raw-mats-to-benefit
https://wiki.unece.org/spaces/CTRBSBC/pages/101548480/Mongolia
https://wsb.xlgl.gov.cn/wsb/zwgk/zfxxgk/fdzdgknr/ywgz/d5e50e4ebfee41c797ee35fbfa6247f4/index.html
https://www.ubpost.mn/a/12356
https://mongolia.gogo.mn/r/80mq6
https://itoim.mn/article/TG9WR/30855
https://ikon.mn/n/2eno
https://ikon.mn/n/2fu4
https://cabinet.gov.mn/6050.html
https://mrt.gov.mn/i/2914
https://updown.mn/178593.html
https://news.zindaa.mn/3zee</x:v>
      </x:c>
      <x:c r="O107" s="4" t="str">
        <x:v>Second full-register audit source access, 26 October 2026
https://ikon.mn/n/2eno: full text (fresh retrieval) — Limited to the stated dated scope; repeated reporting is not independent corroboration.
https://mongolia.gogo.mn/r/80mq6: full text (previously retrieved text re-examined) — Limited to the stated dated scope; repeated reporting is not independent corroboration.
https://www.ubpost.mn/a/12356: full text (previously retrieved text re-examined) — Limited to the stated dated scope; repeated reporting is not independent corroboration.
https://itoim.mn/article/TG9WR/30855: full text (fresh retrieval) — Limited to the stated dated scope; repeated reporting is not independent corroboration.
https://ikon.mn/n/2fu4: full text (previously retrieved text re-examined) — Limited to the stated dated scope; repeated reporting is not independent corroboration.
Earlier URLs not separately inspected in this second assessment:
https://www.mysteel.net/news/5026867-china-mongolia-border-trade-reviving-raw-mats-to-benefit
https://wiki.unece.org/spaces/CTRBSBC/pages/101548480/Mongolia
https://wsb.xlgl.gov.cn/wsb/zwgk/zfxxgk/fdzdgknr/ywgz/d5e50e4ebfee41c797ee35fbfa6247f4/index.html
https://cabinet.gov.mn/6050.html
https://mrt.gov.mn/i/2914
https://updown.mn/178593.html
https://news.zindaa.mn/3zee
Prior audit access record
Full-register audit source access (evidence cutoff 25 October 2026)
https://www.ubpost.mn/a/12356: full text — See specific claim qualifications.
https://mongolia.gogo.mn/r/80mq6: full text — See specific claim qualifications.
https://ikon.mn/n/2eno: full text — See specific claim qualifications.
https://ikon.mn/n/2fu4: full text — See specific claim qualifications.
https://updown.mn/178593.html: full text — See specific claim qualifications.
https://news.zindaa.mn/3zee: search extract — See specific claim qualifications.
https://wsb.xlgl.gov.cn/wsb/zwgk/zfxxgk/fdzdgknr/ywgz/d5e50e4ebfee41c797ee35fbfa6247f4/index.html: full text — See specific claim qualifications.
https://itoim.mn/article/TG9WR/30855: inaccessible — Only site navigation returned; exact December 8 trial details not freshly recovered.
Earlier source URLs not separately listed in this audit’s retrieval log (historical access notes below are not fresh verification):
https://www.mysteel.net/news/5026867-china-mongolia-border-trade-reviving-raw-mats-to-benefit
https://wiki.unece.org/spaces/CTRBSBC/pages/101548480/Mongolia
https://cabinet.gov.mn/6050.html
https://mrt.gov.mn/i/2914
Earlier recorded access
Source 1: partial metadata
Source 2: substantive indexed extract
Source 3: full text</x:v>
      </x:c>
      <x:c r="P107" s="20" t="n">
        <x:v>1</x:v>
      </x:c>
      <x:c r="Q107" s="4" t="str">
        <x:v>East and Southeast Asia and Oceania</x:v>
      </x:c>
      <x:c r="R107" s="4" t="str">
        <x:v>Included</x:v>
      </x:c>
    </x:row>
    <x:row r="108" ht="409" hidden="0" customHeight="1">
      <x:c r="A108" s="16" t="str">
        <x:v>EA027</x:v>
      </x:c>
      <x:c r="B108" s="4" t="str">
        <x:v>China suspends Dongxing Mong Cai customs clearance during COVID outbreak</x:v>
      </x:c>
      <x:c r="C108" s="4" t="str">
        <x:v>China; Vietnam</x:v>
      </x:c>
      <x:c r="D108" s="4" t="str">
        <x:v>Dongxing–Mong Cai: Bac Luan I, Bac Luan II, Km 3+4 pontoon crossings</x:v>
      </x:c>
      <x:c r="E108" s="4" t="str">
        <x:v>Goods and trucks; passenger policy not established here
Direction: Both-way customs processing</x:v>
      </x:c>
      <x:c r="F108" s="4" t="str">
        <x:v>EA027-D1 — Observed operation
Dongxing–Mong Cai: Bac Luan I, Bac Luan II, Km 3+4 pontoon crossings; Goods and trucks; passenger policy not established here; Both-way customs processing
Start: 2021-12-21.
Observed scoped reopening: 2022-01-10.
20 calendar-day difference; scoped endpoint only</x:v>
      </x:c>
      <x:c r="G10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08" s="4" t="str">
        <x:v>EA027-D1: One state news origin relaying Vietnamese ministry and Chinese provincial information. Reopening is customs processing, not unrestricted passenger movement.</x:v>
      </x:c>
      <x:c r="I108" s="4" t="str">
        <x:v>Second full-register audit, 26 October 2026: qualified. Fresh customs reporting independently within the same VNA lineage describes actual January 10 truck clearances after the December 21 suspension, supporting the existing freight-only interval.</x:v>
      </x:c>
      <x:c r="J108" s="18" t="d">
        <x:v>2026-10-26T00:00:00.000Z</x:v>
      </x:c>
      <x:c r="K108" s="21" t="str">
        <x:f>IFERROR(HYPERLINK("https://en.vietnamplus.vn/customs-clearance-resumed-at-border-gates-crossings-with-china-post220472.vnp","Vietnam News Agency / VietnamPlus"),"Vietnam News Agency / VietnamPlus")</x:f>
        <x:v>Vietnam News Agency / VietnamPlus</x:v>
      </x:c>
      <x:c r="L108" s="21" t="str">
        <x:f>IFERROR(HYPERLINK("https://www.quangninh.gov.vn/Sites/en-us/Trang/ChiTietTinTuc.aspx?nid=5655","Quang Ninh province / Nhan Dan"),"Quang Ninh province / Nhan Dan")</x:f>
        <x:v>Quang Ninh province / Nhan Dan</x:v>
      </x:c>
      <x:c r="M108" s="21" t="str">
        <x:f>IFERROR(HYPERLINK("https://en.vietnamplus.vn/quang-ninh-sees-clearance-of-nearly-200-trucks-via-border-gates-crossings-with-china-post220487.vnp","Vietnam News Agency / VietnamPlus"),"Vietnam News Agency / VietnamPlus")</x:f>
        <x:v>Vietnam News Agency / VietnamPlus</x:v>
      </x:c>
      <x:c r="N108" s="4" t="str">
        <x:v>https://en.vietnamplus.vn/customs-clearance-resumed-at-border-gates-crossings-with-china-post220472.vnp
https://www.quangninh.gov.vn/Sites/en-us/Trang/ChiTietTinTuc.aspx?nid=5655
https://en.vietnamplus.vn/quang-ninh-sees-clearance-of-nearly-200-trucks-via-border-gates-crossings-with-china-post220487.vnp
https://quangninh.gov.vn/So/socongthuong/Trang/ChiTietTinTuc.aspx?nid=3268</x:v>
      </x:c>
      <x:c r="O108" s="4" t="str">
        <x:v>Second full-register audit source access, 26 October 2026
https://en.vietnamplus.vn/quang-ninh-sees-clearance-of-nearly-200-trucks-via-border-gates-crossings-with-china-post220487.vnp: full text (fresh retrieval) — Limited to the stated dated scope; repeated reporting is not independent corroboration.
https://en.vietnamplus.vn/customs-clearance-resumed-at-border-gates-crossings-with-china-post220472.vnp: full text (previously retrieved text re-examined) — Limited to the stated dated scope; repeated reporting is not independent corroboration.
Earlier URLs not separately inspected in this second assessment:
https://www.quangninh.gov.vn/Sites/en-us/Trang/ChiTietTinTuc.aspx?nid=5655
https://quangninh.gov.vn/So/socongthuong/Trang/ChiTietTinTuc.aspx?nid=3268
Prior audit access record
Full-register audit source access (evidence cutoff 25 October 2026)
https://en.vietnamplus.vn/customs-clearance-resumed-at-border-gates-crossings-with-china-post220472.vnp: full text — See specific claim qualifications.
https://en.vietnamplus.vn/quang-ninh-sees-clearance-of-nearly-200-trucks-via-border-gates-crossings-with-china-post220487.vnp: full text — See specific claim qualifications.
https://www.quangninh.gov.vn/Sites/en-us/Trang/ChiTietTinTuc.aspx?nid=5655: inaccessible — Timeout; not independent verification.
Earlier source URLs not separately listed in this audit’s retrieval log (historical access notes below are not fresh verification):
https://quangninh.gov.vn/So/socongthuong/Trang/ChiTietTinTuc.aspx?nid=3268
Earlier recorded access
Source 1: full text
Source 2: full text
Source 3: full text</x:v>
      </x:c>
      <x:c r="P108" s="20" t="n">
        <x:v>1</x:v>
      </x:c>
      <x:c r="Q108" s="4" t="str">
        <x:v>East and Southeast Asia and Oceania</x:v>
      </x:c>
      <x:c r="R108" s="4" t="str">
        <x:v>Included</x:v>
      </x:c>
    </x:row>
    <x:row r="109" ht="409" hidden="0" customHeight="1">
      <x:c r="A109" s="16" t="str">
        <x:v>EA021</x:v>
      </x:c>
      <x:c r="B109" s="4" t="str">
        <x:v>North Korea China rail freight suspended again after Dandong outbreak</x:v>
      </x:c>
      <x:c r="C109" s="4" t="str">
        <x:v>North Korea; China</x:v>
      </x:c>
      <x:c r="D109" s="4" t="str">
        <x:v>Dandong–Sinuiju railway</x:v>
      </x:c>
      <x:c r="E109" s="4" t="str">
        <x:v>Rail freight
Direction: Both directions
Exceptions: KBS reports two exceptional medical-aid trains from Dandong to Sinuiju on May 26, 2022, citing multiple sources.</x:v>
      </x:c>
      <x:c r="F109" s="4" t="str">
        <x:v>EA021-D1 — Observed operation
Suspension of ordinary Dandong–Sinuiju freight-train service, excluding reported exceptional medical-aid trains, to observed September 26 resumption.
Start: 2022-04-25 to 2022-04-29.
Observed scoped reopening: 2022-09-26.
150–154 calendar-day difference; scoped endpoint only</x:v>
      </x:c>
      <x:c r="G10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09" s="4" t="str">
        <x:v>Onset remains bounded April 25–29. Ordinary freight service resumed September 26, but reported May 26 medical-aid trains prevent describing the interval as absence of all freight movements. August resumption forecasts and May 1 suspension expectations are not observed traffic. Passenger service is separate.
EA021-D1: April 25–29 onset disagreement is retained. KBS reports two medical-supply trains crossed May 26, 2022; this is an exception to the ordinary-service restriction, so the phase cannot mean no train movements. August reopening forecasts do not establish ordinary resumption. Passenger service and subsequent regularity are not inferred.</x:v>
      </x:c>
      <x:c r="I109" s="4" t="str">
        <x:v>Second full-register audit, 26 October 2026: qualified. The source-backed ordinary rail-freight interruption and September 26 resumption remain sound; conflicting April onset dates and May medical-aid exceptions are correctly retained.</x:v>
      </x:c>
      <x:c r="J109" s="18" t="d">
        <x:v>2026-10-26T00:00:00.000Z</x:v>
      </x:c>
      <x:c r="K109" s="21" t="str">
        <x:f>IFERROR(HYPERLINK("https://en.yna.co.kr/view/AEN20220618001900315","Yonhap"),"Yonhap")</x:f>
        <x:v>Yonhap</x:v>
      </x:c>
      <x:c r="L109" s="21" t="str">
        <x:f>IFERROR(HYPERLINK("https://en.yna.co.kr/view/AEN20220926004200325","Yonhap"),"Yonhap")</x:f>
        <x:v>Yonhap</x:v>
      </x:c>
      <x:c r="M109" s="21" t="str">
        <x:f>IFERROR(HYPERLINK("https://www.rfa.org/english/news/korea/freight-railway-08052022170439.html","Radio Free Asia"),"Radio Free Asia")</x:f>
        <x:v>Radio Free Asia</x:v>
      </x:c>
      <x:c r="N109" s="4" t="str">
        <x:v>https://en.yna.co.kr/view/AEN20220618001900315
https://en.yna.co.kr/view/AEN20220926004200325
https://www.rfa.org/english/news/korea/freight-railway-08052022170439.html
https://www.fmprc.gov.cn/mfa_eng./xw/fyrbt/lxjzh/202405/t20240530_11347274.html
https://www.mfa.gov.cn/eng/xw/fyrbt/lxjzh/202405/t20240530_11347371.html
https://world.kbs.co.kr/service/news_view.htm?lang=e&amp;Seq_Code=169950
https://www.fmprc.gov.cn/web/fyrbt_673021/jzhsl_673025/202204/t20220429_10680663.shtml
https://www.fmprc.gov.cn/eng./xw/fyrbt/lxjzh/202405/t20240530_11347371.html
https://www.rfa.org/english/news/korea/train-05022022184520.html</x:v>
      </x:c>
      <x:c r="O109" s="4" t="str">
        <x:v>Second full-register audit source access, 26 October 2026
https://world.kbs.co.kr/service/news_view.htm?lang=e&amp;Seq_Code=169950: full text (fresh retrieval) — Evidence is limited to the stated movement and dates.
https://en.yna.co.kr/view/AEN20220926004200325: full text (previously retrieved text re-examined) — Evidence is limited to the stated movement and dates.
https://www.rfa.org/english/news/korea/freight-railway-08052022170439.html: full text (previously retrieved text re-examined) — Evidence is limited to the stated movement and dates.
https://www.fmprc.gov.cn/mfa_eng./xw/fyrbt/lxjzh/202405/t20240530_11347274.html: full text (previously retrieved text re-examined) — Evidence is limited to the stated movement and dates.
https://www.mfa.gov.cn/eng/xw/fyrbt/lxjzh/202405/t20240530_11347371.html: full text (previously retrieved text re-examined) — Evidence is limited to the stated movement and dates.
Earlier URLs not separately inspected in this second assessment:
https://en.yna.co.kr/view/AEN20220618001900315
https://www.fmprc.gov.cn/web/fyrbt_673021/jzhsl_673025/202204/t20220429_10680663.shtml
https://www.fmprc.gov.cn/eng./xw/fyrbt/lxjzh/202405/t20240530_11347371.html
https://www.rfa.org/english/news/korea/train-05022022184520.html
Prior audit access record
Full-register audit source access (evidence cutoff 25 October 2026)
https://en.yna.co.kr/view/AEN20220618001900315: full text — See specific claim qualifications.
https://en.yna.co.kr/view/AEN20220926004200325: full text — See specific claim qualifications.
https://www.rfa.org/english/news/korea/freight-railway-08052022170439.html: full text — See specific claim qualifications.
https://www.fmprc.gov.cn/mfa_eng./xw/fyrbt/lxjzh/202405/t20240530_11347274.html: full text — See specific claim qualifications.
https://www.mfa.gov.cn/eng/xw/fyrbt/lxjzh/202405/t20240530_11347371.html: full text — See specific claim qualifications.
https://world.kbs.co.kr/service/news_view.htm?lang=e&amp;Seq_Code=169950: full text — See specific claim qualifications.
https://www.rfa.org/english/news/korea/train-05022022184520.html: full text — See specific claim qualifications.
https://www.fmprc.gov.cn/web/fyrbt_673021/jzhsl_673025/202204/t20220429_10680663.shtml: inaccessible — Retrieval returned navigation without the relevant article; equivalent English briefing inspected.
Earlier source URLs not separately listed in this audit’s retrieval log (historical access notes below are not fresh verification):
https://www.fmprc.gov.cn/eng./xw/fyrbt/lxjzh/202405/t20240530_11347371.html
Earlier recorded access
Source 1: full page
Source 2: full page
Source 3: full relevant article text</x:v>
      </x:c>
      <x:c r="P109" s="20" t="n">
        <x:v>1</x:v>
      </x:c>
      <x:c r="Q109" s="4" t="str">
        <x:v>East and Southeast Asia and Oceania</x:v>
      </x:c>
      <x:c r="R109" s="4" t="str">
        <x:v>Included</x:v>
      </x:c>
    </x:row>
    <x:row r="110" ht="409" hidden="0" customHeight="1">
      <x:c r="A110" s="16" t="str">
        <x:v>EA030</x:v>
      </x:c>
      <x:c r="B110" s="4" t="str">
        <x:v>Zokhawthar Rikhawdar election closure extended on security grounds</x:v>
      </x:c>
      <x:c r="C110" s="4" t="str">
        <x:v>India; Myanmar</x:v>
      </x:c>
      <x:c r="D110" s="4" t="str">
        <x:v>Bridge/gate over Tiau River at Zokhawthar–Rikhawdar/Khawmawi</x:v>
      </x:c>
      <x:c r="E110" s="4" t="str">
        <x:v>Local residents, workers and cross-border trade
Direction: Both directions
Exceptions: April 20 limited medical travel, essential food and medicines; Mizzima also mentions students.</x:v>
      </x:c>
      <x:c r="F110" s="4" t="str">
        <x:v>EA030-D1 — Observed operation
Zokhawthar–Rikhawdar gate restrictions affecting ordinary movement and trade, to limited medical/student/essential access on 20 April.
Restriction onset: 2024-04-16 to 2024-04-17. The district account places sealing 72 hours before 19 April polling; the Assam Rifles account specifies 17 April. Mizzima describes fuller closure from approximately 17:00 on 19 April.
Observed scoped reopening: 2024-04-20, reported around 13:00 for restricted movements.
3–4 calendar-day difference for the broader restriction; not the elapsed duration of complete closure.</x:v>
      </x:c>
      <x:c r="G110" s="4" t="str">
        <x:v>Electoral politics / Election administration and security
Reported reason
Applies to: Initial election closure
District authority describes preventing disruption of polling.
Security / Unspecified security
Reported reason
Applies to: Extension after polling
Assam Rifles cites the present security situation without a narrower threat or protective purpose.</x:v>
      </x:c>
      <x:c r="H110" s="4" t="str">
        <x:v>EA030-D1: The named district official’s account places election sealing 72 hours before 19 April polling, while the Assam Rifles account gives 17 April. These support 16–17 April bounds for the broader restriction; no inspected source supports 1 April onset. Mizzima distinguishes 17 April restrictions from complete closure around 17:00 on 19 April. This later tightening must not replace the broader restriction’s onset or imply a three-day complete shutdown.
Times of India and India Today NE explicitly date limited restoration to 20 April; the former reports around 13:00. This explicit event dating takes precedence over Northeast Live’s ambiguous publication-day word “today” on 21 April. Medical, student, emergency and selected essential-goods access was permitted, not unrestricted travel.
The proposed 1 May resealing was explicitly cancelled on 30 April, when Assam Rifles said the gate would remain open under the Free Movement Regime. No implemented May closure is inferred. A separate migration motive for this April election/security spell is not established.</x:v>
      </x:c>
      <x:c r="I110" s="4" t="str">
        <x:v>Second full-register audit, 26 October 2026: additional source-audited corrections incorporated. See the phase, scope and qualification columns for the accepted findings.</x:v>
      </x:c>
      <x:c r="J110" s="18" t="d">
        <x:v>2026-10-26T00:00:00.000Z</x:v>
      </x:c>
      <x:c r="K110" s="21" t="str">
        <x:f>IFERROR(HYPERLINK("https://timesofindia.indiatimes.com/city/guwahati/assam-rifles-keeps-mizoram-myanmar-border-gate-closed-even-after-election-locals-unhappy/articleshow/109473777.cms","Times of India"),"Times of India")</x:f>
        <x:v>Times of India</x:v>
      </x:c>
      <x:c r="L110" s="21" t="str">
        <x:f>IFERROR(HYPERLINK("https://eng.mizzima.com/2024/04/24/9276","Mizzima"),"Mizzima")</x:f>
        <x:v>Mizzima</x:v>
      </x:c>
      <x:c r="M110" s="21" t="str">
        <x:f>IFERROR(HYPERLINK("https://www.indiatodayne.in/amp/mizoram/story/mizoram-friendship-gate-at-zokhawthar-opens-for-the-public-985210-2024-04-21","India Today NE"),"India Today NE")</x:f>
        <x:v>India Today NE</x:v>
      </x:c>
      <x:c r="N110" s="4" t="str">
        <x:v>https://timesofindia.indiatimes.com/city/guwahati/assam-rifles-keeps-mizoram-myanmar-border-gate-closed-even-after-election-locals-unhappy/articleshow/109473777.cms
https://eng.mizzima.com/2024/04/24/9276
https://www.indiatodayne.in/amp/mizoram/story/mizoram-friendship-gate-at-zokhawthar-opens-for-the-public-985210-2024-04-21
https://www.indiatodayne.in/amp/mizoram/story/mizoram-myanmar-border-to-remain-open-fmr-in-place-as-before-995393-2024-04-30
https://timesofindia.indiatimes.com/city/guwahati/assam-rifles-keeps-mizoram-myanmar-border-gate-closed-even-after-election-locals-unhappy/amp_articleshow/109473777.cms
https://www.indiatodayne.in/mizoram/story/mizoram-friendship-gate-at-zokhawthar-opens-for-the-public-985210-2024-04-21
https://northeastlivetv.com/topnews/mizoram-zokhawthar-bridge-closed-due-to-ls-polls-reopens/</x:v>
      </x:c>
      <x:c r="O110" s="4" t="str">
        <x:v>Second full-register audit source access, 26 October 2026
https://timesofindia.indiatimes.com/city/guwahati/assam-rifles-keeps-mizoram-myanmar-border-gate-closed-even-after-election-locals-unhappy/articleshow/109473777.cms: full text (fresh retrieval)
https://eng.mizzima.com/2024/04/24/9276: search extract (previously retrieved text re-examined) — Cached original indexed article; predicted May closure subsequently cancelled.
https://www.indiatodayne.in/mizoram/story/mizoram-friendship-gate-at-zokhawthar-opens-for-the-public-985210-2024-04-21: full text (fresh retrieval)
https://www.indiatodayne.in/amp/mizoram/story/mizoram-myanmar-border-to-remain-open-fmr-in-place-as-before-995393-2024-04-30: full text (fresh retrieval)
https://northeastlivetv.com/topnews/mizoram-zokhawthar-bridge-closed-due-to-ls-polls-reopens/: full text (fresh retrieval) — Ambiguous today conflicts with explicit April 20 dating; not preferred.
Earlier URLs not separately inspected in this second assessment:
https://www.indiatodayne.in/amp/mizoram/story/mizoram-friendship-gate-at-zokhawthar-opens-for-the-public-985210-2024-04-21
https://timesofindia.indiatimes.com/city/guwahati/assam-rifles-keeps-mizoram-myanmar-border-gate-closed-even-after-election-locals-unhappy/amp_articleshow/109473777.cms
Prior audit access record
Full-register audit source access (evidence cutoff 25 October 2026)
https://timesofindia.indiatimes.com/city/guwahati/assam-rifles-keeps-mizoram-myanmar-border-gate-closed-even-after-election-locals-unhappy/articleshow/109473777.cms: full text
https://eng.mizzima.com/2024/04/24/9276: search extract — Direct 403; indexed article body inspected. The May prediction is superseded by the 30 April follow-up.
https://www.indiatodayne.in/amp/mizoram/story/mizoram-friendship-gate-at-zokhawthar-opens-for-the-public-985210-2024-04-21: full text
https://www.indiatodayne.in/amp/mizoram/story/mizoram-myanmar-border-to-remain-open-fmr-in-place-as-before-995393-2024-04-30: full text
https://northeastlivetv.com/topnews/mizoram-zokhawthar-bridge-closed-due-to-ls-polls-reopens/: full text — Says today on a 21 April page; weaker than the explicit 20 April date across several reports.
Earlier source URLs not separately listed in this audit’s retrieval log (historical access notes below are not fresh verification):
https://timesofindia.indiatimes.com/city/guwahati/assam-rifles-keeps-mizoram-myanmar-border-gate-closed-even-after-election-locals-unhappy/amp_articleshow/109473777.cms
https://www.indiatodayne.in/mizoram/story/mizoram-friendship-gate-at-zokhawthar-opens-for-the-public-985210-2024-04-21
Earlier recorded access
Source 1: full page
Source 2: search extract
Source 3: full relevant article text</x:v>
      </x:c>
      <x:c r="P110" s="20" t="n">
        <x:v>1</x:v>
      </x:c>
      <x:c r="Q110" s="4" t="str">
        <x:v>East and Southeast Asia and Oceania</x:v>
      </x:c>
      <x:c r="R110" s="4" t="str">
        <x:v>Included</x:v>
      </x:c>
    </x:row>
    <x:row r="111" ht="409" hidden="0" customHeight="1">
      <x:c r="A111" s="16" t="str">
        <x:v>EA012</x:v>
      </x:c>
      <x:c r="B111" s="4" t="str">
        <x:v>China’s phased restrictions on northern and eastern Shan border gates</x:v>
      </x:c>
      <x:c r="C111" s="4" t="str">
        <x:v>China; Myanmar</x:v>
      </x:c>
      <x:c r="D111" s="4" t="str">
        <x:v>Among reported gates: Manhkar/Namtit, Chinshwehaw, Panghseng, Kyinsankyawt and Nawngtawng; later Mong La and selected Kyalgaung goods
Selected northern/eastern Shan gates, with timing and commodity exceptions varying; not all of Muse township exempt</x:v>
      </x:c>
      <x:c r="E111" s="4" t="str">
        <x:v>Cross-border goods and travellers
Direction: Trade into Myanmar chiefly documented; general traveller direction unresolved
Exceptions: Pangkham and Shawba still open on August 28, 2024; later six restricted reopenings reported.</x:v>
      </x:c>
      <x:c r="F111" s="4" t="str">
        <x:v>EA012-R1 — Observed operation
Manhkar–Namtit gate; reported complete closure affecting supplies and medical travel
Start: 2024-08-24.
Last confirmed complete closure: 2024-08-28. Partial goods restoration: 2025-01-20; all-person reopening remains unestablished.
Confirmed through 2024-08-28; at least 4 calendar-day difference. Later partial access does not establish continuous closure through 2025-01-20.
Partial reopening — 2025-01-20
Shan Herald reports Manhkar–Namtit reopened and fuel imports from China resumed on this date. This bounds the complete goods-closure claim; it does not establish all-person access or uninterrupted closure since August 2024.</x:v>
      </x:c>
      <x:c r="G111"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Sanctions and coercive pressure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111" s="4" t="str">
        <x:v>EA012-R1: The August 24–28, 2024 segment remains reporting-supported. A January 20, 2025 partial reopening is explicitly reported for Manhkar–Namtit, including fuel imports; Myanmar Now and ISP supply corroborating later-access evidence. No continuous August–January duration is inferred. All-person passage, other commodities and present-day status remain unresolved.</x:v>
      </x:c>
      <x:c r="I111" s="4" t="str">
        <x:v>Second full-register audit, 26 October 2026: qualified. The August Manhkar observation and January 20 partial goods restoration withstand checking. The record correctly avoids turning that later access into a proven continuous August–January closure.</x:v>
      </x:c>
      <x:c r="J111" s="18" t="d">
        <x:v>2026-10-26T00:00:00.000Z</x:v>
      </x:c>
      <x:c r="K111" s="21" t="str">
        <x:f>IFERROR(HYPERLINK("https://www.bnionline.net/en/news/china-shuts-border-gate-uwsa-controlled-namtit-town","BNI / Shan Herald"),"BNI / Shan Herald")</x:f>
        <x:v>BNI / Shan Herald</x:v>
      </x:c>
      <x:c r="L111" s="21" t="str">
        <x:f>IFERROR(HYPERLINK("https://english.shannews.org/archives/27697","Shan Herald"),"Shan Herald")</x:f>
        <x:v>Shan Herald</x:v>
      </x:c>
      <x:c r="M111" s="21" t="str">
        <x:f>IFERROR(HYPERLINK("https://ispmyanmar.com/mp-84/","ISP-Myanmar"),"ISP-Myanmar")</x:f>
        <x:v>ISP-Myanmar</x:v>
      </x:c>
      <x:c r="N111" s="4" t="str">
        <x:v>https://www.bnionline.net/en/news/china-shuts-border-gate-uwsa-controlled-namtit-town
https://english.shannews.org/archives/27697
https://ispmyanmar.com/mp-84/
https://www.nationthailand.com/news/asean/40040958
https://www.rfa.org/english/myanmar/2024/12/02/myanmar-border-controls/
https://www.rfa.org/english/myanmar/2024/10/24/myanmar-china-closes-border/
https://www.bnionline.net/en/news/china-reopens-border-crossings-mndaa-controlled-areas
https://myanmar-now.org/en/news/kokang-army-to-withdraw-from-lashio-under-chinese-brokered-ceasefire-with-myanmar-junta/</x:v>
      </x:c>
      <x:c r="O111" s="4" t="str">
        <x:v>Second full-register audit source access, 26 October 2026
https://www.bnionline.net/en/news/china-shuts-border-gate-uwsa-controlled-namtit-town: full text (fresh retrieval) — Scope and dates are assessed individually below.
https://english.shannews.org/archives/27697: full text (fresh retrieval) — No proof of continuous August–January closure or all-person restoration.
https://ispmyanmar.com/mp-84/: full text (fresh retrieval) — Summary corroboration, not exact gate-specific reopening clock.
https://www.rfa.org/english/myanmar/2024/10/24/myanmar-china-closes-border/: full text (fresh retrieval) — Scope and dates are assessed individually below.
Earlier URLs not separately inspected in this second assessment:
https://www.nationthailand.com/news/asean/40040958
https://www.rfa.org/english/myanmar/2024/12/02/myanmar-border-controls/
https://www.bnionline.net/en/news/china-reopens-border-crossings-mndaa-controlled-areas
https://myanmar-now.org/en/news/kokang-army-to-withdraw-from-lashio-under-chinese-brokered-ceasefire-with-myanmar-junta/
Prior audit access record
Full-register audit source access (evidence cutoff 25 October 2026)
https://www.bnionline.net/en/news/china-shuts-border-gate-uwsa-controlled-namtit-town: full text — See specific claim qualifications.
https://english.shannews.org/archives/27697: full text — See specific claim qualifications.
https://myanmar-now.org/en/news/kokang-army-to-withdraw-from-lashio-under-chinese-brokered-ceasefire-with-myanmar-junta/: full text — See specific claim qualifications.
https://ispmyanmar.com/mp-84/: full text — See specific claim qualifications.
Earlier source URLs not separately listed in this audit’s retrieval log (historical access notes below are not fresh verification):
https://www.nationthailand.com/news/asean/40040958
https://www.rfa.org/english/myanmar/2024/12/02/myanmar-border-controls/
https://www.rfa.org/english/myanmar/2024/10/24/myanmar-china-closes-border/
https://www.bnionline.net/en/news/china-reopens-border-crossings-mndaa-controlled-areas
Earlier recorded access
Source 1: full
Source 2: full
Source 3: full</x:v>
      </x:c>
      <x:c r="P111" s="20" t="n">
        <x:v>1</x:v>
      </x:c>
      <x:c r="Q111" s="4" t="str">
        <x:v>East and Southeast Asia and Oceania</x:v>
      </x:c>
      <x:c r="R111" s="4" t="str">
        <x:v>Included</x:v>
      </x:c>
    </x:row>
    <x:row r="112" ht="409" hidden="0" customHeight="1">
      <x:c r="A112" s="16" t="str">
        <x:v>EA011</x:v>
      </x:c>
      <x:c r="B112" s="4" t="str">
        <x:v>China closes other Kachin crossings amid rebel advances</x:v>
      </x:c>
      <x:c r="C112" s="4" t="str">
        <x:v>China; Myanmar</x:v>
      </x:c>
      <x:c r="D112" s="4" t="str">
        <x:v>Kachin gates other thanKanPaikTi; Laiza Lweje PangWar Phimaw</x:v>
      </x:c>
      <x:c r="E112" s="4" t="str">
        <x:v>Goods and local travellers.
Direction: Chinese exports to Myanmar and Myanmar residents seeking visits or treatment in China; commodity exemptions are asymmetric.
Exceptions: Tissue-culture bananas and rare-earth exports to China continued selectively. October 2025 reopening reports cover food, construction materials and some visits/medical treatment, while fuel and electronics remained restricted at that time. By November 26, 2025, limited fuel tankers were entering via Laiza–Nabang, reportedly possibly for particular companies; ordinary retail supply and general fuel-policy repeal were not established.</x:v>
      </x:c>
      <x:c r="F112" s="4" t="str">
        <x:v>EA011-D1 — Observed operation, qualified reported interval
Laiza ordinary goods/visit categories reportedly restored in October 2025; fuel and electronics are excluded from this endpoint.
Start: 2024-10-18 to 2024-10-19.
Reported scoped reopening: 2025-10-24 to 2025-10-26.
370–373 calendar-day difference; source-date conflict retained, not independently observed continuous universal closure.
Later scoped evidence: by 2025-11-26, limited fuel tankers were reported entering via Laiza–Nabang. Exact first fuel admission and general retail access are unknown; no fuel-ban duration is calculated.</x:v>
      </x:c>
      <x:c r="G112"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Sanctions and coercive pressure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112" s="4" t="str">
        <x:v>EA011-D1: Crossing-specific reporting dates Laiza closure October 18, 2024; RFA broadly says October 19. Reopening reports disagree: KIO spokesperson quoted by Myitkyina Journal gives October 24 at 23:59, Irrawaddy reports Saturday October 25, and Mizzima gives October 26. Preserve October 24–26 as a reported endpoint range rather than choosing one exact day. December 13, 2024 removal of Laiza barriers did not establish passage: contemporary KNG reporting explicitly says people, vehicles and goods were still not allowed. Kan Paik Ti had separate earlier partial reopening. These reports do not independently establish uninterrupted closure for all categories or every Kachin crossing. The October fuel restriction is not a current-status assertion: Network Media Group reported limited fuel tankers entering Laiza–Nabang by November 26, 2025, but first passage, retail availability and full policy repeal remain unknown.</x:v>
      </x:c>
      <x:c r="I112" s="4" t="str">
        <x:v>Second full-register audit, 26 October 2026: qualified. Accepted date ranges and limited fuel access are supported. The fresh November fuel report still does not establish general retail supply or a continuous universal closure.</x:v>
      </x:c>
      <x:c r="J112" s="18" t="d">
        <x:v>2026-10-26T00:00:00.000Z</x:v>
      </x:c>
      <x:c r="K112" s="21" t="str">
        <x:f>IFERROR(HYPERLINK("https://www.rfa.org/english/myanmar/2024/12/02/myanmar-border-controls/","Radio Free Asia"),"Radio Free Asia")</x:f>
        <x:v>Radio Free Asia</x:v>
      </x:c>
      <x:c r="L112" s="21" t="str">
        <x:f>IFERROR(HYPERLINK("https://www.bnionline.net/en/news/china-reopens-border-trading-gates-kachin-state-maintains-fuel-export-ban","Burma News International"),"Burma News International")</x:f>
        <x:v>Burma News International</x:v>
      </x:c>
      <x:c r="M112" s="21" t="str">
        <x:f>IFERROR(HYPERLINK("https://www.bnionline.net/en/news/chinese-border-closures-cause-price-rises-myitkyina-city","BNI / Kachin News Group"),"BNI / Kachin News Group")</x:f>
        <x:v>BNI / Kachin News Group</x:v>
      </x:c>
      <x:c r="N112" s="4" t="str">
        <x:v>https://www.rfa.org/english/myanmar/2024/12/02/myanmar-border-controls/
https://www.bnionline.net/en/news/china-reopens-border-trading-gates-kachin-state-maintains-fuel-export-ban
https://www.bnionline.net/en/news/chinese-border-closures-cause-price-rises-myitkyina-city
https://eng.mizzima.com/2025/10/30/27768
https://www.irrawaddy.com/news/myanmar-china-watch/china-reopens-four-border-gates-in-myanmars-kachin-state-controlled-by-kia.html
https://mmpeacemonitor.org/en/en-news/some-china-myanmar-border-gates-reopen-in-kachin-state/
https://www.bnionline.net/en/news/chinese-fuel-tankers-start-entering-kachin-state-border-trading-posts</x:v>
      </x:c>
      <x:c r="O112" s="4" t="str">
        <x:v>Second full-register audit source access, 26 October 2026
https://www.bnionline.net/en/news/chinese-border-closures-cause-price-rises-myitkyina-city: full text (previously retrieved text re-examined) — Scope and dates are assessed individually below.
https://www.rfa.org/english/myanmar/2024/12/02/myanmar-border-controls/: full text (previously retrieved text re-examined) — Broad regional date conflicts with crossing-specific reporting.
https://www.bnionline.net/en/news/china-reopens-border-trading-gates-kachin-state-maintains-fuel-export-ban: full text (previously retrieved text re-examined) — Scope and dates are assessed individually below.
https://eng.mizzima.com/2025/10/30/27768: search extract (previously retrieved text re-examined) — Indexed body, direct page previously blocked; spokesperson lineage shared.
https://www.irrawaddy.com/news/myanmar-china-watch/china-reopens-four-border-gates-in-myanmars-kachin-state-controlled-by-kia.html: full text (previously retrieved text re-examined) — Spokesperson account; not independent observation at all gates.
https://mmpeacemonitor.org/en/en-news/some-china-myanmar-border-gates-reopen-in-kachin-state/: full text (previously retrieved text re-examined) — Scope and dates are assessed individually below.
https://www.bnionline.net/en/news/chinese-fuel-tankers-start-entering-kachin-state-border-trading-posts: full text (fresh retrieval) — Scope and dates are assessed individually below.
Prior audit access record
Full-register audit source access (evidence cutoff 25 October 2026)
https://www.bnionline.net/en/news/chinese-border-closures-cause-price-rises-myitkyina-city: full text — See specific claim qualifications.
https://www.rfa.org/english/myanmar/2024/12/02/myanmar-border-controls/: full text — See specific claim qualifications.
https://www.bnionline.net/en/news/china-reopens-border-trading-gates-kachin-state-maintains-fuel-export-ban: full text — See specific claim qualifications.
https://eng.mizzima.com/2025/10/30/27768: search extract — Direct page blocked; substantial indexed article inspected.
https://www.irrawaddy.com/news/myanmar-china-watch/china-reopens-four-border-gates-in-myanmars-kachin-state-controlled-by-kia.html: full text — See specific claim qualifications.
https://mmpeacemonitor.org/en/en-news/some-china-myanmar-border-gates-reopen-in-kachin-state/: full text — See specific claim qualifications.
https://www.bnionline.net/en/news/chinese-fuel-tankers-start-entering-kachin-state-border-trading-posts: full text — See specific claim qualifications.
Earlier recorded access
Source 1: search extract
Source 2: full page
Source 3: full relevant article text</x:v>
      </x:c>
      <x:c r="P112" s="20" t="n">
        <x:v>1</x:v>
      </x:c>
      <x:c r="Q112" s="4" t="str">
        <x:v>East and Southeast Asia and Oceania</x:v>
      </x:c>
      <x:c r="R112" s="4" t="str">
        <x:v>Included</x:v>
      </x:c>
    </x:row>
    <x:row r="113" ht="354" hidden="0" customHeight="1">
      <x:c r="A113" s="16" t="str">
        <x:v>EA010</x:v>
      </x:c>
      <x:c r="B113" s="4" t="str">
        <x:v>China closes Kan Paik Ti crossing during Kachin conflict</x:v>
      </x:c>
      <x:c r="C113" s="4" t="str">
        <x:v>China; Myanmar</x:v>
      </x:c>
      <x:c r="D113" s="4" t="str">
        <x:v>KanPaikTi Kachin State crossing</x:v>
      </x:c>
      <x:c r="E113" s="4" t="str">
        <x:v>Trade and local movement
Direction: Cross-border local vehicles and goods; full directional scope not established
Exceptions: Limited goods and small vehicles admitted after reopening</x:v>
      </x:c>
      <x:c r="F113" s="4" t="str">
        <x:v>EA010-D1 — Observed operation
KanPaikTi Kachin State crossing; Trade and local movement; Cross-border local vehicles and goods; full directional scope not established
Start: 2024-10-22.
Observed scoped reopening: 2024-12-13.
52 calendar-day difference; scoped endpoint only</x:v>
      </x:c>
      <x:c r="G113"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Sanctions and coercive pressure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113" s="4" t="str">
        <x:v>EA010-D1: Exact dates rely on Voice of Shan Ni; RFA corroborates broader Kachin closure. Do not treat later 2025 all-gate announcement as uninterrupted closure here. Limited goods and small vehicles admitted after reopening</x:v>
      </x:c>
      <x:c r="I113" s="4" t="str">
        <x:v>Second full-register audit, 26 October 2026: qualified. The crossing-specific October 22 onset and December 13 limited reopening are supported; broader later Kachin reopening reports cannot extend this closure through 2025.</x:v>
      </x:c>
      <x:c r="J113" s="18" t="d">
        <x:v>2026-10-26T00:00:00.000Z</x:v>
      </x:c>
      <x:c r="K113" s="21" t="str">
        <x:f>IFERROR(HYPERLINK("https://www.bnionline.net/en/news/china-reopens-border-crossing-kan-paik-ti-kachin-state","Burma News International"),"Burma News International")</x:f>
        <x:v>Burma News International</x:v>
      </x:c>
      <x:c r="L113" s="21" t="str">
        <x:f>IFERROR(HYPERLINK("https://www.rfa.org/english/myanmar/2024/12/02/myanmar-border-controls/","Radio Free Asia"),"Radio Free Asia")</x:f>
        <x:v>Radio Free Asia</x:v>
      </x:c>
      <x:c r="M113" s="21" t="str">
        <x:f>IFERROR(HYPERLINK("https://www.bnionline.net/en/news/chinese-border-closures-cause-price-rises-myitkyina-city","BNI / Kachin News Group"),"BNI / Kachin News Group")</x:f>
        <x:v>BNI / Kachin News Group</x:v>
      </x:c>
      <x:c r="N113" s="4" t="str">
        <x:v>https://www.bnionline.net/en/news/china-reopens-border-crossing-kan-paik-ti-kachin-state
https://www.rfa.org/english/myanmar/2024/12/02/myanmar-border-controls/
https://www.bnionline.net/en/news/chinese-border-closures-cause-price-rises-myitkyina-city
https://mmpeacemonitor.org/en/en-news/some-china-myanmar-border-gates-reopen-in-kachin-state/</x:v>
      </x:c>
      <x:c r="O113" s="4" t="str">
        <x:v>Second full-register audit source access, 26 October 2026
https://www.bnionline.net/en/news/china-reopens-border-crossing-kan-paik-ti-kachin-state: full text (fresh retrieval) — Scope and dates are assessed individually below.
https://www.bnionline.net/en/news/chinese-border-closures-cause-price-rises-myitkyina-city: full text (previously retrieved text re-examined) — Scope and dates are assessed individually below.
https://www.rfa.org/english/myanmar/2024/12/02/myanmar-border-controls/: full text (previously retrieved text re-examined) — Broad October 19 date is not substituted for the gate-specific date.
https://mmpeacemonitor.org/en/en-news/some-china-myanmar-border-gates-reopen-in-kachin-state/: full text (previously retrieved text re-examined) — Not direct Kan Paik Ti reopening evidence.
Prior audit access record
Full-register audit source access (evidence cutoff 25 October 2026)
https://www.bnionline.net/en/news/china-reopens-border-crossing-kan-paik-ti-kachin-state: full text — See specific claim qualifications.
https://www.bnionline.net/en/news/chinese-border-closures-cause-price-rises-myitkyina-city: full text — See specific claim qualifications.
https://www.rfa.org/english/myanmar/2024/12/02/myanmar-border-controls/: full text — See specific claim qualifications.
https://mmpeacemonitor.org/en/en-news/some-china-myanmar-border-gates-reopen-in-kachin-state/: full text — See specific claim qualifications.
Earlier recorded access
Source 1: search extract
Source 2: search extract
Source 3: full relevant article text</x:v>
      </x:c>
      <x:c r="P113" s="20" t="n">
        <x:v>1</x:v>
      </x:c>
      <x:c r="Q113" s="4" t="str">
        <x:v>East and Southeast Asia and Oceania</x:v>
      </x:c>
      <x:c r="R113" s="4" t="str">
        <x:v>Included</x:v>
      </x:c>
    </x:row>
    <x:row r="114" ht="270" hidden="0" customHeight="1">
      <x:c r="A114" s="16" t="str">
        <x:v>EA024</x:v>
      </x:c>
      <x:c r="B114" s="4" t="str">
        <x:v>Rason foreign tourist land access suspended after brief reopening</x:v>
      </x:c>
      <x:c r="C114" s="4" t="str">
        <x:v>North Korea; China</x:v>
      </x:c>
      <x:c r="D114" s="4" t="str">
        <x:v>Rason SEZ tourist access via Quanhe–Wonjong</x:v>
      </x:c>
      <x:c r="E114" s="4" t="str">
        <x:v>Ordinary foreign tourist groups entering Rason by the Quanhe–Wonjong land route.
Exceptions: selected Chinese tourism-industry visitors were discussed in June 2025; the October 2026 operator update distinguishes limited Russian tourism and invited sporting/cultural delegations from ordinary non-Russian tours.</x:v>
      </x:c>
      <x:c r="F114" s="4" t="str">
        <x:v>EA024-D1 — Observed operation
Ordinary foreign land tours to Rason via Quanhe–Wonjong, through the operator's June update.
Start: 2025-03-05.
Last confirmed: 2025-06-16. Reopening is not established.
confirmed through 2025-06-16; at least 103 calendar-day difference; reopening unknown
Later status observation: 2026-10-01. Young Pioneer Tours reports ordinary non-Russian tourism remains suspended; limited Russian tourism and invited delegations are exceptions. This observation is not an extension of the earlier calculated continuous interval.</x:v>
      </x:c>
      <x:c r="G114" s="4" t="str">
        <x:v>Uncoded / Unresolved rationale
Not assigned
Applies to: Not assigned
No additional motive inferred</x:v>
      </x:c>
      <x:c r="H114" s="4" t="str">
        <x:v>EA024-D1: Both operators may relay the same instruction. Industry/staff visits and tourism elsewhere are not ordinary Rason land tours. The earlier evidence segment ends on June 16, 2025; a separate operator observation dated October 1, 2026 supplies the later status below. Other traveller classes are not covered.
rationale: The direct tour operator’s dated notices still provide no reason. Do not inherit the 2020 COVID rationale or infer motives from later business exceptions.
Later observation: Young Pioneer Tours, updated October 1, 2026, reports that ordinary non-Russian tourism remains suspended, linking this to the March 5, 2025 reversal. Limited Russian access and invited delegations are exceptions. This supplements rather than changes the scope of the earlier June observation.</x:v>
      </x:c>
      <x:c r="I114" s="4" t="str">
        <x:v>Second full-register audit, 26 October 2026: qualified. Fresh operator notices confirm the March 5 Rason suspension, June 16 ordinary-tourism non-reopening and separately dated October 2026 status. Exceptions and unresolved rationale are correctly retained.</x:v>
      </x:c>
      <x:c r="J114" s="18" t="d">
        <x:v>2026-10-26T00:00:00.000Z</x:v>
      </x:c>
      <x:c r="K114" s="21" t="str">
        <x:f>IFERROR(HYPERLINK("https://www.uritours.com/blog/coronavirus-north-korea-temporarily-closes-borders/","Uri Tours"),"Uri Tours")</x:f>
        <x:v>Uri Tours</x:v>
      </x:c>
      <x:c r="L114" s="21" t="str">
        <x:f>IFERROR(HYPERLINK("https://koryogroup.com/blog/north-korea-borders-to-reopen/","Koryo Tours"),"Koryo Tours")</x:f>
        <x:v>Koryo Tours</x:v>
      </x:c>
      <x:c r="M114" s="21"/>
      <x:c r="N114" s="4" t="str">
        <x:v>https://www.uritours.com/blog/coronavirus-north-korea-temporarily-closes-borders/
https://koryogroup.com/blog/north-korea-borders-to-reopen/
https://www.youngpioneertours.com/north-korea-open-for-tourism/</x:v>
      </x:c>
      <x:c r="O114" s="4" t="str">
        <x:v>Second full-register audit source access, 26 October 2026
https://www.uritours.com/blog/coronavirus-north-korea-temporarily-closes-borders/: full text (fresh retrieval) — Evidence is limited to the stated movement and dates.
https://koryogroup.com/blog/north-korea-borders-to-reopen/: full text (fresh retrieval) — Evidence is limited to the stated movement and dates.
https://www.youngpioneertours.com/north-korea-open-for-tourism/: full text (fresh retrieval) — Operator status and exceptions are explicit; not a formal legal instrument or evidence for every traveller class.
Prior audit access record
Full-register audit source access (evidence cutoff 25 October 2026)
https://www.uritours.com/blog/coronavirus-north-korea-temporarily-closes-borders/: full text — See specific claim qualifications.
https://koryogroup.com/blog/north-korea-borders-to-reopen/: full text — See specific claim qualifications.
https://www.youngpioneertours.com/north-korea-open-for-tourism/: full text — See specific claim qualifications.
Earlier recorded access
Source 1: full page
Source 2: full page</x:v>
      </x:c>
      <x:c r="P114" s="20" t="n">
        <x:v>1</x:v>
      </x:c>
      <x:c r="Q114" s="4" t="str">
        <x:v>East and Southeast Asia and Oceania</x:v>
      </x:c>
      <x:c r="R114" s="4" t="str">
        <x:v>Included</x:v>
      </x:c>
    </x:row>
    <x:row r="115" ht="409" hidden="0" customHeight="1">
      <x:c r="A115" s="16" t="str">
        <x:v>EA001</x:v>
      </x:c>
      <x:c r="B115" s="4" t="str">
        <x:v>Thailand Cambodia closure following border confrontation</x:v>
      </x:c>
      <x:c r="C115" s="4" t="str">
        <x:v>Thailand; Cambodia</x:v>
      </x:c>
      <x:c r="D115" s="4" t="str">
        <x:v>Aranyaprathet–Poipet for the rule confirmed on 8 June; the 23 June phase covers checkpoints specified by the 1st/2nd Army regions and Chanthaburi–Trat command. Other posts and movements require their own phase evidence.
Thai-side checkpoint restrictions in seven border provinces; command, post and traffic scope differ by phase. The earlier Aranyaprathet–Poipet rule is not a whole-frontier closure.</x:v>
      </x:c>
      <x:c r="E115" s="4" t="str">
        <x:v>Passengers traders tourists and vehicles
Direction: Entry and exit at Thai checkpoints; humanitarian exceptions changed by phase
Exceptions: Discretionary medical, student and essential-life exemptions in June 23 directives; the second-region directive also described essential household trade. Repatriation and medical passages were later reported. July 24 advisory narrowed stated exceptions to humanitarian missions.</x:v>
      </x:c>
      <x:c r="F115" s="4" t="str">
        <x:v>EA001-FU1 — Formal policy
Thai-side checkpoints covered by June 23 directives: 1st and 2nd Army regions and Chanthaburi–Trat command
Start: 2025-06-23.
Last confirmed: 2025-06-23. Reopening is not established.
Formal policy: dated evidence; numeric duration withheld; see qualification
REC50-R28-PH001 — Formal policy
Aranyaprathet–Poipet rule restricting Thai outbound tourism and gambling, confirmed by the 8 June 2025 MFA briefing.
Start: unknown.
Last confirmed: 2025-06-08. Reopening is not established.
Formal policy: dated evidence; numeric duration withheld; see qualification</x:v>
      </x:c>
      <x:c r="G115" s="4" t="str">
        <x:v>Security / Armed conflict and military confrontation
Attributed official justification
Applies to: Recorded episode; exact overlap not separately established
The recorded rationale and claim assessment support the selected subcategories. All applicable broad categories are retained together; no primary rationale is imposed.
Security / Crime and law enforcement
Attributed official justification
Applies to: Recorded episode; exact overlap not separately established
The recorded rationale and claim assessment support the selected subcategories. All applicable broad categories are retained together; no primary rationale is imposed.</x:v>
      </x:c>
      <x:c r="H115" s="4" t="str">
        <x:v>EA001-FU1: Formal restriction confirmed on June 23 only. Later exceptions and uneven changes require separately matched phases; no uninterrupted whole-frontier operation or present closure inferred.
REC50-R28-PH001: The narrow rule is confirmed on 8 June; no exact effective time, first refusal, end or intervening continuity is supplied. Larger trucks can use the alternative Friendship Bridge checkpoint. The later June 23 command orders remain a separate existing phase. The official stated purpose here is peace, order and safety; the parent’s crime rationale is not automatically attributed to this early phase.
duration: The dated formal restriction can be represented as confirmed at June 23. Full-regime endpoint and operational continuity remain unresolved.</x:v>
      </x:c>
      <x:c r="I115" s="4" t="str">
        <x:v>Second full-register audit, 26 October 2026: qualified. Fresh official and contemporary sources confirm the existing distinction between June 8 selective restrictions and June 23 command orders. Humanitarian exceptions and later current closure advice do not establish uniform historical enforcement.</x:v>
      </x:c>
      <x:c r="J115" s="18" t="d">
        <x:v>2026-10-26T00:00:00.000Z</x:v>
      </x:c>
      <x:c r="K115" s="21" t="str">
        <x:f>IFERROR(HYPERLINK("https://www.nationthailand.com/news/general/40051649","The Nation"),"The Nation")</x:f>
        <x:v>The Nation</x:v>
      </x:c>
      <x:c r="L115" s="21" t="str">
        <x:f>IFERROR(HYPERLINK("https://www.mfa.go.th/en/content/press-conf-devts-thailand-cambodia-situation-4?cate=5d5bcb4e15e39c306000683c","Thailand Ministry of Foreign Affairs"),"Thailand Ministry of Foreign Affairs")</x:f>
        <x:v>Thailand Ministry of Foreign Affairs</x:v>
      </x:c>
      <x:c r="M115" s="21" t="str">
        <x:f>IFERROR(HYPERLINK("https://www.nationthailand.com/news/general/40051684","The Nation"),"The Nation")</x:f>
        <x:v>The Nation</x:v>
      </x:c>
      <x:c r="N115" s="4" t="str">
        <x:v>https://www.nationthailand.com/news/general/40051649
https://www.mfa.go.th/en/content/press-conf-devts-thailand-cambodia-situation-4?cate=5d5bcb4e15e39c306000683c
https://www.nationthailand.com/news/general/40051684
https://www.rfa.org/english/cambodia/2025/06/25/cambodia-thailand-border-closures/
https://thailand.prd.go.th/en/content/category/detail/id/2874/iid/401051
https://www.reuters.com/world/asia-pacific/thailand-closes-border-crossings-with-cambodia-dispute-deepens-2025-06-24/
https://thailand.prd.go.th/en/content/category/detail/id/3243/iid/409121
https://thailand.prd.go.th/en/content/category/detail/id/48/iid/395870
https://www.nationthailand.com/news/asean/40066911
https://sakaeo.prd.go.th/th/content/category/detail/id/33/iid/508678
https://mwgthailand.org/sites/default/files/2025-07/30-mi-y-688cdhmaythuengrathbaleruuexngphlkrathbpiddanithykamphuucha-eng.pdf
https://www.nationthailand.com/news/asean/40066949
https://www.gov.uk/foreign-travel-advice/thailand/regional-risks
https://www.smartraveller.gov.au/destinations/asia/cambodia</x:v>
      </x:c>
      <x:c r="O115" s="4" t="str">
        <x:v>Second full-register audit source access, 26 October 2026
https://www.mfa.go.th/en/content/press-conf-devts-thailand-cambodia-situation-4?cate=5d5bcb4e15e39c306000683c: full text (fresh retrieval) — A briefing about status; no first refusal or endpoint.
https://www.nationthailand.com/news/general/40051649: full text (fresh retrieval) — Reports official claims; not independent proof of conflict responsibility or complete enforcement.
https://thailand.prd.go.th/en/content/category/detail/id/2874/iid/401051: full text (fresh retrieval) — Official account of selected exceptions, not unrestricted reopening.
https://thailand.prd.go.th/en/content/category/detail/id/3243/iid/409121: full text (fresh retrieval) — Later advisory does not prove continuity from June.
https://www.gov.uk/foreign-travel-advice/thailand/regional-risks: full text (fresh retrieval) — Live guidance is a status observation, not historical gate logs.
https://www.smartraveller.gov.au/destinations/asia/cambodia: full text (fresh retrieval) — Advice updates do not date first closure or demonstrate uninterrupted enforcement.
Earlier URLs not separately inspected in this second assessment:
https://www.nationthailand.com/news/general/40051684
https://www.rfa.org/english/cambodia/2025/06/25/cambodia-thailand-border-closures/
https://www.reuters.com/world/asia-pacific/thailand-closes-border-crossings-with-cambodia-dispute-deepens-2025-06-24/
https://thailand.prd.go.th/en/content/category/detail/id/48/iid/395870
https://www.nationthailand.com/news/asean/40066911
https://sakaeo.prd.go.th/th/content/category/detail/id/33/iid/508678
https://mwgthailand.org/sites/default/files/2025-07/30-mi-y-688cdhmaythuengrathbaleruuexngphlkrathbpiddanithykamphuucha-eng.pdf
https://www.nationthailand.com/news/asean/40066949
Prior audit access record
Full-register audit source access (evidence cutoff 25 October 2026)
https://www.mfa.go.th/en/content/press-conf-devts-thailand-cambodia-situation-4?cate=5d5bcb4e15e39c306000683c: full text — See specific claim qualifications.
https://www.nationthailand.com/news/general/40051649: full text — See specific claim qualifications.
https://www.gov.uk/foreign-travel-advice/thailand/regional-risks: full text — Current observation checked October 25, 2026; not a complete historical continuity record.
Earlier source URLs not separately listed in this audit’s retrieval log (historical access notes below are not fresh verification):
https://www.nationthailand.com/news/general/40051684
https://www.rfa.org/english/cambodia/2025/06/25/cambodia-thailand-border-closures/
https://thailand.prd.go.th/en/content/category/detail/id/2874/iid/401051
https://www.reuters.com/world/asia-pacific/thailand-closes-border-crossings-with-cambodia-dispute-deepens-2025-06-24/
https://thailand.prd.go.th/en/content/category/detail/id/3243/iid/409121
https://thailand.prd.go.th/en/content/category/detail/id/48/iid/395870
https://www.nationthailand.com/news/asean/40066911
https://sakaeo.prd.go.th/th/content/category/detail/id/33/iid/508678
https://mwgthailand.org/sites/default/files/2025-07/30-mi-y-688cdhmaythuengrathbaleruuexngphlkrathbpiddanithykamphuucha-eng.pdf
https://www.nationthailand.com/news/asean/40066949
Earlier recorded access
Source 1: indexed excerpt; full text
Source 2: full text
Source 3: indexed excerpt; full; full text</x:v>
      </x:c>
      <x:c r="P115" s="20" t="n">
        <x:v>2</x:v>
      </x:c>
      <x:c r="Q115" s="4" t="str">
        <x:v>East and Southeast Asia and Oceania</x:v>
      </x:c>
      <x:c r="R115" s="4" t="str">
        <x:v>Included</x:v>
      </x:c>
    </x:row>
    <x:row r="116" ht="409" hidden="0" customHeight="1">
      <x:c r="A116" s="16" t="str">
        <x:v>EA008</x:v>
      </x:c>
      <x:c r="B116" s="4" t="str">
        <x:v>Myanmar closes Second Friendship Bridge cargo route</x:v>
      </x:c>
      <x:c r="C116" s="4" t="str">
        <x:v>Myanmar; Thailand</x:v>
      </x:c>
      <x:c r="D116" s="4" t="str">
        <x:v>Second Mae Sot Myawaddy Friendship Bridge</x:v>
      </x:c>
      <x:c r="E116" s="4" t="str">
        <x:v>Cargo trucks
Direction: Cargo across the Myanmar side of the bilateral bridge; closure affected trade in both directions. Initial May 28 reopening observation specifically confirms Myanmar-side truck traffic.</x:v>
      </x:c>
      <x:c r="F116" s="4" t="str">
        <x:v>EA008-D1 — Observed operation
Second Mae Sot Myawaddy Friendship Bridge; Cargo trucks; Cargo across the Myanmar side of the bilateral bridge; closure affected trade in both directions. Initial May 28 reopening observation specifically confirms Myanmar-side truck traffic.
Start: 2025-08-18.
Observed scoped reopening: 2026-05-28.
283 calendar-day difference; scoped endpoint only</x:v>
      </x:c>
      <x:c r="G116"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x:v>
      </x:c>
      <x:c r="H116" s="4" t="str">
        <x:v>EA008-D1: May 28 is initial partial cargo resumption, with observed Thai cargo entry into Myanmar as well as Eleven's Myanmar-side traffic account. Trial twice-daily operation and low volumes continued; neither full normalization nor every goods category is established. NationThailand's Eleven copy is not an independent origin.</x:v>
      </x:c>
      <x:c r="I116" s="4" t="str">
        <x:v>Second full-register audit, 26 October 2026: qualified. Fresh official and contemporaneous reports confirm the 18 August 2025 closure and 28 May 2026 limited cargo reopening; subsequent licensing resumption corroborates the scoped endpoint without proving unrestricted normalization.</x:v>
      </x:c>
      <x:c r="J116" s="18" t="d">
        <x:v>2026-10-26T00:00:00.000Z</x:v>
      </x:c>
      <x:c r="K116" s="21" t="str">
        <x:f>IFERROR(HYPERLINK("https://mfa.go.th/en/content/temporary-closure-2nd-thai-myanmar-bridge-en?cate=5d5bcb4e15e39c306000683e","Thailand Ministry of Foreign Affairs"),"Thailand Ministry of Foreign Affairs")</x:f>
        <x:v>Thailand Ministry of Foreign Affairs</x:v>
      </x:c>
      <x:c r="L116" s="21" t="str">
        <x:f>IFERROR(HYPERLINK("https://elevenmyanmar.com/news/myawady-mae-sot-no-2-cargo-bridge-reopens-for-trade","Eleven Media"),"Eleven Media")</x:f>
        <x:v>Eleven Media</x:v>
      </x:c>
      <x:c r="M116" s="21" t="str">
        <x:f>IFERROR(HYPERLINK("https://www.khaosodenglish.com/news/2026/05/28/mae-sot-myawaddy-border-crossing-shut-by-myanmar-conflict-reopens-after-10-months/","Khaosod English"),"Khaosod English")</x:f>
        <x:v>Khaosod English</x:v>
      </x:c>
      <x:c r="N116" s="4" t="str">
        <x:v>https://mfa.go.th/en/content/temporary-closure-2nd-thai-myanmar-bridge-en?cate=5d5bcb4e15e39c306000683e
https://elevenmyanmar.com/news/myawady-mae-sot-no-2-cargo-bridge-reopens-for-trade
https://www.khaosodenglish.com/news/2026/05/28/mae-sot-myawaddy-border-crossing-shut-by-myanmar-conflict-reopens-after-10-months/
https://www.bnionline.net/en/news/myawaddy-mae-sot-friendship-bridge-no-2-reopens-limited-truck-traffic-resumes-myanmar
https://english.dvb.no/myanmar-thailand-friendship-bridge-no-2-reopens-after-9-month-long-closure/
https://elevenmyanmar.com/news/myanmar-temporarily-closes-myawaddy-mae-sot-friendship-bridge-no-2-stranding-over-500-trucks
https://www.khaosodenglish.com/news/2026/05/28/mae-sot-myawaddy-border-crossing-shut-by-myanmar-conflict-reopens-after-10-months/amp/
https://english.dvb.no/thai-myanmar-bridge-remains-closed-as-smuggling-continues-along-asia-highway/
https://tna.mcot.net/tna/news/news/list/158802
https://www.nationthailand.com/business/trade/40066980</x:v>
      </x:c>
      <x:c r="O116" s="4" t="str">
        <x:v>Second full-register audit source access, 26 October 2026
https://mfa.go.th/en/content/temporary-closure-2nd-thai-myanmar-bridge-en?cate=5d5bcb4e15e39c306000683e: full text (fresh retrieval) — Does not independently demonstrate every vehicle refusal.
https://elevenmyanmar.com/news/myawady-mae-sot-no-2-cargo-bridge-reopens-for-trade: full text (fresh retrieval) — Low traffic and uncertain Thai-bound return in this report.
https://www.khaosodenglish.com/news/2026/05/28/mae-sot-myawaddy-border-crossing-shut-by-myanmar-conflict-reopens-after-10-months/: full text (fresh retrieval) — Expected full operation within a month is a forecast only.
https://www.nationthailand.com/business/trade/40066980: full text (fresh retrieval) — Licensing approval is not unrestricted actual movement of every commodity.
Earlier URLs not separately inspected in this second assessment:
https://www.bnionline.net/en/news/myawaddy-mae-sot-friendship-bridge-no-2-reopens-limited-truck-traffic-resumes-myanmar
https://english.dvb.no/myanmar-thailand-friendship-bridge-no-2-reopens-after-9-month-long-closure/
https://elevenmyanmar.com/news/myanmar-temporarily-closes-myawaddy-mae-sot-friendship-bridge-no-2-stranding-over-500-trucks
https://www.khaosodenglish.com/news/2026/05/28/mae-sot-myawaddy-border-crossing-shut-by-myanmar-conflict-reopens-after-10-months/amp/
https://english.dvb.no/thai-myanmar-bridge-remains-closed-as-smuggling-continues-along-asia-highway/
https://tna.mcot.net/tna/news/news/list/158802
Prior audit access record
Full-register audit source access (evidence cutoff 25 October 2026)
https://mfa.go.th/en/content/temporary-closure-2nd-thai-myanmar-bridge-en?cate=5d5bcb4e15e39c306000683e: full text — See specific claim qualifications.
https://elevenmyanmar.com/news/myanmar-temporarily-closes-myawaddy-mae-sot-friendship-bridge-no-2-stranding-over-500-trucks: search extract — See specific claim qualifications.
https://elevenmyanmar.com/news/myawady-mae-sot-no-2-cargo-bridge-reopens-for-trade: full text — See specific claim qualifications.
https://www.khaosodenglish.com/news/2026/05/28/mae-sot-myawaddy-border-crossing-shut-by-myanmar-conflict-reopens-after-10-months/: full text — See specific claim qualifications.
https://www.bnionline.net/en/news/myawaddy-mae-sot-friendship-bridge-no-2-reopens-limited-truck-traffic-resumes-myanmar: search extract — See specific claim qualifications.
https://english.dvb.no/myanmar-thailand-friendship-bridge-no-2-reopens-after-9-month-long-closure/: full text — See specific claim qualifications.
https://tna.mcot.net/tna/news/news/list/158802: search extract — See specific claim qualifications.
Earlier source URLs not separately listed in this audit’s retrieval log (historical access notes below are not fresh verification):
https://www.khaosodenglish.com/news/2026/05/28/mae-sot-myawaddy-border-crossing-shut-by-myanmar-conflict-reopens-after-10-months/amp/
https://english.dvb.no/thai-myanmar-bridge-remains-closed-as-smuggling-continues-along-asia-highway/
Earlier recorded access
Source 1: full; full text
Source 2: full; full text
Source 3: full; full text</x:v>
      </x:c>
      <x:c r="P116" s="20" t="n">
        <x:v>1</x:v>
      </x:c>
      <x:c r="Q116" s="4" t="str">
        <x:v>East and Southeast Asia and Oceania</x:v>
      </x:c>
      <x:c r="R116" s="4" t="str">
        <x:v>Included</x:v>
      </x:c>
    </x:row>
    <x:row r="117" ht="409" hidden="0" customHeight="1">
      <x:c r="A117" s="16" t="str">
        <x:v>EA002</x:v>
      </x:c>
      <x:c r="B117" s="4" t="str">
        <x:v>Cambodian goods and passenger restrictions at the Thailand frontier during border disputes</x:v>
      </x:c>
      <x:c r="C117" s="4" t="str">
        <x:v>Cambodia; Thailand</x:v>
      </x:c>
      <x:c r="D117" s="4" t="str">
        <x:v>All international and regional Thai border gates</x:v>
      </x:c>
      <x:c r="E117" s="4" t="str">
        <x:v>Goods entering, leaving or transiting
Direction: Goods entering, leaving or transiting Cambodian gates
EA002-AUDIT20261025-1: all entry and exit movements at Cambodia’s Thailand-frontier crossings were suspended immediately on 13 December 2025. No unreported exceptions are inferred. This passenger-inclusive phase is distinct from the earlier goods policy; the June 2026 goods statement distinguishes permitted sea and air channels.
EA002-R2-P1: Thai fruit and vegetable imports into Cambodia only. Other goods and passenger movements remained permitted according to the June 17 customs and immigration accounts. The later general goods and passenger phases are separate.</x:v>
      </x:c>
      <x:c r="F117" s="4" t="str">
        <x:v>EA002-FU1 — Formal policy
Cambodian international and regional gates on the Thailand frontier
Start: unknown.
Last confirmed: 2025-06-29. Reopening is not established.
Formal policy: dated evidence; numeric duration withheld; see qualification
EA002-AUDIT20261025-1 — Formal policy; start 2025-12-13, endpoint unknown
The Cambodian Ministry of Interior announced immediate suspension of all entry and exit movements at every Thailand-frontier crossing, until further notice, for civilian safety. This distinct passenger-policy escalation does not determine the earlier goods ban’s onset.
Later goods-policy observation — 2026-06-13
AKP reports that land-border imports remain prohibited; sea and air transport are distinguished.
EA002-R2-P1 — Formal policy with reported implementation
Thai fruit and vegetable imports into Cambodia at the Thailand-frontier checkpoints
Start: 2025-06-17 at 09:00, as reported by the immigration director.
Last confirmed for this specific commodity measure: 2025-06-17. Exact lifting or supersession is not established.
Other goods and passenger passage remained permitted in the June 17 account. No complete operational duration is established.
Earlier scoped goods observation: a June 24, 2025 provincial return arrangement at Poipet prohibited goods while permitting specified return journeys and empty vehicles. This does not establish the original nationwide onset of EA002-FU1.</x:v>
      </x:c>
      <x:c r="G117" s="4" t="str">
        <x:v>Trade and protectionism / Import, export and production controls
Interstate disputes and pressure / Diplomatic disputes and retaliation
Attributed official reasons
The June 17 fruit-and-vegetable import measure followed an ultimatum demanding restoration of Thailand’s border hours. The June 29 general-goods account made reopening conditional on Thailand restoring crossings. These are the reported official positions, not an independently established exclusive motive or a finding about responsibility for the dispute.
Security / Armed conflict and military confrontation
Applies to EA002-AUDIT20261025-1 only.
The Ministry of Interior attributed its December 13, 2025 suspension of all entry and exit to civilian safety during border fighting. Allegations about weapons or responsibility are not independently established.</x:v>
      </x:c>
      <x:c r="H117" s="4" t="str">
        <x:v>EA002-FU1: The national general-goods prohibition is confirmed on June 29, 2025; its original onset and repeal remain unknown. Nationwide physical enforcement is not independently observed. A June 24 Poipet return arrangement supplies an earlier, geographically limited goods prohibition, but does not establish a national start date. Its scheduled passenger-return hours do not prove actual passage throughout the window.
EA002-R2-P1: Customs and immigration officials confirmed the narrower Thai fruit-and-vegetable restriction on June 17, 2025, with the immigration director reporting a 09:00 start. Other goods and passengers remained permitted in that account. The exact ending and continuous gate-level enforcement of this commodity measure remain unestablished.
EA002-AUDIT20261025-1: The December 13, 2025 suspension of all entry and exit is a distinct formal scope, effective immediately according to the Ministry of Interior. It does not backdate the goods prohibitions. The June 13, 2026 statement is a separate later goods-policy observation that distinguishes sea and air channels. No uninterrupted all-crossing operation or all-person continuity is inferred.</x:v>
      </x:c>
      <x:c r="I117" s="4" t="str">
        <x:v>Second full-register audit, 26 October 2026: additional source-audited corrections incorporated. See the phase, scope and qualification columns for the accepted findings.</x:v>
      </x:c>
      <x:c r="J117" s="18" t="d">
        <x:v>2026-10-26T00:00:00.000Z</x:v>
      </x:c>
      <x:c r="K117" s="21" t="str">
        <x:f>IFERROR(HYPERLINK("https://akp.gov.kh/post/detail/340784","Agence Kampuchea Presse"),"Agence Kampuchea Presse")</x:f>
        <x:v>Agence Kampuchea Presse</x:v>
      </x:c>
      <x:c r="L117" s="21" t="str">
        <x:f>IFERROR(HYPERLINK("https://www.akp.gov.kh/index.php/post/detail/340784","AKP / General Department of Immigration"),"AKP / General Department of Immigration")</x:f>
        <x:v>AKP / General Department of Immigration</x:v>
      </x:c>
      <x:c r="M117" s="21" t="str">
        <x:f>IFERROR(HYPERLINK("https://www.thestar.com.my/aseanplus/aseanplus-news/2025/06/29/thai-cambodia-border-closed-to-cargo-traffic","The Star"),"The Star")</x:f>
        <x:v>The Star</x:v>
      </x:c>
      <x:c r="N117" s="4" t="str">
        <x:v>https://akp.gov.kh/post/detail/340784
https://www.akp.gov.kh/index.php/post/detail/340784
https://www.thestar.com.my/aseanplus/aseanplus-news/2025/06/29/thai-cambodia-border-closed-to-cargo-traffic
https://www.cpp.org.kh/en/details/423020
https://mail.akp.gov.kh/post/detail/372991
https://cambojanews.com/cambodia-stands-firm-on-thailand-restoring-border-crossings-first-over-40000-migrant-workers-return-home/
https://www.nationthailand.com/news/asean/40051918
https://www.akp.gov.kh/index.php/post/detail/342407
https://www.akp.gov.kh/index.php/post/detail/356038
https://en.freshnewsasia.com/index.php/en/localnews/61105-2025-06-17-06-27-29.html
https://cambodianess.com/article/borders-shut-for-thai-fruit-vegetable-imports-after-24-hour-ultimatum
https://m.en.freshnewsasia.com/index.php/en/localnews/61323-2025-06-24-09-06-29.html
https://www.akp.gov.kh/post/detail/356134
https://www.smartraveller.gov.au/destinations/asia/cambodia</x:v>
      </x:c>
      <x:c r="O117" s="4" t="str">
        <x:v>Second full-register audit source access, 26 October 2026
https://www.akp.gov.kh/index.php/post/detail/340784: full text (fresh retrieval) — In-force observation, not original onset or independent field enforcement.
https://www.akp.gov.kh/index.php/post/detail/356038: full text (fresh retrieval) — Official allegations about attacks are not independently verified.
https://mail.akp.gov.kh/post/detail/372991: full text (fresh retrieval) — Statement does not prove every day's enforcement.
https://en.freshnewsasia.com/index.php/en/localnews/61105-2025-06-17-06-27-29.html: full text (fresh retrieval) — Officials' implementation account, not observations of every post.
https://cambodianess.com/article/borders-shut-for-thai-fruit-vegetable-imports-after-24-hour-ultimatum: full text (fresh retrieval) — Clock time reported in local context; no exact ending or daily enforcement log.
https://m.en.freshnewsasia.com/index.php/en/localnews/61323-2025-06-24-09-06-29.html: full text (fresh retrieval) — Scheduled return window, not proof all three hours operated; limited geography.
https://www.akp.gov.kh/post/detail/356134: search extract (fresh retrieval) — Indexed body inspected; publication day needs original-page confirmation and is not used as a new date boundary.
https://www.smartraveller.gov.au/destinations/asia/cambodia: full text (fresh retrieval) — Current advice does not establish historic continuity.
Earlier URLs not separately inspected in this second assessment:
https://akp.gov.kh/post/detail/340784
https://www.thestar.com.my/aseanplus/aseanplus-news/2025/06/29/thai-cambodia-border-closed-to-cargo-traffic
https://www.cpp.org.kh/en/details/423020
https://cambojanews.com/cambodia-stands-firm-on-thailand-restoring-border-crossings-first-over-40000-migrant-workers-return-home/
https://www.nationthailand.com/news/asean/40051918
https://www.akp.gov.kh/index.php/post/detail/342407
Prior audit access record
Full-register audit source access (evidence cutoff 25 October 2026)
https://www.akp.gov.kh/index.php/post/detail/340784: full text — See specific claim qualifications.
https://mail.akp.gov.kh/post/detail/372991: full text — See specific claim qualifications.
https://www.akp.gov.kh/index.php/post/detail/356038: full text — See specific claim qualifications.
Earlier source URLs not separately listed in this audit’s retrieval log (historical access notes below are not fresh verification):
https://akp.gov.kh/post/detail/340784
https://www.thestar.com.my/aseanplus/aseanplus-news/2025/06/29/thai-cambodia-border-closed-to-cargo-traffic
https://www.cpp.org.kh/en/details/423020
https://cambojanews.com/cambodia-stands-firm-on-thailand-restoring-border-crossings-first-over-40000-migrant-workers-return-home/
https://www.nationthailand.com/news/asean/40051918
https://www.akp.gov.kh/index.php/post/detail/342407
Earlier recorded access
Source 1: full text
Source 2: full
Source 3: indexed excerpt</x:v>
      </x:c>
      <x:c r="P117" s="20" t="n">
        <x:v>3</x:v>
      </x:c>
      <x:c r="Q117" s="4" t="str">
        <x:v>East and Southeast Asia and Oceania</x:v>
      </x:c>
      <x:c r="R117" s="4" t="str">
        <x:v>Included</x:v>
      </x:c>
    </x:row>
    <x:row r="118" ht="409" hidden="0" customHeight="1">
      <x:c r="A118" s="16" t="str">
        <x:v>EA009</x:v>
      </x:c>
      <x:c r="B118" s="4" t="str">
        <x:v>Muse Mang Wein freight closure during COVID</x:v>
      </x:c>
      <x:c r="C118" s="4" t="str">
        <x:v>China; Myanmar</x:v>
      </x:c>
      <x:c r="D118" s="4" t="str">
        <x:v>Muse MangWein Mantwein gate</x:v>
      </x:c>
      <x:c r="E118" s="4" t="str">
        <x:v>Commercial vehicles and goods
Direction: Both-way commercial goods, with different product eligibility
Exceptions: Reopening limited to six-wheel trucks and selected goods; passengers still prohibited</x:v>
      </x:c>
      <x:c r="F118" s="4" t="str">
        <x:v>EA009-REV1 — Observed operation
Mang Wein freight stoppage until first limited six-wheel-truck reopening; not all Muse gates or passenger access
Start: 2021-03-30.
Observed scoped reopening: 2023-01-14.
655 calendar-day difference; scoped endpoint only</x:v>
      </x:c>
      <x:c r="G11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18" s="4" t="str">
        <x:v>EA009-REV1: Endpoint is January 14 at 07:00 Myanmar Standard Time and represents limited freight resumption, not full normalization. Other trucks, passengers and excluded commodities remained restricted. GNLM reporting lineage shared; conflicting 2020 onset preserved in audit.</x:v>
      </x:c>
      <x:c r="I118" s="4" t="str">
        <x:v>Second full-register audit, 26 October 2026: qualified. The 2021 freight onset is supported by contemporary evidence despite 2023 retrospectives conflating it with 2020 passenger restrictions. The 14 January 2023 limited-truck endpoint remains valid.</x:v>
      </x:c>
      <x:c r="J118" s="18" t="d">
        <x:v>2026-10-26T00:00:00.000Z</x:v>
      </x:c>
      <x:c r="K118" s="21" t="str">
        <x:f>IFERROR(HYPERLINK("https://uzo.sakura.ne.jp/burma/nlm/nlm_data/gnlm_2021/gnlm_05_2021/gnlm_07_05_2021.pdf","Global New Light of Myanmar; archive mirror"),"Global New Light of Myanmar; archive mirror")</x:f>
        <x:v>Global New Light of Myanmar; archive mirror</x:v>
      </x:c>
      <x:c r="L118" s="21" t="str">
        <x:f>IFERROR(HYPERLINK("https://www.gnlm.com.mm/mang-wein-border-checkpoint-remains-closed-even-after-one-year/","GNLM"),"GNLM")</x:f>
        <x:v>GNLM</x:v>
      </x:c>
      <x:c r="M118" s="21" t="str">
        <x:f>IFERROR(HYPERLINK("https://www.mdn.gov.mm/en/monthly-market-summary-january-2023","Myanmar Digital News / GNLM"),"Myanmar Digital News / GNLM")</x:f>
        <x:v>Myanmar Digital News / GNLM</x:v>
      </x:c>
      <x:c r="N118" s="4" t="str">
        <x:v>https://uzo.sakura.ne.jp/burma/nlm/nlm_data/gnlm_2021/gnlm_05_2021/gnlm_07_05_2021.pdf
https://www.gnlm.com.mm/mang-wein-border-checkpoint-remains-closed-even-after-one-year/
https://www.mdn.gov.mm/en/monthly-market-summary-january-2023
https://www.moi.gov.mm/moi:eng/news/9216
https://mdn.gov.mm/en/mang-wein-border-point-expected-be-reopened-after-chinese-new-year
https://www.voanews.com/a/major-myanmar-china-border-crossing-partially-reopens/6919080.html
https://www.moi.gov.mm/moi%3Aeng/index.php/news/9216
https://myanmartradeportal.gov.mm/en/legal/384
https://www.moi.gov.mm/moi:eng/index.php/news/9216
https://eng.mizzima.com/2024/11/13/16202
https://www.gnlm.com.mm/sino-myanmar-major-border-crossing-kyalgaung-yet-to-resume-even-after-over-18-months/</x:v>
      </x:c>
      <x:c r="O118" s="4" t="str">
        <x:v>Second full-register audit source access, 26 October 2026
https://uzo.sakura.ne.jp/burma/nlm/nlm_data/gnlm_2021/gnlm_05_2021/gnlm_07_05_2021.pdf: full text (previously retrieved text re-examined) — Scope and dates are assessed individually below.
https://www.gnlm.com.mm/mang-wein-border-checkpoint-remains-closed-even-after-one-year/: search extract (previously retrieved text re-examined) — Cached indexed article text inspected; shared GNLM reporting lineage.
https://www.gnlm.com.mm/sino-myanmar-major-border-crossing-kyalgaung-yet-to-resume-even-after-over-18-months/: search extract (previously retrieved text re-examined) — Shared GNLM/trader lineage.
https://www.moi.gov.mm/moi%3Aeng/index.php/news/9216: full text (fresh retrieval) — Retrospective 2020 onset conflicts with contemporary freight account.
https://www.voanews.com/a/major-myanmar-china-border-crossing-partially-reopens/6919080.html: full text (fresh retrieval) — Broad 2020 history and UTC parenthesis not adopted.
Earlier URLs not separately inspected in this second assessment:
https://www.mdn.gov.mm/en/monthly-market-summary-january-2023
https://www.moi.gov.mm/moi:eng/news/9216
https://mdn.gov.mm/en/mang-wein-border-point-expected-be-reopened-after-chinese-new-year
https://myanmartradeportal.gov.mm/en/legal/384
https://www.moi.gov.mm/moi:eng/index.php/news/9216
https://eng.mizzima.com/2024/11/13/16202
Prior audit access record
Full-register audit source access (evidence cutoff 25 October 2026)
https://uzo.sakura.ne.jp/burma/nlm/nlm_data/gnlm_2021/gnlm_05_2021/gnlm_07_05_2021.pdf: full text — See specific claim qualifications.
https://www.gnlm.com.mm/mang-wein-border-checkpoint-remains-closed-even-after-one-year/: search extract — See specific claim qualifications.
https://www.gnlm.com.mm/sino-myanmar-major-border-crossing-kyalgaung-yet-to-resume-even-after-over-18-months/: search extract — See specific claim qualifications.
https://www.moi.gov.mm/moi:eng/index.php/news/9216: full text — See specific claim qualifications.
https://www.voanews.com/a/major-myanmar-china-border-crossing-partially-reopens/6919080.html: full text — See specific claim qualifications.
Earlier source URLs not separately listed in this audit’s retrieval log (historical access notes below are not fresh verification):
https://www.mdn.gov.mm/en/monthly-market-summary-january-2023
https://www.moi.gov.mm/moi:eng/news/9216
https://mdn.gov.mm/en/mang-wein-border-point-expected-be-reopened-after-chinese-new-year
https://www.moi.gov.mm/moi%3Aeng/index.php/news/9216
https://myanmartradeportal.gov.mm/en/legal/384
https://eng.mizzima.com/2024/11/13/16202
Earlier recorded access
Source 1: full
Source 2: indexed excerpt; failed
Source 3: full</x:v>
      </x:c>
      <x:c r="P118" s="20" t="n">
        <x:v>1</x:v>
      </x:c>
      <x:c r="Q118" s="4" t="str">
        <x:v>East and Southeast Asia and Oceania</x:v>
      </x:c>
      <x:c r="R118" s="4" t="str">
        <x:v>Included</x:v>
      </x:c>
    </x:row>
    <x:row r="119" ht="409" hidden="0" customHeight="1">
      <x:c r="A119" s="16" t="str">
        <x:v>EA019</x:v>
      </x:c>
      <x:c r="B119" s="4" t="str">
        <x:v>Brunei land border COVID restrictions</x:v>
      </x:c>
      <x:c r="C119" s="4" t="str">
        <x:v>Brunei; Malaysia</x:v>
      </x:c>
      <x:c r="D119" s="4" t="str">
        <x:v>Land border checkpoints with Malaysia</x:v>
      </x:c>
      <x:c r="E119" s="4" t="str">
        <x:v>Ordinary foreign entry and transit and non-essential travel
Direction: Brunei foreign entry/transit and non-essential cross-border travel; limited authorised exceptions
Exceptions: Government-approved cases; sponsored essential/student/medical/special-case entry procedures from September 15 2020; June 15 2022 essential work, school, transit and supply relaxations.</x:v>
      </x:c>
      <x:c r="F119" s="4" t="str">
        <x:v>EA019-AUDIT20261025-1 — Formal policy
Brunei foreign-national entry and transit prohibition, including land admission.
Start: 2020-03-24. Last confirmed in Philippine government advisory dated 2020-03-27. Exact endpoint of this original policy and later exception chain unknown.
Numeric duration withheld.
EA019-R1 — Announced window
Foreign entry and transit by land, except government-approved categories
Start: 2022-02-15.
Scheduled endpoint: 2022-02-28.
Ordered window: 13 calendar-day difference; actual end not established
EA019-R2 — Announced window
Land-crossing travel limited to approved essential purposes
Start: 2022-06-15.
Scheduled endpoint: 2022-07-31.
Ordered window: 46 calendar-day difference; actual end not established
EA019-C7P1 — Announced window
Selected Brunei extension of restricted foreign land entry and transit
Start: 2022-03-01.
Scheduled endpoint: 2022-03-15.
Ordered window: 14 calendar-day difference; actual end not established
EA019-C7P2 — Announced window
Selected extension of foreign land-entry/transit and work-commuter restriction
Start: 2022-03-16.
Scheduled endpoint: 2022-03-31.
Ordered window: 15 calendar-day difference; actual end not established
EA019-AUDIT20261025-2 — Observed later access
Ordinary leisure/family travellers actually crossing at Sungai Tujoh on 2022-08-01, subject to prevailing eligibility and health conditions.
Endpoint-only observation; the first start of the preceding operational restriction is not reconstructed. No uninterrupted 2020–2022 closure or every-post reopening is inferred.</x:v>
      </x:c>
      <x:c r="G11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19" s="4" t="str">
        <x:v>EA019-R1: ASEAN February 14 report inspected fully and explicitly calls this a fourteen-day scheduled extension. The 13-day date subtraction is an endpoint difference, not the number of listed calendar dates or elapsed closure hours. Includes foreign land-entry/transit and work-commuter movements with approved exceptions. No February 28 observed reopening.
EA019-R2: Scheduled restriction window from June 15 through July 31; official consular notice anticipates conditional August 1 easing. The 46-day endpoint subtraction is not a claim of 46 or 47 elapsed closed days. Actual operation at every crossing/direction and intervening policy chain remain unestablished.
EA019-C7P1: Institutional indexed chronology; original February 26 release not recovered. Scheduled window only; actual enforcement and expiry not observed. Do not bridge all earlier/later periods into continuous closure.
EA019-C7P2: Original PDF currently returns 404; indexed official text and AMRO chronology agree. This is an announced extension, not observed gate continuity or March 31 reopening.
The March 24, 2020 initial foreign-entry/transit prohibition is separately documented by the Philippine government. August 1, 2022 field reporting observes ordinary travellers at Sungai Tujoh, converting that gate’s earlier reopening plan into a later-access observation. The full intervening policy chain and other crossings remain qualified.</x:v>
      </x:c>
      <x:c r="I119" s="4" t="str">
        <x:v>Second full-register audit, 26 October 2026: qualified. The initial foreign-entry ban, later approved-entry categories, selected 2022 extensions and August 1 Sungai Tujoh access are supported without a uniform multi-year closure claim.</x:v>
      </x:c>
      <x:c r="J119" s="18" t="d">
        <x:v>2026-10-26T00:00:00.000Z</x:v>
      </x:c>
      <x:c r="K119" s="21" t="str">
        <x:f>IFERROR(HYPERLINK("https://www.pmo.gov.bn/TAPressRelease/tsca120222.pdf","Brunei PMO"),"Brunei PMO")</x:f>
        <x:v>Brunei PMO</x:v>
      </x:c>
      <x:c r="L119" s="21" t="str">
        <x:f>IFERROR(HYPERLINK("https://asean.org/wp-content/uploads/2022/02/COVID-19_Situational-Report_ASEAN-BioDiaspora-Regional-Virtual-Center_14Feb2022.pdf","asean.org"),"asean.org")</x:f>
        <x:v>asean.org</x:v>
      </x:c>
      <x:c r="M119" s="21" t="str">
        <x:f>IFERROR(HYPERLINK("https://www.pmo.gov.bn/EndemicPhaseGuidelines/%5BENG%20-%20JULY%5D%20Guidelines%20for%20land%20and%20sea%20travel.pdf","Brunei PMO"),"Brunei PMO")</x:f>
        <x:v>Brunei PMO</x:v>
      </x:c>
      <x:c r="N119" s="4" t="str">
        <x:v>https://www.pmo.gov.bn/TAPressRelease/tsca120222.pdf
https://asean.org/wp-content/uploads/2022/02/COVID-19_Situational-Report_ASEAN-BioDiaspora-Regional-Virtual-Center_14Feb2022.pdf
https://www.pmo.gov.bn/EndemicPhaseGuidelines/%5BENG%20-%20JULY%5D%20Guidelines%20for%20land%20and%20sea%20travel.pdf
https://www.bn.emb-japan.go.jp/itpr_ja/11_000001_00351.html
https://amro-asia.org/wp-content/uploads/dlm_uploads/2022/06/26.-ASEAN3-and-COVID-19_Panoply-of-Pandemic-Policies.pdf
https://www.pmo.gov.bn/TAPressRelease/tsca140322.pdf
https://www.pmo.gov.bn/TAPressRelease/TSCA300422.pdf
https://www.jpm.gov.bn/SiteCollectionDocuments/Siaran-media/%5BFINAL%5D%20090622%20PR%20JKPC%20-%20Pengemaskinian%20Langkah-Langkah%20Pengawalan%20COVID-19.pdf
https://dayakdaily.com/bruneians-malaysians-rejoice-as-land-borders-finally-reopen/
https://dmw.gov.ph/archives/poea/advisories/2020/ADVISORY-40-2020.pdf
https://www.thestar.com.my/news/regional/2020/03/24/all-foreigners-banned-from-entering-brunei-from-march-24
https://www.utb.edu.bn/archieve/guidelines-for-the-entry-of-citizens-and-permanent-residents-of-brunei-darussalam-and-the-entry-of-foreigners-to-brunei-darussalam/
https://www.pmo.gov.bn/TAPressRelease/ntsca291021.pdf
https://www.who.int/docs/default-source/wpro---documents/countries/brunei-darussalam/brunei-darussalam-situation-report/covid19_sitrep_brn_20220612.pdf?sfvrsn=7fe67ed8_3
https://ambsingapore.esteri.it/en/news/dall_ambasciata/2020/03/covid-19-nuove-misure-restrittive_0-2/
https://www.nationthailand.com/in-focus/30384720
https://www.malaymail.com/news/world/2022/06/11/brunei-set-to-fully-reopen-land-sea-borders-in-august/11779
https://www.thestar.com.my/aseanplus/aseanplus-news/2022/02/13/temporary-suspension-of-cross-border-activities-extended-says-brunei-govt</x:v>
      </x:c>
      <x:c r="O119" s="4" t="str">
        <x:v>Second full-register audit source access, 26 October 2026
https://dmw.gov.ph/archives/poea/advisories/2020/ADVISORY-40-2020.pdf: full text (fresh retrieval) — Scope and duration qualifications apply.
https://www.utb.edu.bn/archieve/guidelines-for-the-entry-of-citizens-and-permanent-residents-of-brunei-darussalam-and-the-entry-of-foreigners-to-brunei-darussalam/: full text (fresh retrieval) — Circular dated September 30, received October 22; rules explicitly effective September 15. Page publication not inferred.
https://www.thestar.com.my/aseanplus/aseanplus-news/2022/02/13/temporary-suspension-of-cross-border-activities-extended-says-brunei-govt: search extract (fresh retrieval) — Scope and duration qualifications apply.
https://amro-asia.org/wp-content/uploads/dlm_uploads/2022/06/26.-ASEAN3-and-COVID-19_Panoply-of-Pandemic-Policies.pdf: search extract (previously retrieved text re-examined) — Institutional chronology; exact February/March original press releases not all recovered.
https://www.bn.emb-japan.go.jp/itpr_ja/11_000001_00351.html: full text (previously retrieved text re-examined) — Scope and duration qualifications apply.
https://dayakdaily.com/bruneians-malaysians-rejoice-as-land-borders-finally-reopen/: search extract (fresh retrieval) — Direct retrieval timed out; substantive field-report index inspected.
Earlier URLs not separately inspected in this second assessment:
https://www.pmo.gov.bn/TAPressRelease/tsca120222.pdf
https://asean.org/wp-content/uploads/2022/02/COVID-19_Situational-Report_ASEAN-BioDiaspora-Regional-Virtual-Center_14Feb2022.pdf
https://www.pmo.gov.bn/EndemicPhaseGuidelines/%5BENG%20-%20JULY%5D%20Guidelines%20for%20land%20and%20sea%20travel.pdf
https://www.pmo.gov.bn/TAPressRelease/tsca140322.pdf
https://www.pmo.gov.bn/TAPressRelease/TSCA300422.pdf
https://www.jpm.gov.bn/SiteCollectionDocuments/Siaran-media/%5BFINAL%5D%20090622%20PR%20JKPC%20-%20Pengemaskinian%20Langkah-Langkah%20Pengawalan%20COVID-19.pdf
https://www.thestar.com.my/news/regional/2020/03/24/all-foreigners-banned-from-entering-brunei-from-march-24
https://www.pmo.gov.bn/TAPressRelease/ntsca291021.pdf
https://www.who.int/docs/default-source/wpro---documents/countries/brunei-darussalam/brunei-darussalam-situation-report/covid19_sitrep_brn_20220612.pdf?sfvrsn=7fe67ed8_3
https://ambsingapore.esteri.it/en/news/dall_ambasciata/2020/03/covid-19-nuove-misure-restrittive_0-2/
https://www.nationthailand.com/in-focus/30384720
https://www.malaymail.com/news/world/2022/06/11/brunei-set-to-fully-reopen-land-sea-borders-in-august/11779
Prior audit access record
Full-register audit source access (evidence cutoff 25 October 2026)
https://dmw.gov.ph/archives/poea/advisories/2020/ADVISORY-40-2020.pdf: full text — Foreign-national cohort only
https://amro-asia.org/wp-content/uploads/dlm_uploads/2022/06/26.-ASEAN3-and-COVID-19_Panoply-of-Pandemic-Policies.pdf: search extract — Institutional chronology; original March 14 PDF 404
https://www.bn.emb-japan.go.jp/itpr_ja/11_000001_00351.html: full text — August 1 conditional plan at publication
https://dayakdaily.com/bruneians-malaysians-rejoice-as-land-borders-finally-reopen/: search extract — Direct open timeout; substantive indexed field report inspected
https://www.pmo.gov.bn/TAPressRelease/tsca140322.pdf: inaccessible — 404; corroborated via AMRO
https://www.thestar.com.my/aseanplus/aseanplus-news/2022/02/13/temporary-suspension-of-cross-border-activities-extended-says-brunei-govt: search extract — Direct retrieval unavailable
Earlier source URLs not separately listed in this audit’s retrieval log (historical access notes below are not fresh verification):
https://www.pmo.gov.bn/TAPressRelease/tsca120222.pdf
https://asean.org/wp-content/uploads/2022/02/COVID-19_Situational-Report_ASEAN-BioDiaspora-Regional-Virtual-Center_14Feb2022.pdf
https://www.pmo.gov.bn/EndemicPhaseGuidelines/%5BENG%20-%20JULY%5D%20Guidelines%20for%20land%20and%20sea%20travel.pdf
https://www.pmo.gov.bn/TAPressRelease/TSCA300422.pdf
https://www.jpm.gov.bn/SiteCollectionDocuments/Siaran-media/%5BFINAL%5D%20090622%20PR%20JKPC%20-%20Pengemaskinian%20Langkah-Langkah%20Pengawalan%20COVID-19.pdf
https://www.thestar.com.my/news/regional/2020/03/24/all-foreigners-banned-from-entering-brunei-from-march-24
https://www.utb.edu.bn/archieve/guidelines-for-the-entry-of-citizens-and-permanent-residents-of-brunei-darussalam-and-the-entry-of-foreigners-to-brunei-darussalam/
https://www.pmo.gov.bn/TAPressRelease/ntsca291021.pdf
https://www.who.int/docs/default-source/wpro---documents/countries/brunei-darussalam/brunei-darussalam-situation-report/covid19_sitrep_brn_20220612.pdf?sfvrsn=7fe67ed8_3
https://ambsingapore.esteri.it/en/news/dall_ambasciata/2020/03/covid-19-nuove-misure-restrittive_0-2/
https://www.nationthailand.com/in-focus/30384720
https://www.malaymail.com/news/world/2022/06/11/brunei-set-to-fully-reopen-land-sea-borders-in-august/11779
Earlier recorded access
Source 1: indexed excerpt; failed
Source 2: access detail is retained in the source catalogue.
Source 3: full; failed</x:v>
      </x:c>
      <x:c r="P119" s="20" t="n">
        <x:v>6</x:v>
      </x:c>
      <x:c r="Q119" s="4" t="str">
        <x:v>East and Southeast Asia and Oceania</x:v>
      </x:c>
      <x:c r="R119" s="4" t="str">
        <x:v>Included</x:v>
      </x:c>
    </x:row>
    <x:row r="120" ht="409" hidden="0" customHeight="1">
      <x:c r="A120" s="16" t="str">
        <x:v>GS001</x:v>
      </x:c>
      <x:c r="B120" s="4" t="str">
        <x:v>Cyprus Ledra Street pedestrian crossing pandemic closure</x:v>
      </x:c>
      <x:c r="C120" s="4" t="str">
        <x:v>Cyprus</x:v>
      </x:c>
      <x:c r="D120" s="4" t="str">
        <x:v>Ledra Street / Lokmaci, Nicosia
Ledra Street / Lokmaci crossing of the Green Line; de facto division, not an internationally recognised interstate frontier</x:v>
      </x:c>
      <x:c r="E120" s="4" t="str">
        <x:v>Ordinary pedestrians at this crossing
Direction: Both directions at the specified pedestrian crossing
Exceptions: Alternative crossings and special categories existed in the wider regime; not evidence of unrestricted Ledra Street use. Health documents required after reopening.</x:v>
      </x:c>
      <x:c r="F120" s="4" t="str">
        <x:v>GS001-D1 — Observed operation
Ledra Street / Lokmaci crossing of the Green Line; de facto division, not an internationally recognised interstate frontier; Ordinary pedestrians at this crossing; Both directions at the specified pedestrian crossing
Start: 2020-02-29.
Observed scoped reopening: 2021-06-04.
461 calendar-day difference; scoped endpoint only</x:v>
      </x:c>
      <x:c r="G120" s="4" t="str">
        <x:v>Health and biosecurity / Human disease control
Attributed official justification
Applies to: Recorded episode; exact overlap not separately established
The recorded rationale and claim assessment support the selected subcategories. All applicable broad categories are retained together; no primary rationale is imposed.</x:v>
      </x:c>
      <x:c r="H120" s="4" t="str">
        <x:v>GS001-D1: The interval applies only to ordinary pedestrian access at Ledra Street, not the whole Green Line. Reopening was conditional. Contemporary reporting places barricades at 06:00 on 29 February 2020; no claim is made that every exemption or intermediate access arrangement is reconstructed. Alternative crossings and special categories existed in the wider regime; not evidence of unrestricted Ledra Street use. Health documents required after reopening.</x:v>
      </x:c>
      <x:c r="I120" s="4" t="str">
        <x:v>Second full-register audit, 26 October 2026: qualified. Independent checks retain the Ledra Street-specific February 2020 onset and actual June 4, 2021 conditional reopening; first-day police counts substantiate resumed pedestrians.</x:v>
      </x:c>
      <x:c r="J120" s="18" t="d">
        <x:v>2026-10-26T00:00:00.000Z</x:v>
      </x:c>
      <x:c r="K120" s="21" t="str">
        <x:f>IFERROR(HYPERLINK("https://eur-lex.europa.eu/legal-content/EN/TXT/?uri=celex:52022DC0258","European Commission"),"European Commission")</x:f>
        <x:v>European Commission</x:v>
      </x:c>
      <x:c r="L120" s="21" t="str">
        <x:f>IFERROR(HYPERLINK("https://www.cyprus-mail.com/2021/06/02/leaders-agree-to-open-crossings-preparations-underway-at-ledra-st-update-1","Cyprus Mail"),"Cyprus Mail")</x:f>
        <x:v>Cyprus Mail</x:v>
      </x:c>
      <x:c r="M120" s="21" t="str">
        <x:f>IFERROR(HYPERLINK("https://uncyprustalks.unmissions.org/en/cyprus/press-releases/statement-united-nations-spokesperson-cyprus-2nd-june-2021","United Nations"),"United Nations")</x:f>
        <x:v>United Nations</x:v>
      </x:c>
      <x:c r="N120" s="4" t="str">
        <x:v>https://eur-lex.europa.eu/legal-content/EN/TXT/?uri=celex:52022DC0258
https://www.cyprus-mail.com/2021/06/02/leaders-agree-to-open-crossings-preparations-underway-at-ledra-st-update-1
https://uncyprustalks.unmissions.org/en/cyprus/press-releases/statement-united-nations-spokesperson-cyprus-2nd-june-2021
https://knews.kathimerini.com.cy/en/news/cyprus-reopens-checkpoints-in-buffer-zone
https://archive.cyprus-mail.com/2020/02/29/anastasiades-no-choice-but-to-temporarily-lose-crossings-update-3/
https://www.cyprus-mail.com/2021/06/04/at-last-free-to-cross-to-the-other-side
https://knews.kathimerini.com.cy/en/news/cyprus-residents-flock-to-checkpoints-as-north-matches-decision-of-republic
https://eur-lex.europa.eu/legal-content/EN/TXT/?uri=celex%3A52022DC0258
https://eur-lex.europa.eu/legal-content/EN/TXT/?uri=CELEX%3A52022DC0258
https://cyprus-mail.com/2021/06/05/nearly-7500-use-crossing-points-on-first-day-of-reopening</x:v>
      </x:c>
      <x:c r="O120" s="4" t="str">
        <x:v>Second full-register audit source access, 26 October 2026
https://cyprus-mail.com/2021/06/05/nearly-7500-use-crossing-points-on-first-day-of-reopening: full text (fresh retrieval)
https://archive.cyprus-mail.com/2020/02/29/anastasiades-no-choice-but-to-temporarily-lose-crossings-update-3/: full text (previously retrieved text re-examined)
https://eur-lex.europa.eu/legal-content/EN/TXT/?uri=celex:52022DC0258: search extract (previously retrieved text re-examined) — Substantive indexed report extract.
https://uncyprustalks.unmissions.org/en/cyprus/press-releases/statement-united-nations-spokesperson-cyprus-2nd-june-2021: search extract (previously retrieved text re-examined) — Indexed extract; announcement corroborated by actual later counts.
Earlier URLs not separately inspected in this second assessment:
https://www.cyprus-mail.com/2021/06/02/leaders-agree-to-open-crossings-preparations-underway-at-ledra-st-update-1
https://knews.kathimerini.com.cy/en/news/cyprus-reopens-checkpoints-in-buffer-zone
https://www.cyprus-mail.com/2021/06/04/at-last-free-to-cross-to-the-other-side
https://knews.kathimerini.com.cy/en/news/cyprus-residents-flock-to-checkpoints-as-north-matches-decision-of-republic
https://eur-lex.europa.eu/legal-content/EN/TXT/?uri=celex%3A52022DC0258
https://eur-lex.europa.eu/legal-content/EN/TXT/?uri=CELEX%3A52022DC0258
Prior audit access record
Full-register audit source access (evidence cutoff 25 October 2026)
https://archive.cyprus-mail.com/2020/02/29/anastasiades-no-choice-but-to-temporarily-lose-crossings-update-3/: full text
https://archive.cyprus-mail.com/2020/02/29/anastasiades-no-choice-but-to-temporarily-lose-crossings-update-3/: full text
https://eur-lex.europa.eu/legal-content/EN/TXT/?uri=CELEX%3A52022DC0258: search extract
https://uncyprustalks.unmissions.org/en/cyprus/press-releases/statement-united-nations-spokesperson-cyprus-2nd-june-2021: search extract
https://knews.kathimerini.com.cy/en/news/cyprus-reopens-checkpoints-in-buffer-zone: full text
https://cyprus-mail.com/2021/06/05/nearly-7500-use-crossing-points-on-first-day-of-reopening: search extract
Earlier source URLs not separately listed in this audit’s retrieval log (historical access notes below are not fresh verification):
https://eur-lex.europa.eu/legal-content/EN/TXT/?uri=celex:52022DC0258
https://www.cyprus-mail.com/2021/06/02/leaders-agree-to-open-crossings-preparations-underway-at-ledra-st-update-1
https://www.cyprus-mail.com/2021/06/04/at-last-free-to-cross-to-the-other-side
https://knews.kathimerini.com.cy/en/news/cyprus-residents-flock-to-checkpoints-as-north-matches-decision-of-republic
https://eur-lex.europa.eu/legal-content/EN/TXT/?uri=celex%3A52022DC0258
Earlier recorded access
Source 1: full page
Source 2: full page
Source 3: search extract</x:v>
      </x:c>
      <x:c r="P120" s="20" t="n">
        <x:v>1</x:v>
      </x:c>
      <x:c r="Q120" s="4" t="str">
        <x:v>Europe</x:v>
      </x:c>
      <x:c r="R120" s="4" t="str">
        <x:v>Included</x:v>
      </x:c>
    </x:row>
    <x:row r="121" ht="409" hidden="0" customHeight="1">
      <x:c r="A121" s="16" t="str">
        <x:v>EU024</x:v>
      </x:c>
      <x:c r="B121" s="4" t="str">
        <x:v>Switzerland expands pandemic entry restrictions at neighbouring frontiers</x:v>
      </x:c>
      <x:c r="C121" s="4" t="str">
        <x:v>Switzerland; Germany; Austria; France</x:v>
      </x:c>
      <x:c r="D121" s="4" t="str">
        <x:v>Relevant Swiss road crossings with Germany, Austria and France. The selected March 17 extension excludes the separate Italy-frontier restriction that began March 13.</x:v>
      </x:c>
      <x:c r="E121" s="4" t="str">
        <x:v>Travellers without qualifying nationality/residence/essential grounds
Direction: Into Switzerland
Exceptions: Swiss citizens, residents, professional/necessary travel, goods and permitted transit</x:v>
      </x:c>
      <x:c r="F121" s="4" t="str">
        <x:v>EU024-D1 — Formal policy
Swiss non-essential entry restrictions for EU/EFTA/UK travellers at the Germany, Austria and France frontiers, to restoration of free movement.
Start: 2020-03-17.
Policy endpoint: 2020-06-15.
Formal policy: 90 calendar-day difference; operational continuity not established</x:v>
      </x:c>
      <x:c r="G12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21" s="4" t="str">
        <x:v>EU024-D1: March 16 is the announcement date. Italy March 13 excluded; exemptions and third-country restrictions remain. No first passage at every post established.</x:v>
      </x:c>
      <x:c r="I121" s="4" t="str">
        <x:v>Second full-register audit, 26 October 2026: additional source-audited corrections incorporated. See the phase, scope and qualification columns for the accepted findings.</x:v>
      </x:c>
      <x:c r="J121" s="18" t="d">
        <x:v>2026-10-26T00:00:00.000Z</x:v>
      </x:c>
      <x:c r="K121" s="21" t="str">
        <x:f>IFERROR(HYPERLINK("https://www.eda.admin.ch/en/information-on-the-coronavirus-crisis-of-januaryfebruarymarch-2020-archive","Swiss Federal Department of Foreign Affairs"),"Swiss Federal Department of Foreign Affairs")</x:f>
        <x:v>Swiss Federal Department of Foreign Affairs</x:v>
      </x:c>
      <x:c r="L121" s="21" t="str">
        <x:f>IFERROR(HYPERLINK("https://www.admin.ch/en/nsb?id=79248","Swiss Federal Council"),"Swiss Federal Council")</x:f>
        <x:v>Swiss Federal Council</x:v>
      </x:c>
      <x:c r="M121" s="21" t="str">
        <x:f>IFERROR(HYPERLINK("https://www.admin.ch/en/nsb?id=79580","Swiss Federal Council"),"Swiss Federal Council")</x:f>
        <x:v>Swiss Federal Council</x:v>
      </x:c>
      <x:c r="N121" s="4" t="str">
        <x:v>https://www.eda.admin.ch/en/information-on-the-coronavirus-crisis-of-januaryfebruarymarch-2020-archive
https://www.admin.ch/en/nsb?id=79248
https://www.admin.ch/en/nsb?id=79580
https://www.fdfa.admin.ch/en/information-on-the-coronavirus-crisis-of-januaryfebruarymarch-2020-archive
https://www.euroairport.com/en/publications/news/corona-virus
https://www.admin.ch/en/nsb?id=79426
https://www.vbs.admin.ch/en/nsb?id=78454
https://www.admin.ch/de/nsb?id=79329</x:v>
      </x:c>
      <x:c r="O121" s="4" t="str">
        <x:v>Second full-register audit source access, 26 October 2026
https://www.vbs.admin.ch/en/nsb?id=78454: full text (fresh retrieval)
https://www.admin.ch/en/nsb?id=79426: full text (fresh retrieval)
https://www.admin.ch/en/nsb?id=79580: full text (fresh retrieval)
https://www.eda.admin.ch/en/information-on-the-coronavirus-crisis-of-januaryfebruarymarch-2020-archive: full text (previously retrieved text re-examined) — Archived original source text read from the earlier raw retrieval, not its finding.
Earlier URLs not separately inspected in this second assessment:
https://www.admin.ch/en/nsb?id=79248
https://www.fdfa.admin.ch/en/information-on-the-coronavirus-crisis-of-januaryfebruarymarch-2020-archive
https://www.euroairport.com/en/publications/news/corona-virus
https://www.admin.ch/de/nsb?id=79329
Prior audit access record
Full-register audit source access (evidence cutoff 25 October 2026)
https://www.vbs.admin.ch/en/nsb?id=78454: full text
https://www.eda.admin.ch/en/information-on-the-coronavirus-crisis-of-januaryfebruarymarch-2020-archive: full text
https://www.admin.ch/en/nsb?id=79426: full text
https://www.admin.ch/en/nsb?id=79580: full text
Earlier source URLs not separately listed in this audit’s retrieval log (historical access notes below are not fresh verification):
https://www.admin.ch/en/nsb?id=79248
https://www.fdfa.admin.ch/en/information-on-the-coronavirus-crisis-of-januaryfebruarymarch-2020-archive
https://www.euroairport.com/en/publications/news/corona-virus
https://www.admin.ch/de/nsb?id=79329
Earlier recorded access
Source 1: search extract
Source 2: search extract
Source 3: search-returned article text; live-page body truncated</x:v>
      </x:c>
      <x:c r="P121" s="20" t="n">
        <x:v>1</x:v>
      </x:c>
      <x:c r="Q121" s="4" t="str">
        <x:v>Europe</x:v>
      </x:c>
      <x:c r="R121" s="4" t="str">
        <x:v>Included</x:v>
      </x:c>
    </x:row>
    <x:row r="122" ht="409" hidden="0" customHeight="1">
      <x:c r="A122" s="16" t="str">
        <x:v>EU023</x:v>
      </x:c>
      <x:c r="B122" s="4" t="str">
        <x:v>Denmark pandemic prohibition on entry without worthy purpose</x:v>
      </x:c>
      <x:c r="C122" s="4" t="str">
        <x:v>Denmark; Germany; Sweden</x:v>
      </x:c>
      <x:c r="D122" s="4" t="str">
        <x:v>National inbound admission regime. German land implementation: Sæd, Kruså and Frøslev remained available; ten other road crossings sealed in both directions. Øresund fixed link was subject to national admission rules; route-specific refusal counts not established.
National entry regime including German land border and Öresund fixed link</x:v>
      </x:c>
      <x:c r="E122" s="4" t="str">
        <x:v>Foreign travellers lacking recognised purpose
Direction: Into Denmark
Exceptions: Danish citizens; residents, cross-border workers and other worthy purposes; freight exempt from admission ban but subject to checks and crossing/routing restrictions; return-home transit allowed. Exceptions changed over time, including expanded German/Nordic family, holiday-home and job-interview access by May25.</x:v>
      </x:c>
      <x:c r="F122" s="4" t="str">
        <x:v>EU023-R1 — Announced window
Danish entry at German land border for foreigners lacking a worthy purpose
Start: 2020-03-14.
Scheduled endpoint: 2020-04-13.
Ordered window: 30 calendar-day difference; actual end not established
Observed enforcement: 2020-03-14, police report actual refusals.
Scoped eligibility easing: 2020-06-15, Schleswig-Holstein residents and eligible German tourists; not universal reopening.
Crossing-specific permission: Padborg was scheduled to reopen on 2020-06-13 at 07:00, thereafter daily 07:00–23:00, before the June 15 eligibility easing. First actual passage is not established.</x:v>
      </x:c>
      <x:c r="G12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22" s="4" t="str">
        <x:v>The initial measure was scheduled through April 13, 2020; that date is not a demonstrated reopening. Danish police reported actual refusals on March 14. Residents, cross-border workers, freight and other qualifying purposes were exempt. June 15 brought a scoped easing for Schleswig-Holstein residents and eligible German tourists, with conditions and crossing availability differing. The observations do not establish an unchanged continuous closure or exact reopening dates for all small posts. The June 12 police notice distinguishes Padborg’s June 13, 07:00 reopening permission from the wider June 15 eligibility change; limited daily hours remained. This is a scoped administrative endpoint, not evidence that all ten sealed posts reopened together.</x:v>
      </x:c>
      <x:c r="I122" s="4" t="str">
        <x:v>Second full-register audit, 26 October 2026: additional source-audited corrections incorporated. See the phase, scope and qualification columns for the accepted findings.</x:v>
      </x:c>
      <x:c r="J122" s="18" t="d">
        <x:v>2026-10-26T00:00:00.000Z</x:v>
      </x:c>
      <x:c r="K122" s="21" t="str">
        <x:f>IFERROR(HYPERLINK("https://politi.dk/syd-og-soenderjyllands-politi/nyhedsliste/etablering-af-fuld-graensekontrol-paa-den-dansk-tyske-landegraense/2020/03/14","Danish Police"),"Danish Police")</x:f>
        <x:v>Danish Police</x:v>
      </x:c>
      <x:c r="L122" s="21" t="str">
        <x:f>IFERROR(HYPERLINK("https://politi.dk/rigspolitiet/nyhedsliste/politiet-er-klar-til-graenseaabning/2020/06/14","Danish Police"),"Danish Police")</x:f>
        <x:v>Danish Police</x:v>
      </x:c>
      <x:c r="M122" s="21" t="str">
        <x:f>IFERROR(HYPERLINK("https://politi.dk/syd-og-soenderjyllands-politi/nyhedsliste/ukompliceret-foerste-dag-ved-kontrollerne-paa-graensen/2020/03/14","Danish Police"),"Danish Police")</x:f>
        <x:v>Danish Police</x:v>
      </x:c>
      <x:c r="N122" s="4" t="str">
        <x:v>https://politi.dk/syd-og-soenderjyllands-politi/nyhedsliste/etablering-af-fuld-graensekontrol-paa-den-dansk-tyske-landegraense/2020/03/14
https://politi.dk/rigspolitiet/nyhedsliste/politiet-er-klar-til-graenseaabning/2020/06/14
https://politi.dk/syd-og-soenderjyllands-politi/nyhedsliste/ukompliceret-foerste-dag-ved-kontrollerne-paa-graensen/2020/03/14
https://stm.dk/presse/pressemoedearkiv/2020/pressemoede-den-29-maj-2020/
https://www.latribune.fr/depeches/reuters/KBN23M17E/debut-de-reouverture-en-ordre-disperse-des-frontieres-en-europe.html
https://www.visitdenmark.dk/corporate/om-os/nyheder/danmarks-graenser-lukker-midlertidigt
https://www.visitdenmark.com/press/latest-news/denmark-reopens-borders-norway-germany-and-iceland
https://itd.dk/nyheder/itd-nyt/2020/10-graenseovergange-til-tyskland-lukkes-helt/
https://politi.dk/syd-og-soenderjyllands-politi/nyhedsliste/syd-og-soenderjyllands-politi-goer-klar-til-ny-indrejsesituation-fra-mandag/2020/06/12
https://stm.dk/statsministeren/taler/statsminister-mette-frederiksens-tale-ved-genforeningsarrangement-paa-dybboel-banke-den-15-juni-2020/</x:v>
      </x:c>
      <x:c r="O122" s="4" t="str">
        <x:v>Second full-register audit source access, 26 October 2026
https://politi.dk/syd-og-soenderjyllands-politi/nyhedsliste/etablering-af-fuld-graensekontrol-paa-den-dansk-tyske-landegraense/2020/03/14: full text (fresh retrieval)
https://politi.dk/syd-og-soenderjyllands-politi/nyhedsliste/ukompliceret-foerste-dag-ved-kontrollerne-paa-graensen/2020/03/14: full text (fresh retrieval)
https://politi.dk/syd-og-soenderjyllands-politi/nyhedsliste/syd-og-soenderjyllands-politi-goer-klar-til-ny-indrejsesituation-fra-mandag/2020/06/12: full text (fresh retrieval) — A later repeated fetch timed out; substantive body was retrieved in this saved batch.
https://politi.dk/rigspolitiet/nyhedsliste/politiet-er-klar-til-graenseaabning/2020/06/14: full text (fresh retrieval)
Earlier URLs not separately inspected in this second assessment:
https://stm.dk/presse/pressemoedearkiv/2020/pressemoede-den-29-maj-2020/
https://www.latribune.fr/depeches/reuters/KBN23M17E/debut-de-reouverture-en-ordre-disperse-des-frontieres-en-europe.html
https://www.visitdenmark.dk/corporate/om-os/nyheder/danmarks-graenser-lukker-midlertidigt
https://www.visitdenmark.com/press/latest-news/denmark-reopens-borders-norway-germany-and-iceland
https://itd.dk/nyheder/itd-nyt/2020/10-graenseovergange-til-tyskland-lukkes-helt/
https://stm.dk/statsministeren/taler/statsminister-mette-frederiksens-tale-ved-genforeningsarrangement-paa-dybboel-banke-den-15-juni-2020/
Prior audit access record
Full-register audit source access (evidence cutoff 25 October 2026)
https://politi.dk/syd-og-soenderjyllands-politi/nyhedsliste/etablering-af-fuld-graensekontrol-paa-den-dansk-tyske-landegraense/2020/03/14: full text
https://politi.dk/syd-og-soenderjyllands-politi/nyhedsliste/ukompliceret-foerste-dag-ved-kontrollerne-paa-graensen/2020/03/14: full text
https://politi.dk/rigspolitiet/nyhedsliste/politiet-er-klar-til-graenseaabning/2020/06/14: full text
https://politi.dk/syd-og-soenderjyllands-politi/nyhedsliste/syd-og-soenderjyllands-politi-goer-klar-til-ny-indrejsesituation-fra-mandag/2020/06/12: search extract
https://stm.dk/statsministeren/taler/statsminister-mette-frederiksens-tale-ved-genforeningsarrangement-paa-dybboel-banke-den-15-juni-2020/: search extract
Earlier source URLs not separately listed in this audit’s retrieval log (historical access notes below are not fresh verification):
https://stm.dk/presse/pressemoedearkiv/2020/pressemoede-den-29-maj-2020/
https://www.latribune.fr/depeches/reuters/KBN23M17E/debut-de-reouverture-en-ordre-disperse-des-frontieres-en-europe.html
https://www.visitdenmark.dk/corporate/om-os/nyheder/danmarks-graenser-lukker-midlertidigt
https://www.visitdenmark.com/press/latest-news/denmark-reopens-borders-norway-germany-and-iceland
https://itd.dk/nyheder/itd-nyt/2020/10-graenseovergange-til-tyskland-lukkes-helt/
Earlier recorded access
Source 1: full; full text
Source 2: full; full text
Source 3: full text</x:v>
      </x:c>
      <x:c r="P122" s="20" t="n">
        <x:v>1</x:v>
      </x:c>
      <x:c r="Q122" s="4" t="str">
        <x:v>Europe</x:v>
      </x:c>
      <x:c r="R122" s="4" t="str">
        <x:v>Included</x:v>
      </x:c>
    </x:row>
    <x:row r="123" ht="390" hidden="0" customHeight="1">
      <x:c r="A123" s="16" t="str">
        <x:v>EU012</x:v>
      </x:c>
      <x:c r="B123" s="4" t="str">
        <x:v>Poland pandemic foreigner-entry prohibition</x:v>
      </x:c>
      <x:c r="C123" s="4" t="str">
        <x:v>Poland; Germany; Czechia; Slovakia; Ukraine; Belarus; Lithuania; Russia</x:v>
      </x:c>
      <x:c r="D123" s="4" t="str">
        <x:v>Nationwide
National entry regime including land boundaries</x:v>
      </x:c>
      <x:c r="E123" s="4" t="str">
        <x:v>Foreign passengers; international passenger rail also suspended
Direction: Into Poland
Exceptions: Citizens returning; specified family, residence, work, Pole Card holders; freight</x:v>
      </x:c>
      <x:c r="F123" s="4" t="str">
        <x:v>EU012-D1 — Formal policy
Polish ordinary foreigner-entry restriction at internal Schengen land frontiers only.
Start: 2020-03-15.
Policy endpoint: 2020-06-13.
Formal policy: 90 calendar-day difference; operational continuity not established</x:v>
      </x:c>
      <x:c r="G12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23" s="4" t="str">
        <x:v>EU012-D1: Citizens, specified family/residence/work and other authorised categories were exempt. External-border restrictions continued; this is not a national all-frontier operational reopening.</x:v>
      </x:c>
      <x:c r="I123" s="4" t="str">
        <x:v>Second full-register audit, 26 October 2026: qualified. Polish government notices confirm March 15 onset and June 13 internal-EU easing. The existing separation of internal and external frontiers is essential and remains correct.</x:v>
      </x:c>
      <x:c r="J123" s="18" t="d">
        <x:v>2026-10-26T00:00:00.000Z</x:v>
      </x:c>
      <x:c r="K123" s="21" t="str">
        <x:f>IFERROR(HYPERLINK("https://www.gov.pl/web/koronawirus/zamykamy-granice-przed-koronawirusem","Polish Government"),"Polish Government")</x:f>
        <x:v>Polish Government</x:v>
      </x:c>
      <x:c r="L123" s="21" t="str">
        <x:f>IFERROR(HYPERLINK("https://www.gov.pl/web/rosja/epidemia-koronawirusa--zasady-wjazdu-i-pobytu-na-terytorium-rp-oraz-specjalne-rozwiazania-dla-cudzoziemcow","Polish Embassy Moscow"),"Polish Embassy Moscow")</x:f>
        <x:v>Polish Embassy Moscow</x:v>
      </x:c>
      <x:c r="M123" s="21" t="str">
        <x:f>IFERROR(HYPERLINK("https://eli.gov.pl/api/acts/DU/2020/435/text.html","eli.gov.pl"),"eli.gov.pl")</x:f>
        <x:v>eli.gov.pl</x:v>
      </x:c>
      <x:c r="N123" s="4" t="str">
        <x:v>https://www.gov.pl/web/koronawirus/zamykamy-granice-przed-koronawirusem
https://www.gov.pl/web/rosja/epidemia-koronawirusa--zasady-wjazdu-i-pobytu-na-terytorium-rp-oraz-specjalne-rozwiazania-dla-cudzoziemcow
https://eli.gov.pl/api/acts/DU/2020/435/text.html
https://www.gov.pl/web/mswia/kontrola-na-granicy-przedluzona-do-12-czerwca-br
https://www.gov.pl/web/koronawirus/13-czerwca-otwieramy-granice--kontrole-tylko-wyrywkowo</x:v>
      </x:c>
      <x:c r="O123" s="4" t="str">
        <x:v>Second full-register audit source access, 26 October 2026
https://www.gov.pl/web/koronawirus/zamykamy-granice-przed-koronawirusem: full text (fresh retrieval)
https://www.gov.pl/web/koronawirus/13-czerwca-otwieramy-granice--kontrole-tylko-wyrywkowo: full text (fresh retrieval)
Earlier URLs not separately inspected in this second assessment:
https://www.gov.pl/web/rosja/epidemia-koronawirusa--zasady-wjazdu-i-pobytu-na-terytorium-rp-oraz-specjalne-rozwiazania-dla-cudzoziemcow
https://eli.gov.pl/api/acts/DU/2020/435/text.html
https://www.gov.pl/web/mswia/kontrola-na-granicy-przedluzona-do-12-czerwca-br
Prior audit access record
Full-register audit source access (evidence cutoff 25 October 2026)
https://www.gov.pl/web/koronawirus/zamykamy-granice-przed-koronawirusem: full text
https://www.gov.pl/web/mswia/kontrola-na-granicy-przedluzona-do-12-czerwca-br: full text
https://www.gov.pl/web/koronawirus/13-czerwca-otwieramy-granice--kontrole-tylko-wyrywkowo: search extract
Earlier source URLs not separately listed in this audit’s retrieval log (historical access notes below are not fresh verification):
https://www.gov.pl/web/rosja/epidemia-koronawirusa--zasady-wjazdu-i-pobytu-na-terytorium-rp-oraz-specjalne-rozwiazania-dla-cudzoziemcow
https://eli.gov.pl/api/acts/DU/2020/435/text.html
Earlier recorded access
Source 1: full page
Source 2: full page
Source 3: access detail is retained in the source catalogue.</x:v>
      </x:c>
      <x:c r="P123" s="20" t="n">
        <x:v>1</x:v>
      </x:c>
      <x:c r="Q123" s="4" t="str">
        <x:v>Europe</x:v>
      </x:c>
      <x:c r="R123" s="4" t="str">
        <x:v>Included</x:v>
      </x:c>
    </x:row>
    <x:row r="124" ht="409" hidden="0" customHeight="1">
      <x:c r="A124" s="16" t="str">
        <x:v>EU018</x:v>
      </x:c>
      <x:c r="B124" s="4" t="str">
        <x:v>Serbia staged pandemic passenger-border shutdown</x:v>
      </x:c>
      <x:c r="C124" s="4" t="str">
        <x:v>Serbia; Hungary; Romania; Bulgaria; North Macedonia; Montenegro; Bosnia and Herzegovina; Croatia; Kosovo (disputed status)</x:v>
      </x:c>
      <x:c r="D124" s="4" t="str">
        <x:v>Nationwide
National passenger crossing regime; disputed Kosovo boundary separately flagged</x:v>
      </x:c>
      <x:c r="E124" s="4" t="str">
        <x:v>Foreign passengers initially; 20 March expanded to citizens
Direction: Into Serbia
Exceptions: Initial citizen/resident/diplomat exceptions; 20 March trucks continued; 12 May conditional passenger re-entry</x:v>
      </x:c>
      <x:c r="F124" s="4" t="str">
        <x:v>EU018-D1 — Formal policy
Serbia’s tightened passenger-admission phase including citizens/residents, followed by conditional admission and removal of the remaining permit requirement
Start: 2020-03-20 at 08:00, as announced by the government.
Conditional citizen admission decision reported adopted: 2020-05-08.
Detailed citizen/resident and foreigner admission protocol confirmed: 2020-05-12.
Remaining special admission permit and border-closure decisions removed: 2020-05-22.
These are distinct policy milestones. Exact first effective conditional admission and first ordinary passage are not established; a single 53-day operational duration is not asserted.</x:v>
      </x:c>
      <x:c r="G12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24" s="4" t="str">
        <x:v>The March 20 restriction tightened an earlier foreign-entry regime and still admitted trucks and individually authorised movement. A newly recovered May 8 government report says conditional citizen admission had been adopted and foreign admission liberalised; May 12 is the detailed protocol confirmation, not securely the first easing. Under that protocol citizens and residents could enter with a PCR test or isolation, while other foreigners still needed testing and commission permission. The May 21 government decision and Serbian Foreign Ministry circular dated May 22 establish removal of the remaining special permission and closure decisions from May 22. These formal milestones do not identify first actual vehicles or uninterrupted closure between observations; the earlier proposed June 1 regional opening was superseded.</x:v>
      </x:c>
      <x:c r="I124" s="4" t="str">
        <x:v>Second full-register audit, 26 October 2026: additional source-audited corrections incorporated. See the phase, scope and qualification columns for the accepted findings.</x:v>
      </x:c>
      <x:c r="J124" s="18" t="d">
        <x:v>2026-10-26T00:00:00.000Z</x:v>
      </x:c>
      <x:c r="K124" s="21" t="str">
        <x:f>IFERROR(HYPERLINK("https://www.srbija.gov.rs/vest/en/151884/all-border-crossings-for-passenger-trafficclosed.php","Government of Serbia"),"Government of Serbia")</x:f>
        <x:v>Government of Serbia</x:v>
      </x:c>
      <x:c r="L124" s="21" t="str">
        <x:f>IFERROR(HYPERLINK("https://www.srbija.gov.rs/vest/en/156024/entry-into-serbia-with-negative-pcr-test-or-self-isolation.php","Government of Serbia"),"Government of Serbia")</x:f>
        <x:v>Government of Serbia</x:v>
      </x:c>
      <x:c r="M124" s="21" t="str">
        <x:f>IFERROR(HYPERLINK("https://www.srbija.gov.rs/vest/en/151410/serbia-closes-borders-due-to-coronavirus.php","Government of Serbia"),"Government of Serbia")</x:f>
        <x:v>Government of Serbia</x:v>
      </x:c>
      <x:c r="N124" s="4" t="str">
        <x:v>https://www.srbija.gov.rs/vest/en/151884/all-border-crossings-for-passenger-trafficclosed.php
https://www.srbija.gov.rs/vest/en/156024/entry-into-serbia-with-negative-pcr-test-or-self-isolation.php
https://www.srbija.gov.rs/vest/en/151410/serbia-closes-borders-due-to-coronavirus.php
https://tsg.rs/en/news/unrestricted-entry-into-serbia-for-both-serbian-and-foreign-citizens/
https://www.granpol.gov.ba/en/portal/post/otvorena-granica-s-republikom-srbijom-637257060000000000
https://www.srbija.gov.rs/vest/en/155844/a-negative-pcr-test-will-be-required-to-enter-serbia.php
https://www.srbija.gov.rs/vest/en/156384/entry-into-serbia-without-coronavirus-test-and-commission-permission.php
https://www.mfa.gr/serbia/images/stories/belgrade/2020/MSPDPNOTA90642020.pdf</x:v>
      </x:c>
      <x:c r="O124" s="4" t="str">
        <x:v>Second full-register audit source access, 26 October 2026
https://www.srbija.gov.rs/vest/en/151884/all-border-crossings-for-passenger-trafficclosed.php: full text (fresh retrieval)
https://www.srbija.gov.rs/vest/en/155844/a-negative-pcr-test-will-be-required-to-enter-serbia.php: full text (fresh retrieval)
https://www.srbija.gov.rs/vest/en/156024/entry-into-serbia-with-negative-pcr-test-or-self-isolation.php: full text (fresh retrieval)
https://www.srbija.gov.rs/vest/en/156384/entry-into-serbia-without-coronavirus-test-and-commission-permission.php: full text (fresh retrieval)
https://www.mfa.gr/serbia/images/stories/belgrade/2020/MSPDPNOTA90642020.pdf: full text (fresh retrieval) — Serbian and courtesy English PDF; OCR is imperfect but relevant date and scope are legible.
Earlier URLs not separately inspected in this second assessment:
https://www.srbija.gov.rs/vest/en/151410/serbia-closes-borders-due-to-coronavirus.php
https://tsg.rs/en/news/unrestricted-entry-into-serbia-for-both-serbian-and-foreign-citizens/
https://www.granpol.gov.ba/en/portal/post/otvorena-granica-s-republikom-srbijom-637257060000000000
Prior audit access record
Full-register audit source access (evidence cutoff 25 October 2026)
https://www.srbija.gov.rs/vest/en/151884/all-border-crossings-for-passenger-trafficclosed.php: full text
https://www.srbija.gov.rs/vest/en/156024/entry-into-serbia-with-negative-pcr-test-or-self-isolation.php: full text
Earlier source URLs not separately listed in this audit’s retrieval log (historical access notes below are not fresh verification):
https://www.srbija.gov.rs/vest/en/151410/serbia-closes-borders-due-to-coronavirus.php
https://tsg.rs/en/news/unrestricted-entry-into-serbia-for-both-serbian-and-foreign-citizens/
https://www.granpol.gov.ba/en/portal/post/otvorena-granica-s-republikom-srbijom-637257060000000000
Earlier recorded access
Source 1: full text
Source 2: full text
Source 3: full text</x:v>
      </x:c>
      <x:c r="P124" s="20" t="n">
        <x:v>1</x:v>
      </x:c>
      <x:c r="Q124" s="4" t="str">
        <x:v>Europe</x:v>
      </x:c>
      <x:c r="R124" s="4" t="str">
        <x:v>Included</x:v>
      </x:c>
    </x:row>
    <x:row r="125" ht="409" hidden="0" customHeight="1">
      <x:c r="A125" s="16" t="str">
        <x:v>EU019</x:v>
      </x:c>
      <x:c r="B125" s="4" t="str">
        <x:v>Montenegro pandemic foreigner-entry ban and local post closures</x:v>
      </x:c>
      <x:c r="C125" s="4" t="str">
        <x:v>Montenegro; Albania; Bosnia and Herzegovina; Croatia; Serbia; Kosovo (disputed status)</x:v>
      </x:c>
      <x:c r="D125" s="4" t="str">
        <x:v>Includes Grnčar, Sukobin, Šćepan Polje, Šula, Sitnica, Metaljka, Kobila, Ranče, Vuče, Čemerno
National entry prohibition; pandemic-closed minor road posts</x:v>
      </x:c>
      <x:c r="E125" s="4" t="str">
        <x:v>Foreign passengers
Direction: Into Montenegro; local post shutdowns affect both directions
Exceptions: Residents and freight drivers; goods including transit</x:v>
      </x:c>
      <x:c r="F125" s="4" t="str">
        <x:v>EU019-R1 — Formal policy
Montenegro-side general foreigner land-admission prohibition before June 1 incidence-list eligibility
Start: 2020-03-15.
Policy endpoint: 2020-06-01.
Formal policy: 78 calendar-day difference; operational continuity not established</x:v>
      </x:c>
      <x:c r="G12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25" s="4" t="str">
        <x:v>EU019-R1: Land-entry policy phase only, excluding residents and freight drivers. Private-air exemptions expanded May 19 and are outside this land scope. June 1 is selective eligibility, not universal opening; individual minor-post and construction closures remain separate.</x:v>
      </x:c>
      <x:c r="I125" s="4" t="str">
        <x:v>Second full-register audit, 26 October 2026: qualified. Montenegro’s first foreign-entry phase and June 1 selective easing are supported. Fresh crossing notice explicitly separates the pandemic posts from Vraćenovići’s construction closure.</x:v>
      </x:c>
      <x:c r="J125" s="18" t="d">
        <x:v>2026-10-26T00:00:00.000Z</x:v>
      </x:c>
      <x:c r="K125" s="21" t="str">
        <x:f>IFERROR(HYPERLINK("https://www.gov.me/en/article/222906--new-provisional-measures-to-protect-citizens-against-coronavirus-adopted-foreign-travel-and-foreigners-entering-montenegro-prohi","Montenegro Government"),"Montenegro Government")</x:f>
        <x:v>Montenegro Government</x:v>
      </x:c>
      <x:c r="L125" s="21" t="str">
        <x:f>IFERROR(HYPERLINK("https://eur-lex.europa.eu/legal-content/ET/TXT/?uri=CELEX%3A52020SC0132","European Commission"),"European Commission")</x:f>
        <x:v>European Commission</x:v>
      </x:c>
      <x:c r="M125" s="21" t="str">
        <x:f>IFERROR(HYPERLINK("https://www.gov.me/en/article/225830--national-coordination-body-montenegro-opens-its-borders-on-monday-many-measures-eased","Montenegro Government"),"Montenegro Government")</x:f>
        <x:v>Montenegro Government</x:v>
      </x:c>
      <x:c r="N125" s="4" t="str">
        <x:v>https://www.gov.me/en/article/222906--new-provisional-measures-to-protect-citizens-against-coronavirus-adopted-foreign-travel-and-foreigners-entering-montenegro-prohi
https://eur-lex.europa.eu/legal-content/ET/TXT/?uri=CELEX%3A52020SC0132
https://www.gov.me/en/article/225830--national-coordination-body-montenegro-opens-its-borders-on-monday-many-measures-eased
https://eur-lex.europa.eu/legal-content/EN/TXT/?uri=SWD%3A2020%3A132%3AFIN
https://www.gov.me/en/article/224593--national-coordination-body-agrees-to-lift-ban-on-air-traffic-for-own-needs
https://www.gov.me/en/article/225883--montenegro-opens-all-road-border-crossings-at-midnight
https://www.gov.me/clanak/225907--crna-gora-otvara-u-ponoc-sve-putne-granicne-prelaze</x:v>
      </x:c>
      <x:c r="O125" s="4" t="str">
        <x:v>Second full-register audit source access, 26 October 2026
https://www.gov.me/en/article/222906--new-provisional-measures-to-protect-citizens-against-coronavirus-adopted-foreign-travel-and-foreigners-entering-montenegro-prohi: full text (previously retrieved text re-examined) — Actual cached full text inspected; fresh request timed out.
https://www.gov.me/en/article/225830--national-coordination-body-montenegro-opens-its-borders-on-monday-many-measures-eased: full text (previously retrieved text re-examined) — Actual cached full text inspected.
https://www.gov.me/en/article/225883--montenegro-opens-all-road-border-crossings-at-midnight: full text (fresh retrieval) — Timestamp June 1 while body says tomorrow June 1; use explicit policy date, not publication clock.
Earlier URLs not separately inspected in this second assessment:
https://eur-lex.europa.eu/legal-content/ET/TXT/?uri=CELEX%3A52020SC0132
https://eur-lex.europa.eu/legal-content/EN/TXT/?uri=SWD%3A2020%3A132%3AFIN
https://www.gov.me/en/article/224593--national-coordination-body-agrees-to-lift-ban-on-air-traffic-for-own-needs
https://www.gov.me/clanak/225907--crna-gora-otvara-u-ponoc-sve-putne-granicne-prelaze
Prior audit access record
Full-register audit source access (evidence cutoff 25 October 2026)
https://www.gov.me/en/article/222906--new-provisional-measures-to-protect-citizens-against-coronavirus-adopted-foreign-travel-and-foreigners-entering-montenegro-prohi: full text
https://www.gov.me/en/article/225830--national-coordination-body-montenegro-opens-its-borders-on-monday-many-measures-eased: full text
Earlier source URLs not separately listed in this audit’s retrieval log (historical access notes below are not fresh verification):
https://eur-lex.europa.eu/legal-content/ET/TXT/?uri=CELEX%3A52020SC0132
https://eur-lex.europa.eu/legal-content/EN/TXT/?uri=SWD%3A2020%3A132%3AFIN
https://www.gov.me/en/article/224593--national-coordination-body-agrees-to-lift-ban-on-air-traffic-for-own-needs
https://www.gov.me/en/article/225883--montenegro-opens-all-road-border-crossings-at-midnight
https://www.gov.me/clanak/225907--crna-gora-otvara-u-ponoc-sve-putne-granicne-prelaze
Earlier recorded access
Source 1: full; failed
Source 2: indexed excerpt
Source 3: indexed excerpt; full</x:v>
      </x:c>
      <x:c r="P125" s="20" t="n">
        <x:v>1</x:v>
      </x:c>
      <x:c r="Q125" s="4" t="str">
        <x:v>Europe</x:v>
      </x:c>
      <x:c r="R125" s="4" t="str">
        <x:v>Included</x:v>
      </x:c>
    </x:row>
    <x:row r="126" ht="409" hidden="0" customHeight="1">
      <x:c r="A126" s="16" t="str">
        <x:v>EU021</x:v>
      </x:c>
      <x:c r="B126" s="4" t="str">
        <x:v>Albania suspends public and private passenger transport at land borders</x:v>
      </x:c>
      <x:c r="C126" s="4" t="str">
        <x:v>Albania; Montenegro; Kosovo (disputed status); North Macedonia; Greece</x:v>
      </x:c>
      <x:c r="D126" s="4" t="str">
        <x:v>Nationwide
All land crossings</x:v>
      </x:c>
      <x:c r="E126" s="4" t="str">
        <x:v>Public/private passenger vehicles
Direction: Both directions as reported
Exceptions: Goods transport</x:v>
      </x:c>
      <x:c r="F126" s="4" t="str">
        <x:v>EU021-D1 — Formal policy
Albania's ordinary passenger-vehicle land-border closure policy, excluding goods transport.
Start: 2020-03-15.
Policy endpoint: 2020-06-01.
Formal policy: 78 calendar-day difference; operational continuity not established</x:v>
      </x:c>
      <x:c r="G12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26" s="4" t="str">
        <x:v>EU021-D1: Formal policy dates only. The recovered Order 173 specifies passenger-vehicle entry and exit restrictions from 15 March 2020 at 23:59, while the contemporary public announcement says 00:00 on 15 March for passenger entry. Preserve both attributed clocks; the 78-day calendar-date difference is not exact elapsed duration. Goods remain exempt. Actual first refusal, every-gate reopening and reciprocal permission are not established.</x:v>
      </x:c>
      <x:c r="I126" s="4" t="str">
        <x:v>Second full-register audit, 26 October 2026: qualified. June 1 land-border easing is supported by the actual official May 29 notice and fresh contemporary reporting. The onset order and conflicting clocks remain unavailable in this second pass and are explicitly unverified.</x:v>
      </x:c>
      <x:c r="J126" s="18" t="d">
        <x:v>2026-10-26T00:00:00.000Z</x:v>
      </x:c>
      <x:c r="K126" s="21" t="str">
        <x:f>IFERROR(HYPERLINK("https://bnr.bg/en/post/101240978/the-spread-of-covid-19-imposes-new-travel-restrictions?page_1_3=5","Bulgarian National Radio"),"Bulgarian National Radio")</x:f>
        <x:v>Bulgarian National Radio</x:v>
      </x:c>
      <x:c r="L126" s="21" t="str">
        <x:f>IFERROR(HYPERLINK("https://kryeministria.al/en/newsroom/plani-i-masave-lehtesuese-nga-1-qershori-lejohet-levizja-ne-te-gjithe-territorin/","Albanian Government"),"Albanian Government")</x:f>
        <x:v>Albanian Government</x:v>
      </x:c>
      <x:c r="M126" s="21" t="str">
        <x:f>IFERROR(HYPERLINK("https://arkiva.punetejashtme.gov.al/en/njoftim-lidhur-me-situaten-e-pergjithshme-qe-pas-shfaqes-se-covid-19-ne-shqiperi/","arkiva.punetejashtme.gov.al"),"arkiva.punetejashtme.gov.al")</x:f>
        <x:v>arkiva.punetejashtme.gov.al</x:v>
      </x:c>
      <x:c r="N126" s="4" t="str">
        <x:v>https://bnr.bg/en/post/101240978/the-spread-of-covid-19-imposes-new-travel-restrictions?page_1_3=5
https://kryeministria.al/en/newsroom/plani-i-masave-lehtesuese-nga-1-qershori-lejohet-levizja-ne-te-gjithe-territorin/
https://arkiva.punetejashtme.gov.al/en/njoftim-lidhur-me-situaten-e-pergjithshme-qe-pas-shfaqes-se-covid-19-ne-shqiperi/
https://arkiva.punetejashtme.gov.al/en/njoftim-mbi-protokollin-qe-duhet-ndjekur-nga-udhetaret-qe-hyjne-ne-territorin-e-shqiperise-gjate-covid-19/
https://juristionline.al/wp-content/uploads/2020/12/urdher-2020-03-14-173.pdf
https://euronews.al/rama-nga-mesnata-e-se-dieles-mbyllim-plotesisht-kufijte-me-malin-e-zi-maqedonine-e-veriut-kosoven-dhe-greqine/
https://euronews.al/en/covid-19-restrictions-lifted-throughout-albania-land-borders-opened-with-neighbors/</x:v>
      </x:c>
      <x:c r="O126" s="4" t="str">
        <x:v>Second full-register audit source access, 26 October 2026
https://kryeministria.al/en/newsroom/plani-i-masave-lehtesuese-nga-1-qershori-lejohet-levizja-ne-te-gjithe-territorin/: full text (previously retrieved text re-examined) — Actual cached full text inspected.
https://euronews.al/en/covid-19-restrictions-lifted-throughout-albania-land-borders-opened-with-neighbors/: full text (fresh retrieval)
https://juristionline.al/wp-content/uploads/2020/12/urdher-2020-03-14-173.pdf: inaccessible (fresh retrieval) — Original onset PDF inaccessible.
https://euronews.al/rama-nga-mesnata-e-se-dieles-mbyllim-plotesisht-kufijte-me-malin-e-zi-maqedonine-e-veriut-kosoven-dhe-greqine/: inaccessible (fresh retrieval) — Challenge page only.
Earlier URLs not separately inspected in this second assessment:
https://bnr.bg/en/post/101240978/the-spread-of-covid-19-imposes-new-travel-restrictions?page_1_3=5
https://arkiva.punetejashtme.gov.al/en/njoftim-lidhur-me-situaten-e-pergjithshme-qe-pas-shfaqes-se-covid-19-ne-shqiperi/
https://arkiva.punetejashtme.gov.al/en/njoftim-mbi-protokollin-qe-duhet-ndjekur-nga-udhetaret-qe-hyjne-ne-territorin-e-shqiperise-gjate-covid-19/
Prior audit access record
Full-register audit source access (evidence cutoff 25 October 2026)
https://kryeministria.al/en/newsroom/plani-i-masave-lehtesuese-nga-1-qershori-lejohet-levizja-ne-te-gjithe-territorin/: full text
https://juristionline.al/wp-content/uploads/2020/12/urdher-2020-03-14-173.pdf: inaccessible
Earlier source URLs not separately listed in this audit’s retrieval log (historical access notes below are not fresh verification):
https://bnr.bg/en/post/101240978/the-spread-of-covid-19-imposes-new-travel-restrictions?page_1_3=5
https://arkiva.punetejashtme.gov.al/en/njoftim-lidhur-me-situaten-e-pergjithshme-qe-pas-shfaqes-se-covid-19-ne-shqiperi/
https://arkiva.punetejashtme.gov.al/en/njoftim-mbi-protokollin-qe-duhet-ndjekur-nga-udhetaret-qe-hyjne-ne-territorin-e-shqiperise-gjate-covid-19/
https://euronews.al/rama-nga-mesnata-e-se-dieles-mbyllim-plotesisht-kufijte-me-malin-e-zi-maqedonine-e-veriut-kosoven-dhe-greqine/
https://euronews.al/en/covid-19-restrictions-lifted-throughout-albania-land-borders-opened-with-neighbors/
Earlier recorded access
Source 1: search extract
Source 2: search extract
Source 3: access detail is retained in the source catalogue.</x:v>
      </x:c>
      <x:c r="P126" s="20" t="n">
        <x:v>1</x:v>
      </x:c>
      <x:c r="Q126" s="4" t="str">
        <x:v>Europe</x:v>
      </x:c>
      <x:c r="R126" s="4" t="str">
        <x:v>Included</x:v>
      </x:c>
    </x:row>
    <x:row r="127" ht="409" hidden="0" customHeight="1">
      <x:c r="A127" s="16" t="str">
        <x:v>EU032</x:v>
      </x:c>
      <x:c r="B127" s="4" t="str">
        <x:v>Spain enforces essential-purpose restrictions at Gibraltar frontier</x:v>
      </x:c>
      <x:c r="C127" s="4" t="str">
        <x:v>Spain; Gibraltar (UK territory)</x:v>
      </x:c>
      <x:c r="D127" s="4" t="str">
        <x:v>La Línea–Gibraltar frontier
Gibraltar–Spain crossing; separate from 23 March external-entry order</x:v>
      </x:c>
      <x:c r="E127" s="4" t="str">
        <x:v>People lacking acceptable documented reason
Direction: Both directions under Spanish-side movement enforcement
Exceptions: Residence, employment and other accepted essential purposes</x:v>
      </x:c>
      <x:c r="F127" s="4" t="str">
        <x:v>EU032-FU1 — Observed operation
La Línea–Gibraltar frontier under Spanish emergency movement enforcement
Start: unknown.
Restriction observed: 2020-03-15 and 2020-03-16.
Scoped easing by: 2020-06-10, Gibraltar residents entering Spain.
General no-restriction confirmation by: 2020-11-10.
Exact onset and continuous operation are unresolved; numeric duration withheld.</x:v>
      </x:c>
      <x:c r="G12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27" s="4" t="str">
        <x:v>Nonessential movement restrictions were observed by March 15, 2020 and confirmed on March 16, while residents, workers, force-majeure travel and goods retained exceptions. The original onset remains unknown. Gibraltar residents were permitted to enter Spain by June 10; this is a scoped easing, not an endpoint for every nonresident cohort or proof of exact first passage. An official November 10 statement confirms no frontier restrictions then in either direction. Neither observation establishes an unchanged continuous closure between March and those later dates.</x:v>
      </x:c>
      <x:c r="I127" s="4" t="str">
        <x:v>Second full-register audit, 26 October 2026: qualified. Contemporary field report and Gibraltar government statements support the existing March observations and scoped June easing; no exact first onset or continuous interval is newly established.</x:v>
      </x:c>
      <x:c r="J127" s="18" t="d">
        <x:v>2026-10-26T00:00:00.000Z</x:v>
      </x:c>
      <x:c r="K127" s="21" t="str">
        <x:f>IFERROR(HYPERLINK("https://www.gbc.gi/news/latest-spains-emergency-measures-frontier","GBC"),"GBC")</x:f>
        <x:v>GBC</x:v>
      </x:c>
      <x:c r="L127" s="21" t="str">
        <x:f>IFERROR(HYPERLINK("https://www.gibraltar.gov.gi/press-releases/picardo-frontier-restrictions-are-proportional-not-political-and-will-not-likely-affect-workers-or-goods-coming-into-gibraltar-1952020-5699","gibraltar.gov.gi"),"gibraltar.gov.gi")</x:f>
        <x:v>gibraltar.gov.gi</x:v>
      </x:c>
      <x:c r="M127" s="21" t="str">
        <x:f>IFERROR(HYPERLINK("https://www.gibraltar.gov.gi/press-releases/gibraltar-residents-able-to-cross-the-frontier-3922020-5952","Gibraltar Government"),"Gibraltar Government")</x:f>
        <x:v>Gibraltar Government</x:v>
      </x:c>
      <x:c r="N127" s="4" t="str">
        <x:v>https://www.gbc.gi/news/latest-spains-emergency-measures-frontier
https://www.gibraltar.gov.gi/press-releases/picardo-frontier-restrictions-are-proportional-not-political-and-will-not-likely-affect-workers-or-goods-coming-into-gibraltar-1952020-5699
https://www.gibraltar.gov.gi/press-releases/gibraltar-residents-able-to-cross-the-frontier-3922020-5952
https://www.gbc.gi/news/what-do-you-need-when-crossing-border-and-what-are-restrictions-when-spain
https://www.gibraltar.gov.gi/press-releases/her-majestys-government-of-gibraltar-notes-the-details-of-spanish-governments-decree-5689
https://www.lamoncloa.gob.es/serviciosdeprensa/notasprensa/interior/paginas/2020/220320-fronteras.aspx
https://www.gibraltar.gov.gi/press-releases/no-frontier-restrictions-in-place-in-either-direction-7852020-6369</x:v>
      </x:c>
      <x:c r="O127" s="4" t="str">
        <x:v>Second full-register audit source access, 26 October 2026
https://www.gbc.gi/news/latest-spains-emergency-measures-frontier: full text (fresh retrieval)
https://www.gibraltar.gov.gi/press-releases/picardo-frontier-restrictions-are-proportional-not-political-and-will-not-likely-affect-workers-or-goods-coming-into-gibraltar-1952020-5699: full text (fresh retrieval)
https://www.gibraltar.gov.gi/press-releases/gibraltar-residents-able-to-cross-the-frontier-3922020-5952: full text (previously retrieved text re-examined)
https://www.gibraltar.gov.gi/press-releases/no-frontier-restrictions-in-place-in-either-direction-7852020-6369: full text (previously retrieved text re-examined)
Earlier URLs not separately inspected in this second assessment:
https://www.gbc.gi/news/what-do-you-need-when-crossing-border-and-what-are-restrictions-when-spain
https://www.gibraltar.gov.gi/press-releases/her-majestys-government-of-gibraltar-notes-the-details-of-spanish-governments-decree-5689
https://www.lamoncloa.gob.es/serviciosdeprensa/notasprensa/interior/paginas/2020/220320-fronteras.aspx
Prior audit access record
Full-register audit source access (evidence cutoff 25 October 2026)
https://www.gbc.gi/news/latest-spains-emergency-measures-frontier: full text
https://www.gibraltar.gov.gi/press-releases/gibraltar-residents-able-to-cross-the-frontier-3922020-5952: full text
https://www.gibraltar.gov.gi/press-releases/no-frontier-restrictions-in-place-in-either-direction-7852020-6369: full text
Earlier source URLs not separately listed in this audit’s retrieval log (historical access notes below are not fresh verification):
https://www.gibraltar.gov.gi/press-releases/picardo-frontier-restrictions-are-proportional-not-political-and-will-not-likely-affect-workers-or-goods-coming-into-gibraltar-1952020-5699
https://www.gbc.gi/news/what-do-you-need-when-crossing-border-and-what-are-restrictions-when-spain
https://www.gibraltar.gov.gi/press-releases/her-majestys-government-of-gibraltar-notes-the-details-of-spanish-governments-decree-5689
https://www.lamoncloa.gob.es/serviciosdeprensa/notasprensa/interior/paginas/2020/220320-fronteras.aspx
Earlier recorded access
Source 1: full; indexed excerpt
Source 2: access detail is retained in the source catalogue.
Source 3: indexed excerpt</x:v>
      </x:c>
      <x:c r="P127" s="20" t="n">
        <x:v>1</x:v>
      </x:c>
      <x:c r="Q127" s="4" t="str">
        <x:v>Europe</x:v>
      </x:c>
      <x:c r="R127" s="4" t="str">
        <x:v>Included</x:v>
      </x:c>
    </x:row>
    <x:row r="128" ht="409" hidden="0" customHeight="1">
      <x:c r="A128" s="16" t="str">
        <x:v>EU013</x:v>
      </x:c>
      <x:c r="B128" s="4" t="str">
        <x:v>Czech pandemic entry and departure prohibition</x:v>
      </x:c>
      <x:c r="C128" s="4" t="str">
        <x:v>Czechia; Germany; Poland; Slovakia; Austria</x:v>
      </x:c>
      <x:c r="D128" s="4" t="str">
        <x:v>Nationwide
National land-entry and departure regime</x:v>
      </x:c>
      <x:c r="E128" s="4" t="str">
        <x:v>Nonresident foreigner entry; citizens/residents departure
Direction: Inbound foreigners and outbound citizens/residents
Exceptions: Freight/transport crews, specified commuters and national-interest exemptions</x:v>
      </x:c>
      <x:c r="F128" s="4" t="str">
        <x:v>EU013-R1 — Formal policy
Czech-side prohibition of ordinary departure by Czech citizens and residents, with listed and changing exceptions
Start: 2020-03-16.
Policy endpoint for ordinary departure: 2020-04-24.
Formal policy: 39 calendar-day difference; actual first passage and uninterrupted operational restriction are not established.</x:v>
      </x:c>
      <x:c r="G12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28" s="4" t="str">
        <x:v>EU013-R1: April 14 expanded permission for justified trips and did not establish unrestricted departure. The Transport Ministry’s April 24 notice expressly says departure was possible from that day after the free-movement prohibition was lifted; the Foreign Minister’s April 24 government press conference also confirms departure was possible, subject to neighboring countries’ restrictions. April 27 concerns revised entry/return and testing/quarantine rules. The London embassy groups departure with those April 27 changes, but this less precise grouping does not override the explicit April 24 domestic notices. Foreign-entry eligibility and return quarantine remain separate. This is a formal permission endpoint, not proof of the first actual trip or complete removal of neighboring states’ entry restrictions.</x:v>
      </x:c>
      <x:c r="I128" s="4" t="str">
        <x:v>Second full-register audit, 26 October 2026: additional source-audited corrections incorporated. See the phase, scope and qualification columns for the accepted findings.</x:v>
      </x:c>
      <x:c r="J128" s="18" t="d">
        <x:v>2026-10-26T00:00:00.000Z</x:v>
      </x:c>
      <x:c r="K128" s="21" t="str">
        <x:f>IFERROR(HYPERLINK("https://vlada.gov.cz/en/media-centrum/aktualne/the-government-has-taken-further-extraordinary-measures-to-prevent-the-spread-of-the-coronavirus--all-those-arriving-from-high-risk-countries-must-go--180336/","Czech Government"),"Czech Government")</x:f>
        <x:v>Czech Government</x:v>
      </x:c>
      <x:c r="L128" s="21" t="str">
        <x:f>IFERROR(HYPERLINK("https://md.gov.cz/Media/Media-a-tiskove-zpravy/Nova-pravidla-pro-prekracovani-statnich-hranic?returl=%2FMedia%2FMedia-a-tiskove-zpravy","Czech Transport Ministry"),"Czech Transport Ministry")</x:f>
        <x:v>Czech Transport Ministry</x:v>
      </x:c>
      <x:c r="M128" s="21" t="str">
        <x:f>IFERROR(HYPERLINK("https://mzv.gov.cz/london/en/what_s_new/ban_on_free_movement_lifted.html","Czech Embassy London"),"Czech Embassy London")</x:f>
        <x:v>Czech Embassy London</x:v>
      </x:c>
      <x:c r="N128" s="4" t="str">
        <x:v>https://vlada.gov.cz/en/media-centrum/aktualne/the-government-has-taken-further-extraordinary-measures-to-prevent-the-spread-of-the-coronavirus--all-those-arriving-from-high-risk-countries-must-go--180336/
https://md.gov.cz/Media/Media-a-tiskove-zpravy/Nova-pravidla-pro-prekracovani-statnich-hranic?returl=%2FMedia%2FMedia-a-tiskove-zpravy
https://mzv.gov.cz/london/en/what_s_new/ban_on_free_movement_lifted.html
https://www.kurzy.cz/tema/6009677.html
https://vlada.gov.cz/cz/media-centrum/aktualne/upravuje-se-rezim-na-hranicich--po-velikonocich-bude-mozne-v-oduvodnenych-pripadech-vycestovat-do-zahranici-180916/
https://vlada.gov.cz/en/media-centrum/aktualne/government-decides-that-border-controls-will-end-at-noon-on-friday--czechs-do-not-have-to-provide-a-test-181912/
https://czechinvest.gov.cz/en/Homepage/News/April-2020/General-ban-on-outward-travel-from-the-Czech-Republic-in-the-state-of-emergency-ends-on-14-April-202
https://vlada.gov.cz/en/media-centrum/aktualne/measures-adopted-by-the-czech-government-against-coronavirus-180545
https://vlada.gov.cz/en/media-centrum/aktualne/measures-adopted-by-the-czech-government-against-coronavirus-180545/
https://vlada.gov.cz/cz/media-centrum/tiskove-konference/tiskova-konference-pomimoradnem-jednani-vlady--24--dubna-2020-181213/</x:v>
      </x:c>
      <x:c r="O128" s="4" t="str">
        <x:v>Second full-register audit source access, 26 October 2026
https://vlada.gov.cz/en/media-centrum/aktualne/the-government-has-taken-further-extraordinary-measures-to-prevent-the-spread-of-the-coronavirus--all-those-arriving-from-high-risk-countries-must-go--180336/: full text (fresh retrieval)
https://md.gov.cz/Media/Media-a-tiskove-zpravy/Nova-pravidla-pro-prekracovani-statnich-hranic?returl=%2FMedia%2FMedia-a-tiskove-zpravy: search extract (fresh retrieval) — Direct page has access challenge; substantive indexed text.
https://vlada.gov.cz/cz/media-centrum/tiskove-konference/tiskova-konference-pomimoradnem-jednani-vlady--24--dubna-2020-181213/: search extract (fresh retrieval) — Full relevant speech recovered in substantive indexed extract; opened page initially exposes its opening section.
https://mzv.gov.cz/london/en/what_s_new/ban_on_free_movement_lifted.html: full text (previously retrieved text re-examined) — Actual cached full text inspected.
https://vlada.gov.cz/en/media-centrum/aktualne/measures-adopted-by-the-czech-government-against-coronavirus-180545: search extract (previously retrieved text re-examined) — Actual cached indexed chronology; later updated page.
Earlier URLs not separately inspected in this second assessment:
https://www.kurzy.cz/tema/6009677.html
https://vlada.gov.cz/cz/media-centrum/aktualne/upravuje-se-rezim-na-hranicich--po-velikonocich-bude-mozne-v-oduvodnenych-pripadech-vycestovat-do-zahranici-180916/
https://vlada.gov.cz/en/media-centrum/aktualne/government-decides-that-border-controls-will-end-at-noon-on-friday--czechs-do-not-have-to-provide-a-test-181912/
https://czechinvest.gov.cz/en/Homepage/News/April-2020/General-ban-on-outward-travel-from-the-Czech-Republic-in-the-state-of-emergency-ends-on-14-April-202
https://vlada.gov.cz/en/media-centrum/aktualne/measures-adopted-by-the-czech-government-against-coronavirus-180545/
Prior audit access record
Full-register audit source access (evidence cutoff 25 October 2026)
https://vlada.gov.cz/en/media-centrum/aktualne/the-government-has-taken-further-extraordinary-measures-to-prevent-the-spread-of-the-coronavirus--all-those-arriving-from-high-risk-countries-must-go--180336/: full text
https://mzv.gov.cz/london/en/what_s_new/ban_on_free_movement_lifted.html: full text
https://vlada.gov.cz/en/media-centrum/aktualne/measures-adopted-by-the-czech-government-against-coronavirus-180545/: search extract
https://md.gov.cz/Media/Media-a-tiskove-zpravy/Nova-pravidla-pro-prekracovani-statnich-hranic?returl=%2FMedia%2FMedia-a-tiskove-zpravy: inaccessible
Earlier source URLs not separately listed in this audit’s retrieval log (historical access notes below are not fresh verification):
https://www.kurzy.cz/tema/6009677.html
https://vlada.gov.cz/cz/media-centrum/aktualne/upravuje-se-rezim-na-hranicich--po-velikonocich-bude-mozne-v-oduvodnenych-pripadech-vycestovat-do-zahranici-180916/
https://vlada.gov.cz/en/media-centrum/aktualne/government-decides-that-border-controls-will-end-at-noon-on-friday--czechs-do-not-have-to-provide-a-test-181912/
https://czechinvest.gov.cz/en/Homepage/News/April-2020/General-ban-on-outward-travel-from-the-Czech-Republic-in-the-state-of-emergency-ends-on-14-April-202
https://vlada.gov.cz/en/media-centrum/aktualne/measures-adopted-by-the-czech-government-against-coronavirus-180545
Earlier recorded access
Source 1: full
Source 2: indexed excerpt
Source 3: indexed excerpt; full</x:v>
      </x:c>
      <x:c r="P128" s="20" t="n">
        <x:v>1</x:v>
      </x:c>
      <x:c r="Q128" s="4" t="str">
        <x:v>Europe</x:v>
      </x:c>
      <x:c r="R128" s="4" t="str">
        <x:v>Included</x:v>
      </x:c>
    </x:row>
    <x:row r="129" ht="409" hidden="0" customHeight="1">
      <x:c r="A129" s="16" t="str">
        <x:v>EU020</x:v>
      </x:c>
      <x:c r="B129" s="4" t="str">
        <x:v>North Macedonia closes crossings to foreign passengers</x:v>
      </x:c>
      <x:c r="C129" s="4" t="str">
        <x:v>North Macedonia; Albania; Greece; Bulgaria; Serbia; Kosovo (disputed status)</x:v>
      </x:c>
      <x:c r="D129" s="4" t="str">
        <x:v>Nationwide
All international crossings, land component</x:v>
      </x:c>
      <x:c r="E129" s="4" t="str">
        <x:v>Foreign passengers and vehicles
Direction: Into North Macedonia
Exceptions: Goods entry/transit; diplomats; persons with special state/economic permission</x:v>
      </x:c>
      <x:c r="F129" s="4" t="str">
        <x:v>EU020-R1 — Formal policy
North Macedonia ordinary foreign admission through land checkpoints, excluding goods, diplomats, authorized special cases and later permitted transit
Start: 2020-03-16 to 2020-03-17.
Policy endpoint: 2020-06-26.
Formal policy: 101–102 calendar-day difference; operational continuity not established</x:v>
      </x:c>
      <x:c r="G12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29" s="4" t="str">
        <x:v>EU020-R1: March 16–17 commencement bracket retained because Gazette publication was not inspected. Ordinary non-exempt foreign admission only; authorized entrants, freight and June 15/17 transit exceptions excluded. June 26 is the policy reopening date, not a full closed day or observation at every crossing.</x:v>
      </x:c>
      <x:c r="I129" s="4" t="str">
        <x:v>Second full-register audit, 26 October 2026: qualified. The June 26 ordinary-admission endpoint and earlier transit-only easing are independently supported. A Gazette-number lead was found, but its operative publication clause was not recovered sufficiently to collapse the March 16–17 bracket.</x:v>
      </x:c>
      <x:c r="J129" s="18" t="d">
        <x:v>2026-10-26T00:00:00.000Z</x:v>
      </x:c>
      <x:c r="K129" s="21" t="str">
        <x:f>IFERROR(HYPERLINK("https://old.customs.gov.mk/index.php/mk/informacii-mk?contrast=highcontrast2&amp;start=400","North Macedonia Customs"),"North Macedonia Customs")</x:f>
        <x:v>North Macedonia Customs</x:v>
      </x:c>
      <x:c r="L129" s="21" t="str">
        <x:f>IFERROR(HYPERLINK("https://wiki.unece.org/spaces/CTRBSBC/pages/101548492/North%2BMacedonia","UNECE"),"UNECE")</x:f>
        <x:v>UNECE</x:v>
      </x:c>
      <x:c r="M129" s="21" t="str">
        <x:f>IFERROR(HYPERLINK("https://ambskopje.esteri.it/mk/news/dall_ambasciata/2020/06/riapertura-delle-frontiere-e-degli-2/","Italian Embassy Skopje"),"Italian Embassy Skopje")</x:f>
        <x:v>Italian Embassy Skopje</x:v>
      </x:c>
      <x:c r="N129" s="4" t="str">
        <x:v>https://old.customs.gov.mk/index.php/mk/informacii-mk?contrast=highcontrast2&amp;start=400
https://wiki.unece.org/spaces/CTRBSBC/pages/101548492/North%2BMacedonia
https://ambskopje.esteri.it/mk/news/dall_ambasciata/2020/06/riapertura-delle-frontiere-e-degli-2/
https://eur-lex.europa.eu/LexUriServ/LexUriServ.do?uri=SWD%3A2020%3A0132%3AFIN%3AEN%3APDF
https://www.swedenabroad.se/en/embassies/north-macedonia-skopje/current/news/info-transit-of-foreigners/
https://ambskopje.esteri.it/it/news/dall_ambasciata/2020/06/disposizioni-del-governo-in-relazione/
https://www.coe.int/en/web/conventions/full-list%3B?codeNature=10&amp;codePays=TFY&amp;module=declarations-by-treaty&amp;numSte=009
https://www.theuiaa.org/measures-implemented-in-north-macedonia/
https://www.ekathimerini.com/news/254008/north-macedonia-to-reopen-land-borders-on-friday/
https://ambskopje.esteri.it/it/news/dall_ambasciata/2020/06/riapertura-delle-frontiere-e-degli/
https://www.coe.int/en/web/conventions/full%E2%80%93list?codeNature=10&amp;codePays=TFY&amp;module=declarations-by-treaty&amp;numSte=009</x:v>
      </x:c>
      <x:c r="O129" s="4" t="str">
        <x:v>Second full-register audit source access, 26 October 2026
https://old.customs.gov.mk/index.php/mk/informacii-mk?contrast=highcontrast2&amp;start=400: search extract (fresh retrieval) — Substantive indexed text only.
https://www.coe.int/en/web/conventions/full%E2%80%93list?codeNature=10&amp;codePays=TFY&amp;module=declarations-by-treaty&amp;numSte=009: search extract (fresh retrieval) — Indexed extract only; direct page is JavaScript shell and final operative date clause absent.
https://www.swedenabroad.se/en/embassies/north-macedonia-skopje/current/news/info-transit-of-foreigners/: full text (fresh retrieval)
https://ambskopje.esteri.it/it/news/dall_ambasciata/2020/06/disposizioni-del-governo-in-relazione/: full text (fresh retrieval) — Dated June 16 but includes subsequent June 17 amendment.
https://ambskopje.esteri.it/it/news/dall_ambasciata/2020/06/riapertura-delle-frontiere-e-degli/: full text (fresh retrieval)
Earlier URLs not separately inspected in this second assessment:
https://wiki.unece.org/spaces/CTRBSBC/pages/101548492/North%2BMacedonia
https://ambskopje.esteri.it/mk/news/dall_ambasciata/2020/06/riapertura-delle-frontiere-e-degli-2/
https://eur-lex.europa.eu/LexUriServ/LexUriServ.do?uri=SWD%3A2020%3A0132%3AFIN%3AEN%3APDF
https://www.coe.int/en/web/conventions/full-list%3B?codeNature=10&amp;codePays=TFY&amp;module=declarations-by-treaty&amp;numSte=009
https://www.theuiaa.org/measures-implemented-in-north-macedonia/
https://www.ekathimerini.com/news/254008/north-macedonia-to-reopen-land-borders-on-friday/
Prior audit access record
Full-register audit source access (evidence cutoff 25 October 2026)
https://old.customs.gov.mk/index.php/mk/informacii-mk?contrast=highcontrast2&amp;start=400: search extract
https://ambskopje.esteri.it/it/news/dall_ambasciata/2020/06/riapertura-delle-frontiere-e-degli/: full text
Earlier source URLs not separately listed in this audit’s retrieval log (historical access notes below are not fresh verification):
https://wiki.unece.org/spaces/CTRBSBC/pages/101548492/North%2BMacedonia
https://ambskopje.esteri.it/mk/news/dall_ambasciata/2020/06/riapertura-delle-frontiere-e-degli-2/
https://eur-lex.europa.eu/LexUriServ/LexUriServ.do?uri=SWD%3A2020%3A0132%3AFIN%3AEN%3APDF
https://www.swedenabroad.se/en/embassies/north-macedonia-skopje/current/news/info-transit-of-foreigners/
https://ambskopje.esteri.it/it/news/dall_ambasciata/2020/06/disposizioni-del-governo-in-relazione/
https://www.coe.int/en/web/conventions/full-list%3B?codeNature=10&amp;codePays=TFY&amp;module=declarations-by-treaty&amp;numSte=009
https://www.theuiaa.org/measures-implemented-in-north-macedonia/
https://www.ekathimerini.com/news/254008/north-macedonia-to-reopen-land-borders-on-friday/
Earlier recorded access
Source 1: indexed excerpt
Source 2: indexed excerpt
Source 3: full</x:v>
      </x:c>
      <x:c r="P129" s="20" t="n">
        <x:v>1</x:v>
      </x:c>
      <x:c r="Q129" s="4" t="str">
        <x:v>Europe</x:v>
      </x:c>
      <x:c r="R129" s="4" t="str">
        <x:v>Included</x:v>
      </x:c>
    </x:row>
    <x:row r="130" ht="409" hidden="0" customHeight="1">
      <x:c r="A130" s="16" t="str">
        <x:v>EU022</x:v>
      </x:c>
      <x:c r="B130" s="4" t="str">
        <x:v>Norway pandemic foreigner-entry rejection regime</x:v>
      </x:c>
      <x:c r="C130" s="4" t="str">
        <x:v>Norway; Sweden; Finland; Russia</x:v>
      </x:c>
      <x:c r="D130" s="4" t="str">
        <x:v>Nationwide
National external-entry regime, land component</x:v>
      </x:c>
      <x:c r="E130" s="4" t="str">
        <x:v>Foreign nationals outside exempt categories
Direction: Into Norway
Exceptions: Residence, specified work/family and transport categories; changing exemptions</x:v>
      </x:c>
      <x:c r="F130" s="4" t="str">
        <x:v>EU022-R1 — Formal policy
First amended statutory foreign-entry rejection regime under Regulation 293, including land arrivals
Start: 2020-03-16.
Policy endpoint: 2020-07-01.
Formal policy: 107 calendar-day difference; operational continuity not established
EU022-C7P1 — Formal policy
Successor Norwegian foreign-entry rejection framework, including land arrivals
Start: 2020-07-01.
General foreigner admission ban lifted: 2021-11-26.
This is an eligibility change within an amended framework, not proof of unchanged closure since July 1, 2020. Residual testing, registration and quarantine rules continued.</x:v>
      </x:c>
      <x:c r="G13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30" s="4" t="str">
        <x:v>The original Regulation 293 phase ended by replacement on July 1, 2020, not by universal reopening. The successor framework changed through later eligibility amendments, including January 2021 tightening. The general restriction on foreigners’ eligibility to enter was lifted on November 26, 2021; testing, registration and quarantine requirements remained. Residual health entry measures ended on February 12, 2022. These changes do not establish an unchanged operational closure across the whole period, and the enabling Act’s later lifespan is not the duration of the admission ban.</x:v>
      </x:c>
      <x:c r="I130" s="4" t="str">
        <x:v>Second full-register audit, 26 October 2026: qualified. The Norwegian reader correctly separates July 2020 legal replacement, November 2021 admission eligibility easing and February 2022 remaining health measures. No new continuous closure should be generated from the framework’s lifespan.</x:v>
      </x:c>
      <x:c r="J130" s="18" t="d">
        <x:v>2026-10-26T00:00:00.000Z</x:v>
      </x:c>
      <x:c r="K130" s="21" t="str">
        <x:f>IFERROR(HYPERLINK("https://www.regjeringen.no/en/documents/G-12-2020-Revised-circular-relating-to-Entry-into-force-of-the-Regulations-relating-to-rejection-etc-of-foreign-nationals-out-of-concern-for-public-health/id2706485/","Norwegian Ministry of Justice and Public Security"),"Norwegian Ministry of Justice and Public Security")</x:f>
        <x:v>Norwegian Ministry of Justice and Public Security</x:v>
      </x:c>
      <x:c r="L130" s="21" t="str">
        <x:f>IFERROR(HYPERLINK("https://lovdata.no/dokument/SFEO/forskrift/2020-03-15-293","Lovdata"),"Lovdata")</x:f>
        <x:v>Lovdata</x:v>
      </x:c>
      <x:c r="M130" s="21" t="str">
        <x:f>IFERROR(HYPERLINK("https://www.regjeringen.no/contentassets/ea271489c9e041368134304e5cd9e62b/circular-relating-to-entry-into-force-of-the-regulations-relating-to-entry-restrictions-for-foreign-nationals-out-of-concern-for-public-health.pdf","Norwegian Ministry of Justice and Public Security"),"Norwegian Ministry of Justice and Public Security")</x:f>
        <x:v>Norwegian Ministry of Justice and Public Security</x:v>
      </x:c>
      <x:c r="N130" s="4" t="str">
        <x:v>https://www.regjeringen.no/en/documents/G-12-2020-Revised-circular-relating-to-Entry-into-force-of-the-Regulations-relating-to-rejection-etc-of-foreign-nationals-out-of-concern-for-public-health/id2706485/
https://lovdata.no/dokument/SFEO/forskrift/2020-03-15-293
https://www.regjeringen.no/contentassets/ea271489c9e041368134304e5cd9e62b/circular-relating-to-entry-into-force-of-the-regulations-relating-to-entry-restrictions-for-foreign-nationals-out-of-concern-for-public-health.pdf
https://lovdata.no/forskrift/2020-06-29-1412
https://www.regjeringen.no/en/whats-new/new-measures-to-apply-to-entry-into-norway/id2888683/
https://www.norway.no/en/nepal/services-info/visit/
https://www.regjeringen.no/en/whats-new/the-infection-control-measures-are-being-removed-on-saturday-12-february/id2900873/</x:v>
      </x:c>
      <x:c r="O130" s="4" t="str">
        <x:v>Second full-register audit source access, 26 October 2026
https://www.regjeringen.no/en/documents/G-12-2020-Revised-circular-relating-to-Entry-into-force-of-the-Regulations-relating-to-rejection-etc-of-foreign-nationals-out-of-concern-for-public-health/id2706485/: full text (fresh retrieval)
https://lovdata.no/dokument/SFEO/forskrift/2020-03-15-293: search extract (previously retrieved text re-examined) — Actual cached substantive indexed text inspected.
https://www.regjeringen.no/en/whats-new/new-measures-to-apply-to-entry-into-norway/id2888683/: full text (fresh retrieval)
https://www.regjeringen.no/en/whats-new/the-infection-control-measures-are-being-removed-on-saturday-12-february/id2900873/: full text (fresh retrieval)
Earlier URLs not separately inspected in this second assessment:
https://www.regjeringen.no/contentassets/ea271489c9e041368134304e5cd9e62b/circular-relating-to-entry-into-force-of-the-regulations-relating-to-entry-restrictions-for-foreign-nationals-out-of-concern-for-public-health.pdf
https://lovdata.no/forskrift/2020-06-29-1412
https://www.norway.no/en/nepal/services-info/visit/
Prior audit access record
Full-register audit source access (evidence cutoff 25 October 2026)
https://www.regjeringen.no/en/documents/G-12-2020-Revised-circular-relating-to-Entry-into-force-of-the-Regulations-relating-to-rejection-etc-of-foreign-nationals-out-of-concern-for-public-health/id2706485/: full text
https://lovdata.no/dokument/SFEO/forskrift/2020-03-15-293: search extract
https://www.regjeringen.no/en/whats-new/new-measures-to-apply-to-entry-into-norway/id2888683/: search extract
https://www.norway.no/en/nepal/services-info/visit/: search extract
https://www.regjeringen.no/en/whats-new/the-infection-control-measures-are-being-removed-on-saturday-12-february/id2900873/: full text
Earlier source URLs not separately listed in this audit’s retrieval log (historical access notes below are not fresh verification):
https://www.regjeringen.no/contentassets/ea271489c9e041368134304e5cd9e62b/circular-relating-to-entry-into-force-of-the-regulations-relating-to-entry-restrictions-for-foreign-nationals-out-of-concern-for-public-health.pdf
https://lovdata.no/forskrift/2020-06-29-1412
Earlier recorded access
Source 1: full; full text
Source 2: indexed excerpt
Source 3: indexed excerpt; failed; indexed extract</x:v>
      </x:c>
      <x:c r="P130" s="20" t="n">
        <x:v>2</x:v>
      </x:c>
      <x:c r="Q130" s="4" t="str">
        <x:v>Europe</x:v>
      </x:c>
      <x:c r="R130" s="4" t="str">
        <x:v>Included</x:v>
      </x:c>
    </x:row>
    <x:row r="131" ht="342" hidden="0" customHeight="1">
      <x:c r="A131" s="16" t="str">
        <x:v>EU025</x:v>
      </x:c>
      <x:c r="B131" s="4" t="str">
        <x:v>Portugal–Spain bilateral prohibition on nonessential border movement, 2020</x:v>
      </x:c>
      <x:c r="C131" s="4" t="str">
        <x:v>Portugal; Spain</x:v>
      </x:c>
      <x:c r="D131" s="4" t="str">
        <x:v>Nine authorised crossing points
Whole bilateral land frontier restricted to authorised crossings</x:v>
      </x:c>
      <x:c r="E131" s="4" t="str">
        <x:v>Nonessential road/passenger rail and river movement
Direction: Both directions
Exceptions: Goods, workers, returning nationals/residents, family reunion, healthcare and emergency movement</x:v>
      </x:c>
      <x:c r="F131" s="4" t="str">
        <x:v>EU025-D1 — Formal policy
Portugal–Spain bilateral non-essential land-movement restriction, using Portuguese local calendar dates.
Start: 2020-03-16.
Policy endpoint: 2020-07-01.
Formal policy: 107 calendar-day difference; operational continuity not established</x:v>
      </x:c>
      <x:c r="G13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31" s="4" t="str">
        <x:v>EU025-D1: That start equals midnight March 17 in Spain; date arithmetic is not elapsed hours. Authorised goods, workers, returnees and essential cases continued. The endpoint is formal restoration, not an independently observed first ordinary crossing.</x:v>
      </x:c>
      <x:c r="I131" s="4" t="str">
        <x:v>Second full-register audit, 26 October 2026: qualified. Portuguese primary announcement and Spanish reopening account support the retained local-clock chronology and scoped exceptions.</x:v>
      </x:c>
      <x:c r="J131" s="18" t="d">
        <x:v>2026-10-26T00:00:00.000Z</x:v>
      </x:c>
      <x:c r="K131" s="21" t="str">
        <x:f>IFERROR(HYPERLINK("https://portugal.gov.pt/gc22/comunicacao/noticias/fronteiras-com-espanha-fechadas-a-partir-de-16-de-marco","Government of Portugal"),"Government of Portugal")</x:f>
        <x:v>Government of Portugal</x:v>
      </x:c>
      <x:c r="L131" s="21" t="str">
        <x:f>IFERROR(HYPERLINK("https://www.lamoncloa.gob.es/presidente/actividades/paginas/2020/010720-previoportugal.aspx","La Moncloa, Government of Spain"),"La Moncloa, Government of Spain")</x:f>
        <x:v>La Moncloa, Government of Spain</x:v>
      </x:c>
      <x:c r="M131" s="21" t="str">
        <x:f>IFERROR(HYPERLINK("https://portugal.gov.pt/gc22/comunicacao/documentos/declaracao-da-republica-portuguesa-e-o-reino-de-espanha-sobre-a-gestao-de-fronteiras-por-motivos-de-saude-publica-no-ambito-da-pandemia-da-covid-19","Governments of Portugal and Spain"),"Governments of Portugal and Spain")</x:f>
        <x:v>Governments of Portugal and Spain</x:v>
      </x:c>
      <x:c r="N131" s="4" t="str">
        <x:v>https://portugal.gov.pt/gc22/comunicacao/noticias/fronteiras-com-espanha-fechadas-a-partir-de-16-de-marco
https://www.lamoncloa.gob.es/presidente/actividades/paginas/2020/010720-previoportugal.aspx
https://portugal.gov.pt/gc22/comunicacao/documentos/declaracao-da-republica-portuguesa-e-o-reino-de-espanha-sobre-a-gestao-de-fronteiras-por-motivos-de-saude-publica-no-ambito-da-pandemia-da-covid-19</x:v>
      </x:c>
      <x:c r="O131" s="4" t="str">
        <x:v>Second full-register audit source access, 26 October 2026
https://portugal.gov.pt/gc22/comunicacao/noticias/fronteiras-com-espanha-fechadas-a-partir-de-16-de-marco: full text (fresh retrieval)
https://www.lamoncloa.gob.es/presidente/actividades/paginas/2020/010720-previoportugal.aspx: full text (fresh retrieval)
Earlier URLs not separately inspected in this second assessment:
https://portugal.gov.pt/gc22/comunicacao/documentos/declaracao-da-republica-portuguesa-e-o-reino-de-espanha-sobre-a-gestao-de-fronteiras-por-motivos-de-saude-publica-no-ambito-da-pandemia-da-covid-19
Prior audit access record
Full-register audit source access (evidence cutoff 25 October 2026)
https://portugal.gov.pt/gc22/comunicacao/noticias/fronteiras-com-espanha-fechadas-a-partir-de-16-de-marco: full text
https://www.lamoncloa.gob.es/presidente/actividades/paginas/2020/010720-previoportugal.aspx: full text
Earlier source URLs not separately listed in this audit’s retrieval log (historical access notes below are not fresh verification):
https://portugal.gov.pt/gc22/comunicacao/documentos/declaracao-da-republica-portuguesa-e-o-reino-de-espanha-sobre-a-gestao-de-fronteiras-por-motivos-de-saude-publica-no-ambito-da-pandemia-da-covid-19
Earlier recorded access
Source 1: full text
Source 2: full text
Source 3: full text</x:v>
      </x:c>
      <x:c r="P131" s="20" t="n">
        <x:v>1</x:v>
      </x:c>
      <x:c r="Q131" s="4" t="str">
        <x:v>Europe</x:v>
      </x:c>
      <x:c r="R131" s="4" t="str">
        <x:v>Included</x:v>
      </x:c>
    </x:row>
    <x:row r="132" ht="409" hidden="0" customHeight="1">
      <x:c r="A132" s="16" t="str">
        <x:v>EU034</x:v>
      </x:c>
      <x:c r="B132" s="4" t="str">
        <x:v>Germany rejects nonessential entry at five neighbouring land frontiers</x:v>
      </x:c>
      <x:c r="C132" s="4" t="str">
        <x:v>Germany; Austria; Switzerland; France; Luxembourg; Denmark</x:v>
      </x:c>
      <x:c r="D132" s="4" t="str">
        <x:v>Initial restrictions concerned the Austrian, Swiss, French, Luxembourg and Danish frontiers. The quantified phase EU034-D1 covers entry through Austria only; its endpoint must not be applied to all five frontiers. German-authorised crossing routes were generally available again from May 16, 2020, while nonessential-entry eligibility restrictions continued.</x:v>
      </x:c>
      <x:c r="E132" s="4" t="str">
        <x:v>Travellers without urgent/valid entry reason
Direction: Into Germany
Exceptions: Commuters, goods and transport workers, qualifying transit, healthcare/essential work</x:v>
      </x:c>
      <x:c r="F132" s="4" t="str">
        <x:v>EU034-D1 — Formal policy
Germany's COVID compelling-purpose entry rule for ordinary EU/associated-state visitors via the Austrian frontier.
Start: 2020-03-16.
Policy endpoint: 2020-06-15 to 2020-06-16.
Formal policy: 91–92 calendar-day difference; operational continuity not established</x:v>
      </x:c>
      <x:c r="G13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32" s="4" t="str">
        <x:v>EU034-D1: The endpoint range retains the 15/16 June wording difference. Eligible family, work and other exceptions are excluded. Luxembourg's earlier easing is not included; separate Austrian-frontier migration checks continued after the COVID rule ended. The May 16 reopening of crossing routes was not the end of the compelling-purpose admission rule: federal police still prohibited tourist, shopping and fuel trips. Parliamentary reporting separately confirms French-frontier COVID controls ended June 15. These distinctions prevent an Austrian duration from becoming a uniform five-frontier closure.</x:v>
      </x:c>
      <x:c r="I132" s="4" t="str">
        <x:v>Second full-register audit, 26 October 2026: additional source-audited corrections incorporated. See the phase, scope and qualification columns for the accepted findings.</x:v>
      </x:c>
      <x:c r="J132" s="18" t="d">
        <x:v>2026-10-26T00:00:00.000Z</x:v>
      </x:c>
      <x:c r="K132" s="21" t="str">
        <x:f>IFERROR(HYPERLINK("https://ec.europa.eu/competition/state_aid/cases1/202212/SA_56867_401B6A7F-0000-C36A-B685-364C794A9B0C_351_1.pdf","European Commission"),"European Commission")</x:f>
        <x:v>European Commission</x:v>
      </x:c>
      <x:c r="L132" s="21" t="str">
        <x:f>IFERROR(HYPERLINK("https://www.bundesregierung.de/resource/blob/974430/1753912/4a0014f469023200f7cf7ba3e8ed3203/2020-05-18-massnahmen-englisch-data.pdf?download=1","German Federal Government"),"German Federal Government")</x:f>
        <x:v>German Federal Government</x:v>
      </x:c>
      <x:c r="M132" s="21" t="str">
        <x:f>IFERROR(HYPERLINK("https://dserver.bundestag.de/btd/19/197/1919776.pdf","German Federal Government / Bundestag"),"German Federal Government / Bundestag")</x:f>
        <x:v>German Federal Government / Bundestag</x:v>
      </x:c>
      <x:c r="N132" s="4" t="str">
        <x:v>https://ec.europa.eu/competition/state_aid/cases1/202212/SA_56867_401B6A7F-0000-C36A-B685-364C794A9B0C_351_1.pdf
https://www.bundesregierung.de/resource/blob/974430/1753912/4a0014f469023200f7cf7ba3e8ed3203/2020-05-18-massnahmen-englisch-data.pdf?download=1
https://dserver.bundestag.de/btd/19/197/1919776.pdf
https://www.presseportal.de/blaulicht/pm/73990/4625530
https://www.kreisbote.de/lokales/fuessen/grenzkontrollen-verhinderung-illegalen-migration-grenze-oesterreich-werden-fortgesetzt-13798891.html
https://www.dw.com/en/coronavirus-germany-partially-shuts-borders-with-5-countries/a-52789280
https://www.presseportal.de/blaulicht/pm/64017/4598682
https://www.bundestag.de/webarchiv/presse/hib/2020_06/703004-703004
https://www.presseportal.de/blaulicht/pm/73990/4598470</x:v>
      </x:c>
      <x:c r="O132" s="4" t="str">
        <x:v>Second full-register audit source access, 26 October 2026
https://ec.europa.eu/competition/state_aid/cases1/202212/SA_56867_401B6A7F-0000-C36A-B685-364C794A9B0C_351_1.pdf: search extract (previously retrieved text re-examined) — Relevant substantive indexed text, not the entire decision.
https://www.kreisbote.de/lokales/fuessen/grenzkontrollen-verhinderung-illegalen-migration-grenze-oesterreich-werden-fortgesetzt-13798891.html: search extract (previously retrieved text re-examined)
https://www.bundestag.de/webarchiv/presse/hib/2020_06/703004-703004: full text (fresh retrieval)
https://www.presseportal.de/blaulicht/pm/73990/4598470: search extract (fresh retrieval) — Live page returned 410; substantive indexed release inspected.
Earlier URLs not separately inspected in this second assessment:
https://www.bundesregierung.de/resource/blob/974430/1753912/4a0014f469023200f7cf7ba3e8ed3203/2020-05-18-massnahmen-englisch-data.pdf?download=1
https://dserver.bundestag.de/btd/19/197/1919776.pdf
https://www.presseportal.de/blaulicht/pm/73990/4625530
https://www.dw.com/en/coronavirus-germany-partially-shuts-borders-with-5-countries/a-52789280
https://www.presseportal.de/blaulicht/pm/64017/4598682
Prior audit access record
Full-register audit source access (evidence cutoff 25 October 2026)
https://ec.europa.eu/competition/state_aid/cases1/202212/SA_56867_401B6A7F-0000-C36A-B685-364C794A9B0C_351_1.pdf: search extract
https://www.kreisbote.de/lokales/fuessen/grenzkontrollen-verhinderung-illegalen-migration-grenze-oesterreich-werden-fortgesetzt-13798891.html: search extract
https://www.presseportal.de/blaulicht/pm/73990/4625530: inaccessible
Earlier source URLs not separately listed in this audit’s retrieval log (historical access notes below are not fresh verification):
https://www.bundesregierung.de/resource/blob/974430/1753912/4a0014f469023200f7cf7ba3e8ed3203/2020-05-18-massnahmen-englisch-data.pdf?download=1
https://dserver.bundestag.de/btd/19/197/1919776.pdf
https://www.dw.com/en/coronavirus-germany-partially-shuts-borders-with-5-countries/a-52789280
https://www.presseportal.de/blaulicht/pm/64017/4598682
Earlier recorded access
Source 1: search extract
Source 2: search extract
Source 3: PDF relevant pages read</x:v>
      </x:c>
      <x:c r="P132" s="20" t="n">
        <x:v>1</x:v>
      </x:c>
      <x:c r="Q132" s="4" t="str">
        <x:v>Europe</x:v>
      </x:c>
      <x:c r="R132" s="4" t="str">
        <x:v>Included</x:v>
      </x:c>
    </x:row>
    <x:row r="133" ht="409" hidden="0" customHeight="1">
      <x:c r="A133" s="16" t="str">
        <x:v>EU014</x:v>
      </x:c>
      <x:c r="B133" s="4" t="str">
        <x:v>Hungary first pandemic foreigner-entry prohibition</x:v>
      </x:c>
      <x:c r="C133" s="4" t="str">
        <x:v>Hungary; Austria; Slovakia; Ukraine; Romania; Serbia; Croatia; Slovenia</x:v>
      </x:c>
      <x:c r="D133" s="4" t="str">
        <x:v>Nationwide
National entry regime</x:v>
      </x:c>
      <x:c r="E133" s="4" t="str">
        <x:v>Non-Hungarian passengers
Direction: Into Hungary
Exceptions: Goods transit; humanitarian/individual exemptions subsequently developed</x:v>
      </x:c>
      <x:c r="F133" s="4" t="str">
        <x:v>EU014-FU1 — Formal policy
Hungarian land entry under initial nationwide regime
Start: 2020-03-17.
Onset confirmed: 2020-03-17.
Scoped easing by: 2020-06-05, for Austrian, Czech and Slovak citizens.
Further scoped easing: 2020-06-18 under Decree 291/2020, for EU/EEA and Swiss citizens (UK excluded in the cited rules) and qualifying third-country family members; Serbian citizens also permitted under the associated ministerial rule.
No unchanged continuous policy or all-cohort reopening is inferred; numeric duration withheld.</x:v>
      </x:c>
      <x:c r="G13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33" s="4" t="str">
        <x:v>March 17, 2020 is the formal onset of the general foreign-entry restriction, with citizen return and discretionary exceptions. Changing commuter/resident exceptions and bilateral easing preclude an unchanged March-to-June closure. June 5 permits Austrian, Czech and Slovak citizens unrestricted entry. The June 18 Hungarian embassy notice and Decree 291/2020 now establish broader EU/EEA/Swiss and qualifying family access, with UK citizens excluded from that category and separate Serbian permission. Ukrainian citizens had a limited 24-hour, 30-kilometre border-area permission, not unrestricted national access. Other foreigners generally still required police permission. These are scoped policy changes, not actual first crossings or universal reopening. The legal register displays the July 4 consolidated text; the contemporaneous embassy notice independently identifies the June 18 categories.</x:v>
      </x:c>
      <x:c r="I133" s="4" t="str">
        <x:v>Second full-register audit, 26 October 2026: additional source-audited corrections incorporated. See the phase, scope and qualification columns for the accepted findings.</x:v>
      </x:c>
      <x:c r="J133" s="18" t="d">
        <x:v>2026-10-26T00:00:00.000Z</x:v>
      </x:c>
      <x:c r="K133" s="21" t="str">
        <x:f>IFERROR(HYPERLINK("https://2015-2019.kormany.hu/en/government-spokesperson/news/minister-of-state-zoltan-kovacs-we-are-closing-down-borders-not-liszt-ferenc-airport","Hungarian Government"),"Hungarian Government")</x:f>
        <x:v>Hungarian Government</x:v>
      </x:c>
      <x:c r="L133" s="21" t="str">
        <x:f>IFERROR(HYPERLINK("https://fra.europa.eu/sites/default/files/fra_uploads/hungary-report-covid-19-april-2020_en.pdf","FRA commissioned country report / Milieu Consulting"),"FRA commissioned country report / Milieu Consulting")</x:f>
        <x:v>FRA commissioned country report / Milieu Consulting</x:v>
      </x:c>
      <x:c r="M133" s="21" t="str">
        <x:f>IFERROR(HYPERLINK("https://2015-2019.kormany.hu/en/ministry-of-foreign-affairs-and-trade/news/unrestricted-travel-to-austria-the-czech-republic-and-slovakia-from-friday","Hungary Foreign Ministry"),"Hungary Foreign Ministry")</x:f>
        <x:v>Hungary Foreign Ministry</x:v>
      </x:c>
      <x:c r="N133" s="4" t="str">
        <x:v>https://2015-2019.kormany.hu/en/government-spokesperson/news/minister-of-state-zoltan-kovacs-we-are-closing-down-borders-not-liszt-ferenc-airport
https://fra.europa.eu/sites/default/files/fra_uploads/hungary-report-covid-19-april-2020_en.pdf
https://2015-2019.kormany.hu/en/ministry-of-foreign-affairs-and-trade/news/unrestricted-travel-to-austria-the-czech-republic-and-slovakia-from-friday
https://akadalymentes.2015-2019.kormany.hu/en/news/border-controls-rescinded-at-austrian-and-slovak-borders
https://akadalymentes.2015-2019.kormany.hu/en/ministry-of-foreign-affairs-and-trade/news/slovakia-to-allow-hungarians-and-czechs-to-cross-its-territory-there-and-back
https://www.police.hu/hu/hirek-es-informaciok/legfrissebb-hireink/hatarrendeszet/ujabb-konnyitesek-a-hataratlepesben
https://copenhagen.mfa.gov.hu/hu/articles/a-magyar-rendkivueli-jogrend-visszavonasaval-valtoznak-a-magyarorszagi-hataratlepesi-szabalyok
https://szingapur.mfa.gov.hu/en/articles/magyarorszagi-beutazasra-vonatkozo-szabalyok-szeptember-1-tol
https://hbkik.hu/en/hungarian-border-crossing-easy-again-for-citizens-of-eu-serbia-and-switzerland-among-others/
https://international.pte.hu/news/covid-19-restrictions-and-sanctions-17-march
https://newsnow.tasr.sk/matovic-were-opening-borders-between-cr-hungary-austria-and-slovakia/
https://mkfe.hu/en/?catid=77&amp;id=10367%3Akoronav%C3%ADrus-h%C3%ADrek-inform%C3%A1ci%C3%B3k-magyarorsz%C3%A1gr%C3%B3l&amp;view=article
https://njt.jog.gov.hu/jogszabaly/2020-291-20-22</x:v>
      </x:c>
      <x:c r="O133" s="4" t="str">
        <x:v>Second full-register audit source access, 26 October 2026
https://2015-2019.kormany.hu/en/government-spokesperson/news/minister-of-state-zoltan-kovacs-we-are-closing-down-borders-not-liszt-ferenc-airport: search extract (previously retrieved text re-examined) — Actual cached indexed text inspected.
https://2015-2019.kormany.hu/en/ministry-of-foreign-affairs-and-trade/news/unrestricted-travel-to-austria-the-czech-republic-and-slovakia-from-friday: search extract (previously retrieved text re-examined) — Actual cached indexed text inspected.
https://copenhagen.mfa.gov.hu/hu/articles/a-magyar-rendkivueli-jogrend-visszavonasaval-valtoznak-a-magyarorszagi-hataratlepesi-szabalyok: full text (fresh retrieval)
https://njt.jog.gov.hu/jogszabaly/2020-291-20-22: full text (fresh retrieval) — Displayed consolidation dated July 4; June 18 categories independently supported by embassy.
Earlier URLs not separately inspected in this second assessment:
https://fra.europa.eu/sites/default/files/fra_uploads/hungary-report-covid-19-april-2020_en.pdf
https://akadalymentes.2015-2019.kormany.hu/en/news/border-controls-rescinded-at-austrian-and-slovak-borders
https://akadalymentes.2015-2019.kormany.hu/en/ministry-of-foreign-affairs-and-trade/news/slovakia-to-allow-hungarians-and-czechs-to-cross-its-territory-there-and-back
https://www.police.hu/hu/hirek-es-informaciok/legfrissebb-hireink/hatarrendeszet/ujabb-konnyitesek-a-hataratlepesben
https://szingapur.mfa.gov.hu/en/articles/magyarorszagi-beutazasra-vonatkozo-szabalyok-szeptember-1-tol
https://hbkik.hu/en/hungarian-border-crossing-easy-again-for-citizens-of-eu-serbia-and-switzerland-among-others/
https://international.pte.hu/news/covid-19-restrictions-and-sanctions-17-march
https://newsnow.tasr.sk/matovic-were-opening-borders-between-cr-hungary-austria-and-slovakia/
https://mkfe.hu/en/?catid=77&amp;id=10367%3Akoronav%C3%ADrus-h%C3%ADrek-inform%C3%A1ci%C3%B3k-magyarorsz%C3%A1gr%C3%B3l&amp;view=article
Prior audit access record
Full-register audit source access (evidence cutoff 25 October 2026)
https://2015-2019.kormany.hu/en/government-spokesperson/news/minister-of-state-zoltan-kovacs-we-are-closing-down-borders-not-liszt-ferenc-airport: search extract
https://2015-2019.kormany.hu/en/ministry-of-foreign-affairs-and-trade/news/unrestricted-travel-to-austria-the-czech-republic-and-slovakia-from-friday: search extract
https://mkfe.hu/en/?catid=77&amp;id=10367%3Akoronav%C3%ADrus-h%C3%ADrek-inform%C3%A1ci%C3%B3k-magyarorsz%C3%A1gr%C3%B3l&amp;view=article: search extract
https://2015-2019.kormany.hu/en/government-spokesperson/news/minister-of-state-zoltan-kovacs-we-are-closing-down-borders-not-liszt-ferenc-airport: inaccessible
Earlier source URLs not separately listed in this audit’s retrieval log (historical access notes below are not fresh verification):
https://fra.europa.eu/sites/default/files/fra_uploads/hungary-report-covid-19-april-2020_en.pdf
https://akadalymentes.2015-2019.kormany.hu/en/news/border-controls-rescinded-at-austrian-and-slovak-borders
https://akadalymentes.2015-2019.kormany.hu/en/ministry-of-foreign-affairs-and-trade/news/slovakia-to-allow-hungarians-and-czechs-to-cross-its-territory-there-and-back
https://www.police.hu/hu/hirek-es-informaciok/legfrissebb-hireink/hatarrendeszet/ujabb-konnyitesek-a-hataratlepesben
https://copenhagen.mfa.gov.hu/hu/articles/a-magyar-rendkivueli-jogrend-visszavonasaval-valtoznak-a-magyarorszagi-hataratlepesi-szabalyok
https://szingapur.mfa.gov.hu/en/articles/magyarorszagi-beutazasra-vonatkozo-szabalyok-szeptember-1-tol
https://hbkik.hu/en/hungarian-border-crossing-easy-again-for-citizens-of-eu-serbia-and-switzerland-among-others/
https://international.pte.hu/news/covid-19-restrictions-and-sanctions-17-march
https://newsnow.tasr.sk/matovic-were-opening-borders-between-cr-hungary-austria-and-slovakia/
Earlier recorded access
Source 1: indexed excerpt
Source 2: full text
Source 3: indexed excerpt</x:v>
      </x:c>
      <x:c r="P133" s="20" t="n">
        <x:v>1</x:v>
      </x:c>
      <x:c r="Q133" s="4" t="str">
        <x:v>Europe</x:v>
      </x:c>
      <x:c r="R133" s="4" t="str">
        <x:v>Included</x:v>
      </x:c>
    </x:row>
    <x:row r="134" ht="409" hidden="0" customHeight="1">
      <x:c r="A134" s="16" t="str">
        <x:v>EU026</x:v>
      </x:c>
      <x:c r="B134" s="4" t="str">
        <x:v>Spain restricts nonessential entry over French land frontier</x:v>
      </x:c>
      <x:c r="C134" s="4" t="str">
        <x:v>Spain; France</x:v>
      </x:c>
      <x:c r="D134" s="4" t="str">
        <x:v>France–Spain road crossings
French land border component of national 17 March order</x:v>
      </x:c>
      <x:c r="E134" s="4" t="str">
        <x:v>Nonqualifying inbound travellers
Direction: Into Spain
Exceptions: Spanish citizens, residents, cross-border workers, necessity; goods unaffected</x:v>
      </x:c>
      <x:c r="F134" s="4" t="str">
        <x:v>EU026-R1 — Formal policy
Spain-side entry across French land frontier by nonresident ordinary tourists without listed exemptions
Start: 2020-03-17.
Policy endpoint: 2020-06-21.
Formal policy: 96 calendar-day difference; operational continuity not established</x:v>
      </x:c>
      <x:c r="G13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34" s="4" t="str">
        <x:v>EU026-R1: Legal restriction from 00:00 March 17 until 00:00 June 21, 2020. Excludes Portuguese frontier, freight, citizens/residents, work/necessity and other enumerated exemptions; Balearic air pilot does not end French-land-frontier scope. No universal physical denial or observed reopening asserted.</x:v>
      </x:c>
      <x:c r="I134" s="4" t="str">
        <x:v>Second full-register audit, 26 October 2026: qualified. BOE orders verify the March 17–June 21 French-frontier admission restriction, successive extensions and explicit Portuguese-frontier exception at ending.</x:v>
      </x:c>
      <x:c r="J134" s="18" t="d">
        <x:v>2026-10-26T00:00:00.000Z</x:v>
      </x:c>
      <x:c r="K134" s="21" t="str">
        <x:f>IFERROR(HYPERLINK("https://www.lamoncloa.gob.es/serviciosdeprensa/notasprensa/interior/paginas/2020/220320-fronteras.aspx","Spanish Government"),"Spanish Government")</x:f>
        <x:v>Spanish Government</x:v>
      </x:c>
      <x:c r="L134" s="21" t="str">
        <x:f>IFERROR(HYPERLINK("https://www.boe.es/buscar/pdf/2020/BOE-A-2020-4064-consolidado.pdf","BOE"),"BOE")</x:f>
        <x:v>BOE</x:v>
      </x:c>
      <x:c r="M134" s="21" t="str">
        <x:f>IFERROR(HYPERLINK("https://boe.es/buscar/act.php?id=BOE-A-2020-5264&amp;lang=es&amp;p=&amp;tn=1","BOE"),"BOE")</x:f>
        <x:v>BOE</x:v>
      </x:c>
      <x:c r="N134" s="4" t="str">
        <x:v>https://www.lamoncloa.gob.es/serviciosdeprensa/notasprensa/interior/paginas/2020/220320-fronteras.aspx
https://www.boe.es/buscar/pdf/2020/BOE-A-2020-4064-consolidado.pdf
https://boe.es/buscar/act.php?id=BOE-A-2020-5264&amp;lang=es&amp;p=&amp;tn=1
https://www.boe.es/buscar/act.php?id=BOE-A-2020-3776
https://www.boe.es/buscar/act.php?id=BOE-A-2020-5264
https://www.lamoncloa.gob.es/presidente/intervenciones/Paginas/2020/prsp14062020.aspx?mode=Light
https://www.boe.es/buscar/act.php?id=BOE-A-2020-3825&amp;p=20200318&amp;tn=0</x:v>
      </x:c>
      <x:c r="O134" s="4" t="str">
        <x:v>Second full-register audit source access, 26 October 2026
https://www.boe.es/buscar/act.php?id=BOE-A-2020-3776: full text (fresh retrieval)
https://www.boe.es/buscar/act.php?id=BOE-A-2020-5264: full text (fresh retrieval) — Consolidated official-hosted text is informational; original promulgated orders govern.
Earlier URLs not separately inspected in this second assessment:
https://www.lamoncloa.gob.es/serviciosdeprensa/notasprensa/interior/paginas/2020/220320-fronteras.aspx
https://www.boe.es/buscar/pdf/2020/BOE-A-2020-4064-consolidado.pdf
https://boe.es/buscar/act.php?id=BOE-A-2020-5264&amp;lang=es&amp;p=&amp;tn=1
https://www.lamoncloa.gob.es/presidente/intervenciones/Paginas/2020/prsp14062020.aspx?mode=Light
https://www.boe.es/buscar/act.php?id=BOE-A-2020-3825&amp;p=20200318&amp;tn=0
Prior audit access record
Full-register audit source access (evidence cutoff 25 October 2026)
https://www.boe.es/buscar/act.php?id=BOE-A-2020-3776: full text
https://www.lamoncloa.gob.es/presidente/intervenciones/Paginas/2020/prsp14062020.aspx?mode=Light: inaccessible
Earlier source URLs not separately listed in this audit’s retrieval log (historical access notes below are not fresh verification):
https://www.lamoncloa.gob.es/serviciosdeprensa/notasprensa/interior/paginas/2020/220320-fronteras.aspx
https://www.boe.es/buscar/pdf/2020/BOE-A-2020-4064-consolidado.pdf
https://boe.es/buscar/act.php?id=BOE-A-2020-5264&amp;lang=es&amp;p=&amp;tn=1
https://www.boe.es/buscar/act.php?id=BOE-A-2020-5264
https://www.boe.es/buscar/act.php?id=BOE-A-2020-3825&amp;p=20200318&amp;tn=0
Earlier recorded access
Source 1: full
Source 2: full
Source 3: indexed excerpt</x:v>
      </x:c>
      <x:c r="P134" s="20" t="n">
        <x:v>1</x:v>
      </x:c>
      <x:c r="Q134" s="4" t="str">
        <x:v>Europe</x:v>
      </x:c>
      <x:c r="R134" s="4" t="str">
        <x:v>Included</x:v>
      </x:c>
    </x:row>
    <x:row r="135" ht="409" hidden="0" customHeight="1">
      <x:c r="A135" s="16" t="str">
        <x:v>EU033</x:v>
      </x:c>
      <x:c r="B135" s="4" t="str">
        <x:v>Belgium closes land borders to nonessential travel, 2020</x:v>
      </x:c>
      <x:c r="C135" s="4" t="str">
        <x:v>Belgium; France; Netherlands; Germany; Luxembourg</x:v>
      </x:c>
      <x:c r="D135" s="4" t="str">
        <x:v>Major and secondary road crossings
National land border prohibition</x:v>
      </x:c>
      <x:c r="E135" s="4" t="str">
        <x:v>Nonessential passenger movement
Direction: Both directions
Exceptions: Freight, cross-border employment and individual essential cases</x:v>
      </x:c>
      <x:c r="F135" s="4" t="str">
        <x:v>EU033-D1 — Formal policy
Belgian nonessential outbound travel to EU/Schengen neighbours, subject to changing essential-travel exceptions
Start: 2020-03-18.
Policy endpoint: 2020-06-15.
Formal policy: 89 calendar-day difference; operational continuity not established
EU033-C7P1 — Formal policy
Belgian nonessential inbound travel from EU/Schengen neighbours
Start: 2020-04-03.
Policy endpoint: 2020-06-15.
Formal policy: 73 calendar-day difference; operational continuity not established</x:v>
      </x:c>
      <x:c r="G13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35" s="4" t="str">
        <x:v>EU033-D1: March20 concerns border-control chronology, not the common legal onset of both directions. May30 family/shopping exceptions remain distinct; no uniform physical seal is implied.
EU033-C7P1: Legal category-specific phase; controls existed earlier and essential-travel exceptions changed. No first actual passage time is claimed.</x:v>
      </x:c>
      <x:c r="I135" s="4" t="str">
        <x:v>Second full-register audit, 26 October 2026: qualified. The distinct outbound March 18 and inbound April 3 legal starts are supported; June 15 restoration and May 30 Luxembourg exceptions remain correctly separated.</x:v>
      </x:c>
      <x:c r="J135" s="18" t="d">
        <x:v>2026-10-26T00:00:00.000Z</x:v>
      </x:c>
      <x:c r="K135" s="21" t="str">
        <x:f>IFERROR(HYPERLINK("https://ec.europa.eu/regional_policy/sources/studies/cross_border/KN-04-22-050-EN-N.pdf","European Commission"),"European Commission")</x:f>
        <x:v>European Commission</x:v>
      </x:c>
      <x:c r="L135" s="21" t="str">
        <x:f>IFERROR(HYPERLINK("https://diplomatie.belgium.be/en/belgium-makes-cautious-start-towards-reopening-eus-external-borders","Belgian Federal Foreign Affairs"),"Belgian Federal Foreign Affairs")</x:f>
        <x:v>Belgian Federal Foreign Affairs</x:v>
      </x:c>
      <x:c r="M135" s="21" t="str">
        <x:f>IFERROR(HYPERLINK("https://etaamb.openjustice.be/fr/arrete-ministeriel-du-18-mars-2020_n2020030331.html","etaamb.openjustice.be"),"etaamb.openjustice.be")</x:f>
        <x:v>etaamb.openjustice.be</x:v>
      </x:c>
      <x:c r="N135" s="4" t="str">
        <x:v>https://ec.europa.eu/regional_policy/sources/studies/cross_border/KN-04-22-050-EN-N.pdf
https://diplomatie.belgium.be/en/belgium-makes-cautious-start-towards-reopening-eus-external-borders
https://etaamb.openjustice.be/fr/arrete-ministeriel-du-18-mars-2020_n2020030331.html
https://centredecrise.be/fr/newsroom/questions-relatives-au-franchissement-de-nos-frontieres
https://etaamb.openjustice.be/fr/arrete-ministeriel-du-03-avril-2020_n2020020705.html
https://fra.europa.eu/sites/default/files/fra_uploads/belgium-report-covid-19-april-2020_en.pdf
https://fra.europa.eu/sites/default/files/fra_uploads/be_report_on_coronavirus_pandemic_july_2020.pdf
https://today.rtl.lu/news/luxembourg/belgium-luxembourg-border-partially-open-as-of-this-saturday-1526632
https://www.researchgate.net/publication/358473228_Belgium_Legal_Response_to_Covid-19
https://www.itf-oecd.org/sites/default/files/docs/b-measures-covid19_3.pdf
https://eur-lex.europa.eu/legal-content/EN/TXT/?uri=SWD%3A2021%3A0462%3AFIN</x:v>
      </x:c>
      <x:c r="O135" s="4" t="str">
        <x:v>Second full-register audit source access, 26 October 2026
https://etaamb.openjustice.be/fr/arrete-ministeriel-du-18-mars-2020_n2020030331.html: full text (fresh retrieval) — Mirror of the official gazette, not direct official host.
https://etaamb.openjustice.be/fr/arrete-ministeriel-du-03-avril-2020_n2020020705.html: full text (fresh retrieval)
https://diplomatie.belgium.be/en/belgium-makes-cautious-start-towards-reopening-eus-external-borders: full text (fresh retrieval)
https://today.rtl.lu/news/luxembourg/belgium-luxembourg-border-partially-open-as-of-this-saturday-1526632: full text (fresh retrieval)
Earlier URLs not separately inspected in this second assessment:
https://ec.europa.eu/regional_policy/sources/studies/cross_border/KN-04-22-050-EN-N.pdf
https://centredecrise.be/fr/newsroom/questions-relatives-au-franchissement-de-nos-frontieres
https://fra.europa.eu/sites/default/files/fra_uploads/belgium-report-covid-19-april-2020_en.pdf
https://fra.europa.eu/sites/default/files/fra_uploads/be_report_on_coronavirus_pandemic_july_2020.pdf
https://www.researchgate.net/publication/358473228_Belgium_Legal_Response_to_Covid-19
https://www.itf-oecd.org/sites/default/files/docs/b-measures-covid19_3.pdf
https://eur-lex.europa.eu/legal-content/EN/TXT/?uri=SWD%3A2021%3A0462%3AFIN
Prior audit access record
Full-register audit source access (evidence cutoff 25 October 2026)
https://etaamb.openjustice.be/fr/arrete-ministeriel-du-18-mars-2020_n2020030331.html: full text
https://etaamb.openjustice.be/fr/arrete-ministeriel-du-18-mars-2020_n2020030331.html: full text
https://etaamb.openjustice.be/fr/arrete-ministeriel-du-03-avril-2020_n2020020705.html: full text
https://etaamb.openjustice.be/fr/arrete-ministeriel-du-03-avril-2020_n2020020705.html: full text
https://diplomatie.belgium.be/en/belgium-makes-cautious-start-towards-reopening-eus-external-borders: full text
Earlier source URLs not separately listed in this audit’s retrieval log (historical access notes below are not fresh verification):
https://ec.europa.eu/regional_policy/sources/studies/cross_border/KN-04-22-050-EN-N.pdf
https://centredecrise.be/fr/newsroom/questions-relatives-au-franchissement-de-nos-frontieres
https://fra.europa.eu/sites/default/files/fra_uploads/belgium-report-covid-19-april-2020_en.pdf
https://fra.europa.eu/sites/default/files/fra_uploads/be_report_on_coronavirus_pandemic_july_2020.pdf
https://today.rtl.lu/news/luxembourg/belgium-luxembourg-border-partially-open-as-of-this-saturday-1526632
https://www.researchgate.net/publication/358473228_Belgium_Legal_Response_to_Covid-19
https://www.itf-oecd.org/sites/default/files/docs/b-measures-covid19_3.pdf
https://eur-lex.europa.eu/legal-content/EN/TXT/?uri=SWD%3A2021%3A0462%3AFIN
Earlier recorded access
Source 1: search extract
Source 2: full page
Source 3: access detail is retained in the source catalogue.</x:v>
      </x:c>
      <x:c r="P135" s="20" t="n">
        <x:v>2</x:v>
      </x:c>
      <x:c r="Q135" s="4" t="str">
        <x:v>Europe</x:v>
      </x:c>
      <x:c r="R135" s="4" t="str">
        <x:v>Included</x:v>
      </x:c>
    </x:row>
    <x:row r="136" ht="409" hidden="0" customHeight="1">
      <x:c r="A136" s="16" t="str">
        <x:v>EU029</x:v>
      </x:c>
      <x:c r="B136" s="4" t="str">
        <x:v>Russia national land-border pandemic movement restrictions</x:v>
      </x:c>
      <x:c r="C136" s="4" t="str">
        <x:v>Russia; Norway; Finland; Estonia; Latvia; Lithuania; Poland; Belarus; Ukraine</x:v>
      </x:c>
      <x:c r="D136" s="4" t="str">
        <x:v>Road, rail, pedestrian and mixed checkpoints; Belarus land segment
Single national legal order covering European and Asian borders, recorded once. The country list is a regional catalogue subset, not an exhaustive statement of the order’s scope; no universal operational footprint is approved.</x:v>
      </x:c>
      <x:c r="E136" s="4" t="str">
        <x:v>Nonexempt cross-border passenger movement, including Russian outward travel
Direction: Both directions with nationality/category-specific rules
Exceptions: Freight/transport and diplomatic crews; bereavement; specified Kaliningrad rail transit and Donbas residents; other decree categories</x:v>
      </x:c>
      <x:c r="F136" s="4" t="str">
        <x:v>EU029-D1 — Formal policy
Legal life of Russia's national land-checkpoint COVID restriction regime under Order 763-r, including its evolving exceptions.
Start: 2020-03-30.
Policy endpoint: 2022-07-15.
Formal policy: 837 calendar-day difference; operational continuity not established</x:v>
      </x:c>
      <x:c r="G13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36" s="4" t="str">
        <x:v>EU029-D1: This is the legal regime's duration, not a claim that every traveller or border remained closed throughout. Earlier bilateral/category easing, freight exemptions, war-related restrictions and neighbouring countries' rules remain distinct.</x:v>
      </x:c>
      <x:c r="I136" s="4" t="str">
        <x:v>Second full-register audit, 26 October 2026: qualified. The original Russian order and consular repeal explanation support the accepted legal-regime interval, not a universal closure of every national border.</x:v>
      </x:c>
      <x:c r="J136" s="18" t="d">
        <x:v>2026-10-26T00:00:00.000Z</x:v>
      </x:c>
      <x:c r="K136" s="21" t="str">
        <x:f>IFERROR(HYPERLINK("https://www.garant.ru/products/ipo/prime/doc/73711716/","GARANT reproduction of Russian Government Order 763-r"),"GARANT reproduction of Russian Government Order 763-r")</x:f>
        <x:v>GARANT reproduction of Russian Government Order 763-r</x:v>
      </x:c>
      <x:c r="L136" s="21" t="str">
        <x:f>IFERROR(HYPERLINK("https://dublin.kdmid.ru/en/info/news/736/","Russian Consular Section in Dublin"),"Russian Consular Section in Dublin")</x:f>
        <x:v>Russian Consular Section in Dublin</x:v>
      </x:c>
      <x:c r="M136" s="21" t="str">
        <x:f>IFERROR(HYPERLINK("https://dk.kdmid.ru/en/news/742/","Russian Consular Department in Denmark"),"Russian Consular Department in Denmark")</x:f>
        <x:v>Russian Consular Department in Denmark</x:v>
      </x:c>
      <x:c r="N136" s="4" t="str">
        <x:v>https://www.garant.ru/products/ipo/prime/doc/73711716/
https://dublin.kdmid.ru/en/info/news/736/
https://dk.kdmid.ru/en/news/742/
https://www.consultant.ru/document/cons_doc_LAW_348798/
https://denmark.kdmid.ru/en/news/742/
https://www.consultant.ru/document/cons_doc_LAW_348748/
https://dublin.kdmid.ru/en/info/covid-19-important-travel-advice/
https://interfax.com/newsroom/top-stories/80897/</x:v>
      </x:c>
      <x:c r="O136" s="4" t="str">
        <x:v>Second full-register audit source access, 26 October 2026
https://www.garant.ru/products/ipo/prime/doc/73711716/: full text (fresh retrieval)
https://dk.kdmid.ru/en/news/742/: search extract (previously retrieved text re-examined) — Fresh opening returned maintenance page; substantive original indexed extract read from saved raw.
https://dk.kdmid.ru/en/news/742/: inaccessible (fresh retrieval) — Maintenance page
https://www.consultant.ru/document/cons_doc_LAW_348748/: full text (previously retrieved text re-examined)
Earlier URLs not separately inspected in this second assessment:
https://dublin.kdmid.ru/en/info/news/736/
https://www.consultant.ru/document/cons_doc_LAW_348798/
https://denmark.kdmid.ru/en/news/742/
https://dublin.kdmid.ru/en/info/covid-19-important-travel-advice/
https://interfax.com/newsroom/top-stories/80897/
Prior audit access record
Full-register audit source access (evidence cutoff 25 October 2026)
https://www.garant.ru/products/ipo/prime/doc/73711716/: full text
https://www.consultant.ru/document/cons_doc_LAW_348798/: full text
https://www.consultant.ru/document/cons_doc_LAW_348748/: full text
https://dk.kdmid.ru/en/news/742/: search extract
https://dublin.kdmid.ru/en/info/news/736/: inaccessible
Earlier source URLs not separately listed in this audit’s retrieval log (historical access notes below are not fresh verification):
https://denmark.kdmid.ru/en/news/742/
https://dublin.kdmid.ru/en/info/covid-19-important-travel-advice/
https://interfax.com/newsroom/top-stories/80897/
Earlier recorded access
Source 1: full text
Source 2: indexed extract
Source 3: body</x:v>
      </x:c>
      <x:c r="P136" s="20" t="n">
        <x:v>1</x:v>
      </x:c>
      <x:c r="Q136" s="4" t="str">
        <x:v>Europe</x:v>
      </x:c>
      <x:c r="R136" s="4" t="str">
        <x:v>Included</x:v>
      </x:c>
    </x:row>
    <x:row r="137" ht="409" hidden="0" customHeight="1">
      <x:c r="A137" s="16" t="str">
        <x:v>EU015</x:v>
      </x:c>
      <x:c r="B137" s="4" t="str">
        <x:v>Hungary reintroduces pandemic foreigner-entry prohibition</x:v>
      </x:c>
      <x:c r="C137" s="4" t="str">
        <x:v>Hungary; Austria; Slovakia; Ukraine; Romania; Serbia; Croatia; Slovenia</x:v>
      </x:c>
      <x:c r="D137" s="4" t="str">
        <x:v>Nationwide
National entry regime</x:v>
      </x:c>
      <x:c r="E137" s="4" t="str">
        <x:v>Foreign passengers except justified cases; returning citizens quarantine
Direction: Into Hungary
Exceptions: Specified justified cases; freight details need separate decree</x:v>
      </x:c>
      <x:c r="F137" s="4" t="str">
        <x:v>EU015-FU1 — Formal policy
Hungarian land entry under second-wave national rules
Start: 2020-09-01.
Extension confirmed: 2020-10-01.
Scoped easing: 2021-06-23, land entry from Austria, Croatia, Romania, Serbia, Slovakia and Slovenia.
Further scoped easing: 2021-08-07, entry from Ukraine added to the non-air neighboring-territory exemption by Decree 468/2021.
Residual Decree 408/2020 framework repealed: 2022-03-07. Changing cohort and route exceptions preclude one uniform operational duration.</x:v>
      </x:c>
      <x:c r="G13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37" s="4" t="str">
        <x:v>The second-wave framework began September 1, 2020 and was extended on October 1. Eligibility and route exceptions changed. June 23, 2021 eased land entry from six neighboring territories; Ukraine was added from August 7, 2021 by Decree 468/2021, section 2(c), amending Decree 408/2020 section 1(3)(h). The exemption is based on arrival from those territories and excludes civil-aircraft entry. Hungarian consular and Ukrainian Border Guard notices corroborate the August 7 Ukraine change; ordinary Schengen admission conditions and onward-destination requirements remained. March 7, 2022 repealed the residual framework, not every original land restriction on that date. These are formal-policy boundaries, not first-vehicle observations or proof of an unchanged continuous closure.</x:v>
      </x:c>
      <x:c r="I137" s="4" t="str">
        <x:v>Second full-register audit, 26 October 2026: additional source-audited corrections incorporated. See the phase, scope and qualification columns for the accepted findings.</x:v>
      </x:c>
      <x:c r="J137" s="18" t="d">
        <x:v>2026-10-26T00:00:00.000Z</x:v>
      </x:c>
      <x:c r="K137" s="21" t="str">
        <x:f>IFERROR(HYPERLINK("https://2015-2019.kormany.hu/en/prime-minister-s-office/news/border-protection-rules-applied-during-first-wave-to-return","Hungarian Prime Minister’s Office"),"Hungarian Prime Minister’s Office")</x:f>
        <x:v>Hungarian Prime Minister’s Office</x:v>
      </x:c>
      <x:c r="L137" s="21" t="str">
        <x:f>IFERROR(HYPERLINK("https://2015-2019.kormany.hu/en/prime-minister-s-office/news/government-has-extended-border-closure-by-another-month-from-1-october","2015-2019.kormany.hu"),"2015-2019.kormany.hu")</x:f>
        <x:v>2015-2019.kormany.hu</x:v>
      </x:c>
      <x:c r="M137" s="21" t="str">
        <x:f>IFERROR(HYPERLINK("https://njt.jog.gov.hu/jogszabaly/2020-408-20-22","Hungarian National Legislation Database"),"Hungarian National Legislation Database")</x:f>
        <x:v>Hungarian National Legislation Database</x:v>
      </x:c>
      <x:c r="N137" s="4" t="str">
        <x:v>https://2015-2019.kormany.hu/en/prime-minister-s-office/news/border-protection-rules-applied-during-first-wave-to-return
https://2015-2019.kormany.hu/en/prime-minister-s-office/news/government-has-extended-border-closure-by-another-month-from-1-october
https://njt.jog.gov.hu/jogszabaly/2020-408-20-22
https://ambbudapest.esteri.it/it/news/dall_ambasciata/2021/06/allentamento-delle-restrizioni/
https://njt.jog.gov.hu/jogszabaly/2021-247-20-22.0
https://copenhagen.mfa.gov.hu/hu/articles/a-magyar-rendkivueli-jogrend-visszavonasaval-valtoznak-a-magyarorszagi-hataratlepesi-szabalyok
https://szingapur.mfa.gov.hu/en/articles/magyarorszagi-beutazasra-vonatkozo-szabalyok-szeptember-1-tol
https://2015-2019.kormany.hu/en/government-spokesperson/news/foreigners-are-not-allowed-to-enter-hungary-but-there-are-exceptions
https://akadalymentes.2015-2019.kormany.hu/en/prime-minister-s-office/news/border-protection-rules-applied-during-first-wave-to-return
https://www.police.hu/en/content/for-the-attention-of-travelers
https://njt.jog.gov.hu/jogszabaly/2021-468-20-22.1
https://ungvar.mfa.gov.hu/hu/articles/ukran-allampolgarokra-vonatkozo-magyar-utazasi-korlatozasok-feloldasa
https://mvs.gov.ua/en/press-center/news/dsns-do-ugorshhini-bez-obmezen</x:v>
      </x:c>
      <x:c r="O137" s="4" t="str">
        <x:v>Second full-register audit source access, 26 October 2026
https://akadalymentes.2015-2019.kormany.hu/en/prime-minister-s-office/news/border-protection-rules-applied-during-first-wave-to-return: search extract (previously retrieved text re-examined) — Actual cached indexed text inspected.
https://2015-2019.kormany.hu/en/prime-minister-s-office/news/government-has-extended-border-closure-by-another-month-from-1-october: search extract (previously retrieved text re-examined) — Actual cached indexed text inspected.
https://ambbudapest.esteri.it/it/news/dall_ambasciata/2021/06/allentamento-delle-restrizioni/: full text (fresh retrieval)
https://njt.jog.gov.hu/jogszabaly/2020-408-20-22: full text (fresh retrieval) — Consolidation displayed as August 7, 2021; amendment separately inspected.
https://njt.jog.gov.hu/jogszabaly/2021-468-20-22.1: full text (fresh retrieval)
https://ungvar.mfa.gov.hu/hu/articles/ukran-allampolgarokra-vonatkozo-magyar-utazasi-korlatozasok-feloldasa: full text (fresh retrieval)
https://mvs.gov.ua/en/press-center/news/dsns-do-ugorshhini-bez-obmezen: full text (fresh retrieval)
Earlier URLs not separately inspected in this second assessment:
https://2015-2019.kormany.hu/en/prime-minister-s-office/news/border-protection-rules-applied-during-first-wave-to-return
https://njt.jog.gov.hu/jogszabaly/2021-247-20-22.0
https://copenhagen.mfa.gov.hu/hu/articles/a-magyar-rendkivueli-jogrend-visszavonasaval-valtoznak-a-magyarorszagi-hataratlepesi-szabalyok
https://szingapur.mfa.gov.hu/en/articles/magyarorszagi-beutazasra-vonatkozo-szabalyok-szeptember-1-tol
https://2015-2019.kormany.hu/en/government-spokesperson/news/foreigners-are-not-allowed-to-enter-hungary-but-there-are-exceptions
https://www.police.hu/en/content/for-the-attention-of-travelers
Prior audit access record
Full-register audit source access (evidence cutoff 25 October 2026)
https://akadalymentes.2015-2019.kormany.hu/en/prime-minister-s-office/news/border-protection-rules-applied-during-first-wave-to-return: search extract
https://2015-2019.kormany.hu/en/prime-minister-s-office/news/government-has-extended-border-closure-by-another-month-from-1-october: search extract
https://ambbudapest.esteri.it/it/news/dall_ambasciata/2021/06/allentamento-delle-restrizioni/: full text
https://www.police.hu/en/content/for-the-attention-of-travelers: search extract
https://2015-2019.kormany.hu/en/prime-minister-s-office/news/border-protection-rules-applied-during-first-wave-to-return: inaccessible
Earlier source URLs not separately listed in this audit’s retrieval log (historical access notes below are not fresh verification):
https://njt.jog.gov.hu/jogszabaly/2020-408-20-22
https://njt.jog.gov.hu/jogszabaly/2021-247-20-22.0
https://copenhagen.mfa.gov.hu/hu/articles/a-magyar-rendkivueli-jogrend-visszavonasaval-valtoznak-a-magyarorszagi-hataratlepesi-szabalyok
https://szingapur.mfa.gov.hu/en/articles/magyarorszagi-beutazasra-vonatkozo-szabalyok-szeptember-1-tol
https://2015-2019.kormany.hu/en/government-spokesperson/news/foreigners-are-not-allowed-to-enter-hungary-but-there-are-exceptions
Earlier recorded access
Source 1: indexed excerpt; indexed extract
Source 2: access detail is retained in the source catalogue.
Source 3: full</x:v>
      </x:c>
      <x:c r="P137" s="20" t="n">
        <x:v>1</x:v>
      </x:c>
      <x:c r="Q137" s="4" t="str">
        <x:v>Europe</x:v>
      </x:c>
      <x:c r="R137" s="4" t="str">
        <x:v>Included</x:v>
      </x:c>
    </x:row>
    <x:row r="138" ht="409" hidden="0" customHeight="1">
      <x:c r="A138" s="16" t="str">
        <x:v>EU028</x:v>
      </x:c>
      <x:c r="B138" s="4" t="str">
        <x:v>France halts UK arrivals including Channel Tunnel traffic, December 2020</x:v>
      </x:c>
      <x:c r="C138" s="4" t="str">
        <x:v>France; United Kingdom</x:v>
      </x:c>
      <x:c r="D138" s="4" t="str">
        <x:v>Channel Tunnel
UK–France fixed link component of all-mode arrivals ban</x:v>
      </x:c>
      <x:c r="E138" s="4" t="str">
        <x:v>Passengers and driver-accompanied freight
Direction: UK to France
Exceptions: Unaccompanied goods not generally halted; 23 Dec selected urgent/resident/citizen and haulier traffic subject to negative test</x:v>
      </x:c>
      <x:c r="F138" s="4" t="str">
        <x:v>EU028-R1 — Observed operation
UK-to-France Channel Tunnel accompanied vehicles/passengers under initial blanket suspension, ending for permitted tested categories
Start: 2020-12-20 to 2020-12-21.
Observed scoped reopening: 2020-12-23.
2–3 calendar-day difference; scoped endpoint only</x:v>
      </x:c>
      <x:c r="G13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38" s="4" t="str">
        <x:v>EU028-R1: The French legal restriction took effect at 00:00 December 21, 2020 (23:00 UK time December 20). A contemporary NOS live report reproduces LeShuttle’s notice distinguishing the last UK–France shuttle at 21:34 GMT from the UK terminal access cutoff at 22:00 GMT on December 20. These operational milestones are distinct from the legal boundary closure; the phase retains the December 20–21 onset bound. Getlink reports first returning passengers arriving in France on December 23 at 02:32 and trucks/vans crossing later that morning. This selective resumption required negative tests and eligible purposes/categories; it was not unrestricted admission or queue clearance. Unaccompanied goods and France-to-UK movement were outside the initial suspension.</x:v>
      </x:c>
      <x:c r="I138" s="4" t="str">
        <x:v>Second full-register audit, 26 October 2026: additional source-audited corrections incorporated. See the phase, scope and qualification columns for the accepted findings.</x:v>
      </x:c>
      <x:c r="J138" s="18" t="d">
        <x:v>2026-10-26T00:00:00.000Z</x:v>
      </x:c>
      <x:c r="K138" s="21" t="str">
        <x:f>IFERROR(HYPERLINK("https://www.info.gouv.fr/communique/11980-reprise-limitee-des-flux-de-personnes-du-royaume-uni-vers-la-france-sous-condition-sanitaire-de","French Government"),"French Government")</x:f>
        <x:v>French Government</x:v>
      </x:c>
      <x:c r="L138" s="21" t="str">
        <x:f>IFERROR(HYPERLINK("https://press.getlinkgroup.com/news/eurotunnel-travel-to-france-re-opens-for-cars-and-trucks-a5d4-0791e.html","Getlink"),"Getlink")</x:f>
        <x:v>Getlink</x:v>
      </x:c>
      <x:c r="M138" s="21" t="str">
        <x:f>IFERROR(HYPERLINK("https://www.itv.com/news/2020-12-20/christmas-fresh-food-supplies-could-be-disrupted-as-freight-traffic-to-france-is-shut","itv.com"),"itv.com")</x:f>
        <x:v>itv.com</x:v>
      </x:c>
      <x:c r="N138" s="4" t="str">
        <x:v>https://www.info.gouv.fr/communique/11980-reprise-limitee-des-flux-de-personnes-du-royaume-uni-vers-la-france-sous-condition-sanitaire-de
https://press.getlinkgroup.com/news/eurotunnel-travel-to-france-re-opens-for-cars-and-trucks-a5d4-0791e.html
https://www.itv.com/news/2020-12-20/christmas-fresh-food-supplies-could-be-disrupted-as-freight-traffic-to-france-is-shut
https://www.legifrance.gouv.fr/eli/decret/2020/12/20/SSAZ2036239D/jo/texte
https://www.gov.uk/government/speeches/prime-ministers-statement-on-coronavirus-covid-19-21-december-2020
https://www.gov.uk/government/news/protocol-agreed-to-reopen-french-border-to-uk-arrivals
https://news.sky.com/story/covid-19-good-progress-in-talks-to-reopen-french-border-as-2-800-lorries-queue-in-kent-12170397
https://www.lbc.co.uk/article/uk-france-eurotunnel-border-closing-11pm-sunday-night-coronavirus-strain-DWyncG_2/
https://www.legifrance.gouv.fr/jorf/id/JORFTEXT000042702855
https://nos.nl/liveblog/2361346-eurotunnel-dicht-turkije-weert-ook-vluchten-uit-nederland-vanwege-coronamutatie</x:v>
      </x:c>
      <x:c r="O138" s="4" t="str">
        <x:v>Second full-register audit source access, 26 October 2026
https://press.getlinkgroup.com/news/eurotunnel-travel-to-france-re-opens-for-cars-and-trucks-a5d4-0791e.html: full text (fresh retrieval)
https://nos.nl/liveblog/2361346-eurotunnel-dicht-turkije-weert-ook-vluchten-uit-nederland-vanwege-coronamutatie: full text (fresh retrieval) — Operator social notice reproduced by contemporary broadcaster; no terminal logs inspected.
https://www.legifrance.gouv.fr/eli/decret/2020/12/20/SSAZ2036239D/jo/texte: full text (previously retrieved text re-examined)
https://www.info.gouv.fr/communique/11980-reprise-limitee-des-flux-de-personnes-du-royaume-uni-vers-la-france-sous-condition-sanitaire-de: full text (previously retrieved text re-examined)
https://www.gov.uk/government/news/protocol-agreed-to-reopen-french-border-to-uk-arrivals: full text (previously retrieved text re-examined)
Earlier URLs not separately inspected in this second assessment:
https://www.itv.com/news/2020-12-20/christmas-fresh-food-supplies-could-be-disrupted-as-freight-traffic-to-france-is-shut
https://www.gov.uk/government/speeches/prime-ministers-statement-on-coronavirus-covid-19-21-december-2020
https://news.sky.com/story/covid-19-good-progress-in-talks-to-reopen-french-border-as-2-800-lorries-queue-in-kent-12170397
https://www.lbc.co.uk/article/uk-france-eurotunnel-border-closing-11pm-sunday-night-coronavirus-strain-DWyncG_2/
https://www.legifrance.gouv.fr/jorf/id/JORFTEXT000042702855
Prior audit access record
Full-register audit source access (evidence cutoff 25 October 2026)
https://www.legifrance.gouv.fr/jorf/id/JORFTEXT000042702855: full text
https://www.info.gouv.fr/communique/11980-reprise-limitee-des-flux-de-personnes-du-royaume-uni-vers-la-france-sous-condition-sanitaire-de: full text
https://press.getlinkgroup.com/news/eurotunnel-travel-to-france-re-opens-for-cars-and-trucks-a5d4-0791e.html: full text
https://www.itv.com/news/2020-12-20/christmas-fresh-food-supplies-could-be-disrupted-as-freight-traffic-to-france-is-shut: full text
https://www.gov.uk/government/news/protocol-agreed-to-reopen-french-border-to-uk-arrivals: full text
Earlier source URLs not separately listed in this audit’s retrieval log (historical access notes below are not fresh verification):
https://www.legifrance.gouv.fr/eli/decret/2020/12/20/SSAZ2036239D/jo/texte
https://www.gov.uk/government/speeches/prime-ministers-statement-on-coronavirus-covid-19-21-december-2020
https://news.sky.com/story/covid-19-good-progress-in-talks-to-reopen-french-border-as-2-800-lorries-queue-in-kent-12170397
https://www.lbc.co.uk/article/uk-france-eurotunnel-border-closing-11pm-sunday-night-coronavirus-strain-DWyncG_2/
Earlier recorded access
Source 1: indexed excerpt; full
Source 2: full
Source 3: access detail is retained in the source catalogue.</x:v>
      </x:c>
      <x:c r="P138" s="20" t="n">
        <x:v>1</x:v>
      </x:c>
      <x:c r="Q138" s="4" t="str">
        <x:v>Europe</x:v>
      </x:c>
      <x:c r="R138" s="4" t="str">
        <x:v>Included</x:v>
      </x:c>
    </x:row>
    <x:row r="139" ht="409" hidden="0" customHeight="1">
      <x:c r="A139" s="16" t="str">
        <x:v>EU030</x:v>
      </x:c>
      <x:c r="B139" s="4" t="str">
        <x:v>Belarus restricts citizens’ and residents’ departure over western/southern land borders</x:v>
      </x:c>
      <x:c r="C139" s="4" t="str">
        <x:v>Belarus; Poland; Lithuania; Latvia; Ukraine</x:v>
      </x:c>
      <x:c r="D139" s="4" t="str">
        <x:v>Road, rail and simplified local crossings
Land checkpoints to EU neighbours and Ukraine; Russia excluded</x:v>
      </x:c>
      <x:c r="E139" s="4" t="str">
        <x:v>Belarusian citizens and permanent/temporary residents leaving
Direction: Out of Belarus
Exceptions: Freight drivers, diplomats, specified illness/death/medical/study/work/residence cases; air departure and Russian boundary outside this ban</x:v>
      </x:c>
      <x:c r="F139" s="4" t="str">
        <x:v>EU030-D1 — Formal policy
Belarus's citizen/resident departure restriction at western and southern land frontiers, excluding Russia.
Start: 2020-12-21.
Policy endpoint: 2022-04-03.
Formal policy: 468 calendar-day difference; operational continuity not established</x:v>
      </x:c>
      <x:c r="G139" s="4" t="str">
        <x:v>Health and biosecurity / Human disease control
Attributed official justification
Applies to: Recorded episode; exact overlap not separately established
COVID prevention is the official explanation. Political control is a separately attributed OSW interpretation; both are recorded without treating the interpretation as proven.
Power and regime politics / Opposition and political reform
Analytical interpretation of reported context
Applies to: Recorded episode; exact overlap not separately established
COVID prevention is the official explanation. Political control is a separately attributed OSW interpretation; both are recorded without treating the interpretation as proven.</x:v>
      </x:c>
      <x:c r="H139" s="4" t="str">
        <x:v>EU030-D1: Formal policy period only. Work, study, residence, family, medical and transport exceptions evolved. Increased foreign arrivals do not independently verify first-day outward citizen movement. Air and the Russia boundary are excluded.</x:v>
      </x:c>
      <x:c r="I139" s="4" t="str">
        <x:v>Second full-register audit, 26 October 2026: qualified. The accepted Belarus departure restriction dates remain supported, with primary April 3 repeal notice and IOM corroboration; OSW full-text access remains blocked.</x:v>
      </x:c>
      <x:c r="J139" s="18" t="d">
        <x:v>2026-10-26T00:00:00.000Z</x:v>
      </x:c>
      <x:c r="K139" s="21" t="str">
        <x:f>IFERROR(HYPERLINK("https://www.osw.waw.pl/en/publikacje/analyses/2020-12-14/belarus-partial-border-closure","OSW Centre for Eastern Studies"),"OSW Centre for Eastern Studies")</x:f>
        <x:v>OSW Centre for Eastern Studies</x:v>
      </x:c>
      <x:c r="L139" s="21" t="str">
        <x:f>IFERROR(HYPERLINK("https://t.me/s/gpkgovby?before=526","State Border Committee of Belarus"),"State Border Committee of Belarus")</x:f>
        <x:v>State Border Committee of Belarus</x:v>
      </x:c>
      <x:c r="M139" s="21" t="str">
        <x:f>IFERROR(HYPERLINK("https://t.me/s/gpkgovby/1372","State Border Committee of Belarus"),"State Border Committee of Belarus")</x:f>
        <x:v>State Border Committee of Belarus</x:v>
      </x:c>
      <x:c r="N139" s="4" t="str">
        <x:v>https://www.osw.waw.pl/en/publikacje/analyses/2020-12-14/belarus-partial-border-closure
https://t.me/s/gpkgovby?before=526
https://t.me/s/gpkgovby/1372
https://t.me/s/gpkgovby/1398
https://telegram.me/s/gpkgovby?after=1351
https://www.iom.int/sites/g/files/tmzbdl486/files/situation_reports/file/iom-belarus-sitrep-14-1-14-apr.pdf
https://www.osw.waw.pl/en/publikacje?f%5B0%5D=data_wydania%3A2020&amp;f%5B1%5D=obszary%3A109&amp;f%5B2%5D=publikacje%3A38&amp;f%5B3%5D=publikacje%3A40&amp;f%5B4%5D=publikacje%3A42&amp;f%5B5%5D=publikacje%3A481&amp;text=
https://belarusdigest.com/story/why-did-belarus-lift-the-iron-curtain-from-its-borders/</x:v>
      </x:c>
      <x:c r="O139" s="4" t="str">
        <x:v>Second full-register audit source access, 26 October 2026
https://www.osw.waw.pl/en/publikacje/analyses/2020-12-14/belarus-partial-border-closure: search extract (fresh retrieval) — Full article repeatedly blocked by challenge; only indexed publication extract inspected.
https://t.me/s/gpkgovby/1372: full text (fresh retrieval)
https://www.iom.int/sites/g/files/tmzbdl486/files/situation_reports/file/iom-belarus-sitrep-14-1-14-apr.pdf: search extract (previously retrieved text re-examined) — Fresh PDF403; substantive indexed extract read.
https://belarusdigest.com/story/why-did-belarus-lift-the-iron-curtain-from-its-borders/: search extract (previously retrieved text re-examined)
Earlier URLs not separately inspected in this second assessment:
https://t.me/s/gpkgovby?before=526
https://t.me/s/gpkgovby/1398
https://telegram.me/s/gpkgovby?after=1351
https://www.osw.waw.pl/en/publikacje?f%5B0%5D=data_wydania%3A2020&amp;f%5B1%5D=obszary%3A109&amp;f%5B2%5D=publikacje%3A38&amp;f%5B3%5D=publikacje%3A40&amp;f%5B4%5D=publikacje%3A42&amp;f%5B5%5D=publikacje%3A481&amp;text=
Prior audit access record
Full-register audit source access (evidence cutoff 25 October 2026)
https://www.osw.waw.pl/en/publikacje?f%5B0%5D=data_wydania%3A2020&amp;f%5B1%5D=obszary%3A109&amp;f%5B2%5D=publikacje%3A38&amp;f%5B3%5D=publikacje%3A40&amp;f%5B4%5D=publikacje%3A42&amp;f%5B5%5D=publikacje%3A481&amp;text=: search extract
https://belarusdigest.com/story/why-did-belarus-lift-the-iron-curtain-from-its-borders/: search extract
https://t.me/s/gpkgovby/1372: full text
https://www.iom.int/sites/g/files/tmzbdl486/files/situation_reports/file/iom-belarus-sitrep-14-1-14-apr.pdf: search extract
https://www.osw.waw.pl/en/publikacje/analyses/2020-12-14/belarus-partial-border-closure: inaccessible
https://www.iom.int/sites/g/files/tmzbdl486/files/situation_reports/file/iom-belarus-sitrep-14-1-14-apr.pdf: inaccessible
Earlier source URLs not separately listed in this audit’s retrieval log (historical access notes below are not fresh verification):
https://t.me/s/gpkgovby?before=526
https://t.me/s/gpkgovby/1398
https://telegram.me/s/gpkgovby?after=1351
Earlier recorded access
Source 1: indexed extract
Source 2: full text
Source 3: full text</x:v>
      </x:c>
      <x:c r="P139" s="20" t="n">
        <x:v>1</x:v>
      </x:c>
      <x:c r="Q139" s="4" t="str">
        <x:v>Europe</x:v>
      </x:c>
      <x:c r="R139" s="4" t="str">
        <x:v>Included</x:v>
      </x:c>
    </x:row>
    <x:row r="140" ht="409" hidden="0" customHeight="1">
      <x:c r="A140" s="16" t="str">
        <x:v>EU016</x:v>
      </x:c>
      <x:c r="B140" s="4" t="str">
        <x:v>Sweden prohibits entry from Denmark over virus variant</x:v>
      </x:c>
      <x:c r="C140" s="4" t="str">
        <x:v>Sweden; Denmark</x:v>
      </x:c>
      <x:c r="D140" s="4" t="str">
        <x:v>Öresund bridge and other Denmark arrivals
Entry from Denmark including fixed-link Öresund route</x:v>
      </x:c>
      <x:c r="E140" s="4" t="str">
        <x:v>Foreign passengers arriving from Denmark
Direction: Into Sweden
Exceptions: Swedish citizens; people living/working in Sweden; freight/transport categories</x:v>
      </x:c>
      <x:c r="F140" s="4" t="str">
        <x:v>EU016-R1 — Formal policy
Swedish special entry ban for arrivals from Denmark, excluding Swedish citizens and permitted categories
Start: 2020-12-22.
Policy endpoint: 2021-03-31.
Formal policy: 99 calendar-day difference; actual first passage and operational continuity not established</x:v>
      </x:c>
      <x:c r="G14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40" s="4" t="str">
        <x:v>The special country-specific entry prohibition ended as formal policy on March 31, 2021; the same-day government release confirms the change took effect. Negative-test requirements continued, and exemptions changed during the policy period. Actual first crossings and a comprehensive history of those exemptions are not established. The government archive was recovered as an indexed extract.</x:v>
      </x:c>
      <x:c r="I140" s="4" t="str">
        <x:v>Second full-register audit, 26 October 2026: qualified. Fresh official extracts and embassy text confirm the Denmark-specific ban, its exemptions and March 31 policy ending. Continuing tests must not prolong this closure phase.</x:v>
      </x:c>
      <x:c r="J140" s="18" t="d">
        <x:v>2026-10-26T00:00:00.000Z</x:v>
      </x:c>
      <x:c r="K140" s="21" t="str">
        <x:f>IFERROR(HYPERLINK("https://www.krisinformation.se/en/news/2020/december/entry-ban-from-uk-and-denmark/","Swedish crisis information agency"),"Swedish crisis information agency")</x:f>
        <x:v>Swedish crisis information agency</x:v>
      </x:c>
      <x:c r="L140" s="21" t="str">
        <x:f>IFERROR(HYPERLINK("https://svenskforfattningssamling.se/sites/default/files/sfs/2021-02/SFS2021-51.pdf","Swedish Government"),"Swedish Government")</x:f>
        <x:v>Swedish Government</x:v>
      </x:c>
      <x:c r="M140" s="21" t="str">
        <x:f>IFERROR(HYPERLINK("https://www.swedenabroad.se/en/embassies/north-macedonia-skopje/current/news/the-general-entry-ban-to-sweden-extended-to-31-may-2021/","Swedish Embassy"),"Swedish Embassy")</x:f>
        <x:v>Swedish Embassy</x:v>
      </x:c>
      <x:c r="N140" s="4" t="str">
        <x:v>https://www.krisinformation.se/en/news/2020/december/entry-ban-from-uk-and-denmark/
https://svenskforfattningssamling.se/sites/default/files/sfs/2021-02/SFS2021-51.pdf
https://www.swedenabroad.se/en/embassies/north-macedonia-skopje/current/news/the-general-entry-ban-to-sweden-extended-to-31-may-2021/
https://www.krisinformation.se/en/news/2021/mars/the-entry-ban-is-extended/
https://www.svt.se/nyheter/lokalt/skane/sverige-stanger-gransen-mot-danmark
https://www.oresundsinstituttet.org/fakta-granskontroller/
https://www.krisinformation.se/en/news/2020/
https://wiki.unece.org/pages/viewpage.action?navigatingVersions=true&amp;pageId=128421230
https://www.government.se/contentassets/29dab9f3bc6c4c4aa1b104ca6eaa2ec9/mikael-damberg-all-content-2014-2021.pdf</x:v>
      </x:c>
      <x:c r="O140" s="4" t="str">
        <x:v>Second full-register audit source access, 26 October 2026
https://www.krisinformation.se/en/news/2020/december/entry-ban-from-uk-and-denmark/: search extract (fresh retrieval) — Direct page failed; substantive indexed text.
https://www.swedenabroad.se/en/embassies/north-macedonia-skopje/current/news/the-general-entry-ban-to-sweden-extended-to-31-may-2021/: full text (fresh retrieval)
https://svenskforfattningssamling.se/sites/default/files/sfs/2021-02/SFS2021-51.pdf: full text (fresh retrieval)
https://www.government.se/contentassets/29dab9f3bc6c4c4aa1b104ca6eaa2ec9/mikael-damberg-all-content-2014-2021.pdf: search extract (previously retrieved text re-examined) — Actual cached indexed archive passage inspected; not whole PDF.
Earlier URLs not separately inspected in this second assessment:
https://www.krisinformation.se/en/news/2021/mars/the-entry-ban-is-extended/
https://www.svt.se/nyheter/lokalt/skane/sverige-stanger-gransen-mot-danmark
https://www.oresundsinstituttet.org/fakta-granskontroller/
https://www.krisinformation.se/en/news/2020/
https://wiki.unece.org/pages/viewpage.action?navigatingVersions=true&amp;pageId=128421230
Prior audit access record
Full-register audit source access (evidence cutoff 25 October 2026)
https://www.krisinformation.se/en/news/2020/: search extract
https://wiki.unece.org/pages/viewpage.action?navigatingVersions=true&amp;pageId=128421230: search extract
https://www.government.se/contentassets/29dab9f3bc6c4c4aa1b104ca6eaa2ec9/mikael-damberg-all-content-2014-2021.pdf: search extract
https://www.swedenabroad.se/en/embassies/north-macedonia-skopje/current/news/the-general-entry-ban-to-sweden-extended-to-31-may-2021/: search extract
Earlier source URLs not separately listed in this audit’s retrieval log (historical access notes below are not fresh verification):
https://www.krisinformation.se/en/news/2020/december/entry-ban-from-uk-and-denmark/
https://svenskforfattningssamling.se/sites/default/files/sfs/2021-02/SFS2021-51.pdf
https://www.krisinformation.se/en/news/2021/mars/the-entry-ban-is-extended/
https://www.svt.se/nyheter/lokalt/skane/sverige-stanger-gransen-mot-danmark
https://www.oresundsinstituttet.org/fakta-granskontroller/
Earlier recorded access
Source 1: indexed excerpt; failed
Source 2: indexed excerpt; full
Source 3: indexed excerpt</x:v>
      </x:c>
      <x:c r="P140" s="20" t="n">
        <x:v>1</x:v>
      </x:c>
      <x:c r="Q140" s="4" t="str">
        <x:v>Europe</x:v>
      </x:c>
      <x:c r="R140" s="4" t="str">
        <x:v>Included</x:v>
      </x:c>
    </x:row>
    <x:row r="141" ht="409" hidden="0" customHeight="1">
      <x:c r="A141" s="16" t="str">
        <x:v>EU017</x:v>
      </x:c>
      <x:c r="B141" s="4" t="str">
        <x:v>Sweden extends special pandemic entry ban to Norway</x:v>
      </x:c>
      <x:c r="C141" s="4" t="str">
        <x:v>Sweden; Norway</x:v>
      </x:c>
      <x:c r="D141" s="4" t="str">
        <x:v>Norway–Sweden road crossings
Land entry from Norway</x:v>
      </x:c>
      <x:c r="E141" s="4" t="str">
        <x:v>Nonexempt passengers entering from Norway
Direction: Into Sweden
Exceptions: Swedish citizens; residents/workers in Sweden; transport workers; urgent family cases</x:v>
      </x:c>
      <x:c r="F141" s="4" t="str">
        <x:v>EU017-R1 — Formal policy
Swedish special entry ban for arrivals from Norway, excluding Swedish citizens and permitted categories
Start: 2021-01-25.
Policy endpoint: 2021-03-31.
Formal policy: 65 calendar-day difference; actual first passage and operational continuity not established</x:v>
      </x:c>
      <x:c r="G14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41" s="4" t="str">
        <x:v>The special country-specific entry prohibition ended as formal policy on March 31, 2021; the same-day government release confirms the change took effect. Negative-test requirements continued, and exemptions changed during the policy period. Actual first crossings and a comprehensive history of those exemptions are not established. The government archive was recovered as an indexed extract.</x:v>
      </x:c>
      <x:c r="I141" s="4" t="str">
        <x:v>Second full-register audit, 26 October 2026: qualified. The Norway-specific Swedish restriction is supported, including its January 25 onset and March 31 ending. Testing after that date must remain outside this entry-ban phase.</x:v>
      </x:c>
      <x:c r="J141" s="18" t="d">
        <x:v>2026-10-26T00:00:00.000Z</x:v>
      </x:c>
      <x:c r="K141" s="21" t="str">
        <x:f>IFERROR(HYPERLINK("https://www.krisinformation.se/en/news/2021/january/temporary-entry-ban-from-norway","Swedish Crisis Information"),"Swedish Crisis Information")</x:f>
        <x:v>Swedish Crisis Information</x:v>
      </x:c>
      <x:c r="L141" s="21" t="str">
        <x:f>IFERROR(HYPERLINK("https://svenskforfattningssamling.se/sites/default/files/sfs/2021-02/SFS2021-51.pdf","Swedish statute register"),"Swedish statute register")</x:f>
        <x:v>Swedish statute register</x:v>
      </x:c>
      <x:c r="M141" s="21" t="str">
        <x:f>IFERROR(HYPERLINK("https://www.swedenabroad.se/en/embassies/north-macedonia-skopje/current/news/the-general-entry-ban-to-sweden-extended-to-31-may-2021/","Sweden Abroad"),"Sweden Abroad")</x:f>
        <x:v>Sweden Abroad</x:v>
      </x:c>
      <x:c r="N141" s="4" t="str">
        <x:v>https://www.krisinformation.se/en/news/2021/january/temporary-entry-ban-from-norway
https://svenskforfattningssamling.se/sites/default/files/sfs/2021-02/SFS2021-51.pdf
https://www.swedenabroad.se/en/embassies/north-macedonia-skopje/current/news/the-general-entry-ban-to-sweden-extended-to-31-may-2021/
https://www.krisinformation.se/en/news/2021/january/temporary-entry-ban-from-norway/
https://www.krisinformation.se/en/news/2021/mars/the-entry-ban-is-extended/
https://www.government.se/contentassets/29dab9f3bc6c4c4aa1b104ca6eaa2ec9/mikael-damberg-all-content-2014-2021.pdf</x:v>
      </x:c>
      <x:c r="O141" s="4" t="str">
        <x:v>Second full-register audit source access, 26 October 2026
https://www.krisinformation.se/en/news/2021/january/temporary-entry-ban-from-norway/: search extract (fresh retrieval) — Fresh direct open failed; substantive indexed source text.
https://www.swedenabroad.se/en/embassies/north-macedonia-skopje/current/news/the-general-entry-ban-to-sweden-extended-to-31-may-2021/: full text (fresh retrieval)
https://www.government.se/contentassets/29dab9f3bc6c4c4aa1b104ca6eaa2ec9/mikael-damberg-all-content-2014-2021.pdf: search extract (previously retrieved text re-examined) — Actual cached indexed archive passage inspected.
Earlier URLs not separately inspected in this second assessment:
https://www.krisinformation.se/en/news/2021/january/temporary-entry-ban-from-norway
https://svenskforfattningssamling.se/sites/default/files/sfs/2021-02/SFS2021-51.pdf
https://www.krisinformation.se/en/news/2021/mars/the-entry-ban-is-extended/
Prior audit access record
Full-register audit source access (evidence cutoff 25 October 2026)
https://www.krisinformation.se/en/news/2021/january/temporary-entry-ban-from-norway/: search extract
https://www.government.se/contentassets/29dab9f3bc6c4c4aa1b104ca6eaa2ec9/mikael-damberg-all-content-2014-2021.pdf: search extract
https://www.swedenabroad.se/en/embassies/north-macedonia-skopje/current/news/the-general-entry-ban-to-sweden-extended-to-31-may-2021/: search extract
Earlier source URLs not separately listed in this audit’s retrieval log (historical access notes below are not fresh verification):
https://www.krisinformation.se/en/news/2021/january/temporary-entry-ban-from-norway
https://svenskforfattningssamling.se/sites/default/files/sfs/2021-02/SFS2021-51.pdf
https://www.krisinformation.se/en/news/2021/mars/the-entry-ban-is-extended/
Earlier recorded access
Source 1: indexed excerpt; failed
Source 2: indexed excerpt; full
Source 3: indexed excerpt; full</x:v>
      </x:c>
      <x:c r="P141" s="20" t="n">
        <x:v>1</x:v>
      </x:c>
      <x:c r="Q141" s="4" t="str">
        <x:v>Europe</x:v>
      </x:c>
      <x:c r="R141" s="4" t="str">
        <x:v>Included</x:v>
      </x:c>
    </x:row>
    <x:row r="142" ht="409" hidden="0" customHeight="1">
      <x:c r="A142" s="16" t="str">
        <x:v>EU027</x:v>
      </x:c>
      <x:c r="B142" s="4" t="str">
        <x:v>Portugal–Spain reinstates nonessential crossing prohibition, 2021</x:v>
      </x:c>
      <x:c r="C142" s="4" t="str">
        <x:v>Portugal; Spain</x:v>
      </x:c>
      <x:c r="D142" s="4" t="str">
        <x:v>Authorised posts include Valença, Vilar Formoso, Caia, Castro Marim and timed local points
Land frontier restricted to designated points</x:v>
      </x:c>
      <x:c r="E142" s="4" t="str">
        <x:v>Nonessential land-road travellers; related passenger rail and river policies remain separately scoped.
Direction: Both directions.
Exceptions: Goods, cross-border/seasonal work, emergencies, citizens/residents returning and nonresident exit.
Celta Porto–Vigo passenger rail resumed one train in each direction on May 1, 2021; full four-train frequency returned October 17. Other rail and river services are not assumed reopened on those dates.</x:v>
      </x:c>
      <x:c r="F142" s="4" t="str">
        <x:v>EU027-D1 — Observed operation
Nonessential travel at authorised Portugal–Spain land-road crossings in both directions; source-specific exemptions retained.
Start: 2021-01-31.
Observed scoped reopening: 2021-05-01.
90 calendar-day difference; scoped endpoint only
Separate service observation: Celta Porto–Vigo passenger rail resumed one train in each direction on 2021-05-01, according to an operator-attributed October retrospective. The remaining two trains returned 2021-10-17. These observations do not establish all-rail or all-river reopening.</x:v>
      </x:c>
      <x:c r="G14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42" s="4" t="str">
        <x:v>January 31, 2021 is the controls application date, distinct from January 30 publication of the Spanish instrument. May 1 is confirmed actual general land-road reopening, with national health requirements and category exceptions treated separately. CP-attributed retrospective evidence now establishes partial Celta Porto–Vigo rail service resumed May 1 and full four-train frequency on October 17. This cannot be applied to every international railway or river route. Caminha ferry reporting still describes suspension in May due to staff reassignment, with later infrastructure-specific interruptions, so road reopening must not be used as its service endpoint. Original SEF PDF access remains unavailable and complete mode-specific histories are unresolved.</x:v>
      </x:c>
      <x:c r="I142" s="4" t="str">
        <x:v>Second full-register audit, 26 October 2026: qualified. The retained January 31–May 1 road chronology is consistent with BOE extensions and actual reopening reporting; Celta service and ferry histories are correctly separated.</x:v>
      </x:c>
      <x:c r="J142" s="18" t="d">
        <x:v>2026-10-26T00:00:00.000Z</x:v>
      </x:c>
      <x:c r="K142" s="21" t="str">
        <x:f>IFERROR(HYPERLINK("https://www.sef.pt/pt/Documents/RIFA2021%20vfing.pdf","Portuguese Immigration and Borders Service"),"Portuguese Immigration and Borders Service")</x:f>
        <x:v>Portuguese Immigration and Borders Service</x:v>
      </x:c>
      <x:c r="L142" s="21" t="str">
        <x:f>IFERROR(HYPERLINK("https://portugal.gov.pt/gc22/comunicacao/comunicados/controlo-de-pessoas-nas-fronteiras-terrestres-e-fluviais-mantem-se-ate-5-de-abril","Government of Portugal"),"Government of Portugal")</x:f>
        <x:v>Government of Portugal</x:v>
      </x:c>
      <x:c r="M142" s="21" t="str">
        <x:f>IFERROR(HYPERLINK("https://portugal.gov.pt/gc22/comunicacao/noticias/generalidade-do-pais-passa-para-situacao-de-calamidade-a-partir-de-1-de-maio","Portuguese Government"),"Portuguese Government")</x:f>
        <x:v>Portuguese Government</x:v>
      </x:c>
      <x:c r="N142" s="4" t="str">
        <x:v>https://www.sef.pt/pt/Documents/RIFA2021%20vfing.pdf
https://portugal.gov.pt/gc22/comunicacao/comunicados/controlo-de-pessoas-nas-fronteiras-terrestres-e-fluviais-mantem-se-ate-5-de-abril
https://portugal.gov.pt/gc22/comunicacao/noticias/generalidade-do-pais-passa-para-situacao-de-calamidade-a-partir-de-1-de-maio
https://numeros.justica.gov.pt/sites/default/files/2026-03/RASI%202021_0.pdf
https://kwsn.com/2021/05/01/portugal-extends-covid-19-air-travel-curbs-until-mid-may/
https://www.psp.pt/Documents/RASI%202021.pdf
https://www.tbsnews.net/coronavirus-chronicle/portugal-extends-covid-19-air-travel-curbs-until-mid-may-240070
https://www.lamoncloa.gob.es/lang/en/gobierno/news/Paginas/2021/20210130border-controls.aspx
https://pt.scribd.com/document/848791510/RASI-2021
https://www.boe.es/buscar/act.php?id=BOE-A-2021-1346
https://www.lamoncloa.gob.es/lang/en/gobierno/news/paginas/2021/20210130border-controls.aspx
https://www.itf-oecd.org/sites/default/files/docs/p-measures-covid19_2.pdf
https://portugal.gov.pt/gc22/comunicacao/comunicados/acrescentados-mais-dois-pontos-de-passagem-autorizados-por-via-terrestre-entre-portugal-e-espanha
https://www.noticiasaominuto.com/economia/1850646/cp-repoe-oferta-de-comboios-porto-vigo-no-domingo-com-promocoes
https://www.altominho.tv/site/2021/05/29/travessia-de-ferryboat-entre-caminha-e-a-guarda-suspensa-por-tempo-indeterminado/
https://www.aguarda.es/etiqueta/ferry-boat/
https://www.cp.pt/StaticFiles/Institucional/1_a_empresa/3_Relatorio_Contas/2021/relatorio-contas-2021.pdf</x:v>
      </x:c>
      <x:c r="O142" s="4" t="str">
        <x:v>Second full-register audit source access, 26 October 2026
https://www.boe.es/buscar/act.php?id=BOE-A-2021-1346: full text (fresh retrieval)
https://www.tbsnews.net/coronavirus-chronicle/portugal-extends-covid-19-air-travel-curbs-until-mid-may-240070: full text (previously retrieved text re-examined)
https://portugal.gov.pt/gc22/comunicacao/comunicados/acrescentados-mais-dois-pontos-de-passagem-autorizados-por-via-terrestre-entre-portugal-e-espanha: search extract (previously retrieved text re-examined)
https://www.noticiasaominuto.com/economia/1850646/cp-repoe-oferta-de-comboios-porto-vigo-no-domingo-com-promocoes: search extract (previously retrieved text re-examined)
https://www.altominho.tv/site/2021/05/29/travessia-de-ferryboat-entre-caminha-e-a-guarda-suspensa-por-tempo-indeterminado/: search extract (previously retrieved text re-examined)
Earlier URLs not separately inspected in this second assessment:
https://www.sef.pt/pt/Documents/RIFA2021%20vfing.pdf
https://portugal.gov.pt/gc22/comunicacao/comunicados/controlo-de-pessoas-nas-fronteiras-terrestres-e-fluviais-mantem-se-ate-5-de-abril
https://portugal.gov.pt/gc22/comunicacao/noticias/generalidade-do-pais-passa-para-situacao-de-calamidade-a-partir-de-1-de-maio
https://numeros.justica.gov.pt/sites/default/files/2026-03/RASI%202021_0.pdf
https://kwsn.com/2021/05/01/portugal-extends-covid-19-air-travel-curbs-until-mid-may/
https://www.psp.pt/Documents/RASI%202021.pdf
https://www.lamoncloa.gob.es/lang/en/gobierno/news/Paginas/2021/20210130border-controls.aspx
https://pt.scribd.com/document/848791510/RASI-2021
https://www.lamoncloa.gob.es/lang/en/gobierno/news/paginas/2021/20210130border-controls.aspx
https://www.itf-oecd.org/sites/default/files/docs/p-measures-covid19_2.pdf
https://www.aguarda.es/etiqueta/ferry-boat/
https://www.cp.pt/StaticFiles/Institucional/1_a_empresa/3_Relatorio_Contas/2021/relatorio-contas-2021.pdf
Prior audit access record
Full-register audit source access (evidence cutoff 25 October 2026)
https://www.lamoncloa.gob.es/lang/en/gobierno/news/Paginas/2021/20210130border-controls.aspx: full text
https://www.boe.es/buscar/act.php?id=BOE-A-2021-1346: full text
https://portugal.gov.pt/gc22/comunicacao/comunicados/acrescentados-mais-dois-pontos-de-passagem-autorizados-por-via-terrestre-entre-portugal-e-espanha: search extract
https://www.tbsnews.net/coronavirus-chronicle/portugal-extends-covid-19-air-travel-curbs-until-mid-may-240070: full text
https://www.noticiasaominuto.com/economia/1850646/cp-repoe-oferta-de-comboios-porto-vigo-no-domingo-com-promocoes: full text
https://www.altominho.tv/site/2021/05/29/travessia-de-ferryboat-entre-caminha-e-a-guarda-suspensa-por-tempo-indeterminado/: search extract
https://www.aguarda.es/etiqueta/ferry-boat/: search extract
https://www.cp.pt/StaticFiles/Institucional/1_a_empresa/3_Relatorio_Contas/2021/relatorio-contas-2021.pdf: inaccessible
Earlier source URLs not separately listed in this audit’s retrieval log (historical access notes below are not fresh verification):
https://www.sef.pt/pt/Documents/RIFA2021%20vfing.pdf
https://portugal.gov.pt/gc22/comunicacao/comunicados/controlo-de-pessoas-nas-fronteiras-terrestres-e-fluviais-mantem-se-ate-5-de-abril
https://portugal.gov.pt/gc22/comunicacao/noticias/generalidade-do-pais-passa-para-situacao-de-calamidade-a-partir-de-1-de-maio
https://numeros.justica.gov.pt/sites/default/files/2026-03/RASI%202021_0.pdf
https://kwsn.com/2021/05/01/portugal-extends-covid-19-air-travel-curbs-until-mid-may/
https://www.psp.pt/Documents/RASI%202021.pdf
https://pt.scribd.com/document/848791510/RASI-2021
https://www.lamoncloa.gob.es/lang/en/gobierno/news/paginas/2021/20210130border-controls.aspx
https://www.itf-oecd.org/sites/default/files/docs/p-measures-covid19_2.pdf
Earlier recorded access
Source 1: search extract
Source 2: full text
Source 3: search extract</x:v>
      </x:c>
      <x:c r="P142" s="20" t="n">
        <x:v>1</x:v>
      </x:c>
      <x:c r="Q142" s="4" t="str">
        <x:v>Europe</x:v>
      </x:c>
      <x:c r="R142" s="4" t="str">
        <x:v>Included</x:v>
      </x:c>
    </x:row>
    <x:row r="143" ht="409" hidden="0" customHeight="1">
      <x:c r="A143" s="16" t="str">
        <x:v>EU003</x:v>
      </x:c>
      <x:c r="B143" s="4" t="str">
        <x:v>Poland Kuźnica–Bruzgi crossing closure</x:v>
      </x:c>
      <x:c r="C143" s="4" t="str">
        <x:v>Poland; Belarus</x:v>
      </x:c>
      <x:c r="D143" s="4" t="str">
        <x:v>Kuźnica Białostocka–Bruzgi
Single road border crossing</x:v>
      </x:c>
      <x:c r="E143" s="4" t="str">
        <x:v>Passenger and freight traffic
Direction: Both directions
Exceptions: Alternative open crossings initially Terespol and Bobrowniki</x:v>
      </x:c>
      <x:c r="F143" s="4" t="str">
        <x:v>EU003-D1 — Observed operation
Kuźnica passenger-car restriction; freight and coach restrictions are not treated as ended.
Start: 2021-11-09.
Observed scoped reopening: 2025-11-17.
1469 calendar-day difference; scoped endpoint only
Separate formal-status observation, July 29, 2026: the official border notice permits passenger cars but excludes buses and states that freight traffic has been suspended since November 9, 2021 until further notice. The November 17, 2025 passenger-car reopening does not end these other restrictions.</x:v>
      </x:c>
      <x:c r="G143" s="4" t="str">
        <x:v>Migration / Entry and asylum control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Security / Public order and immediate safety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143" s="4" t="str">
        <x:v>EU003-D1: 17 Nov 2025 is passenger-car reopening only; freight and coaches remained excluded. Do not use as full commercial reopening. Alternative open crossings initially Terespol and Bobrowniki
A July 29, 2026 official notice about the reopened DK19 approach confirms that the roadworks/access change is distinct from crossing eligibility: passenger cars may use Kuźnica, buses remain excluded, and freight suspension is explicitly dated back to November 9, 2021. This is formal-status evidence for the remaining cohorts, not a new border-closure onset or measured operational duration.</x:v>
      </x:c>
      <x:c r="I143" s="4" t="str">
        <x:v>Second full-register audit, 26 October 2026: additional source-audited corrections incorporated. See the phase, scope and qualification columns for the accepted findings.</x:v>
      </x:c>
      <x:c r="J143" s="18" t="d">
        <x:v>2026-10-26T00:00:00.000Z</x:v>
      </x:c>
      <x:c r="K143" s="21" t="str">
        <x:f>IFERROR(HYPERLINK("https://www.gov.pl/web/border/suspension-of-border-traffic-in-kuznica","gov.pl"),"gov.pl")</x:f>
        <x:v>gov.pl</x:v>
      </x:c>
      <x:c r="L143" s="21" t="str">
        <x:f>IFERROR(HYPERLINK("https://www.gov.pl/web/uw-podlaski/informacja-w-sprawie-rekompensat-w-zwiazku-z-zawieszeniem-ruchu-na-przejsciach-granicznych","Podlaski Governor"),"Podlaski Governor")</x:f>
        <x:v>Podlaski Governor</x:v>
      </x:c>
      <x:c r="M143" s="21" t="str">
        <x:f>IFERROR(HYPERLINK("https://www.gov.pl/web/kas/przejscia-graniczne-z-bialorusia-w-bobrownikach-i-kuznicy-otwarte","Polish National Revenue Administration (KAS)"),"Polish National Revenue Administration (KAS)")</x:f>
        <x:v>Polish National Revenue Administration (KAS)</x:v>
      </x:c>
      <x:c r="N143" s="4" t="str">
        <x:v>https://www.gov.pl/web/border/suspension-of-border-traffic-in-kuznica
https://www.gov.pl/web/uw-podlaski/informacja-w-sprawie-rekompensat-w-zwiazku-z-zawieszeniem-ruchu-na-przejsciach-granicznych
https://www.gov.pl/web/kas/przejscia-graniczne-z-bialorusia-w-bobrownikach-i-kuznicy-otwarte
https://www.gov.pl/web/uw-podlaski/granica-z-bialorusia-znow-otwarta
https://www.gov.pl/web/gddkia/przejscie-graniczne-w-bobrownikach-bedzie-zamkniete
https://granica.gov.pl/j/index.php/1098-wznowienie-ruchu-na-drogowych-przejsciach-granicznych-z-republika-bialorusi-w-woj-podlaskim
https://granica.gov.pl/j/index.php/komunikaty/1124</x:v>
      </x:c>
      <x:c r="O143" s="4" t="str">
        <x:v>Second full-register audit source access, 26 October 2026
https://www.gov.pl/web/border/suspension-of-border-traffic-in-kuznica: full text (fresh retrieval)
https://www.gov.pl/web/uw-podlaski/informacja-w-sprawie-rekompensat-w-zwiazku-z-zawieszeniem-ruchu-na-przejsciach-granicznych: full text (fresh retrieval)
https://www.gov.pl/web/kas/przejscia-graniczne-z-bialorusia-w-bobrownikach-i-kuznicy-otwarte: full text (fresh retrieval)
https://www.gov.pl/web/uw-podlaski/granica-z-bialorusia-znow-otwarta: full text (fresh retrieval) — Does not identify first Kuźnica vehicle clock.
https://www.gov.pl/web/gddkia/przejscie-graniczne-w-bobrownikach-bedzie-zamkniete: full text (fresh retrieval) — Separate Bobrowniki closure not transferred.
https://granica.gov.pl/j/index.php/1098-wznowienie-ruchu-na-drogowych-przejsciach-granicznych-z-republika-bialorusi-w-woj-podlaskim: full text (fresh retrieval) — Published November 14, updated November 17; retrospective wording not backdated.
https://granica.gov.pl/j/index.php/komunikaty/1124: full text (fresh retrieval)
Prior audit access record
Full-register audit source access (evidence cutoff 25 October 2026)
https://www.gov.pl/web/border/suspension-of-border-traffic-in-kuznica: full text
https://www.gov.pl/web/gddkia/przejscie-graniczne-w-bobrownikach-bedzie-zamkniete: full text
https://www.gov.pl/web/kas/przejscia-graniczne-z-bialorusia-w-bobrownikach-i-kuznicy-otwarte: full text
https://www.gov.pl/web/kas/przejscia-graniczne-z-bialorusia-w-bobrownikach-i-kuznicy-otwarte: full text
https://granica.gov.pl/j/index.php/komunikaty/1124: full text
Earlier source URLs not separately listed in this audit’s retrieval log (historical access notes below are not fresh verification):
https://www.gov.pl/web/uw-podlaski/informacja-w-sprawie-rekompensat-w-zwiazku-z-zawieszeniem-ruchu-na-przejsciach-granicznych
https://www.gov.pl/web/uw-podlaski/granica-z-bialorusia-znow-otwarta
https://granica.gov.pl/j/index.php/1098-wznowienie-ruchu-na-drogowych-przejsciach-granicznych-z-republika-bialorusi-w-woj-podlaskim
Earlier recorded access
Source 1: full
Source 2: full page
Source 3: full; full text</x:v>
      </x:c>
      <x:c r="P143" s="20" t="n">
        <x:v>1</x:v>
      </x:c>
      <x:c r="Q143" s="4" t="str">
        <x:v>Europe</x:v>
      </x:c>
      <x:c r="R143" s="4" t="str">
        <x:v>Included</x:v>
      </x:c>
    </x:row>
    <x:row r="144" ht="409" hidden="0" customHeight="1">
      <x:c r="A144" s="16" t="str">
        <x:v>EU031</x:v>
      </x:c>
      <x:c r="B144" s="4" t="str">
        <x:v>Ukraine closes listed Russia, Belarus and Transnistrian-segment checkpoints after invasion</x:v>
      </x:c>
      <x:c r="C144" s="4" t="str">
        <x:v>Ukraine; Russia; Belarus; Moldova (Transnistrian segment)</x:v>
      </x:c>
      <x:c r="D144" s="4" t="str">
        <x:v>Includes Milove, Lantrativka, Senkivka, Kuchurhan and other annex entries
Listed crossings under order 188-r; not every Ukrainian frontier</x:v>
      </x:c>
      <x:c r="E144" s="4" t="str">
        <x:v>Ordinary passenger and freight operations at listed checkpoints
Direction: Formal crossing operations both directions; return exemption
Exceptions: Order requires enabling returning Ukrainian citizens; actual humanitarian routes differ over time</x:v>
      </x:c>
      <x:c r="F144" s="4" t="str">
        <x:v>EU031-R1 — Formal policy
Ukrainian suspension of the road and railway checkpoints listed in Order 188-r on the Russia, Belarus and Transnistrian frontiers, excluding Kuchurhan railway entry 512100; air entries excluded.
Start: 2022-02-28 at 00:00 local time.
The consolidated legal mirror remains marked in force when checked 2026-10-26. Current FCDO advice independently confirms the Russia and Belarus borders remain closed for ordinary travel. This supports continuation of that formal ordinary-traffic restriction from its historical onset, not a new 2026 episode. Current operational status of every listed Transnistrian post is not established.
Strictly more than 24 hours of formal restriction is supported; no single all-post operational duration is assigned.
EU031-R2 — Formal policy
Kuchurhan international railway checkpoint, annex entry 512100: suspension under Order 188-r only.
Start: 2022-02-28.
Policy endpoint: 2023-10-10.
Formal policy: 589 calendar-day difference; operational continuity not established.
Separate operational evidence: Ukraine Customs reported on 2024-01-11 that Kuchurhan–Novosavytske railway checkpoint had resumed work in autumn 2023. This establishes a seasonal reopening bound for that railway checkpoint, not an exact first train, every traffic cohort or road entry 512000.</x:v>
      </x:c>
      <x:c r="G144"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x:v>
      </x:c>
      <x:c r="H144" s="4" t="str">
        <x:v>Order 188-r explicitly took effect at 00:00 on February 28, 2022, rather than on the date of a later status observation. It retains a returning-Ukrainian-citizen exception. The continuing formal ordinary-traffic closure at Russia/Belarus frontiers is supported by the in-force consolidated legal mirror and current FCDO advice checked October 26, 2026; daily gate logs are not necessary to establish that policy chronology. This does not assert universal physical denial or unchanged humanitarian routes and military control. The primary Rada site remained inaccessible, so the law was inspected through its public legal mirror. Kuchurhan railway entry 512100 was legally removed October 10, 2023; a separately dated Customs account places resumed checkpoint work in autumn 2023. It does not identify the first actual train, confirm passenger service, or reopen Kuchurhan road entry 512000. Do not extend the current Russia/Belarus advice to every Transnistrian crossing.</x:v>
      </x:c>
      <x:c r="I144" s="4" t="str">
        <x:v>Second full-register audit, 26 October 2026: additional source-audited corrections incorporated. See the phase, scope and qualification columns for the accepted findings.</x:v>
      </x:c>
      <x:c r="J144" s="18" t="d">
        <x:v>2026-10-26T00:00:00.000Z</x:v>
      </x:c>
      <x:c r="K144" s="21" t="str">
        <x:f>IFERROR(HYPERLINK("https://zakon.cc/law/document/read/188-2022-%D1%80","Cabinet of Ministers of Ukraine; text mirrored by zakon.cc"),"Cabinet of Ministers of Ukraine; text mirrored by zakon.cc")</x:f>
        <x:v>Cabinet of Ministers of Ukraine; text mirrored by zakon.cc</x:v>
      </x:c>
      <x:c r="L144" s="21" t="str">
        <x:f>IFERROR(HYPERLINK("https://zakon.cc/law/document/read/920-2023-%D1%80","Cabinet of Ministers of Ukraine; text mirrored by zakon.cc"),"Cabinet of Ministers of Ukraine; text mirrored by zakon.cc")</x:f>
        <x:v>Cabinet of Ministers of Ukraine; text mirrored by zakon.cc</x:v>
      </x:c>
      <x:c r="M144" s="21" t="str">
        <x:f>IFERROR(HYPERLINK("https://zakon.rada.gov.ua/laws/show/188-2022-%D1%80#Text","Cabinet of Ministers of Ukraine / Verkhovna Rada legal database"),"Cabinet of Ministers of Ukraine / Verkhovna Rada legal database")</x:f>
        <x:v>Cabinet of Ministers of Ukraine / Verkhovna Rada legal database</x:v>
      </x:c>
      <x:c r="N144" s="4" t="str">
        <x:v>https://zakon.cc/law/document/read/188-2022-%D1%80
https://zakon.cc/law/document/read/920-2023-%D1%80
https://zakon.rada.gov.ua/laws/show/188-2022-%D1%80#Text
https://www.kmu.gov.ua/news/do-uvahy-ukraintsiv-iaki-evakuiovuiutsia-z-tot-vidnovleno-robotu-humanitarnoho-korydoru-kolotylivka-pokrovka
https://zakon.rada.gov.ua/laws/show/920-2023-%D1%80#Text
https://zakon.rada.gov.ua/laws/show/920-2023-%D1%80
https://customs.gov.ua/news/zagalne-20/post/derzhmitsluzhba-razom-z-moldovskimi-kolegami-zapustila-spilnii-kontrol-u-p-p-kuchurgan-novosavitske-dlia-zaliznichnogo-spoluchennia-1446
https://docs.dtkt.ua/doc/1095.25639.0
https://zakon.rada.gov.ua/laws/main/a202202/sps?lang=uk
https://www.gov.uk/foreign-travel-advice/ukraine/entry-requirements
https://www.gov.uk/foreign-travel-advice/ukraine/safety-and-security
https://t.me/s/UkraineCustoms?before=2640</x:v>
      </x:c>
      <x:c r="O144" s="4" t="str">
        <x:v>Second full-register audit source access, 26 October 2026
https://zakon.cc/law/document/read/188-2022-%D1%80: full text (fresh retrieval) — Primary Rada site returned 403; the mirror is not a direct official host.
https://zakon.cc/law/document/read/920-2023-%D1%80: full text (fresh retrieval)
https://www.gov.uk/foreign-travel-advice/ukraine/entry-requirements: full text (fresh retrieval) — Current advice for common British-citizen travel; not a gate-by-gate humanitarian traffic log.
https://customs.gov.ua/news/zagalne-20/post/derzhmitsluzhba-razom-z-moldovskimi-kolegami-zapustila-spilnii-kontrol-u-p-p-kuchurgan-novosavitske-dlia-zaliznichnogo-spoluchennia-1446: full text (fresh retrieval) — Webpage prints January 11 without year; official channel and contemporary reports establish 2024.
https://t.me/s/UkraineCustoms?before=2640: full text (fresh retrieval)
Earlier URLs not separately inspected in this second assessment:
https://zakon.rada.gov.ua/laws/show/188-2022-%D1%80#Text
https://www.kmu.gov.ua/news/do-uvahy-ukraintsiv-iaki-evakuiovuiutsia-z-tot-vidnovleno-robotu-humanitarnoho-korydoru-kolotylivka-pokrovka
https://zakon.rada.gov.ua/laws/show/920-2023-%D1%80#Text
https://zakon.rada.gov.ua/laws/show/920-2023-%D1%80
https://docs.dtkt.ua/doc/1095.25639.0
https://zakon.rada.gov.ua/laws/main/a202202/sps?lang=uk
https://www.gov.uk/foreign-travel-advice/ukraine/safety-and-security
Prior audit access record
Full-register audit source access (evidence cutoff 25 October 2026)
https://zakon.cc/law/document/read/188-2022-%D1%80: full text
https://docs.dtkt.ua/doc/1095.25639.0: search extract
https://zakon.rada.gov.ua/laws/main/a202202/sps?lang=uk: search extract
https://www.gov.uk/foreign-travel-advice/ukraine/entry-requirements: search extract
https://www.gov.uk/foreign-travel-advice/ukraine/safety-and-security: search extract
https://www.kmu.gov.ua/news/do-uvahy-ukraintsiv-iaki-evakuiovuiutsia-z-tot-vidnovleno-robotu-humanitarnoho-korydoru-kolotylivka-pokrovka: full text
https://customs.gov.ua/news/zagalne-20/post/derzhmitsluzhba-razom-z-moldovskimi-kolegami-zapustila-spilnii-kontrol-u-p-p-kuchurgan-novosavitske-dlia-zaliznichnogo-spoluchennia-1446: full text
https://zakon.rada.gov.ua/laws/show/188-2022-%D1%80#Text: inaccessible
Earlier source URLs not separately listed in this audit’s retrieval log (historical access notes below are not fresh verification):
https://zakon.cc/law/document/read/920-2023-%D1%80
https://zakon.rada.gov.ua/laws/show/920-2023-%D1%80#Text
https://zakon.rada.gov.ua/laws/show/920-2023-%D1%80
Earlier recorded access
Source 1: full; full text
Source 2: full; full text
Source 3: failed; unavailable</x:v>
      </x:c>
      <x:c r="P144" s="20" t="n">
        <x:v>2</x:v>
      </x:c>
      <x:c r="Q144" s="4" t="str">
        <x:v>Europe</x:v>
      </x:c>
      <x:c r="R144" s="4" t="str">
        <x:v>Included</x:v>
      </x:c>
    </x:row>
    <x:row r="145" ht="409" hidden="0" customHeight="1">
      <x:c r="A145" s="16" t="str">
        <x:v>EU011</x:v>
      </x:c>
      <x:c r="B145" s="4" t="str">
        <x:v>Latvia prohibits Russian short-stay visa holders’ nonessential entry</x:v>
      </x:c>
      <x:c r="C145" s="4" t="str">
        <x:v>Latvia; Russia; Belarus</x:v>
      </x:c>
      <x:c r="D145" s="4" t="str">
        <x:v>External road crossings
External Schengen border, including Russia and Belarus land frontiers</x:v>
      </x:c>
      <x:c r="E145" s="4" t="str">
        <x:v>Russian nationals entering for tourism/leisure/nonessential purposes
Direction: Into Latvia; exit not restricted
Exceptions: Residence and long-stay permissions; qualifying family/humanitarian/transport categories</x:v>
      </x:c>
      <x:c r="F145" s="4" t="str">
        <x:v>EU011-D1 — Formal policy
Latvian restrictions on nonessential external-border entry by Russian short-stay visa holders.
Start: 2022-09-19.
Legal succession: 2025-03-04, Regulation 123 replaced Order 599 while retaining entry restrictions and specified exceptions.
Current legal status: Regulation 123 is listed in force at this audit on 2026-10-25.
Scheduled validity: through 2026-12-31; this is not an observed reopening.
First operational reopening is not established; daily border enforcement is not independently reconstructed.</x:v>
      </x:c>
      <x:c r="G145" s="4" t="str">
        <x:v>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
Interstate disputes and pressure / Diplomatic disputes and retaliation
Reported reason
Applies to: Recorded episode; exact overlap not separately established
The recorded rationale and claim assessment support the selected subcategories. All applicable broad categories are retained together; no primary rationale is imposed.</x:v>
      </x:c>
      <x:c r="H145" s="4" t="str">
        <x:v>The restriction began September 19, 2022. Cabinet Regulation 123 entered into force March 4, 2025 and repealed Order 599 while retaining restrictions and enumerated exceptions, as confirmed by the operative regulation metadata and consular guidance. This legal succession did not reopen nonessential entry or create a new initial onset. Residence and long-stay permit holders, qualifying family, humanitarian, transport and diplomatic categories remain distinct from ordinary short-stay tourism. The regulation is listed in force at this audit; scheduled validity through December 31, 2026 is not a verified reopening date. Legal status does not establish uninterrupted physical closure or daily enforcement at every crossing.</x:v>
      </x:c>
      <x:c r="I145" s="4" t="str">
        <x:v>Second full-register audit, 26 October 2026: qualified. Fresh legal-index text and inspected original cached ministry material support the 2022 onset and 2025 legal succession. Retain the scheduled expiry as a plan, not an operational endpoint.</x:v>
      </x:c>
      <x:c r="J145" s="18" t="d">
        <x:v>2026-10-26T00:00:00.000Z</x:v>
      </x:c>
      <x:c r="K145" s="21" t="str">
        <x:f>IFERROR(HYPERLINK("https://www.mfa.gov.lv/en/article/entry-russian-federation-citizens-republic-latvia-be-restricted","Latvian Ministry of Foreign Affairs"),"Latvian Ministry of Foreign Affairs")</x:f>
        <x:v>Latvian Ministry of Foreign Affairs</x:v>
      </x:c>
      <x:c r="L145" s="21" t="str">
        <x:f>IFERROR(HYPERLINK("https://www.mfa.gov.lv/en/frequently-asked-questions","Latvian Ministry of Foreign Affairs"),"Latvian Ministry of Foreign Affairs")</x:f>
        <x:v>Latvian Ministry of Foreign Affairs</x:v>
      </x:c>
      <x:c r="M145" s="21" t="str">
        <x:f>IFERROR(HYPERLINK("https://www.rs.gov.lv/en/article/entry-citizens-russian-federation-restricted-external-border","rs.gov.lv"),"rs.gov.lv")</x:f>
        <x:v>rs.gov.lv</x:v>
      </x:c>
      <x:c r="N145" s="4" t="str">
        <x:v>https://www.mfa.gov.lv/en/article/entry-russian-federation-citizens-republic-latvia-be-restricted
https://www.mfa.gov.lv/en/frequently-asked-questions
https://www.rs.gov.lv/en/article/entry-citizens-russian-federation-restricted-external-border
https://www.mfa.gov.lv/en/entry-latvia-citizens-russian-federation-and-frequently-asked-questions
https://www.mfa.gov.lv/en/article/cabinet-extends-period-restrictions-entry-russian-citizens-latvia
https://likumi.lv/ta/en/en/id/335394
https://www.mfa.gov.lv/lv/jaunums/ministru-kabinets-ari-turpmak-ierobezos-krievijas-un-baltkrievijas-valstspiederigo-vizu-pieteikumu-pienemsanu-un-iecelosanu-latvija
https://www2.mfa.gov.lv/moscow/konsulara-informacija/krievijas-federacijas-pilsonu-iecelosana-latvija
https://likumi.lv/ta/en/en/id/358965</x:v>
      </x:c>
      <x:c r="O145" s="4" t="str">
        <x:v>Second full-register audit source access, 26 October 2026
https://www.mfa.gov.lv/en/article/entry-russian-federation-citizens-republic-latvia-be-restricted: search extract (previously retrieved text re-examined) — Actual cached substantive indexed text inspected; fresh direct access timed out.
https://likumi.lv/ta/en/en/id/358965: search extract (fresh retrieval) — Fresh direct access timed out; substantive indexed text and metadata only.
https://www2.mfa.gov.lv/moscow/konsulara-informacija/krievijas-federacijas-pilsonu-iecelosana-latvija: search extract (fresh retrieval) — Indexed text only; direct URL redirects.
Earlier URLs not separately inspected in this second assessment:
https://www.mfa.gov.lv/en/frequently-asked-questions
https://www.rs.gov.lv/en/article/entry-citizens-russian-federation-restricted-external-border
https://www.mfa.gov.lv/en/entry-latvia-citizens-russian-federation-and-frequently-asked-questions
https://www.mfa.gov.lv/en/article/cabinet-extends-period-restrictions-entry-russian-citizens-latvia
https://likumi.lv/ta/en/en/id/335394
https://www.mfa.gov.lv/lv/jaunums/ministru-kabinets-ari-turpmak-ierobezos-krievijas-un-baltkrievijas-valstspiederigo-vizu-pieteikumu-pienemsanu-un-iecelosanu-latvija
Prior audit access record
Full-register audit source access (evidence cutoff 25 October 2026)
https://www.mfa.gov.lv/en/article/entry-russian-federation-citizens-republic-latvia-be-restricted: search extract
https://likumi.lv/ta/en/en/id/335394: search extract
https://www.mfa.gov.lv/lv/jaunums/ministru-kabinets-ari-turpmak-ierobezos-krievijas-un-baltkrievijas-valstspiederigo-vizu-pieteikumu-pienemsanu-un-iecelosanu-latvija: search extract
https://www2.mfa.gov.lv/moscow/konsulara-informacija/krievijas-federacijas-pilsonu-iecelosana-latvija: search extract
https://likumi.lv/ta/en/en/id/358965: search extract — Direct open times out; substantive indexed official text inspected.
https://www2.mfa.gov.lv/moscow/konsulara-informacija/krievijas-federacijas-pilsonu-iecelosana-latvija: search extract — Direct open times out.
Earlier source URLs not separately listed in this audit’s retrieval log (historical access notes below are not fresh verification):
https://www.mfa.gov.lv/en/frequently-asked-questions
https://www.rs.gov.lv/en/article/entry-citizens-russian-federation-restricted-external-border
https://www.mfa.gov.lv/en/entry-latvia-citizens-russian-federation-and-frequently-asked-questions
https://www.mfa.gov.lv/en/article/cabinet-extends-period-restrictions-entry-russian-citizens-latvia
Earlier recorded access
Source 1: search extract
Source 2: search extract
Source 3: access detail is retained in the source catalogue.</x:v>
      </x:c>
      <x:c r="P145" s="20" t="n">
        <x:v>1</x:v>
      </x:c>
      <x:c r="Q145" s="4" t="str">
        <x:v>Europe</x:v>
      </x:c>
      <x:c r="R145" s="4" t="str">
        <x:v>Included</x:v>
      </x:c>
    </x:row>
    <x:row r="146" ht="409" hidden="0" customHeight="1">
      <x:c r="A146" s="16" t="str">
        <x:v>EU035</x:v>
      </x:c>
      <x:c r="B146" s="4" t="str">
        <x:v>Estonia prohibits Russian short-stay visa holders’ nonessential entry</x:v>
      </x:c>
      <x:c r="C146" s="4" t="str">
        <x:v>Estonia; Russia</x:v>
      </x:c>
      <x:c r="D146" s="4" t="str">
        <x:v>Narva, Luhamaa, Koidula and other external routes
External Schengen entry, land component</x:v>
      </x:c>
      <x:c r="E146" s="4" t="str">
        <x:v>Russian short-stay visa holders seeking nonessential entry across Estonia’s external border. Direction: Into Estonia. Exceptions include qualifying family, registered work/study, transport crews, humanitarian cases, EU free-movement rights and immediate transit to country of residence; long-term visas are outside the short-stay restriction. From January 25, 2026, specified Russian diplomatic/consular personnel and family members require prior authorisation, with an embassy request at least five working days before entry.</x:v>
      </x:c>
      <x:c r="F146" s="4" t="str">
        <x:v>EU035-R1 — Formal policy
Original wording of Estonian Order 247 restricting Russian short-stay-visa holders entering across the external border, subject to its listed exceptions
Start: 2022-09-19.
Policy endpoint: 2026-01-25.
Formal policy: 1224 calendar-day difference; operational continuity not established
EU035-R2 — Formal policy
Earlier Estonian external-border entry restriction on Russian citizens using Estonia-issued visas for tourism, business, sport or culture, subject to permitted exceptions
Start: 2022-08-18.
Policy endpoint: 2022-09-19.
Formal policy: 32 calendar-day difference; operational continuity not established
EU035-C7P1 — Formal policy
Amended Estonian Russian-national external-border entry regime under Order247, including changed diplomatic exceptions
Start: 2026-01-25.
Consolidated legal status checked: 2026-10-26. The current consolidation records this amendment in force from 2026-01-25 with no end date. Reopening is not established.
The underlying nonessential-entry restriction continues through the amendment; greater than 24 hours of formal restriction is supported, without an exact gate-by-gate operational duration.</x:v>
      </x:c>
      <x:c r="G146" s="4" t="str">
        <x:v>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
Interstate disputes and pressure / Diplomatic disputes and retaliation
Reported reason
Applies to: Recorded episode; exact overlap not separately established
The recorded rationale and claim assessment support the selected subcategories. All applicable broad categories are retained together; no primary rationale is imposed.</x:v>
      </x:c>
      <x:c r="H146" s="4" t="str">
        <x:v>The August 18, 2022 Estonia-issued-visa restriction, September 19 expansion and January 25, 2026 amendment remain separate legal phases; the latter two boundaries are not reopenings. The legal consolidation retrieved in this review records the amended regime in force from January 25, 2026 without an end date. Its substantive text was available through the official index, while direct HTML/PDF requests returned a JavaScript notice. The amendment requires prior permission for the specified Russian diplomatic and consular personnel and family members, with an embassy request at least five working days before entry. Qualifying family, work/study, transport, EU free-movement, residence-transit and humanitarian exceptions remain. Ordinary nonessential admission restrictions are therefore continuing policy, not isolated one-day evidence. The older Kriis FAQ is dated September 22, 2022 and does not independently verify the revised diplomatic exception. No universal physical closure of Narva, Luhamaa or Koidula or exact operational duration is asserted.</x:v>
      </x:c>
      <x:c r="I146" s="4" t="str">
        <x:v>Second full-register audit, 26 October 2026: additional source-audited corrections incorporated. See the phase, scope and qualification columns for the accepted findings.</x:v>
      </x:c>
      <x:c r="J146" s="18" t="d">
        <x:v>2026-10-26T00:00:00.000Z</x:v>
      </x:c>
      <x:c r="K146" s="21" t="str">
        <x:f>IFERROR(HYPERLINK("https://kriis.ee/sites/default/files/documents/2022-09/VV%20korraldus%20nr%20247_EN.pdf","Estonian Government / kriis.ee"),"Estonian Government / kriis.ee")</x:f>
        <x:v>Estonian Government / kriis.ee</x:v>
      </x:c>
      <x:c r="L146" s="21" t="str">
        <x:f>IFERROR(HYPERLINK("https://www.riigiteataja.ee/en/tolge/pdf/529012026002","Estonian Government / Riigi Teataja"),"Estonian Government / Riigi Teataja")</x:f>
        <x:v>Estonian Government / Riigi Teataja</x:v>
      </x:c>
      <x:c r="M146" s="21" t="str">
        <x:f>IFERROR(HYPERLINK("https://www.siseministeerium.ee/en/news/estonia-maintains-strict-visa-restrictions-russian-citizens","Estonian Interior Ministry"),"Estonian Interior Ministry")</x:f>
        <x:v>Estonian Interior Ministry</x:v>
      </x:c>
      <x:c r="N146" s="4" t="str">
        <x:v>https://kriis.ee/sites/default/files/documents/2022-09/VV%20korraldus%20nr%20247_EN.pdf
https://www.riigiteataja.ee/en/tolge/pdf/529012026002
https://www.siseministeerium.ee/en/news/estonia-maintains-strict-visa-restrictions-russian-citizens
https://www.riigiteataja.ee/akt/323012026003
https://news.err.ee/1609918607/estonia-tightens-border-crossing-rules-for-russian-diplomats
https://www.riigiteataja.ee/en/eli/529012026002/consolide
https://www.kriis.ee/en/travelling-crossing-state-border/travelling-estonia/visas-russian-citizens
https://vm.ee/en/news/government-restricts-entry-estonia-russian-nationals-18-august</x:v>
      </x:c>
      <x:c r="O146" s="4" t="str">
        <x:v>Second full-register audit source access, 26 October 2026
https://www.riigiteataja.ee/en/tolge/pdf/529012026002: search extract (fresh retrieval) — Direct PDF returns JavaScript notice; body inspected through official search index.
https://www.riigiteataja.ee/en/eli/529012026002/consolide: inaccessible (fresh retrieval) — Direct body inaccessible; no substantive verification from redirect alone.
https://news.err.ee/1609918607/estonia-tightens-border-crossing-rules-for-russian-diplomats: full text (fresh retrieval)
https://vm.ee/en/news/government-restricts-entry-estonia-russian-nationals-18-august: search extract (previously retrieved text re-examined)
https://www.siseministeerium.ee/en/news/estonia-maintains-strict-visa-restrictions-russian-citizens: search extract (previously retrieved text re-examined)
https://www.kriis.ee/en/travelling-crossing-state-border/travelling-estonia/visas-russian-citizens: full text (fresh retrieval) — Page itself last updated September 22, 2022; not current evidence for diplomatic amendment.
Earlier URLs not separately inspected in this second assessment:
https://kriis.ee/sites/default/files/documents/2022-09/VV%20korraldus%20nr%20247_EN.pdf
https://www.riigiteataja.ee/akt/323012026003
Prior audit access record
Full-register audit source access (evidence cutoff 25 October 2026)
https://vm.ee/en/news/government-restricts-entry-estonia-russian-nationals-18-august: search extract
https://www.kriis.ee/en/travelling-crossing-state-border/travelling-estonia/visas-russian-citizens: full text
https://www.riigiteataja.ee/en/tolge/pdf/529012026002: search extract
https://www.riigiteataja.ee/akt/323012026003: search extract
https://www.riigiteataja.ee/en/tolge/pdf/529012026002: inaccessible
Earlier source URLs not separately listed in this audit’s retrieval log (historical access notes below are not fresh verification):
https://kriis.ee/sites/default/files/documents/2022-09/VV%20korraldus%20nr%20247_EN.pdf
https://www.siseministeerium.ee/en/news/estonia-maintains-strict-visa-restrictions-russian-citizens
https://news.err.ee/1609918607/estonia-tightens-border-crossing-rules-for-russian-diplomats
https://www.riigiteataja.ee/en/eli/529012026002/consolide
Earlier recorded access
Source 1: full; full text
Source 2: indexed excerpt; indexed extract
Source 3: full text</x:v>
      </x:c>
      <x:c r="P146" s="20" t="n">
        <x:v>3</x:v>
      </x:c>
      <x:c r="Q146" s="4" t="str">
        <x:v>Europe</x:v>
      </x:c>
      <x:c r="R146" s="4" t="str">
        <x:v>Included</x:v>
      </x:c>
    </x:row>
    <x:row r="147" ht="409" hidden="0" customHeight="1">
      <x:c r="A147" s="16" t="str">
        <x:v>EU036</x:v>
      </x:c>
      <x:c r="B147" s="4" t="str">
        <x:v>Poland restricts Russian nationals’ nonessential external-border entry</x:v>
      </x:c>
      <x:c r="C147" s="4" t="str">
        <x:v>Poland; Russia; Belarus; Ukraine</x:v>
      </x:c>
      <x:c r="D147" s="4" t="str">
        <x:v>External land crossings
External border nationality/purpose prohibition; land component</x:v>
      </x:c>
      <x:c r="E147" s="4" t="str">
        <x:v>Russian nationals travelling for business/sport/tourism/culture
Direction: Into Poland
Exceptions: Previously agreed legitimate exceptions and case-by-case Border Guard authorisation</x:v>
      </x:c>
      <x:c r="F147" s="4" t="str">
        <x:v>EU036-R1 — Formal policy
Entry into Poland across Schengen external road and rail border crossings by Russian citizens outside the operative section 3a exceptions
Start: 2022-09-19.
Last confirmed: 2024-07-19. Reopening is not established.
Formal policy: confirmed through 2024-07-19; at least 669 calendar-day difference; reopening unknown</x:v>
      </x:c>
      <x:c r="G147" s="4" t="str">
        <x:v>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
Interstate disputes and pressure / Diplomatic disputes and retaliation
Reported reason
Applies to: Recorded episode; exact overlap not separately established
The recorded rationale and claim assessment support the selected subcategories. All applicable broad categories are retained together; no primary rationale is imposed.</x:v>
      </x:c>
      <x:c r="H147" s="4" t="str">
        <x:v>EU036-R1: Formal restriction confirmed through July 19, 2024, not an end date. Applies at Schengen external crossings; section 3a(2) specifies exceptions by cross-reference and conditions. Excludes air/sea before September 26, 2022 and separate physical checkpoint closures.</x:v>
      </x:c>
      <x:c r="I147" s="4" t="str">
        <x:v>Second full-register audit, 26 October 2026: qualified. The Polish legal text supports September 19 land onset, external-border scope and cross-referenced exceptions; the July 2024 page is not re-dated as a new 2026 onset.</x:v>
      </x:c>
      <x:c r="J147" s="18" t="d">
        <x:v>2026-10-26T00:00:00.000Z</x:v>
      </x:c>
      <x:c r="K147" s="21" t="str">
        <x:f>IFERROR(HYPERLINK("https://www.strazgraniczna.pl/pl/cudzoziemcy/obowiazujace-ograniczenia/13494,EN-RUSSIA-RESTRICTIONS-AGAINST-RUSSIAN-CITIZENS.html","Polish Border Guard"),"Polish Border Guard")</x:f>
        <x:v>Polish Border Guard</x:v>
      </x:c>
      <x:c r="L147" s="21" t="str">
        <x:f>IFERROR(HYPERLINK("https://eli.gov.pl/api/acts/DU/2023/1403/text.html","Polish official legal publication"),"Polish official legal publication")</x:f>
        <x:v>Polish official legal publication</x:v>
      </x:c>
      <x:c r="M147" s="21" t="str">
        <x:f>IFERROR(HYPERLINK("https://www.pap.pl/en/news/news%2C1434006%2Crussians-refused-entry-poland.html","pap.pl"),"pap.pl")</x:f>
        <x:v>pap.pl</x:v>
      </x:c>
      <x:c r="N147" s="4" t="str">
        <x:v>https://www.strazgraniczna.pl/pl/cudzoziemcy/obowiazujace-ograniczenia/13494,EN-RUSSIA-RESTRICTIONS-AGAINST-RUSSIAN-CITIZENS.html
https://eli.gov.pl/api/acts/DU/2023/1403/text.html
https://www.pap.pl/en/news/news%2C1434006%2Crussians-refused-entry-poland.html
https://www.gov.pl/web/mswia/komunikat-w-sprawie-ograniczen-wjazdu-na-terytorium-rp-dla-obywateli-federacji-rosyjskiej
https://www.strazgraniczna.pl/pl/cudzoziemcy/obowiazujace-ograniczenia/13494%2CEN-RUSSIA-RESTRICTIONS-AGAINST-RUSSIAN-CITIZENS.html</x:v>
      </x:c>
      <x:c r="O147" s="4" t="str">
        <x:v>Second full-register audit source access, 26 October 2026
https://www.strazgraniczna.pl/pl/cudzoziemcy/obowiazujace-ograniczenia/13494,EN-RUSSIA-RESTRICTIONS-AGAINST-RUSSIAN-CITIZENS.html: full text (fresh retrieval) — Publication date remains July 19, 2024 despite fresh retrieval.
https://eli.gov.pl/api/acts/DU/2023/1403/text.html: full text (fresh retrieval)
Earlier URLs not separately inspected in this second assessment:
https://www.pap.pl/en/news/news%2C1434006%2Crussians-refused-entry-poland.html
https://www.gov.pl/web/mswia/komunikat-w-sprawie-ograniczen-wjazdu-na-terytorium-rp-dla-obywateli-federacji-rosyjskiej
https://www.strazgraniczna.pl/pl/cudzoziemcy/obowiazujace-ograniczenia/13494%2CEN-RUSSIA-RESTRICTIONS-AGAINST-RUSSIAN-CITIZENS.html
Prior audit access record
Full-register audit source access (evidence cutoff 25 October 2026)
https://www.strazgraniczna.pl/pl/cudzoziemcy/obowiazujace-ograniczenia/13494%2CEN-RUSSIA-RESTRICTIONS-AGAINST-RUSSIAN-CITIZENS.html: full text
Earlier source URLs not separately listed in this audit’s retrieval log (historical access notes below are not fresh verification):
https://www.strazgraniczna.pl/pl/cudzoziemcy/obowiazujace-ograniczenia/13494,EN-RUSSIA-RESTRICTIONS-AGAINST-RUSSIAN-CITIZENS.html
https://eli.gov.pl/api/acts/DU/2023/1403/text.html
https://www.pap.pl/en/news/news%2C1434006%2Crussians-refused-entry-poland.html
https://www.gov.pl/web/mswia/komunikat-w-sprawie-ograniczen-wjazdu-na-terytorium-rp-dla-obywateli-federacji-rosyjskiej
Earlier recorded access
Source 1: full
Source 2: indexed excerpt; full
Source 3: failed</x:v>
      </x:c>
      <x:c r="P147" s="20" t="n">
        <x:v>1</x:v>
      </x:c>
      <x:c r="Q147" s="4" t="str">
        <x:v>Europe</x:v>
      </x:c>
      <x:c r="R147" s="4" t="str">
        <x:v>Included</x:v>
      </x:c>
    </x:row>
    <x:row r="148" ht="409" hidden="0" customHeight="1">
      <x:c r="A148" s="16" t="str">
        <x:v>EU037</x:v>
      </x:c>
      <x:c r="B148" s="4" t="str">
        <x:v>Finland prohibits Russian tourism and related transit</x:v>
      </x:c>
      <x:c r="C148" s="4" t="str">
        <x:v>Finland; Russia</x:v>
      </x:c>
      <x:c r="D148" s="4" t="str">
        <x:v>Finland–Russia road crossings
Entry-purpose prohibition including eastern land frontier</x:v>
      </x:c>
      <x:c r="E148" s="4" t="str">
        <x:v>Russian tourist arrivals and tourism-related transit
Direction: Into Finland
Exceptions: Humanitarian, national-interest and international-obligation travel</x:v>
      </x:c>
      <x:c r="F148" s="4" t="str">
        <x:v>EU037-R1 — Formal policy
Original Finnish resolution restricting Russian tourism into Finland and tourism transit through Finland
Start: 2022-09-30.
Policy endpoint: 2023-07-10.
Formal policy: 283 calendar-day difference; operational continuity not established
EU037-C7P1 — Formal policy
Successor Finnish prohibition of nonessential Russian travel and tourism transit
Start: 2023-07-10.
Last confirmed: 2025-09-10. Reopening is not established.
Formal policy: confirmed through 2025-09-10; at least 793 calendar-day difference; reopening unknown</x:v>
      </x:c>
      <x:c r="G148" s="4" t="str">
        <x:v>Security / Unspecified security
Reported reason
Applies to: Recorded episode; exact overlap not separately established
The recorded rationale and claim assessment support the selected subcategories. All applicable broad categories are retained together; no primary rationale is imposed.
Interstate disputes and pressure / Diplomatic disputes and retaliation
Reported reason
Applies to: Recorded episode; exact overlap not separately established
The recorded rationale and claim assessment support the selected subcategories. All applicable broad categories are retained together; no primary rationale is imposed.</x:v>
      </x:c>
      <x:c r="H148" s="4" t="str">
        <x:v>EU037-R1: Boundary is replacement/tightening, not tourism reopening. Separate November 2023 physical road closures are not merged. Initial source indexed-only.
EU037-C7P1: Formal rule with exceptions and later physical-road restrictions kept separate. Evidence ends at the dated notice, not at a reopening.</x:v>
      </x:c>
      <x:c r="I148" s="4" t="str">
        <x:v>Second full-register audit, 26 October 2026: qualified. The historical onset, July 2023 tightening and dated September 2025 continuation remain supported; none is a reopening or a new 2025 onset.</x:v>
      </x:c>
      <x:c r="J148" s="18" t="d">
        <x:v>2026-10-26T00:00:00.000Z</x:v>
      </x:c>
      <x:c r="K148" s="21" t="str">
        <x:f>IFERROR(HYPERLINK("https://valtioneuvosto.fi/en/-/10184/finnish-government-issues-a-resolution-to-strongly-restrict-entry-of-russian-tourists-into-finland","Finnish Government"),"Finnish Government")</x:f>
        <x:v>Finnish Government</x:v>
      </x:c>
      <x:c r="L148" s="21" t="str">
        <x:f>IFERROR(HYPERLINK("https://valtioneuvosto.fi/en/-/10184/finland-continues-to-impose-travel-restrictions-on-russian-citizens","Finnish Ministry for Foreign Affairs"),"Finnish Ministry for Foreign Affairs")</x:f>
        <x:v>Finnish Ministry for Foreign Affairs</x:v>
      </x:c>
      <x:c r="M148" s="21" t="str">
        <x:f>IFERROR(HYPERLINK("https://finlandabroad.fi/web/cyp/current-affairs/-/asset_publisher/h5w4iTUJhNne/content/finland-significantly-restricts-the-non-essential-travel-of-russian-citizens/384951","finlandabroad.fi"),"finlandabroad.fi")</x:f>
        <x:v>finlandabroad.fi</x:v>
      </x:c>
      <x:c r="N148" s="4" t="str">
        <x:v>https://valtioneuvosto.fi/en/-/10184/finnish-government-issues-a-resolution-to-strongly-restrict-entry-of-russian-tourists-into-finland
https://valtioneuvosto.fi/en/-/10184/finland-continues-to-impose-travel-restrictions-on-russian-citizens
https://finlandabroad.fi/web/cyp/current-affairs/-/asset_publisher/h5w4iTUJhNne/content/finland-significantly-restricts-the-non-essential-travel-of-russian-citizens/384951
https://www.sttinfo.fi/tiedote/69952906/finnish-government-issues-a-resolution-to-strongly-restrict-entry-of-russian-tourists-into-finland?publisherId=1797
https://um.fi/press-releases/-/asset_publisher/ued5t2wDmr1C/content/suomi-jatkaa-venajan-kansalaisten-matkustusrajoituksia/
https://um.fi/current-affairs/-/asset_publisher/gc654PySnjTX/content/finnish-government-issues-a-resolution-to-strongly-restrict-entry-of-russian-tourists-into-finland
https://um.fi/faq-visas-and-residence-permits</x:v>
      </x:c>
      <x:c r="O148" s="4" t="str">
        <x:v>Second full-register audit source access, 26 October 2026
https://www.sttinfo.fi/tiedote/69952906/finnish-government-issues-a-resolution-to-strongly-restrict-entry-of-russian-tourists-into-finland?publisherId=1797: search extract (previously retrieved text re-examined) — Indexed excerpt, not full original page.
https://um.fi/press-releases/-/asset_publisher/ued5t2wDmr1C/content/suomi-jatkaa-venajan-kansalaisten-matkustusrajoituksia/: full text (fresh retrieval)
https://finlandabroad.fi/web/cyp/current-affairs/-/asset_publisher/h5w4iTUJhNne/content/finland-significantly-restricts-the-non-essential-travel-of-russian-citizens/384951: full text (fresh retrieval)
Earlier URLs not separately inspected in this second assessment:
https://valtioneuvosto.fi/en/-/10184/finnish-government-issues-a-resolution-to-strongly-restrict-entry-of-russian-tourists-into-finland
https://valtioneuvosto.fi/en/-/10184/finland-continues-to-impose-travel-restrictions-on-russian-citizens
https://um.fi/current-affairs/-/asset_publisher/gc654PySnjTX/content/finnish-government-issues-a-resolution-to-strongly-restrict-entry-of-russian-tourists-into-finland
https://um.fi/faq-visas-and-residence-permits
Prior audit access record
Full-register audit source access (evidence cutoff 25 October 2026)
https://valtioneuvosto.fi/en/-/10184/finnish-government-issues-a-resolution-to-strongly-restrict-entry-of-russian-tourists-into-finland: search extract
https://valtioneuvosto.fi/en/-/10184/finland-continues-to-impose-travel-restrictions-on-russian-citizens: search extract
https://um.fi/faq-visas-and-residence-permits: full text
https://valtioneuvosto.fi/en/-/10184/finnish-government-issues-a-resolution-to-strongly-restrict-entry-of-russian-tourists-into-finland: inaccessible
Earlier source URLs not separately listed in this audit’s retrieval log (historical access notes below are not fresh verification):
https://finlandabroad.fi/web/cyp/current-affairs/-/asset_publisher/h5w4iTUJhNne/content/finland-significantly-restricts-the-non-essential-travel-of-russian-citizens/384951
https://www.sttinfo.fi/tiedote/69952906/finnish-government-issues-a-resolution-to-strongly-restrict-entry-of-russian-tourists-into-finland?publisherId=1797
https://um.fi/press-releases/-/asset_publisher/ued5t2wDmr1C/content/suomi-jatkaa-venajan-kansalaisten-matkustusrajoituksia/
https://um.fi/current-affairs/-/asset_publisher/gc654PySnjTX/content/finnish-government-issues-a-resolution-to-strongly-restrict-entry-of-russian-tourists-into-finland
Earlier recorded access
Source 1: indexed excerpt; failed
Source 2: full; failed; indexed excerpt
Source 3: access detail is retained in the source catalogue.</x:v>
      </x:c>
      <x:c r="P148" s="20" t="n">
        <x:v>2</x:v>
      </x:c>
      <x:c r="Q148" s="4" t="str">
        <x:v>Europe</x:v>
      </x:c>
      <x:c r="R148" s="4" t="str">
        <x:v>Included</x:v>
      </x:c>
    </x:row>
    <x:row r="149" ht="409" hidden="0" customHeight="1">
      <x:c r="A149" s="16" t="str">
        <x:v>EU004</x:v>
      </x:c>
      <x:c r="B149" s="4" t="str">
        <x:v>Poland Bobrowniki–Bierestowica crossing closure</x:v>
      </x:c>
      <x:c r="C149" s="4" t="str">
        <x:v>Poland; Belarus</x:v>
      </x:c>
      <x:c r="D149" s="4" t="str">
        <x:v>Bobrowniki–Bierestowica
Single road border crossing</x:v>
      </x:c>
      <x:c r="E149" s="4" t="str">
        <x:v>Passenger and road goods movement
Direction: Both directions
Exceptions: Alternative operational posts; reopened freight eligible only EU/EFTA/Swiss-registered trucks</x:v>
      </x:c>
      <x:c r="F149" s="4" t="str">
        <x:v>EU004-D1 — Observed operation
Bobrowniki passenger and eligible-goods restriction; remaining exclusions continue beyond this endpoint.
Start: 2023-02-10.
Observed scoped reopening: 2025-11-17.
1011 calendar-day difference; scoped endpoint only</x:v>
      </x:c>
      <x:c r="G149" s="4" t="str">
        <x:v>Security / Unspecified security
Attributed official justification
Applies to: Recorded episode; exact overlap not separately established
The recorded rationale and claim assessment support the selected subcategories. All applicable broad categories are retained together; no primary rationale is imposed.
Interstate disputes and pressure / Diplomatic disputes and retaliation
Attributed official justification
Applies to: Recorded episode; exact overlap not separately established
The recorded rationale and claim assessment support the selected subcategories. All applicable broad categories are retained together; no primary rationale is imposed.</x:v>
      </x:c>
      <x:c r="H149" s="4" t="str">
        <x:v>EU004-D1: Full February closure versus selective November reopening; political context attributed to minister, not inferred sole cause. Alternative operational posts; reopened freight eligible only EU/EFTA/Swiss-registered trucks</x:v>
      </x:c>
      <x:c r="I149" s="4" t="str">
        <x:v>Second full-register audit, 26 October 2026: qualified. Primary order, road notice and first-day customs processing confirm the February 2023 closure and November 2025 selective reopening; the current reader’s scope is retained.</x:v>
      </x:c>
      <x:c r="J149" s="18" t="d">
        <x:v>2026-10-26T00:00:00.000Z</x:v>
      </x:c>
      <x:c r="K149" s="21" t="str">
        <x:f>IFERROR(HYPERLINK("https://www.gov.pl/web/mswia/komunikat-ministra-spraw-wewnetrznych-i-administracji-mariusza-kaminskiego","Polish Ministry of Interior"),"Polish Ministry of Interior")</x:f>
        <x:v>Polish Ministry of Interior</x:v>
      </x:c>
      <x:c r="L149" s="21" t="str">
        <x:f>IFERROR(HYPERLINK("https://www.gov.pl/web/uw-podlaski/informacja-w-sprawie-rekompensat-w-zwiazku-z-zawieszeniem-ruchu-na-przejsciach-granicznych","Podlaski Governor"),"Podlaski Governor")</x:f>
        <x:v>Podlaski Governor</x:v>
      </x:c>
      <x:c r="M149" s="21" t="str">
        <x:f>IFERROR(HYPERLINK("https://www.gov.pl/web/kas/przejscia-graniczne-z-bialorusia-w-bobrownikach-i-kuznicy-otwarte","Polish National Revenue Administration"),"Polish National Revenue Administration")</x:f>
        <x:v>Polish National Revenue Administration</x:v>
      </x:c>
      <x:c r="N149" s="4" t="str">
        <x:v>https://www.gov.pl/web/mswia/komunikat-ministra-spraw-wewnetrznych-i-administracji-mariusza-kaminskiego
https://www.gov.pl/web/uw-podlaski/informacja-w-sprawie-rekompensat-w-zwiazku-z-zawieszeniem-ruchu-na-przejsciach-granicznych
https://www.gov.pl/web/kas/przejscia-graniczne-z-bialorusia-w-bobrownikach-i-kuznicy-otwarte
https://www.gov.pl/web/gddkia/przejscie-graniczne-w-bobrownikach-bedzie-zamkniete
https://granica.gov.pl/j/index.php/1098-wznowienie-ruchu-na-drogowych-przejsciach-granicznych-z-republika-bialorusi-w-woj-podlaskim
https://www.rte.ie/news/2023/0210/1355815-poland-belarus/
https://www.gov.pl/web/uw-podlaski/granica-z-bialorusia-znow-otwarta</x:v>
      </x:c>
      <x:c r="O149" s="4" t="str">
        <x:v>Second full-register audit source access, 26 October 2026
https://www.gov.pl/web/mswia/komunikat-ministra-spraw-wewnetrznych-i-administracji-mariusza-kaminskiego: full text (fresh retrieval)
https://www.gov.pl/web/uw-podlaski/informacja-w-sprawie-rekompensat-w-zwiazku-z-zawieszeniem-ruchu-na-przejsciach-granicznych: full text (fresh retrieval)
https://www.gov.pl/web/kas/przejscia-graniczne-z-bialorusia-w-bobrownikach-i-kuznicy-otwarte: full text (fresh retrieval)
https://www.gov.pl/web/gddkia/przejscie-graniczne-w-bobrownikach-bedzie-zamkniete: full text (fresh retrieval)
https://granica.gov.pl/j/index.php/1098-wznowienie-ruchu-na-drogowych-przejsciach-granicznych-z-republika-bialorusi-w-woj-podlaskim: full text (fresh retrieval) — Original November 14 date is not observed opening.
https://www.gov.pl/web/uw-podlaski/granica-z-bialorusia-znow-otwarta: full text (fresh retrieval)
https://www.rte.ie/news/2023/0210/1355815-poland-belarus/: inaccessible (fresh retrieval) — 403.
Prior audit access record
Full-register audit source access (evidence cutoff 25 October 2026)
https://www.gov.pl/web/mswia/komunikat-ministra-spraw-wewnetrznych-i-administracji-mariusza-kaminskiego: full text
https://www.gov.pl/web/gddkia/przejscie-graniczne-w-bobrownikach-bedzie-zamkniete: full text
https://www.gov.pl/web/kas/przejscia-graniczne-z-bialorusia-w-bobrownikach-i-kuznicy-otwarte: full text
https://www.gov.pl/web/kas/przejscia-graniczne-z-bialorusia-w-bobrownikach-i-kuznicy-otwarte: full text
https://www.gov.pl/web/uw-podlaski/granica-z-bialorusia-znow-otwarta: full text
Earlier source URLs not separately listed in this audit’s retrieval log (historical access notes below are not fresh verification):
https://www.gov.pl/web/uw-podlaski/informacja-w-sprawie-rekompensat-w-zwiazku-z-zawieszeniem-ruchu-na-przejsciach-granicznych
https://granica.gov.pl/j/index.php/1098-wznowienie-ruchu-na-drogowych-przejsciach-granicznych-z-republika-bialorusi-w-woj-podlaskim
https://www.rte.ie/news/2023/0210/1355815-poland-belarus/
Earlier recorded access
Source 1: search extract
Source 2: full page
Source 3: full page</x:v>
      </x:c>
      <x:c r="P149" s="20" t="n">
        <x:v>1</x:v>
      </x:c>
      <x:c r="Q149" s="4" t="str">
        <x:v>Europe</x:v>
      </x:c>
      <x:c r="R149" s="4" t="str">
        <x:v>Included</x:v>
      </x:c>
    </x:row>
    <x:row r="150" ht="409" hidden="0" customHeight="1">
      <x:c r="A150" s="16" t="str">
        <x:v>EU006</x:v>
      </x:c>
      <x:c r="B150" s="4" t="str">
        <x:v>Lithuania closes Šumskas and Tverečius crossings</x:v>
      </x:c>
      <x:c r="C150" s="4" t="str">
        <x:v>Lithuania; Belarus</x:v>
      </x:c>
      <x:c r="D150" s="4" t="str">
        <x:v>Šumskas; Tverečius
Two of six road crossings</x:v>
      </x:c>
      <x:c r="E150" s="4" t="str">
        <x:v>Light vehicles at Šumskas and Tverečius; Tverečius also handled empty freight trucks. Traffic was redirected to other checkpoints, and four other crossings remained available when these two closed.</x:v>
      </x:c>
      <x:c r="F150" s="4" t="str">
        <x:v>EU006-D1 — Observed operation
Operation of Lithuania's Sumskas and Tverecius road crossings, through October 30 2025 retrospective confirmation.
Start: 2023-08-18.
Last confirmed: 2025-10-30. Reopening is not established.
confirmed through 2025-10-30; at least 804 calendar-day difference; reopening unknown
Later standing-directory check, 2026-10-25: both named posts are listed closed; this does not establish every intervening day of operation.</x:v>
      </x:c>
      <x:c r="G150" s="4" t="str">
        <x:v>Security / Armed conflict and military confrontation
Attributed official justification
Applies to: August 2023 closure
Minister links closure to Wagner relocation and provocation risks.
Security / Smuggling and illicit trafficking
Attributed official justification
Applies to: August 2023 closure and traffic concentration
Government identifies expected anti-smuggling benefit of routing traffic through X-ray-equipped Medininkai; secondary consideration, not sole cause.</x:v>
      </x:c>
      <x:c r="H150" s="4" t="str">
        <x:v>The two named posts closed August 18, 2023. An October 30, 2025 retrospective and the official checkpoint directory inspected in October 2026 retain their closed status; the latter is current standing directory information, not a daily operational history. Light vehicles used both posts and empty freight trucks also used Tverečius. The other four crossings remained available at onset. Exceptional permissions are not comprehensively enumerated.</x:v>
      </x:c>
      <x:c r="I150" s="4" t="str">
        <x:v>Second full-register audit, 26 October 2026: qualified. Fresh government text confirms the two-post closure, light-vehicle/empty-truck scope and attributed Wagner/security rationale. The current directory still lists both posts temporarily closed.</x:v>
      </x:c>
      <x:c r="J150" s="18" t="d">
        <x:v>2026-10-26T00:00:00.000Z</x:v>
      </x:c>
      <x:c r="K150" s="21" t="str">
        <x:f>IFERROR(HYPERLINK("https://vrm.lrv.lt/lt/naujienos/uzdaromi-sumsko-ir-tvereciaus-pasienio-kontroles-punktai/","Lithuanian Ministry of Interior"),"Lithuanian Ministry of Interior")</x:f>
        <x:v>Lithuanian Ministry of Interior</x:v>
      </x:c>
      <x:c r="L150" s="21" t="str">
        <x:f>IFERROR(HYPERLINK("https://vrm.lrv.lt/en/news/the-operation-of-the-lavoriskes-and-raigardas-border-crossing-points-will-be-terminated-from-1-march/","Lithuanian Ministry of Interior"),"Lithuanian Ministry of Interior")</x:f>
        <x:v>Lithuanian Ministry of Interior</x:v>
      </x:c>
      <x:c r="M150" s="21" t="str">
        <x:f>IFERROR(HYPERLINK("https://lrv.lt/en/news/lithuania-to-temporary-close-two-border-checkpoints-with-belarus-on-friday/","lrv.lt"),"lrv.lt")</x:f>
        <x:v>lrv.lt</x:v>
      </x:c>
      <x:c r="N150" s="4" t="str">
        <x:v>https://vrm.lrv.lt/lt/naujienos/uzdaromi-sumsko-ir-tvereciaus-pasienio-kontroles-punktai/
https://vrm.lrv.lt/en/news/the-operation-of-the-lavoriskes-and-raigardas-border-crossing-points-will-be-terminated-from-1-march/
https://lrv.lt/en/news/lithuania-to-temporary-close-two-border-checkpoints-with-belarus-on-friday/
https://www.osw.waw.pl/en/publikacje/analyses/2025-10-30/lithuania-closes-its-border-belarus-a-month?page=1
https://pkpd.lrv.lt/lt/veiklos-sritys/administruojami-pasienio-kontroles-punktai/</x:v>
      </x:c>
      <x:c r="O150" s="4" t="str">
        <x:v>Second full-register audit source access, 26 October 2026
https://vrm.lrv.lt/lt/naujienos/uzdaromi-sumsko-ir-tvereciaus-pasienio-kontroles-punktai/: search extract (fresh retrieval) — Initial body extraction incomplete.
https://lrv.lt/en/news/lithuania-to-temporary-close-two-border-checkpoints-with-belarus-on-friday/: full text (fresh retrieval) — Published August 16; updated August 22.
https://vrm.lrv.lt/en/news/the-operation-of-the-lavoriskes-and-raigardas-border-crossing-points-will-be-terminated-from-1-march/: full text (previously retrieved text re-examined) — March 2024 new closures remain separate.
https://www.osw.waw.pl/en/publikacje/analyses/2025-10-30/lithuania-closes-its-border-belarus-a-month?page=1: full text (fresh retrieval)
https://pkpd.lrv.lt/lt/veiklos-sritys/administruojami-pasienio-kontroles-punktai/: full text (fresh retrieval) — Page updated October 1, 2026; standing directory cannot reconstruct each operating day.
Prior audit access record
Full-register audit source access (evidence cutoff 25 October 2026)
https://lrv.lt/en/news/lithuania-to-temporary-close-two-border-checkpoints-with-belarus-on-friday/: full text
https://pkpd.lrv.lt/lt/veiklos-sritys/administruojami-pasienio-kontroles-punktai/: full text
Earlier source URLs not separately listed in this audit’s retrieval log (historical access notes below are not fresh verification):
https://vrm.lrv.lt/lt/naujienos/uzdaromi-sumsko-ir-tvereciaus-pasienio-kontroles-punktai/
https://vrm.lrv.lt/en/news/the-operation-of-the-lavoriskes-and-raigardas-border-crossing-points-will-be-terminated-from-1-march/
https://www.osw.waw.pl/en/publikacje/analyses/2025-10-30/lithuania-closes-its-border-belarus-a-month?page=1
Earlier recorded access
Source 1: full page
Source 2: full page
Source 3: access detail is retained in the source catalogue.</x:v>
      </x:c>
      <x:c r="P150" s="20" t="n">
        <x:v>1</x:v>
      </x:c>
      <x:c r="Q150" s="4" t="str">
        <x:v>Europe</x:v>
      </x:c>
      <x:c r="R150" s="4" t="str">
        <x:v>Included</x:v>
      </x:c>
    </x:row>
    <x:row r="151" ht="409" hidden="0" customHeight="1">
      <x:c r="A151" s="16" t="str">
        <x:v>EU008</x:v>
      </x:c>
      <x:c r="B151" s="4" t="str">
        <x:v>Latvia suspends Silene crossing</x:v>
      </x:c>
      <x:c r="C151" s="4" t="str">
        <x:v>Latvia; Belarus</x:v>
      </x:c>
      <x:c r="D151" s="4" t="str">
        <x:v>Silene
Single road crossing</x:v>
      </x:c>
      <x:c r="E151" s="4" t="str">
        <x:v>Passengers, imports, exports and transit goods
Direction: Both directions
Exceptions: Pāternieki remained operational</x:v>
      </x:c>
      <x:c r="F151" s="4" t="str">
        <x:v>EU008-D1 — Observed operation
Ordinary passenger and goods operation of Silene, through the dated transport-ministry confirmation.
Start: 2023-09-19.
Last confirmed: 2026-08-11. Reopening is not established.
confirmed through 2026-08-11; at least 1057 calendar-day difference; reopening unknown</x:v>
      </x:c>
      <x:c r="G151" s="4" t="str">
        <x:v>Migration / Entry and asylum control
Attributed official justification
Applies to: September 2023 closure
High irregular-entry attempts and need to redeploy officers to green border explicitly motivate suspension.
Security / Espionage and hostile interference
Attributed official justification
Applies to: September 2023 closure
Ministry identifies Belarus efforts to destabilise the frontier as an additional risk; not independently established here.</x:v>
      </x:c>
      <x:c r="H151" s="4" t="str">
        <x:v>EU008-D1: This is evidence-dated persistence of Silene's closure, not a claim of impenetrable border enforcement. Pāternieki's separate July 2026 interruption is not merged. No later status or reopening is inferred.</x:v>
      </x:c>
      <x:c r="I151" s="4" t="str">
        <x:v>Second full-register audit, 26 October 2026: qualified. The Silene closure and dated August 11, 2026 persistence are supported. Fresh official indexed text distinguishes infrastructure investment plans from reopening.</x:v>
      </x:c>
      <x:c r="J151" s="18" t="d">
        <x:v>2026-10-26T00:00:00.000Z</x:v>
      </x:c>
      <x:c r="K151" s="21" t="str">
        <x:f>IFERROR(HYPERLINK("https://www.vid.gov.lv/en/article/operation-silene-border-crossing-point-halted-19-september-2023","Latvian State Revenue Service"),"Latvian State Revenue Service")</x:f>
        <x:v>Latvian State Revenue Service</x:v>
      </x:c>
      <x:c r="L151" s="21" t="str">
        <x:f>IFERROR(HYPERLINK("https://www.sam.gov.lv/lv/jaunums/elektroniska-rindas-rezervacijas-sistema-pie-latvijas-arejas-robezas-devusi-pirmos-rezultatus-noversot-kravas-auto-rindas","Latvian Ministry of Transport"),"Latvian Ministry of Transport")</x:f>
        <x:v>Latvian Ministry of Transport</x:v>
      </x:c>
      <x:c r="M151" s="21" t="str">
        <x:f>IFERROR(HYPERLINK("https://www.reuters.com/world/latvia-closes-border-with-belarus-interior-minister-says-2026-07-31/","reuters.com"),"reuters.com")</x:f>
        <x:v>reuters.com</x:v>
      </x:c>
      <x:c r="N151" s="4" t="str">
        <x:v>https://www.vid.gov.lv/en/article/operation-silene-border-crossing-point-halted-19-september-2023
https://www.sam.gov.lv/lv/jaunums/elektroniska-rindas-rezervacijas-sistema-pie-latvijas-arejas-robezas-devusi-pirmos-rezultatus-noversot-kravas-auto-rindas
https://www.reuters.com/world/latvia-closes-border-with-belarus-interior-minister-says-2026-07-31/
https://www.iem.gov.lv/en/article/government-supports-closure-silene-border-crossing-point-belarus
https://www.iem.gov.lv/lv/jaunums/valdiba-atbalsta-silenes-robezskersosanas-vietas-slegsanu-ar-baltkrieviju
https://www.mk.gov.lv/en/article/government-decides-not-reinstate-operation-silene-border-crossing-point
https://www.vestnesis.lv/op/2026/157.8
https://www.gov.uk/foreign-travel-advice/latvia/safety-and-security</x:v>
      </x:c>
      <x:c r="O151" s="4" t="str">
        <x:v>Second full-register audit source access, 26 October 2026
https://www.vid.gov.lv/en/article/operation-silene-border-crossing-point-halted-19-september-2023: search extract (previously retrieved text re-examined) — Fresh direct request timed out; actual cached indexed text inspected, not full page.
https://www.sam.gov.lv/lv/jaunums/elektroniska-rindas-rezervacijas-sistema-pie-latvijas-arejas-robezas-devusi-pirmos-rezultatus-noversot-kravas-auto-rindas: search extract (fresh retrieval) — Direct request timed out; substantive indexed extract.
https://www.iem.gov.lv/en/article/government-supports-closure-silene-border-crossing-point-belarus: search extract (fresh retrieval) — Direct request timed out; substantive indexed text.
https://www.gov.uk/foreign-travel-advice/latvia/safety-and-security: full text (fresh retrieval) — Standing guidance is not a new onset or traffic log.
Earlier URLs not separately inspected in this second assessment:
https://www.reuters.com/world/latvia-closes-border-with-belarus-interior-minister-says-2026-07-31/
https://www.iem.gov.lv/lv/jaunums/valdiba-atbalsta-silenes-robezskersosanas-vietas-slegsanu-ar-baltkrieviju
https://www.mk.gov.lv/en/article/government-decides-not-reinstate-operation-silene-border-crossing-point
https://www.vestnesis.lv/op/2026/157.8
Prior audit access record
Full-register audit source access (evidence cutoff 25 October 2026)
https://www.vid.gov.lv/en/article/operation-silene-border-crossing-point-halted-19-september-2023: search extract — Direct customs page timed out
https://www.gov.uk/foreign-travel-advice/latvia/safety-and-security: full text
Earlier source URLs not separately listed in this audit’s retrieval log (historical access notes below are not fresh verification):
https://www.sam.gov.lv/lv/jaunums/elektroniska-rindas-rezervacijas-sistema-pie-latvijas-arejas-robezas-devusi-pirmos-rezultatus-noversot-kravas-auto-rindas
https://www.reuters.com/world/latvia-closes-border-with-belarus-interior-minister-says-2026-07-31/
https://www.iem.gov.lv/en/article/government-supports-closure-silene-border-crossing-point-belarus
https://www.iem.gov.lv/lv/jaunums/valdiba-atbalsta-silenes-robezskersosanas-vietas-slegsanu-ar-baltkrieviju
https://www.mk.gov.lv/en/article/government-decides-not-reinstate-operation-silene-border-crossing-point
https://www.vestnesis.lv/op/2026/157.8
Earlier recorded access
Source 1: full page
Source 2: full page
Source 3: access detail is retained in the source catalogue.</x:v>
      </x:c>
      <x:c r="P151" s="20" t="n">
        <x:v>1</x:v>
      </x:c>
      <x:c r="Q151" s="4" t="str">
        <x:v>Europe</x:v>
      </x:c>
      <x:c r="R151" s="4" t="str">
        <x:v>Included</x:v>
      </x:c>
    </x:row>
    <x:row r="152" ht="409" hidden="0" customHeight="1">
      <x:c r="A152" s="16" t="str">
        <x:v>EU001</x:v>
      </x:c>
      <x:c r="B152" s="4" t="str">
        <x:v>Finland staged closure of eastern road crossings, November–December 2023</x:v>
      </x:c>
      <x:c r="C152" s="4" t="str">
        <x:v>Finland; Russia</x:v>
      </x:c>
      <x:c r="D152" s="4" t="str">
        <x:v>Vaalimaa; Nuijamaa; Imatra; Niirala; Kuusamo; Salla; Vartius; Raja-Jooseppi
Road border crossings, progressively all eight</x:v>
      </x:c>
      <x:c r="E152" s="4" t="str">
        <x:v>Passenger and road goods movement at closed posts
Direction: Both directions
Exceptions: Vainikkala freight railway; road posts still open during staged onset</x:v>
      </x:c>
      <x:c r="F152" s="4" t="str">
        <x:v>EU001-D1 — Observed operation
Finland's Vaalimaa and Niirala road crossings, to their temporary December 14 reopening.
Start: 2023-11-18.
Observed scoped reopening: 2023-12-14.
26 calendar-day difference; scoped endpoint only
EU001-C7P1 — Formal policy
Finnish road-post closure at Imatra, Nuijamaa
Start: 2023-11-18.
Policy endpoint: 2023-12-15.
Formal policy: 27 calendar-day difference; operational continuity not established
EU001-C7P2 — Formal policy
Finnish road-post closure at Kuusamo, Salla, Vartius
Start: 2023-11-24.
Policy endpoint: 2023-12-15.
Formal policy: 21 calendar-day difference; operational continuity not established
EU001-C7P3 — Formal policy
Finnish road-post closure at Raja-Jooseppi
Start: 2023-11-30.
Policy endpoint: 2023-12-15.
Formal policy: 15 calendar-day difference; operational continuity not established</x:v>
      </x:c>
      <x:c r="G152" s="4" t="str">
        <x:v>Migration / Entry and asylum control
Attributed official justification
Applies to: Recorded episode; exact overlap not separately established
The recorded rationale and claim assessment support the selected subcategories. All applicable broad categories are retained together; no primary rationale is imposed.
Security / Espionage and hostile interference
Attributed official justification
Applies to: Recorded episode; exact overlap not separately established
The recorded rationale and claim assessment support the selected subcategories. All applicable broad categories are retained together; no primary rationale is imposed.</x:v>
      </x:c>
      <x:c r="H152" s="4" t="str">
        <x:v>EU001-D1: The other six posts have different start/end histories. Vainikkala freight rail continued. The renewed December 15 closure is a separate episode and must not be bridged across the temporary opening.
EU001-C7P1: December 15 is only a legal handoff to EU002, not reopening. These posts did not share the December 14 opening at Vaalimaa/Niirala; freight rail remains excluded.
EU001-C7P2: December 15 is only a legal handoff to EU002, not reopening. These posts did not share the December 14 opening at Vaalimaa/Niirala; freight rail remains excluded.
EU001-C7P3: December 15 is only a legal handoff to EU002, not reopening. These posts did not share the December 14 opening at Vaalimaa/Niirala; freight rail remains excluded.
Contemporary passenger evidence recovered in the second audit: Yle’s December 14 report records arrivals at both reopened posts that day. Its Russian-language morning report, inspected as a substantive indexed extract, reports 324 people travelling into Russia and 124 into Finland via Vaalimaa by 08:00, and Niirala opening at 08:00. UNN reproduces the border-guard statement and Yle observations. These reports support the existing December 14 scoped endpoint; they do not establish first-vehicle timestamps for every traffic category. The Finnish Food Authority also reports restored animal and plant border checks. The December 15 reclosure remains a separate episode.</x:v>
      </x:c>
      <x:c r="I152" s="4" t="str">
        <x:v>Second full-register audit, 26 October 2026: additional source-audited corrections incorporated. See the phase, scope and qualification columns for the accepted findings.</x:v>
      </x:c>
      <x:c r="J152" s="18" t="d">
        <x:v>2026-10-26T00:00:00.000Z</x:v>
      </x:c>
      <x:c r="K152" s="21" t="str">
        <x:f>IFERROR(HYPERLINK("https://valtioneuvosto.fi/en/situation-at-finlands-eastern-border?embed=true","Finnish Government"),"Finnish Government")</x:f>
        <x:v>Finnish Government</x:v>
      </x:c>
      <x:c r="L152" s="21" t="str">
        <x:f>IFERROR(HYPERLINK("https://valtioneuvosto.fi/-/1410869/koko-suomen-itaraja-suljetaan-uudelleen?languageId=en_US","Finnish Ministry of the Interior"),"Finnish Ministry of the Interior")</x:f>
        <x:v>Finnish Ministry of the Interior</x:v>
      </x:c>
      <x:c r="M152" s="21" t="str">
        <x:f>IFERROR(HYPERLINK("https://valtioneuvosto.fi/en/-/2912305/the-temporary-traffic-restrictions-at-the-eastern-border-to-continue-vaalimaa-and-niirala-will-open-on-14-december-2023","Finnish Customs / Finnish Government portal"),"Finnish Customs / Finnish Government portal")</x:f>
        <x:v>Finnish Customs / Finnish Government portal</x:v>
      </x:c>
      <x:c r="N152" s="4" t="str">
        <x:v>https://valtioneuvosto.fi/en/situation-at-finlands-eastern-border?embed=true
https://valtioneuvosto.fi/-/1410869/koko-suomen-itaraja-suljetaan-uudelleen?languageId=en_US
https://valtioneuvosto.fi/en/-/2912305/the-temporary-traffic-restrictions-at-the-eastern-border-to-continue-vaalimaa-and-niirala-will-open-on-14-december-2023
https://valtioneuvosto.fi/en/-/10616/government-decides-to-close-the-border-in-southeast-finland
https://valtioneuvosto.fi/en/-/162752825/all-border-crossing-points-for-road-traffic-at-the-eastern-border-closed-again-as-of-20.00-on-15-december
https://valtioneuvosto.fi/en/-/2912305/the-border-crossing-points-of-kuusamo-salla-and-vartius-at-the-eastern-border-will-be-closing-on-24-november-2023-border-crossings-will-be-centralised-at-raja-jooseppi
https://valtioneuvosto.fi/-/44957406/valtioneuvosto-koko-suomen-itaraja-suljetaan?languageId=en_US
https://valtioneuvosto.fi/en/-/2912305/border-crossing-points-of-vaalimaa-nuijamaa-imatra-and-niirala-are-closed-as-of-18-november-2023
https://valtioneuvosto.fi/en/-/2912305/traffic-across-the-eastern-border-to-end-temporarily-as-of-30-november-2023
https://www.ruokavirasto.fi/en/themes/import-and-export/uutiset/border-checks-of-animals-animal-products-and-plants-are-now-conducted-normally-in-vaalimaa-and-niirala/
https://valtioneuvosto.fi/suomen-itarajan-tilanne
https://yle.fi/a/74-20065117
https://yle.fi/a/74-20064986
https://unn.ua/en/news/finland-reopens-two-checkpoints-on-the-border-with-russia</x:v>
      </x:c>
      <x:c r="O152" s="4" t="str">
        <x:v>Second full-register audit source access, 26 October 2026
https://valtioneuvosto.fi/en/-/2912305/border-crossing-points-of-vaalimaa-nuijamaa-imatra-and-niirala-are-closed-as-of-18-november-2023: search extract (fresh retrieval) — Direct 403; indexed substantive text.
https://valtioneuvosto.fi/en/-/2912305/the-border-crossing-points-of-kuusamo-salla-and-vartius-at-the-eastern-border-will-be-closing-on-24-november-2023-border-crossings-will-be-centralised-at-raja-jooseppi: search extract (fresh retrieval) — Fresh page initially returned navigation; substantive indexed body inspected.
https://valtioneuvosto.fi/en/-/2912305/traffic-across-the-eastern-border-to-end-temporarily-as-of-30-november-2023: search extract (fresh retrieval) — Indexed body; subsequent direct request 403.
https://valtioneuvosto.fi/en/-/2912305/the-temporary-traffic-restrictions-at-the-eastern-border-to-continue-vaalimaa-and-niirala-will-open-on-14-december-2023: search extract (fresh retrieval) — Indexed text after 403.
https://valtioneuvosto.fi/en/-/10616/government-decides-to-close-the-border-in-southeast-finland: search extract (fresh retrieval) — Indexed text after 403.
https://yle.fi/a/74-20065117: full text (fresh retrieval)
https://yle.fi/a/74-20064986: search extract (fresh retrieval) — Direct robots block; substantive indexed text inspected.
https://unn.ua/en/news/finland-reopens-two-checkpoints-on-the-border-with-russia: full text (fresh retrieval) — Derivative of named primary reporting, not independent origin.
https://www.ruokavirasto.fi/en/themes/import-and-export/uutiset/border-checks-of-animals-animal-products-and-plants-are-now-conducted-normally-in-vaalimaa-and-niirala/: full text (fresh retrieval) — December 15 notice repeats superseded January plan; does not negate same-day reclosure.
Earlier URLs not separately inspected in this second assessment:
https://valtioneuvosto.fi/en/situation-at-finlands-eastern-border?embed=true
https://valtioneuvosto.fi/-/1410869/koko-suomen-itaraja-suljetaan-uudelleen?languageId=en_US
https://valtioneuvosto.fi/en/-/162752825/all-border-crossing-points-for-road-traffic-at-the-eastern-border-closed-again-as-of-20.00-on-15-december
https://valtioneuvosto.fi/-/44957406/valtioneuvosto-koko-suomen-itaraja-suljetaan?languageId=en_US
https://valtioneuvosto.fi/suomen-itarajan-tilanne
Prior audit access record
Full-register audit source access (evidence cutoff 25 October 2026)
https://valtioneuvosto.fi/en/-/10616/government-decides-to-close-the-border-in-southeast-finland: search extract — Substantive indexed passage; not complete direct-page inspection.
https://valtioneuvosto.fi/en/-/2912305/traffic-across-the-eastern-border-to-end-temporarily-as-of-30-november-2023: search extract — Substantive indexed passage; not complete direct-page inspection.
https://valtioneuvosto.fi/en/-/2912305/the-temporary-traffic-restrictions-at-the-eastern-border-to-continue-vaalimaa-and-niirala-will-open-on-14-december-2023: search extract — Substantive indexed passage; not complete direct-page inspection.
https://valtioneuvosto.fi/-/1410869/koko-suomen-itaraja-suljetaan-uudelleen?languageId=en_US: search extract — Substantive indexed passage; not complete direct-page inspection.
https://valtioneuvosto.fi/en/-/162752825/all-border-crossing-points-for-road-traffic-at-the-eastern-border-closed-again-as-of-20.00-on-15-december: search extract — Substantive indexed passage; not complete direct-page inspection.
Earlier source URLs not separately listed in this audit’s retrieval log (historical access notes below are not fresh verification):
https://valtioneuvosto.fi/en/situation-at-finlands-eastern-border?embed=true
https://valtioneuvosto.fi/en/-/2912305/the-border-crossing-points-of-kuusamo-salla-and-vartius-at-the-eastern-border-will-be-closing-on-24-november-2023-border-crossings-will-be-centralised-at-raja-jooseppi
https://valtioneuvosto.fi/-/44957406/valtioneuvosto-koko-suomen-itaraja-suljetaan?languageId=en_US
https://valtioneuvosto.fi/en/-/2912305/border-crossing-points-of-vaalimaa-nuijamaa-imatra-and-niirala-are-closed-as-of-18-november-2023
https://www.ruokavirasto.fi/en/themes/import-and-export/uutiset/border-checks-of-animals-animal-products-and-plants-are-now-conducted-normally-in-vaalimaa-and-niirala/
https://valtioneuvosto.fi/suomen-itarajan-tilanne
Earlier recorded access
Source 1: search extract
Source 2: partial metadata
Source 3: indexed extract</x:v>
      </x:c>
      <x:c r="P152" s="20" t="n">
        <x:v>4</x:v>
      </x:c>
      <x:c r="Q152" s="4" t="str">
        <x:v>Europe</x:v>
      </x:c>
      <x:c r="R152" s="4" t="str">
        <x:v>Included</x:v>
      </x:c>
    </x:row>
    <x:row r="153" ht="409" hidden="0" customHeight="1">
      <x:c r="A153" s="16" t="str">
        <x:v>EU002</x:v>
      </x:c>
      <x:c r="B153" s="4" t="str">
        <x:v>Finland renewed full road-crossing closure with Russia</x:v>
      </x:c>
      <x:c r="C153" s="4" t="str">
        <x:v>Finland; Russia</x:v>
      </x:c>
      <x:c r="D153" s="4" t="str">
        <x:v>Vaalimaa; Niirala; Imatra; Kuusamo; Nuijamaa; Raja-Jooseppi; Salla; Vartius
All eight eastern road crossings</x:v>
      </x:c>
      <x:c r="E153" s="4" t="str">
        <x:v>People and road goods
Direction: Both directions
Exceptions: Vainikkala freight railway continued; asylum applications redirected to open air/sea posts</x:v>
      </x:c>
      <x:c r="F153" s="4" t="str">
        <x:v>EU002-D1 — Observed operation
Finland’s eastern land-border crossing points for road traffic under the renewed closure.
Start: 2023-12-15.
Last confirmed: 2026-06-04. Reopening is not established.
confirmed through 2026-06-04; at least 902 calendar-day difference; reopening unknown
Separate standing-status observation, checked October 26, 2026: Finnish government guidance and UK travel advice continue to describe the land border crossing points as closed until further notice. This check is not a new closure onset or an exact duration endpoint.</x:v>
      </x:c>
      <x:c r="G153" s="4" t="str">
        <x:v>Migration / Entry and asylum control
Reported reason
Applies to: Recorded episode; exact overlap not separately established
The recorded rationale and claim assessment support the selected subcategories. All applicable broad categories are retained together; no primary rationale is imposed.
Security / Espionage and hostile interference
Reported reason
Applies to: Recorded episode; exact overlap not separately established
The recorded rationale and claim assessment support the selected subcategories. All applicable broad categories are retained together; no primary rationale is imposed.</x:v>
      </x:c>
      <x:c r="H153" s="4" t="str">
        <x:v>EU002-D1: This is a lower bound, not a reopening date. Railway freight is outside scope. The June 4, 2026 decision states that the road-post closure had continued since December 15, 2023. A separate standing-guidance check on October 26, 2026 still describes the land crossing points as closed; it does not add daily operational observations. The government’s September 3, 2026 proposal to extend the Border Security Act concerns a separate legal instrument and is not treated as a new crossing closure or reopening.</x:v>
      </x:c>
      <x:c r="I153" s="4" t="str">
        <x:v>Second full-register audit, 26 October 2026: additional source-audited corrections incorporated. See the phase, scope and qualification columns for the accepted findings.</x:v>
      </x:c>
      <x:c r="J153" s="18" t="d">
        <x:v>2026-10-26T00:00:00.000Z</x:v>
      </x:c>
      <x:c r="K153" s="21" t="str">
        <x:f>IFERROR(HYPERLINK("https://valtioneuvosto.fi/-/1410869/koko-suomen-itaraja-suljetaan-uudelleen?languageId=en_US","Finnish Ministry of the Interior"),"Finnish Ministry of the Interior")</x:f>
        <x:v>Finnish Ministry of the Interior</x:v>
      </x:c>
      <x:c r="L153" s="21" t="str">
        <x:f>IFERROR(HYPERLINK("https://valtioneuvosto.fi/en/-/162752825/all-border-crossing-points-for-road-traffic-at-the-eastern-border-closed-again-as-of-20.00-on-15-december","Finnish Government"),"Finnish Government")</x:f>
        <x:v>Finnish Government</x:v>
      </x:c>
      <x:c r="M153" s="21" t="str">
        <x:f>IFERROR(HYPERLINK("https://valtioneuvosto.fi/-/1410869/itaraja-pysyy-suljettuna-toistaiseksi?languageId=en_US","Finnish Ministry of the Interior / Government"),"Finnish Ministry of the Interior / Government")</x:f>
        <x:v>Finnish Ministry of the Interior / Government</x:v>
      </x:c>
      <x:c r="N153" s="4" t="str">
        <x:v>https://valtioneuvosto.fi/-/1410869/koko-suomen-itaraja-suljetaan-uudelleen?languageId=en_US
https://valtioneuvosto.fi/en/-/162752825/all-border-crossing-points-for-road-traffic-at-the-eastern-border-closed-again-as-of-20.00-on-15-december
https://valtioneuvosto.fi/-/1410869/itaraja-pysyy-suljettuna-toistaiseksi?languageId=en_US
https://finlandabroad.fi/web/som/current-affairs/-/asset_publisher/h5w4iTUJhNne/content/koko-suomen-itaraja-suljetaan-uudelleen-2/384951
https://ebs.publicnow.com/view/50A3F25039DC13832F417C19E2516F1230D09AA7
https://www.globalsecurity.org/military/library/news/2026/06/mil-260604-fingov01.htm
https://valtioneuvosto.fi/en/-/2912305/border-crossing-points-on-the-eastern-border-remain-closed-1
https://valtioneuvosto.fi/en/-/1410869/finland-s-eastern-border-to-remain-closed-until-further-notice-2?languageId=fi_FI
https://valtioneuvosto.fi/paatokset/paatos?decisionId=6494
https://www.gov.uk/foreign-travel-advice/finland/entry-requirements
https://valtioneuvosto.fi/situation-at-finlands-eastern-border</x:v>
      </x:c>
      <x:c r="O153" s="4" t="str">
        <x:v>Second full-register audit source access, 26 October 2026
https://valtioneuvosto.fi/en/-/162752825/all-border-crossing-points-for-road-traffic-at-the-eastern-border-closed-again-as-of-20.00-on-15-december: search extract (fresh retrieval) — Indexed body; direct 403.
https://valtioneuvosto.fi/-/1410869/itaraja-pysyy-suljettuna-toistaiseksi?languageId=en_US: search extract (fresh retrieval) — Direct 403; substantive indexed statement.
https://valtioneuvosto.fi/paatokset/paatos?decisionId=6494: search extract (previously retrieved text re-examined) — Cached substantive indexed legal text independently inspected; no new onset.
https://www.gov.uk/foreign-travel-advice/finland/entry-requirements: full text (fresh retrieval) — No publication-specific operational clock; check date is not closure onset.
https://valtioneuvosto.fi/situation-at-finlands-eastern-border: search extract (fresh retrieval) — Substantive indexed current text; direct 403.
Earlier URLs not separately inspected in this second assessment:
https://valtioneuvosto.fi/-/1410869/koko-suomen-itaraja-suljetaan-uudelleen?languageId=en_US
https://finlandabroad.fi/web/som/current-affairs/-/asset_publisher/h5w4iTUJhNne/content/koko-suomen-itaraja-suljetaan-uudelleen-2/384951
https://ebs.publicnow.com/view/50A3F25039DC13832F417C19E2516F1230D09AA7
https://www.globalsecurity.org/military/library/news/2026/06/mil-260604-fingov01.htm
https://valtioneuvosto.fi/en/-/2912305/border-crossing-points-on-the-eastern-border-remain-closed-1
https://valtioneuvosto.fi/en/-/1410869/finland-s-eastern-border-to-remain-closed-until-further-notice-2?languageId=fi_FI
Prior audit access record
Full-register audit source access (evidence cutoff 25 October 2026)
https://valtioneuvosto.fi/en/-/162752825/all-border-crossing-points-for-road-traffic-at-the-eastern-border-closed-again-as-of-20.00-on-15-december: search extract — Substantive indexed passage; not complete direct-page inspection.
https://valtioneuvosto.fi/en/-/1410869/finland-s-eastern-border-to-remain-closed-until-further-notice-2?languageId=fi_FI: search extract — Substantive indexed passage; not complete direct-page inspection.
https://valtioneuvosto.fi/paatokset/paatos?decisionId=6494: search extract — Substantive indexed passage; not complete direct-page inspection.
https://www.gov.uk/foreign-travel-advice/finland/entry-requirements: full text
Earlier source URLs not separately listed in this audit’s retrieval log (historical access notes below are not fresh verification):
https://valtioneuvosto.fi/-/1410869/koko-suomen-itaraja-suljetaan-uudelleen?languageId=en_US
https://valtioneuvosto.fi/-/1410869/itaraja-pysyy-suljettuna-toistaiseksi?languageId=en_US
https://finlandabroad.fi/web/som/current-affairs/-/asset_publisher/h5w4iTUJhNne/content/koko-suomen-itaraja-suljetaan-uudelleen-2/384951
https://ebs.publicnow.com/view/50A3F25039DC13832F417C19E2516F1230D09AA7
https://www.globalsecurity.org/military/library/news/2026/06/mil-260604-fingov01.htm
https://valtioneuvosto.fi/en/-/2912305/border-crossing-points-on-the-eastern-border-remain-closed-1
Earlier recorded access
Source 1: search extract
Source 2: unavailable
Source 3: indexed extract</x:v>
      </x:c>
      <x:c r="P153" s="20" t="n">
        <x:v>1</x:v>
      </x:c>
      <x:c r="Q153" s="4" t="str">
        <x:v>Europe</x:v>
      </x:c>
      <x:c r="R153" s="4" t="str">
        <x:v>Included</x:v>
      </x:c>
    </x:row>
    <x:row r="154" ht="409" hidden="0" customHeight="1">
      <x:c r="A154" s="16" t="str">
        <x:v>EU007</x:v>
      </x:c>
      <x:c r="B154" s="4" t="str">
        <x:v>Lithuania closes Lavoriškės and Raigardas and restricts remaining crossings</x:v>
      </x:c>
      <x:c r="C154" s="4" t="str">
        <x:v>Lithuania; Belarus; Russia (Kaliningrad — railway boarding/alighting only)</x:v>
      </x:c>
      <x:c r="D154" s="4" t="str">
        <x:v>Lavoriškės; Raigardas; Medininkai; Šalčininkai; Kena; Kybartai
Two further Lithuania–Belarus road posts closed; pedestrian/cycle restrictions at the remaining road posts; passenger boarding/alighting restricted at Kena (Belarus route) and Kybartai (Russia/Kaliningrad route). Transit trains were not thereby prohibited.</x:v>
      </x:c>
      <x:c r="E154" s="4" t="str">
        <x:v>Goods, vehicles and people at two closed posts; pedestrians/cyclists at remaining posts
Direction: Both directions
Exceptions: Medininkai and Salcininkai remained open for vehicles; exceptional railway boarding permissions</x:v>
      </x:c>
      <x:c r="F154" s="4" t="str">
        <x:v>EU007-R1 — Observed operation
Lavoriškės and Raigardas road crossing operations on Lithuania–Belarus frontier
Start: 2024-03-01.
Last confirmed: 2025-10-30. Reopening is not established.
confirmed through 2025-10-30; at least 608 calendar-day difference; reopening unknown
EU007-C7P1 — Formal policy
Pedestrian and cycle passage at Medininkai and Šalčininkai road posts
Start: 2024-03-01.
Policy retained from 2025-11-20 in the government decision announced 2025-11-19.
Last confirmed legal scope: 2025-11-20. Reopening is not established.
Formal policy: dated evidence; numeric duration withheld; see qualification
EU007-C7P2 — Formal policy
Passenger boarding/alighting at Kena and Kybartai railway border posts
Start: 2024-03-01.
Last confirmed: 2024-03-01. Reopening is not established.
Formal policy: dated evidence; numeric duration withheld; see qualification</x:v>
      </x:c>
      <x:c r="G154" s="4" t="str">
        <x:v>Security / Smuggling and illicit trafficking
Attributed official justification
Applies to: Recorded episode; exact overlap not separately established
The recorded reasons explicitly include smuggling, sanctions enforcement, traffic safety and intelligence risks. All four are retained instead of selecting one dominant motive.
Security / Espionage and hostile interference
Attributed official justification
Applies to: Recorded episode; exact overlap not separately established
The recorded reasons explicitly include smuggling, sanctions enforcement, traffic safety and intelligence risks. All four are retained instead of selecting one dominant motive.
Security / Public order and immediate safety
Attributed official justification
Applies to: Recorded episode; exact overlap not separately established
The recorded reasons explicitly include smuggling, sanctions enforcement, traffic safety and intelligence risks. All four are retained instead of selecting one dominant motive.
Interstate disputes and pressure / Sanctions and coercive pressure
Attributed official justification
Applies to: Recorded episode; exact overlap not separately established
The recorded reasons explicitly include smuggling, sanctions enforcement, traffic safety and intelligence risks. All four are retained instead of selecting one dominant motive.</x:v>
      </x:c>
      <x:c r="H154" s="4" t="str">
        <x:v>EU007-R1: 30 October is observation, not reopening. Other crossings' 2025 restrictions and later restoration do not reopen these two; exemptions/pedestrian rules elsewhere require separate phases.
EU007-C7P1: The government decision announced on 19 November 2025 retained vehicle-only passage when Medininkai and Šalčininkai reopened from 20 November. This is later confirmation of the legal pedestrian/cycle restriction, not physical observation of every traveller or reopening of the two other posts.
EU007-C7P2: Kena concerns Belarus; Kybartai concerns Russia/Kaliningrad. Transit trains are not thereby prohibited. No later endpoint established. The announcement expressly allows exceptional boarding/alighting cases decided by the State Border Guard Service.</x:v>
      </x:c>
      <x:c r="I154" s="4" t="str">
        <x:v>Second full-register audit, 26 October 2026: additional source-audited corrections incorporated. See the phase, scope and qualification columns for the accepted findings.</x:v>
      </x:c>
      <x:c r="J154" s="18" t="d">
        <x:v>2026-10-26T00:00:00.000Z</x:v>
      </x:c>
      <x:c r="K154" s="21" t="str">
        <x:f>IFERROR(HYPERLINK("https://vrm.lrv.lt/en/news/the-operation-of-the-lavoriskes-and-raigardas-border-crossing-points-will-be-terminated-from-1-march/","Lithuanian Ministry of the Interior"),"Lithuanian Ministry of the Interior")</x:f>
        <x:v>Lithuanian Ministry of the Interior</x:v>
      </x:c>
      <x:c r="L154" s="21" t="str">
        <x:f>IFERROR(HYPERLINK("https://www.osw.waw.pl/en/publikacje/analyses/2025-10-30/lithuania-closes-its-border-belarus-a-month?page=1","OSW"),"OSW")</x:f>
        <x:v>OSW</x:v>
      </x:c>
      <x:c r="M154" s="21" t="str">
        <x:f>IFERROR(HYPERLINK("https://ltsa.lrv.lt/lt/naujienos/nutraukiamos-keliones-autobusais-i-baltarusija-per-lavoriskiu-ir-raigardo-pasienio-punktus/","Lithuania Transport Safety Administration"),"Lithuania Transport Safety Administration")</x:f>
        <x:v>Lithuania Transport Safety Administration</x:v>
      </x:c>
      <x:c r="N154" s="4" t="str">
        <x:v>https://vrm.lrv.lt/en/news/the-operation-of-the-lavoriskes-and-raigardas-border-crossing-points-will-be-terminated-from-1-march/
https://www.osw.waw.pl/en/publikacje/analyses/2025-10-30/lithuania-closes-its-border-belarus-a-month?page=1
https://ltsa.lrv.lt/lt/naujienos/nutraukiamos-keliones-autobusais-i-baltarusija-per-lavoriskiu-ir-raigardo-pasienio-punktus/
https://pkpd.lrv.lt/lt/veiklos-sritys/administruojami-pasienio-kontroles-punktai/
https://lrv.lt/en/news/government-reopens-the-salcininkai-and-medininkai-border-crossing-points-with-belarus-BJy6/
https://ru.mfa.lt/en/travel-and-residence/coming-to-lithuania/entry-of-foreigners-into-lithuania/133</x:v>
      </x:c>
      <x:c r="O154" s="4" t="str">
        <x:v>Second full-register audit source access, 26 October 2026
https://vrm.lrv.lt/en/news/the-operation-of-the-lavoriskes-and-raigardas-border-crossing-points-will-be-terminated-from-1-march/: full text (fresh retrieval)
https://ltsa.lrv.lt/lt/naujienos/nutraukiamos-keliones-autobusais-i-baltarusija-per-lavoriskiu-ir-raigardo-pasienio-punktus/: full text (fresh retrieval)
https://lrv.lt/en/news/government-reopens-the-salcininkai-and-medininkai-border-crossing-points-with-belarus-BJy6/: full text (fresh retrieval)
https://www.osw.waw.pl/en/publikacje/analyses/2025-10-30/lithuania-closes-its-border-belarus-a-month?page=1: full text (fresh retrieval)
https://ru.mfa.lt/en/travel-and-residence/coming-to-lithuania/entry-of-foreigners-into-lithuania/133: search extract (fresh retrieval) — Indexed page updated February 22, 2024; not a new operational observation.
Earlier URLs not separately inspected in this second assessment:
https://pkpd.lrv.lt/lt/veiklos-sritys/administruojami-pasienio-kontroles-punktai/
Prior audit access record
Full-register audit source access (evidence cutoff 25 October 2026)
https://vrm.lrv.lt/en/news/the-operation-of-the-lavoriskes-and-raigardas-border-crossing-points-will-be-terminated-from-1-march/: full text
https://pkpd.lrv.lt/lt/veiklos-sritys/administruojami-pasienio-kontroles-punktai/: full text
https://lrv.lt/en/news/government-reopens-the-salcininkai-and-medininkai-border-crossing-points-with-belarus-BJy6/: full text
Earlier source URLs not separately listed in this audit’s retrieval log (historical access notes below are not fresh verification):
https://www.osw.waw.pl/en/publikacje/analyses/2025-10-30/lithuania-closes-its-border-belarus-a-month?page=1
https://ltsa.lrv.lt/lt/naujienos/nutraukiamos-keliones-autobusais-i-baltarusija-per-lavoriskiu-ir-raigardo-pasienio-punktus/
Earlier recorded access
Source 1: full; indexed excerpt; full text
Source 2: full
Source 3: indexed excerpt</x:v>
      </x:c>
      <x:c r="P154" s="20" t="n">
        <x:v>3</x:v>
      </x:c>
      <x:c r="Q154" s="4" t="str">
        <x:v>Europe</x:v>
      </x:c>
      <x:c r="R154" s="4" t="str">
        <x:v>Included</x:v>
      </x:c>
    </x:row>
    <x:row r="155" ht="330" hidden="0" customHeight="1">
      <x:c r="A155" s="16" t="str">
        <x:v>EU010</x:v>
      </x:c>
      <x:c r="B155" s="4" t="str">
        <x:v>Norway bans nonessential entry by Russian visa holders</x:v>
      </x:c>
      <x:c r="C155" s="4" t="str">
        <x:v>Norway; Russia</x:v>
      </x:c>
      <x:c r="D155" s="4" t="str">
        <x:v>Storskog
External border entry including land route</x:v>
      </x:c>
      <x:c r="E155" s="4" t="str">
        <x:v>Russian nationals seeking tourism/nonessential entry on visitor visas, including other Schengen states’ visas
Direction: Into Norway across the Schengen external border
Exceptions: Qualifying close-family visits, work/study and EEA-family movement; Norwegian visitor visas issued after May 30, 2022; qualifying entry visas/residence permits and local border permits; specified transit, Svalbard, property-maintenance, official, humanitarian/welfare and diplomatic cases. Documentary conditions apply.</x:v>
      </x:c>
      <x:c r="F155" s="4" t="str">
        <x:v>EU010-R1 — Formal policy
Norwegian rejection of Russian citizens arriving for tourism or other non-essential purposes at Storskog under the May 2024 policy, subject to exceptions
Start: 2024-05-29.
Last confirmed: 2024-08-01. Reopening is not established.
Formal policy: confirmed through 2024-08-01; at least 64 calendar-day difference; reopening unknown</x:v>
      </x:c>
      <x:c r="G155" s="4" t="str">
        <x:v>Security / Unspecified security
Reported reason
Applies to: Recorded episode; exact overlap not separately established
The recorded rationale and claim assessment support the selected subcategories. All applicable broad categories are retained together; no primary rationale is imposed.
Interstate disputes and pressure / Diplomatic disputes and retaliation
Reported reason
Applies to: Recorded episode; exact overlap not separately established
The recorded rationale and claim assessment support the selected subcategories. All applicable broad categories are retained together; no primary rationale is imposed.</x:v>
      </x:c>
      <x:c r="H155" s="4" t="str">
        <x:v>EU010-R1: This limits a class of travellers, not operation of Storskog. UDI guidance retrieved October 26, 2026 still sets out the May 29, 2024 rule and the specified exceptions, including permit holders and qualifying Norwegian visas. Entry from another Schengen country is outside this external-border refusal rule. This is a standing-guidance check, not a new operational observation or proof of unchanged enforcement throughout. The separately dated August 1, 2024 status and its calendar-day span are retained. No repeal date was established.</x:v>
      </x:c>
      <x:c r="I155" s="4" t="str">
        <x:v>Second full-register audit, 26 October 2026: additional source-audited corrections incorporated. See the phase, scope and qualification columns for the accepted findings.</x:v>
      </x:c>
      <x:c r="J155" s="18" t="d">
        <x:v>2026-10-26T00:00:00.000Z</x:v>
      </x:c>
      <x:c r="K155" s="21" t="str">
        <x:f>IFERROR(HYPERLINK("https://www.regjeringen.no/en/whats-new/restricting-the-possibilities-of-entry-for-russian-citizens/id3040398/","Norwegian government"),"Norwegian government")</x:f>
        <x:v>Norwegian government</x:v>
      </x:c>
      <x:c r="L155" s="21" t="str">
        <x:f>IFERROR(HYPERLINK("https://www.thebarentsobserver.com/borders/increase-in-bordercrossings/122663","Barents Observer"),"Barents Observer")</x:f>
        <x:v>Barents Observer</x:v>
      </x:c>
      <x:c r="M155" s="21"/>
      <x:c r="N155" s="4" t="str">
        <x:v>https://www.regjeringen.no/en/whats-new/restricting-the-possibilities-of-entry-for-russian-citizens/id3040398/
https://www.thebarentsobserver.com/borders/increase-in-bordercrossings/122663
https://www.udi.no/en/important-messages/information-to-russian-citizens/
https://www.udi.no/en/information-ukraine-and-russia/information-for-russian-nationals/</x:v>
      </x:c>
      <x:c r="O155" s="4" t="str">
        <x:v>Second full-register audit source access, 26 October 2026
https://www.regjeringen.no/en/whats-new/restricting-the-possibilities-of-entry-for-russian-citizens/id3040398/: full text (fresh retrieval)
https://www.thebarentsobserver.com/borders/increase-in-bordercrossings/122663: full text (fresh retrieval)
https://www.udi.no/en/information-ukraine-and-russia/information-for-russian-nationals/: full text (fresh retrieval) — No new dated repeal or continuous enforcement proof.
Earlier URLs not separately inspected in this second assessment:
https://www.udi.no/en/important-messages/information-to-russian-citizens/
Prior audit access record
Full-register audit source access (evidence cutoff 25 October 2026)
https://www.regjeringen.no/en/whats-new/restricting-the-possibilities-of-entry-for-russian-citizens/id3040398/: full text
https://www.udi.no/en/important-messages/information-to-russian-citizens/: full text
Earlier source URLs not separately listed in this audit’s retrieval log (historical access notes below are not fresh verification):
https://www.thebarentsobserver.com/borders/increase-in-bordercrossings/122663
Earlier recorded access
Source 1: full
Source 2: full</x:v>
      </x:c>
      <x:c r="P155" s="20" t="n">
        <x:v>1</x:v>
      </x:c>
      <x:c r="Q155" s="4" t="str">
        <x:v>Europe</x:v>
      </x:c>
      <x:c r="R155" s="4" t="str">
        <x:v>Included</x:v>
      </x:c>
    </x:row>
    <x:row r="156" ht="409" hidden="0" customHeight="1">
      <x:c r="A156" s="16" t="str">
        <x:v>EU005</x:v>
      </x:c>
      <x:c r="B156" s="4" t="str">
        <x:v>Poland shuts remaining Belarus crossings during Zapad 2025</x:v>
      </x:c>
      <x:c r="C156" s="4" t="str">
        <x:v>Poland; Belarus</x:v>
      </x:c>
      <x:c r="D156" s="4" t="str">
        <x:v>Terespol; Kukuryki/Koroszczyn and railway points
Remaining open international road and rail crossings</x:v>
      </x:c>
      <x:c r="E156" s="4" t="str">
        <x:v>Passenger and commercial cross-border traffic
Direction: Both directions
Exceptions: Closure-period exemptions not established</x:v>
      </x:c>
      <x:c r="F156" s="4" t="str">
        <x:v>EU005-D1 — Formal policy
Additional Polish policy closure of the remaining open Belarus road crossings and freight-rail routes during Zapad 2025.
Start: 2025-09-12.
Policy endpoint: 2025-09-25.
Formal policy: 13 calendar-day difference; operational continuity not established
EU005-FA1 — Reported observed road operation
Terespol–Brest passenger vehicles and Kukuryki–Kazlovichy trucks.
Start: 2025-09-12.
Reported observed reopening: 2025-09-25, with vehicles crossing within the first minutes of the day.
Other road closures and first trains on each rail route remain outside this phase.</x:v>
      </x:c>
      <x:c r="G156"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156" s="4" t="str">
        <x:v>The September 25 restoration returned the remaining open routes to the preceding limited regime. Kuźnica and Bobrowniki road crossings remained closed. RFE/RL contemporaneously reports passenger cars at Terespol–Brest and trucks at Kukuryki–Kazlovichy within minutes on September 25. This supports a separate scoped road phase. First-train passage on each restored rail route is not verified by that observation.</x:v>
      </x:c>
      <x:c r="I156" s="4" t="str">
        <x:v>Second full-register audit, 26 October 2026: qualified. The two-phase treatment is justified: official closure/reopening policy covers road and freight rail, while the separately observed September 25 return concerns named road traffic.</x:v>
      </x:c>
      <x:c r="J156" s="18" t="d">
        <x:v>2026-10-26T00:00:00.000Z</x:v>
      </x:c>
      <x:c r="K156" s="21" t="str">
        <x:f>IFERROR(HYPERLINK("https://www.gov.pl/web/mswia-en/poland-has-closed-its-border-with-belarus","Polish Ministry of Interior"),"Polish Ministry of Interior")</x:f>
        <x:v>Polish Ministry of Interior</x:v>
      </x:c>
      <x:c r="L156" s="21" t="str">
        <x:f>IFERROR(HYPERLINK("https://www.gov.pl/web/bialorus/przywrocenie-ruchu-granicznego-na-przejsciach-granicznych-z-republika-bialorusi","Polish Embassy Minsk"),"Polish Embassy Minsk")</x:f>
        <x:v>Polish Embassy Minsk</x:v>
      </x:c>
      <x:c r="M156" s="21" t="str">
        <x:f>IFERROR(HYPERLINK("https://www.gov.pl/web/infrastruktura/25-wrzesnia-zostanie-przywrocony-ruch-graniczny-z-bialorusia","Polish Ministry of Infrastructure"),"Polish Ministry of Infrastructure")</x:f>
        <x:v>Polish Ministry of Infrastructure</x:v>
      </x:c>
      <x:c r="N156" s="4" t="str">
        <x:v>https://www.gov.pl/web/mswia-en/poland-has-closed-its-border-with-belarus
https://www.gov.pl/web/bialorus/przywrocenie-ruchu-granicznego-na-przejsciach-granicznych-z-republika-bialorusi
https://www.gov.pl/web/infrastruktura/25-wrzesnia-zostanie-przywrocony-ruch-graniczny-z-bialorusia
https://strazgraniczna.pl/pl/aktualnosci/14807,Przywrocony-ruch-graniczny-z-Bialorusia.html
https://www.rferl.org/a/poland-belarus-border-reopening-china-trade-routes/33540943.html</x:v>
      </x:c>
      <x:c r="O156" s="4" t="str">
        <x:v>Second full-register audit source access, 26 October 2026
https://www.gov.pl/web/mswia-en/poland-has-closed-its-border-with-belarus: full text (fresh retrieval)
https://www.gov.pl/web/bialorus/przywrocenie-ruchu-granicznego-na-przejsciach-granicznych-z-republika-bialorusi: full text (fresh retrieval)
https://www.gov.pl/web/infrastruktura/25-wrzesnia-zostanie-przywrocony-ruch-graniczny-z-bialorusia: search extract (fresh retrieval) — Not independently relied on for chronology.
https://strazgraniczna.pl/pl/aktualnosci/14807,Przywrocony-ruch-graniczny-z-Bialorusia.html: full text (fresh retrieval) — September 24 prospective notice, not observed first passage.
https://www.rferl.org/a/poland-belarus-border-reopening-china-trade-routes/33540943.html: full text (fresh retrieval) — Report links Belarusian messaging source; rail statement lacks individual first-train observation.
Prior audit access record
Full-register audit source access (evidence cutoff 25 October 2026)
https://www.gov.pl/web/mswia-en/poland-has-closed-its-border-with-belarus: full text
https://strazgraniczna.pl/pl/aktualnosci/14807,Przywrocony-ruch-graniczny-z-Bialorusia.html: full text
https://www.rferl.org/a/poland-belarus-border-reopening-china-trade-routes/33540943.html: full text
Earlier source URLs not separately listed in this audit’s retrieval log (historical access notes below are not fresh verification):
https://www.gov.pl/web/bialorus/przywrocenie-ruchu-granicznego-na-przejsciach-granicznych-z-republika-bialorusi
https://www.gov.pl/web/infrastruktura/25-wrzesnia-zostanie-przywrocony-ruch-graniczny-z-bialorusia
Earlier recorded access
Source 1: full page
Source 2: full page
Source 3: search extract</x:v>
      </x:c>
      <x:c r="P156" s="20" t="n">
        <x:v>2</x:v>
      </x:c>
      <x:c r="Q156" s="4" t="str">
        <x:v>Europe</x:v>
      </x:c>
      <x:c r="R156" s="4" t="str">
        <x:v>Included</x:v>
      </x:c>
    </x:row>
    <x:row r="157" ht="402" hidden="0" customHeight="1">
      <x:c r="A157" s="16" t="str">
        <x:v>EU038</x:v>
      </x:c>
      <x:c r="B157" s="4" t="str">
        <x:v>Estonia shuts transit road through Russia’s Saatse Boot</x:v>
      </x:c>
      <x:c r="C157" s="4" t="str">
        <x:v>Estonia; Russia</x:v>
      </x:c>
      <x:c r="D157" s="4" t="str">
        <x:v>Värska–Ulitina road through Saatse Boot
Special road passage crossing international boundary twice</x:v>
      </x:c>
      <x:c r="E157" s="4" t="str">
        <x:v>Vehicles and buses using special transit road
Direction: Both directions on special transit route
Exceptions: Alternative roads within Estonia; pedestrians were already excluded before closure</x:v>
      </x:c>
      <x:c r="F157" s="4" t="str">
        <x:v>EU038-R1 — Observed operation
Original Värska–Ulitina road transit through the Saatse Boot in Russian territory, blocked by Estonian authorities
Start: 2025-10-10.
Last confirmed: 2026-09-22. Reopening is not established.
Contemporary ERR reporting dated September 22, 2026, republished by RTÉ the next day, describes the original transit road as still closed. The continuing road closure from October 10, 2025 clearly exceeds 24 hours; exact operational duration is not calculated.</x:v>
      </x:c>
      <x:c r="G157"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157" s="4" t="str">
        <x:v>EU038-R1: Permanent describes stated status, not guaranteed indefinite duration. Alternate Estonian bypass opening does not end closure of original road. Exact later permanence-decision boundary not admitted separately. Later ERR reporting dated September 22, 2026 confirms that the original route remains closed while a bypass approaches completion. Its approximate road-length description differs from the government account; this does not identify a different reopening or alter the original route. The report was inspected as a substantive indexed extract; direct RTÉ access failed.</x:v>
      </x:c>
      <x:c r="I157" s="4" t="str">
        <x:v>Second full-register audit, 26 October 2026: additional source-audited corrections incorporated. See the phase, scope and qualification columns for the accepted findings.</x:v>
      </x:c>
      <x:c r="J157" s="18" t="d">
        <x:v>2026-10-26T00:00:00.000Z</x:v>
      </x:c>
      <x:c r="K157" s="21" t="str">
        <x:f>IFERROR(HYPERLINK("https://kriis.ee/en/travelling-crossing-state-border/road-passing-through-saatse-boot","Estonian crisis portal"),"Estonian crisis portal")</x:f>
        <x:v>Estonian crisis portal</x:v>
      </x:c>
      <x:c r="L157" s="21" t="str">
        <x:f>IFERROR(HYPERLINK("https://news.err.ee/1609838157/saatse-boot-environmental-assessment-canceled-to-speed-up-bypass-construction","ERR"),"ERR")</x:f>
        <x:v>ERR</x:v>
      </x:c>
      <x:c r="M157" s="21" t="str">
        <x:f>IFERROR(HYPERLINK("https://www.politsei.ee/en/the-vaerska-saatse-road","Estonian Police and Border Guard Board"),"Estonian Police and Border Guard Board")</x:f>
        <x:v>Estonian Police and Border Guard Board</x:v>
      </x:c>
      <x:c r="N157" s="4" t="str">
        <x:v>https://kriis.ee/en/travelling-crossing-state-border/road-passing-through-saatse-boot
https://news.err.ee/1609838157/saatse-boot-environmental-assessment-canceled-to-speed-up-bypass-construction
https://www.politsei.ee/en/the-vaerska-saatse-road
https://www.kriis.ee/en/travelling-crossing-state-border/road-passing-through-saatse-boot
https://www.rte.ie/news/a-european-perspective/2026/0923/1592616-estonia-border-tourism/</x:v>
      </x:c>
      <x:c r="O157" s="4" t="str">
        <x:v>Second full-register audit source access, 26 October 2026
https://kriis.ee/en/travelling-crossing-state-border/road-passing-through-saatse-boot: full text (fresh retrieval) — Page last updated October 16, 2025; fresh retrieval is not a new dated observation.
https://news.err.ee/1609838157/saatse-boot-environmental-assessment-canceled-to-speed-up-bypass-construction: full text (fresh retrieval)
https://www.rte.ie/news/a-european-perspective/2026/0923/1592616-estonia-border-tourism/: search extract (fresh retrieval) — Substantive indexed body; direct open returned 403. Original ERR report September 22, RTÉ publication September 23.
Earlier URLs not separately inspected in this second assessment:
https://www.politsei.ee/en/the-vaerska-saatse-road
https://www.kriis.ee/en/travelling-crossing-state-border/road-passing-through-saatse-boot
Prior audit access record
Full-register audit source access (evidence cutoff 25 October 2026)
https://kriis.ee/en/travelling-crossing-state-border/road-passing-through-saatse-boot: full text
https://www.politsei.ee/en/the-vaerska-saatse-road: inaccessible
Earlier source URLs not separately listed in this audit’s retrieval log (historical access notes below are not fresh verification):
https://news.err.ee/1609838157/saatse-boot-environmental-assessment-canceled-to-speed-up-bypass-construction
https://www.kriis.ee/en/travelling-crossing-state-border/road-passing-through-saatse-boot
Earlier recorded access
Source 1: full; indexed excerpt
Source 2: full
Source 3: failed</x:v>
      </x:c>
      <x:c r="P157" s="20" t="n">
        <x:v>1</x:v>
      </x:c>
      <x:c r="Q157" s="4" t="str">
        <x:v>Europe</x:v>
      </x:c>
      <x:c r="R157" s="4" t="str">
        <x:v>Included</x:v>
      </x:c>
    </x:row>
    <x:row r="158" ht="409" hidden="0" customHeight="1">
      <x:c r="A158" s="16" t="str">
        <x:v>EU009</x:v>
      </x:c>
      <x:c r="B158" s="4" t="str">
        <x:v>Lithuania closes remaining Belarus posts with exceptions, autumn 2025</x:v>
      </x:c>
      <x:c r="C158" s="4" t="str">
        <x:v>Lithuania; Belarus</x:v>
      </x:c>
      <x:c r="D158" s="4" t="str">
        <x:v>Šalčininkai; Medininkai
Remaining two road crossings; differential restrictions</x:v>
      </x:c>
      <x:c r="E158" s="4" t="str">
        <x:v>General road traffic; Medininkai permitted specified categories
Direction: Both directions with category-specific exemptions
Exceptions: Diplomatic documents/mail; facilitated transit; returning Lithuanians/family and specified other nationality/residence categories</x:v>
      </x:c>
      <x:c r="F158" s="4" t="str">
        <x:v>EU009-D1 — Observed operation
Additional Lithuanian ordinary-road restriction; exempt movement is not treated as fully closed.
Start: 2025-10-30.
Observed scoped reopening: 2025-11-20.
21 calendar-day difference; scoped endpoint only
EU009-R1 — Observed operation
Temporary preventive traffic restriction at Šalčininkai and Medininkai after overnight balloon incident
Start: 2025-10-22, approximately 02:30 local.
Observed scoped reopening: 2025-10-22 at 09:00 local.
Approximately 6.5 hours from reported clocks; less than 24 hours, not a whole-day closure.
EU009-R2 — Observed operation
Ordinary nonexempt road traffic at Šalčininkai and Medininkai before the October 30 formal restriction phase
Start: 2025-10-26.
Policy endpoint: 2025-10-30.
4 calendar-day difference; scoped endpoint only
EU009-R3 — Observed operation
Separate temporary suspension of persons and vehicles at Šalčininkai and Medininkai after another balloon incident
Start: 2025-10-24, approximately 21:30 local.
Observed scoped reopening: 2025-10-25 at 12:00 local.
Approximately 14.5 hours from reported clocks; less than 24 hours. Reopened before the separate October 26 closure.</x:v>
      </x:c>
      <x:c r="G158" s="4" t="str">
        <x:v>Security / Smuggling and illicit trafficking
Attributed official justification
Applies to: October–November 2025 restrictions
Government invokes contraband balloon operations.
Security / Public order and immediate safety
Attributed official justification
Applies to: October 2025 restrictions
Government explicitly invokes risks to civil aviation and public safety.</x:v>
      </x:c>
      <x:c r="H158" s="4" t="str">
        <x:v>EU009-R1: Border-service reports date the first suspension to October 22, 2025 about 02:30, with operation restored at 09:00. The preceding October 21 evening balloon incident is not the land-checkpoint closure onset. This was approximately 6.5 hours.
EU009-R3: A separate recurrence began about 21:30 October 24 and ended at noon October 25, approximately 14.5 hours. Both short spells are below 24 hours; approximate clocks are official operational reports, not individual vehicle logs. Reopened periods must remain between the spells and before October 26.
EU009-R2: The longer restriction began October 26 evening. October 30 is a formal policy transition, not reopening. By October 27, Medininkai permitted listed diplomatic, facilitated-transit and qualifying return/residence categories; no uniform all-traffic closure is asserted.
EU009-D1: Actual November 20 restoration superseded the planned November 30 expiry. Vehicle-only access and pre-existing restrictions remained. Diplomatic documents/mail, facilitated transit and specified nationality, family and residence categories were exceptions to the preceding restriction.
November 20 operational evidence: the LRT/BNS report was directly retrieved in this audit. Its journalist observed early cars and trucks at Medininkai, and the report describes travellers passing in both directions after midnight restoration. This supports actual scoped reopening on November 20 alongside the government decision; it does not identify the exact first vehicle or abolish earlier vehicle-only and cohort restrictions.</x:v>
      </x:c>
      <x:c r="I158" s="4" t="str">
        <x:v>Second full-register audit, 26 October 2026: additional source-audited corrections incorporated. See the phase, scope and qualification columns for the accepted findings.</x:v>
      </x:c>
      <x:c r="J158" s="18" t="d">
        <x:v>2026-10-26T00:00:00.000Z</x:v>
      </x:c>
      <x:c r="K158" s="21" t="str">
        <x:f>IFERROR(HYPERLINK("https://sumin.lrv.lt/en/news/the-salcininkai-and-medininkai-border-checkpoints-with-belarus-are-being-closed-for-one-month-Q0kK/","Lithuanian Transport Ministry / Interior Ministry"),"Lithuanian Transport Ministry / Interior Ministry")</x:f>
        <x:v>Lithuanian Transport Ministry / Interior Ministry</x:v>
      </x:c>
      <x:c r="L158" s="21" t="str">
        <x:f>IFERROR(HYPERLINK("https://lrv.lt/en/news/government-reopens-the-salcininkai-and-medininkai-border-crossing-points-with-belarus-BJy6/","Lithuanian Government"),"Lithuanian Government")</x:f>
        <x:v>Lithuanian Government</x:v>
      </x:c>
      <x:c r="M158" s="21" t="str">
        <x:f>IFERROR(HYPERLINK("https://www.lrt.lt/en/news-in-english/19/2751082/i-can-t-believe-i-m-going-home-travellers-relieved-as-lithuania-reopens-belarus-border","LRT / BNS"),"LRT / BNS")</x:f>
        <x:v>LRT / BNS</x:v>
      </x:c>
      <x:c r="N158" s="4" t="str">
        <x:v>https://sumin.lrv.lt/en/news/the-salcininkai-and-medininkai-border-checkpoints-with-belarus-are-being-closed-for-one-month-Q0kK/
https://lrv.lt/en/news/government-reopens-the-salcininkai-and-medininkai-border-crossing-points-with-belarus-BJy6/
https://www.lrt.lt/en/news-in-english/19/2751082/i-can-t-believe-i-m-going-home-travellers-relieved-as-lithuania-reopens-belarus-border
https://lrv.lt/en/news/lithuania-takes-strict-action-against-smuggling-by-unmanned-means-from-belarus-rZKB/
https://vrm.lrv.lt/en/news/salcininkai-border-checkpoint-closes-only-certain-travelers-allowed-through-medininkai-5cYH/
https://lrv.lt/en/news/the-salcininkai-and-medininkai-border-checkpoints-with-belarus-are-being-closed-for-one-month-0wPG/
https://techrights.org/n/2025/11/21/Links_21_11_2025_Openwashing_at_OSI_and_Fall_of_Freedom_EU.shtml
https://vsat.lrv.lt/lt/naujienos/penktadienio-vakare-uzdaryti-medininku-ir-salcininku-pasienio-kontroles-punktai-JaT/
https://vsat.lrv.lt/lt/naujienos/eismas-per-medininku-ir-salcininku-pasienio-kontroles-punktus-atnaujintas-foto-Huz/</x:v>
      </x:c>
      <x:c r="O158" s="4" t="str">
        <x:v>Second full-register audit source access, 26 October 2026
https://vsat.lrv.lt/lt/naujienos/penktadienio-vakare-uzdaryti-medininku-ir-salcininku-pasienio-kontroles-punktai-JaT/: full text (fresh retrieval)
https://vsat.lrv.lt/lt/naujienos/eismas-per-medininku-ir-salcininku-pasienio-kontroles-punktus-atnaujintas-foto-Huz/: full text (fresh retrieval)
https://vrm.lrv.lt/en/news/salcininkai-border-checkpoint-closes-only-certain-travelers-allowed-through-medininkai-5cYH/: full text (fresh retrieval) — Published October 27; updated October 30.
https://lrv.lt/en/news/the-salcininkai-and-medininkai-border-checkpoints-with-belarus-are-being-closed-for-one-month-0wPG/: full text (fresh retrieval)
https://lrv.lt/en/news/government-reopens-the-salcininkai-and-medininkai-border-crossing-points-with-belarus-BJy6/: full text (fresh retrieval)
https://www.lrt.lt/en/news-in-english/19/2751082/i-can-t-believe-i-m-going-home-travellers-relieved-as-lithuania-reopens-belarus-border: full text (fresh retrieval) — Exact first vehicle not identified; journalist observed Medininkai specifically.
Earlier URLs not separately inspected in this second assessment:
https://sumin.lrv.lt/en/news/the-salcininkai-and-medininkai-border-checkpoints-with-belarus-are-being-closed-for-one-month-Q0kK/
https://lrv.lt/en/news/lithuania-takes-strict-action-against-smuggling-by-unmanned-means-from-belarus-rZKB/
https://techrights.org/n/2025/11/21/Links_21_11_2025_Openwashing_at_OSI_and_Fall_of_Freedom_EU.shtml
Prior audit access record
Full-register audit source access (evidence cutoff 25 October 2026)
https://vrm.lrv.lt/en/news/salcininkai-border-checkpoint-closes-only-certain-travelers-allowed-through-medininkai-5cYH/: search extract
https://lrv.lt/en/news/the-salcininkai-and-medininkai-border-checkpoints-with-belarus-are-being-closed-for-one-month-0wPG/: search extract
https://lrv.lt/en/news/government-reopens-the-salcininkai-and-medininkai-border-crossing-points-with-belarus-BJy6/: full text
https://techrights.org/n/2025/11/21/Links_21_11_2025_Openwashing_at_OSI_and_Fall_of_Freedom_EU.shtml: search extract — Third-party excerpt; direct LRT inaccessible
https://vsat.lrv.lt/lt/naujienos/penktadienio-vakare-uzdaryti-medininku-ir-salcininku-pasienio-kontroles-punktai-JaT/: full text — Approximate start clocks; not individual vehicle logs.
https://vsat.lrv.lt/lt/naujienos/eismas-per-medininku-ir-salcininku-pasienio-kontroles-punktus-atnaujintas-foto-Huz/: full text — Approximate onset; reported operational clocks.
https://lrv.lt/en/news/lithuania-takes-strict-action-against-smuggling-by-unmanned-means-from-belarus-rZKB/: full text — Government summary does not state the border suspension onset clock.
Earlier source URLs not separately listed in this audit’s retrieval log (historical access notes below are not fresh verification):
https://sumin.lrv.lt/en/news/the-salcininkai-and-medininkai-border-checkpoints-with-belarus-are-being-closed-for-one-month-Q0kK/
https://www.lrt.lt/en/news-in-english/19/2751082/i-can-t-believe-i-m-going-home-travellers-relieved-as-lithuania-reopens-belarus-border
Earlier recorded access
Source 1: full text
Source 2: full text
Source 3: indexed extract</x:v>
      </x:c>
      <x:c r="P158" s="20" t="n">
        <x:v>4</x:v>
      </x:c>
      <x:c r="Q158" s="4" t="str">
        <x:v>Europe</x:v>
      </x:c>
      <x:c r="R158" s="4" t="str">
        <x:v>Included</x:v>
      </x:c>
    </x:row>
    <x:row r="159" ht="366" hidden="0" customHeight="1">
      <x:c r="A159" s="16" t="str">
        <x:v>GL09</x:v>
      </x:c>
      <x:c r="B159" s="4" t="str">
        <x:v>DRC election-day national border order with voter exception</x:v>
      </x:c>
      <x:c r="C159" s="4" t="str">
        <x:v>Democratic Republic of the Congo</x:v>
      </x:c>
      <x:c r="D159" s="4" t="str">
        <x:v>Reported national land/lake/river closure</x:v>
      </x:c>
      <x:c r="E159" s="4" t="str">
        <x:v>General crossing restriction, with returning-voter exception at Burundi frontier.
Direction: Not established
Exceptions: Congolese returning from Burundi to vote permitted at Kavimvira.</x:v>
      </x:c>
      <x:c r="F159" s="4" t="str">
        <x:v>GL09-R1 — Announced window
DRC land, lake and river borders under national election-day order
Start: 2018-12-30.
Scheduled endpoint: 2018-12-30.
Ordered window: Same-day episode; no whole-day duration inferred</x:v>
      </x:c>
      <x:c r="G159" s="4" t="str">
        <x:v>Electoral politics / Election administration and security
Attributed official justification
Applies to: Recorded episode; exact overlap not separately established
The recorded rationale and claim assessment support the selected subcategories. All applicable broad categories are retained together; no primary rationale is imposed.</x:v>
      </x:c>
      <x:c r="H159" s="4" t="str">
        <x:v>GL09-R1: Order applies to December 30; clock hours unspecified. Same calendar day is a scheduled window, not measured elapsed time. Airport exemptions and returning-voter passage at Kavimvira retained; physical end unknown.</x:v>
      </x:c>
      <x:c r="I159" s="4" t="str">
        <x:v>Second full-register audit, 26 October 2026: qualified. Fresh order reporting and on-site voting passage support the accepted election-day schedule with a specific Kavimvira return exception. No exact operational shutdown or &gt;24-hour interval emerges.</x:v>
      </x:c>
      <x:c r="J159" s="18" t="d">
        <x:v>2026-10-26T00:00:00.000Z</x:v>
      </x:c>
      <x:c r="K159" s="21" t="str">
        <x:f>IFERROR(HYPERLINK("https://jambordc.info/election-les-frontieres-seront-ferme-ce-30-decembre-en-rdc-officiel/","JamboRDC"),"JamboRDC")</x:f>
        <x:v>JamboRDC</x:v>
      </x:c>
      <x:c r="L159" s="21" t="str">
        <x:f>IFERROR(HYPERLINK("https://www.radiookapi.net/2018/12/30/actualite/politique/des-milliers-de-congolais-vivant-au-burundi-sont-rentres-voter-uvira","Radio Okapi"),"Radio Okapi")</x:f>
        <x:v>Radio Okapi</x:v>
      </x:c>
      <x:c r="M159" s="21" t="str">
        <x:f>IFERROR(HYPERLINK("https://www.africanews.com/2018/12/30/election-in-drc-queues-and-inconvenience-for-a-historic-vote/","Africanews"),"Africanews")</x:f>
        <x:v>Africanews</x:v>
      </x:c>
      <x:c r="N159" s="4" t="str">
        <x:v>https://jambordc.info/election-les-frontieres-seront-ferme-ce-30-decembre-en-rdc-officiel/
https://www.radiookapi.net/2018/12/30/actualite/politique/des-milliers-de-congolais-vivant-au-burundi-sont-rentres-voter-uvira
https://www.africanews.com/2018/12/30/election-in-drc-queues-and-inconvenience-for-a-historic-vote/
https://www.radiookapi.net/node/187991</x:v>
      </x:c>
      <x:c r="O159" s="4" t="str">
        <x:v>Second full-register audit source access, 26 October 2026
https://jambordc.info/election-les-frontieres-seront-ferme-ce-30-decembre-en-rdc-officiel/: full text (fresh retrieval)
https://www.radiookapi.net/node/187991: full text (fresh retrieval)
Earlier URLs not separately inspected in this second assessment:
https://www.radiookapi.net/2018/12/30/actualite/politique/des-milliers-de-congolais-vivant-au-burundi-sont-rentres-voter-uvira
https://www.africanews.com/2018/12/30/election-in-drc-queues-and-inconvenience-for-a-historic-vote/
Prior audit access record
Full-register audit source access (evidence cutoff 25 October 2026)
https://jambordc.info/election-les-frontieres-seront-ferme-ce-30-decembre-en-rdc-officiel/: full text
https://www.radiookapi.net/node/187991: search extract — Original URL timed out on repeat; substantive original-publisher indexed text inspected.
https://www.africanews.com/2018/12/30/election-in-drc-queues-and-inconvenience-for-a-historic-vote/: full text — Page has a later update date; not evidence of reopening.
Earlier source URLs not separately listed in this audit’s retrieval log (historical access notes below are not fresh verification):
https://www.radiookapi.net/2018/12/30/actualite/politique/des-milliers-de-congolais-vivant-au-burundi-sont-rentres-voter-uvira
Earlier recorded access
Source 1: full
Source 2: indexed excerpt
Source 3: full page</x:v>
      </x:c>
      <x:c r="P159" s="20" t="n">
        <x:v>1</x:v>
      </x:c>
      <x:c r="Q159" s="4" t="str">
        <x:v>Great Lakes</x:v>
      </x:c>
      <x:c r="R159" s="4" t="str">
        <x:v>Included</x:v>
      </x:c>
    </x:row>
    <x:row r="160" ht="409" hidden="0" customHeight="1">
      <x:c r="A160" s="16" t="str">
        <x:v>GL01</x:v>
      </x:c>
      <x:c r="B160" s="4" t="str">
        <x:v>Rwanda restriction at Gatuna and on travel to Uganda</x:v>
      </x:c>
      <x:c r="C160" s="4" t="str">
        <x:v>Rwanda; Uganda</x:v>
      </x:c>
      <x:c r="D160" s="4" t="str">
        <x:v>Gatuna/Katuna; selective-permission reporting also names Kagitumba/Mirama Hills, where its detailed interview is situated. Cyanika evidence is contextual, not a claim that every phase applied at every gate.
Gatuna/Katuna crossing; broader restrictions on Rwandan travel to Uganda</x:v>
      </x:c>
      <x:c r="E160" s="4" t="str">
        <x:v>Traders, cargo and passengers; resumption initially prioritised cargo and returnees.
Direction: Rwandan exit to Uganda especially restricted; practical effects on both directions.
Exceptions: Foreigners crossed during 2019 Rwandan departure denials. January 2020 reporting describes selective accepted-reason permission. January 2022 inward cargo, citizens and returning residents were exceptions. Later bus and local-ID travel had different conditions.</x:v>
      </x:c>
      <x:c r="F160" s="4" t="str">
        <x:v>GL01-R1 — Formal policy
Gatuna heavy-truck diversion, regardless of other Uganda–Rwanda routes
Start: 2019-02-28.
Policy endpoint: 2019-06-10.
Contested: Formal policy: dated evidence; numeric duration withheld; see qualification
Held evidence: excluded from numeric duration and animation displays.
GL01-R2 — Observed operation
Renewed Gatuna heavy-truck closure after trial; endpoint limited to cargo resumption
Start: 2019-06-23.
Observed scoped reopening: 2022-01-31.
Contested: dated evidence; numeric duration withheld; see qualification
Held evidence: excluded from numeric duration and animation displays.
GL01-C7RWP1 — Observed operation
Observed denial of Rwandan passenger exit at Gatuna; foreign travelers remained able to cross
Start: unknown.
Denied Rwandan passenger exit is reported for 2019-02-28 and directly observed on 2019-03-01. First onset remains unknown; reopening is not established.
dated evidence; numeric duration withheld; see qualification
GL01-C7RWP2 — Observed operation
Rwandan travel toward Uganda still restricted at Gatuna despite June truck trial
Start: unknown.
Last confirmed: 2019-06-23. Reopening is not established.
dated evidence; numeric duration withheld; see qualification
GL01-C7RWP3 — Observed operation
Selective permission and refusal for Rwandan travel to Uganda, reported at Kagitumba and Gatuna
Start: unknown.
Last confirmed: 2020-01-03. Reopening is not established.
dated evidence; numeric duration withheld; see qualification
GL01-C7RWP4 — Observed operation
Ordinary passenger denials at Gatuna during cargo/returnee reopening
Start: unknown.
Last confirmed: 2022-01-31. Reopening is not established.
dated evidence; numeric duration withheld; see qualification
GL01-C7RWP5 — Observed operation
Observed passenger-bus resumption through Gatuna from Rwanda toward Uganda
Start: unknown.
Observed scoped reopening: 2022-03-07.
dated evidence; numeric duration withheld; see qualification
GL01-C7RWP6 — Observed operation
Reported relaxation of local shopping/trade passage through Gatuna using identity documents
Start: unknown.
Observed scoped reopening: 2022-03-31.
dated evidence; numeric duration withheld; see qualification</x:v>
      </x:c>
      <x:c r="G160" s="4" t="str">
        <x:v>Security / Espionage and hostile interference
Reported reason
Applies to: 2019 passenger restriction and diplomatic context; freight eligibility retains separate qualification
The recorded rationale and claim assessment support the selected subcategories. All applicable broad categories are retained together; no primary rationale is imposed.
Interstate disputes and pressure / Diplomatic disputes and retaliation
Reported reason
Applies to: 2019 passenger restriction and diplomatic context; freight eligibility retains separate qualification
The recorded rationale and claim assessment support the selected subcategories. All applicable broad categories are retained together; no primary rationale is imposed.
Health and biosecurity / Human disease control
Reported reason
Applies to: GL01-C7RWP4 and GL01-C7RWP5; health-related conditions also qualify GL01-C7RWP6
Retain phase-specific codes; do not retroactively label 2019 or freight phases.</x:v>
      </x:c>
      <x:c r="H160" s="4" t="str">
        <x:v>Passenger denial is reported for February 28, 2019 and directly observed on March 1; exact first onset remains unresolved. Dated denials and selective permissions do not establish a continuous 2019–2022 all-traffic closure. Preserve February 28 freight diversion, June 10–22 truck trial, January 31, 2022 cargo/returnee permission, March 7 outgoing bus and later local-shopping relaxation as different scopes. Freight eligibility remains contested; national COVID policy is GL04.
GL01-R1: Formal heavy-truck diversion effective February 28 until June 10 trial permission. RRA officially cited construction; Ugandan officials disputed this and alleged broader passenger denials. Eligibility of a construction-only diversion is not independently established; record remains eligible for documented coercive movement restrictions. Alternative routes remained available; no actual first-trial passage time established.
GL01-R2: Observed June 23 around 01:00 reclosure; January 31 2022 cargo resumption only. URN quotes an unnamed officer citing structural cracks, while reporting broader political allegations and travel restrictions. Political character is contested for the narrowly scoped freight measure; continuity relies on retrospective reporting and overlaps pandemic rules.
GL01-C7RWP1: The EastAfrican March 1 report describes the previous Thursday, February 28, when a Gatuna bus was allowed through after its Rwandan passengers and driver were refused; it also directly observes nationality-selective access on March 1. Neither is necessarily the first onset. Ugandan official accounts indicate earlier restrictions; Kigali officials described an advisory and denied a general closure. Construction claims do not erase the separate passenger evidence.
GL01-C7RWP2: Further dated confirmation, not proof of uninterrupted enforcement since March. August ministerial statement supports continuing advisory language, not universal denial.
GL01-C7RWP3: Last-confirmed is report date, not first relaxation. Roughly two-month retrospective description is not converted to an exact onset. Detailed anonymous interview concerns Kagitumba; introduction names Gatuna. One outlet does not establish uniform gate practice.
GL01-C7RWP4: Date-specific observation; no continuity from 2019 inferred. Cargo, Rwandan citizens and returning residents could enter Rwanda. National COVID policy is GL04; exact political/health overlap unresolved.
GL01-C7RWP5: No reverse passenger vehicle observed by the report’s 17:00 cutoff. Some passengers could not meet testing costs. National permission and this passage do not establish all-gate/group normalization; Cyanika ID travel remained restricted. Onset and continuous duration unknown.
GL01-C7RWP6: Calendar normalization of a dated relative reference, not a retrieved order. Local shopping differs from earlier passenger permission; food limits and changed testing remain. Do not extrapolate to every gate, traveler or commodity; onset and duration unknown.
phase eligibility/motive: Narrow freight-diversion phases have explicit construction/safety explanations as well as disputed political context.
onset: Passenger denial is reported for February 28 and directly observed on March 1, 2019. Earlier Ugandan official reports and the World Bank retrospective March 6 date do not establish a single first day for every gate or traffic class.
continuity: The observations do not establish one uninterrupted 2019–2022 passenger prohibition. Selective permissions existed before COVID; GL04 separately records the overlapping national health policy.</x:v>
      </x:c>
      <x:c r="I160" s="4" t="str">
        <x:v>Second full-register audit, 26 October 2026: additional source-audited corrections incorporated. See the phase, scope and qualification columns for the accepted findings.</x:v>
      </x:c>
      <x:c r="J160" s="18" t="d">
        <x:v>2026-10-26T00:00:00.000Z</x:v>
      </x:c>
      <x:c r="K160" s="21" t="str">
        <x:f>IFERROR(HYPERLINK("https://www.monitor.co.ug/uganda/news/national/rwanda-restricts-trucks-from-uganda-at-border-1810166","Monitor"),"Monitor")</x:f>
        <x:v>Monitor</x:v>
      </x:c>
      <x:c r="L160" s="21" t="str">
        <x:f>IFERROR(HYPERLINK("https://www.xinhuanet.com/english/2019-06/11/c_138131864.htm","Xinhua"),"Xinhua")</x:f>
        <x:v>Xinhua</x:v>
      </x:c>
      <x:c r="M160" s="21" t="str">
        <x:f>IFERROR(HYPERLINK("https://www.monitor.co.ug/uganda/news/national/temporal-opening-of-uganda-rwanda-border-ends--1833388","Monitor"),"Monitor")</x:f>
        <x:v>Monitor</x:v>
      </x:c>
      <x:c r="N160" s="4" t="str">
        <x:v>https://www.monitor.co.ug/uganda/news/national/rwanda-restricts-trucks-from-uganda-at-border-1810166
https://www.xinhuanet.com/english/2019-06/11/c_138131864.htm
https://www.monitor.co.ug/uganda/news/national/temporal-opening-of-uganda-rwanda-border-ends--1833388
https://www.monitor.co.ug/uganda/news/national/kutesa-in-touch-with-rwanda-to-resolve-border-issues-says-opondo-1810262
https://www.independent.co.ug/rage-as-rwanda-closes-gatuna-border-again/
https://www.monitor.co.ug/uganda/news/national/confusion-at-rwanda-uganda-border-crossing-after-reopening-3700712
https://www.theeastafrican.co.ke/tea/news/east-africa/uganda-rwanda-feud-restricts-free-movement-1413406
https://www.ugandaradionetwork.net/story/rwanda-stops-nationals-from-traveling-to-uganda-
https://www.newtimes.co.rw/article/164550/News/rwanda-warns-citizens-against-travel-to-uganda/amp
https://2021-2025.state.gov/reports/2019-country-reports-on-human-rights-practices/rwanda/
https://www.monitor.co.ug/uganda/news/national/rwanda-s-minister-tells-nationals-not-to-travel-to-uganda-1844136
https://chimpreports.com/rwanda-relaxes-border-restrictions-for-people-crossing-to-uganda/
https://www.monitor.co.ug/uganda/news/national/ugandan-travelers-blocked-as-rwanda-reopens-border-after-three-year-closure-3700154
https://www.afro.who.int/countries/rwanda/news/update-covid-19-21-march-2020
https://www.primature.gov.rw/news-detail/statement-on-cabinet-decisions-of-july-29th-2020
https://www.monitor.co.ug/uganda/news/national/excitement-as-gatuna-border-reopened-for-passenger-vehicles-3740484
https://www.ktpress.rw/2022/03/excitement-as-rwanda-reopens-land-borders-after-two-years-of-closure/
https://www.monitor.co.ug/uganda/news/national/rwanda-govt-allows-citizens-to-cross-into-uganda-for-trade--3771690
https://www.ktpress.rw/2022/02/gatuna-border-post-is-open-for-business-but-will-it-be-permanently-or-just-for-now/
https://www.aa.com.tr/en/africa/rwanda-reopens-border-with-uganda-as-neighbors-push-for-thaw-in-relations/2490099
https://www.marketscreener.com/news/latest/Rwanda-re-opens-border-with-Uganda-but-says-grievances-remain-37696463/
https://www.ktpress.rw/2022/01/rwanda-uganda-ties-gatuna-border-to-reopen-january-31/
https://www.ugandaradionetwork.net/story/rwanda-to-open-katuna-border-on-january-31-
https://ugandaradionetwork.net/story/rwanda-uganda-border-temporary-opening-ends?districtId=502
https://www.theeastafrican.co.ke/news/ea/Uganda-Rwanda-feud-restricts-free-movement/4552908-5004842-kvcmba/index.html
https://documents1.worldbank.org/curated/en/099100011142239233/pdf/P1750520411a5e0a60b2830dc9ba332db5e.pdf</x:v>
      </x:c>
      <x:c r="O160" s="4" t="str">
        <x:v>Second full-register audit source access, 26 October 2026
https://www.monitor.co.ug/uganda/news/national/rwanda-restricts-trucks-from-uganda-at-border-1810166: full text (fresh retrieval)
https://www.xinhuanet.com/english/2019-06/11/c_138131864.htm: full text (fresh retrieval)
https://www.independent.co.ug/rage-as-rwanda-closes-gatuna-border-again/: search extract (fresh retrieval) — Body obtained through substantive index after repeated page timeouts
https://www.theeastafrican.co.ke/tea/news/east-africa/uganda-rwanda-feud-restricts-free-movement-1413406: full text (fresh retrieval)
https://www.monitor.co.ug/uganda/news/national/temporal-opening-of-uganda-rwanda-border-ends--1833388: full text (fresh retrieval)
https://chimpreports.com/rwanda-relaxes-border-restrictions-for-people-crossing-to-uganda/: full text (fresh retrieval)
https://www.monitor.co.ug/uganda/news/national/confusion-at-rwanda-uganda-border-crossing-after-reopening-3700712: full text (fresh retrieval)
https://www.monitor.co.ug/uganda/news/national/excitement-as-gatuna-border-reopened-for-passenger-vehicles-3740484: full text (fresh retrieval)
https://www.monitor.co.ug/uganda/news/national/rwanda-govt-allows-citizens-to-cross-into-uganda-for-trade--3771690: full text (fresh retrieval)
Earlier URLs not separately inspected in this second assessment:
https://www.monitor.co.ug/uganda/news/national/kutesa-in-touch-with-rwanda-to-resolve-border-issues-says-opondo-1810262
https://www.ugandaradionetwork.net/story/rwanda-stops-nationals-from-traveling-to-uganda-
https://www.newtimes.co.rw/article/164550/News/rwanda-warns-citizens-against-travel-to-uganda/amp
https://2021-2025.state.gov/reports/2019-country-reports-on-human-rights-practices/rwanda/
https://www.monitor.co.ug/uganda/news/national/rwanda-s-minister-tells-nationals-not-to-travel-to-uganda-1844136
https://www.monitor.co.ug/uganda/news/national/ugandan-travelers-blocked-as-rwanda-reopens-border-after-three-year-closure-3700154
https://www.afro.who.int/countries/rwanda/news/update-covid-19-21-march-2020
https://www.primature.gov.rw/news-detail/statement-on-cabinet-decisions-of-july-29th-2020
https://www.ktpress.rw/2022/03/excitement-as-rwanda-reopens-land-borders-after-two-years-of-closure/
https://www.ktpress.rw/2022/02/gatuna-border-post-is-open-for-business-but-will-it-be-permanently-or-just-for-now/
https://www.aa.com.tr/en/africa/rwanda-reopens-border-with-uganda-as-neighbors-push-for-thaw-in-relations/2490099
https://www.marketscreener.com/news/latest/Rwanda-re-opens-border-with-Uganda-but-says-grievances-remain-37696463/
https://www.ktpress.rw/2022/01/rwanda-uganda-ties-gatuna-border-to-reopen-january-31/
https://www.ugandaradionetwork.net/story/rwanda-to-open-katuna-border-on-january-31-
https://ugandaradionetwork.net/story/rwanda-uganda-border-temporary-opening-ends?districtId=502
https://www.theeastafrican.co.ke/news/ea/Uganda-Rwanda-feud-restricts-free-movement/4552908-5004842-kvcmba/index.html
https://documents1.worldbank.org/curated/en/099100011142239233/pdf/P1750520411a5e0a60b2830dc9ba332db5e.pdf
Prior audit access record
Full-register audit source access (evidence cutoff 25 October 2026)
https://www.monitor.co.ug/uganda/news/national/rwanda-restricts-trucks-from-uganda-at-border-1810166: full text — Supports named scope, not continuous closure.
https://www.xinhuanet.com/english/2019-06/11/c_138131864.htm: full text — Supports named scope, not continuous closure.
https://www.theeastafrican.co.ke/tea/news/east-africa/uganda-rwanda-feud-restricts-free-movement-1413406: full text — Supports named scope, not continuous closure.
https://www.monitor.co.ug/uganda/news/national/temporal-opening-of-uganda-rwanda-border-ends--1833388: full text — Supports named scope, not continuous closure.
https://chimpreports.com/rwanda-relaxes-border-restrictions-for-people-crossing-to-uganda/: search extract — Indexed substantive passage only; full document access failed.
https://www.monitor.co.ug/uganda/news/national/ugandan-travelers-blocked-as-rwanda-reopens-border-after-three-year-closure-3700154: full text — Supports named scope, not continuous closure.
https://www.monitor.co.ug/uganda/news/national/excitement-as-gatuna-border-reopened-for-passenger-vehicles-3740484: full text — Supports named scope, not continuous closure.
https://www.monitor.co.ug/uganda/news/national/rwanda-govt-allows-citizens-to-cross-into-uganda-for-trade--3771690: full text — Supports named scope, not continuous closure.
Earlier source URLs not separately listed in this audit’s retrieval log (historical access notes below are not fresh verification):
https://www.monitor.co.ug/uganda/news/national/kutesa-in-touch-with-rwanda-to-resolve-border-issues-says-opondo-1810262
https://www.independent.co.ug/rage-as-rwanda-closes-gatuna-border-again/
https://www.monitor.co.ug/uganda/news/national/confusion-at-rwanda-uganda-border-crossing-after-reopening-3700712
https://www.ugandaradionetwork.net/story/rwanda-stops-nationals-from-traveling-to-uganda-
https://www.newtimes.co.rw/article/164550/News/rwanda-warns-citizens-against-travel-to-uganda/amp
https://2021-2025.state.gov/reports/2019-country-reports-on-human-rights-practices/rwanda/
https://www.monitor.co.ug/uganda/news/national/rwanda-s-minister-tells-nationals-not-to-travel-to-uganda-1844136
https://www.afro.who.int/countries/rwanda/news/update-covid-19-21-march-2020
https://www.primature.gov.rw/news-detail/statement-on-cabinet-decisions-of-july-29th-2020
https://www.ktpress.rw/2022/03/excitement-as-rwanda-reopens-land-borders-after-two-years-of-closure/
https://www.ktpress.rw/2022/02/gatuna-border-post-is-open-for-business-but-will-it-be-permanently-or-just-for-now/
https://www.aa.com.tr/en/africa/rwanda-reopens-border-with-uganda-as-neighbors-push-for-thaw-in-relations/2490099
https://www.marketscreener.com/news/latest/Rwanda-re-opens-border-with-Uganda-but-says-grievances-remain-37696463/
https://www.ktpress.rw/2022/01/rwanda-uganda-ties-gatuna-border-to-reopen-january-31/
https://www.ugandaradionetwork.net/story/rwanda-to-open-katuna-border-on-january-31-
https://ugandaradionetwork.net/story/rwanda-uganda-border-temporary-opening-ends?districtId=502
https://www.theeastafrican.co.ke/news/ea/Uganda-Rwanda-feud-restricts-free-movement/4552908-5004842-kvcmba/index.html
https://documents1.worldbank.org/curated/en/099100011142239233/pdf/P1750520411a5e0a60b2830dc9ba332db5e.pdf
Earlier recorded access
Source 1: indexed excerpt; full
Source 2: full
Source 3: full</x:v>
      </x:c>
      <x:c r="P160" s="20" t="n">
        <x:v>8</x:v>
      </x:c>
      <x:c r="Q160" s="4" t="str">
        <x:v>Great Lakes</x:v>
      </x:c>
      <x:c r="R160" s="4" t="str">
        <x:v>Included</x:v>
      </x:c>
    </x:row>
    <x:row r="161" ht="409" hidden="0" customHeight="1">
      <x:c r="A161" s="16" t="str">
        <x:v>GL03</x:v>
      </x:c>
      <x:c r="B161" s="4" t="str">
        <x:v>Reported short Ebola closure at Goma–Gisenyi</x:v>
      </x:c>
      <x:c r="C161" s="4" t="str">
        <x:v>Rwanda; Democratic Republic of the Congo</x:v>
      </x:c>
      <x:c r="D161" s="4" t="str">
        <x:v>Goma–Gisenyi
Goma–Gisenyi/Rubavu crossing</x:v>
      </x:c>
      <x:c r="E161" s="4" t="str">
        <x:v>Reported restriction on people crossing, except Congolese leaving Rwanda.
Direction: Not established
Exceptions: Congolese departing Rwanda reported exempt.</x:v>
      </x:c>
      <x:c r="F161" s="4" t="str">
        <x:v>GL03-D1 — Observed operation
Reported temporary Goma–Gisenyi movement restriction on August 1; closure versus screening slowdown remains disputed.
Start: 2019-08-01.
Observed scoped reopening: 2019-08-01.
Contested: dated evidence; numeric duration withheld; see qualification
Held evidence: excluded from numeric duration and animation displays.</x:v>
      </x:c>
      <x:c r="G16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61" s="4" t="str">
        <x:v>GL03-D1: This is a disputed same-day episode, not an adjudicated eight-hour physical shutdown. Congolese departures were reportedly exempt. No zero-hour or whole-day duration is calculated.
occurrence/scope: Fresh local and Anadolu reporting strengthens same-day resumption but does not settle closure versus delayed screening or category-specific access. Retain contested GL03-D1 and no exact hours.</x:v>
      </x:c>
      <x:c r="I161" s="4" t="str">
        <x:v>Second full-register audit, 26 October 2026: qualified. Fresh ministry, Reuters and local reporting retain a disputed same-day Ebola restriction on August 1, 2019. Rwanda described screening delays; Reuters quoted an official acknowledging closure, and local travellers described resumed traffic at 14:00. No basis to convert this into a &gt;24-hour closure.</x:v>
      </x:c>
      <x:c r="J161" s="18" t="d">
        <x:v>2026-10-26T00:00:00.000Z</x:v>
      </x:c>
      <x:c r="K161" s="21" t="str">
        <x:f>IFERROR(HYPERLINK("https://www.moh.gov.rw/news-detail/rwandas-border-with-drc-remains-open","moh.gov.rw"),"moh.gov.rw")</x:f>
        <x:v>moh.gov.rw</x:v>
      </x:c>
      <x:c r="L161" s="21" t="str">
        <x:f>IFERROR(HYPERLINK("https://www.euronews.com/2019/08/01/congo-says-rwanda-has-closed-border-near-goma","Euronews"),"Euronews")</x:f>
        <x:v>Euronews</x:v>
      </x:c>
      <x:c r="M161" s="21" t="str">
        <x:f>IFERROR(HYPERLINK("https://www.lepoint.fr/afrique/ebola-en-rdc-face-a-l-epidemie-a-goma-le-rwanda-ferme-sa-frontiere-01-08-2019-2327956_3826.php","Le Point"),"Le Point")</x:f>
        <x:v>Le Point</x:v>
      </x:c>
      <x:c r="N161" s="4" t="str">
        <x:v>https://www.moh.gov.rw/news-detail/rwandas-border-with-drc-remains-open
https://www.euronews.com/2019/08/01/congo-says-rwanda-has-closed-border-near-goma
https://www.lepoint.fr/afrique/ebola-en-rdc-face-a-l-epidemie-a-goma-le-rwanda-ferme-sa-frontiere-01-08-2019-2327956_3826.php
https://www.reutersconnect.com/item/rwanda-border-with-ebola-hit-congo-fully-open-after-slowdowns-minister/dGFnOnJldXRlcnMuY29tLDIwMTk6bmV3c21sX1ZBQVFFMFY5Sg
https://www.inkl.com/news/congo-says-rwanda-has-closed-border-near-goma
https://actualite.cd/2019/08/01/goma-ebola-le-rwanda-rouvert-sa-frontiere-avec-la-rdc
https://www.aa.com.tr/fr/afrique/-rdc-ebola-le-rwanda-rouvre-ses-fronti%C3%A8res-avec-goma-/1547751
https://actualite.cd/2019/08/01/goma-gisenyi-congolais-et-rwandais-satisfaits-apres-la-reouverture-de-la-frontiere
https://www.moh.gov.rw/news-detail/notice-on-enhanced-ebola-prevention-measures
https://www.rbc.gov.rw/PHSEPR/about-ebola-2/</x:v>
      </x:c>
      <x:c r="O161" s="4" t="str">
        <x:v>Second full-register audit source access, 26 October 2026
https://www.moh.gov.rw/news-detail/rwandas-border-with-drc-remains-open: full text (fresh retrieval)
https://www.euronews.com/2019/08/01/congo-says-rwanda-has-closed-border-near-goma: full text (fresh retrieval)
https://actualite.cd/2019/08/01/goma-gisenyi-congolais-et-rwandais-satisfaits-apres-la-reouverture-de-la-frontiere: full text (fresh retrieval)
Earlier URLs not separately inspected in this second assessment:
https://www.lepoint.fr/afrique/ebola-en-rdc-face-a-l-epidemie-a-goma-le-rwanda-ferme-sa-frontiere-01-08-2019-2327956_3826.php
https://www.reutersconnect.com/item/rwanda-border-with-ebola-hit-congo-fully-open-after-slowdowns-minister/dGFnOnJldXRlcnMuY29tLDIwMTk6bmV3c21sX1ZBQVFFMFY5Sg
https://www.inkl.com/news/congo-says-rwanda-has-closed-border-near-goma
https://actualite.cd/2019/08/01/goma-ebola-le-rwanda-rouvert-sa-frontiere-avec-la-rdc
https://www.aa.com.tr/fr/afrique/-rdc-ebola-le-rwanda-rouvre-ses-fronti%C3%A8res-avec-goma-/1547751
https://www.moh.gov.rw/news-detail/notice-on-enhanced-ebola-prevention-measures
https://www.rbc.gov.rw/PHSEPR/about-ebola-2/
Prior audit access record
Full-register audit source access (evidence cutoff 25 October 2026)
https://www.moh.gov.rw/news-detail/rwandas-border-with-drc-remains-open: full text
https://www.euronews.com/2019/08/01/congo-says-rwanda-has-closed-border-near-goma: full text
https://actualite.cd/2019/08/01/goma-gisenyi-congolais-et-rwandais-satisfaits-apres-la-reouverture-de-la-frontiere: full text
Earlier source URLs not separately listed in this audit’s retrieval log (historical access notes below are not fresh verification):
https://www.lepoint.fr/afrique/ebola-en-rdc-face-a-l-epidemie-a-goma-le-rwanda-ferme-sa-frontiere-01-08-2019-2327956_3826.php
https://www.reutersconnect.com/item/rwanda-border-with-ebola-hit-congo-fully-open-after-slowdowns-minister/dGFnOnJldXRlcnMuY29tLDIwMTk6bmV3c21sX1ZBQVFFMFY5Sg
https://www.inkl.com/news/congo-says-rwanda-has-closed-border-near-goma
https://actualite.cd/2019/08/01/goma-ebola-le-rwanda-rouvert-sa-frontiere-avec-la-rdc
https://www.aa.com.tr/fr/afrique/-rdc-ebola-le-rwanda-rouvre-ses-fronti%C3%A8res-avec-goma-/1547751
https://www.moh.gov.rw/news-detail/notice-on-enhanced-ebola-prevention-measures
https://www.rbc.gov.rw/PHSEPR/about-ebola-2/
Earlier recorded access
Source 1: full
Source 2: full page
Source 3: full page</x:v>
      </x:c>
      <x:c r="P161" s="20" t="n">
        <x:v>1</x:v>
      </x:c>
      <x:c r="Q161" s="4" t="str">
        <x:v>Great Lakes</x:v>
      </x:c>
      <x:c r="R161" s="4" t="str">
        <x:v>Included</x:v>
      </x:c>
    </x:row>
    <x:row r="162" ht="409" hidden="0" customHeight="1">
      <x:c r="A162" s="16" t="str">
        <x:v>GL16</x:v>
      </x:c>
      <x:c r="B162" s="4" t="str">
        <x:v>Burundi COVID entry restriction from Rwanda</x:v>
      </x:c>
      <x:c r="C162" s="4" t="str">
        <x:v>Burundi; Rwanda</x:v>
      </x:c>
      <x:c r="D162" s="4" t="str">
        <x:v>Ruhwa and other Burundi–Rwanda posts
Burundi–Rwanda land border, Ruhwa specifically corroborated</x:v>
      </x:c>
      <x:c r="E162" s="4" t="str">
        <x:v>Passengers arriving from Rwanda, including Congolese transit travellers and schoolchildren.
Direction: Entry into Burundi from Rwanda.
Exceptions: Air passengers reported continuing on 15 March. Cargo policy differed by phase: The New Times reported restored cargo movement on 13 April 2020, while IWACU reports a foreign-ministry note dated 14 April. Neither fixes a passenger reopening. On September 10, 2020, 120 Burundians returned with permission through Gasenyi–Nemba after being stranded since March. Mapassa’s Congolese and Burundian clients received Ruhwa entry/exit permission on August 29, 2022; actual agency traffic was reported September 6, and inward passengers explicitly described in the September 16 report.</x:v>
      </x:c>
      <x:c r="F162" s="4" t="str">
        <x:v>GL16-R1 — Observed operation
Ruhwa refusal of entry into Burundi from Rwanda.
Start: 2020-03-15.
Last gate-specific closure confirmation: 2020-03-16. Exact first ordinary reopening remains unknown.
Later evidence, with distinct scopes: The New Times reported other land traffic still closed as of April 12, 2020 while cargo resumed separately. On September 10, 2020, 120 Burundians stranded in Rwanda since the March closure returned with permission via Gasenyi–Nemba; that is an exceptional return at another gate. At Ruhwa, Burundi Eco’s September 6, 2022 visit confirms resumed Mapassa agency traffic for Congolese and Burundian clients; its September 16 report explicitly describes passengers entering Burundi. This bounds restored entry for that agency cohort only, following August 29 permission. Ordinary outward passage was reported September 30 and formal reopening announced October 22, 2022. None identifies the exact repeal of the March health rule or establishes continuous closure between all observations.</x:v>
      </x:c>
      <x:c r="G16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62" s="4" t="str">
        <x:v>GL16-R1 concerns entry into Burundi, including Congolese transit passengers. The March onset is supported, but a universal uninterrupted March 2020–October 2022 operational interval is not established. September 2020 authorised returns at Gasenyi–Nemba and September 2022 Mapassa passage at Ruhwa are narrower exceptions or access observations, not dates of general passenger reopening. The latter supplies matching-direction evidence absent from the September 30 outward-passage report. Political and health restrictions overlap. The reported long wait of the September 2020 returnees establishes a restriction exceeding 24 hours for that cohort, without fixing every traveller’s duration, the Ruhwa endpoint or the precise repeal of the original health measure. Cargo evidence remains separate.</x:v>
      </x:c>
      <x:c r="I162" s="4" t="str">
        <x:v>Second full-register audit, 26 October 2026: additional source-audited corrections incorporated. See the phase, scope and qualification columns for the accepted findings.</x:v>
      </x:c>
      <x:c r="J162" s="18" t="d">
        <x:v>2026-10-26T00:00:00.000Z</x:v>
      </x:c>
      <x:c r="K162" s="21" t="str">
        <x:f>IFERROR(HYPERLINK("https://www.sosmediasburundi.org/2020/03/15/le-burundi-ferme-ses-frontieres-avec-le-rwanda/","SOS Médias Burundi"),"SOS Médias Burundi")</x:f>
        <x:v>SOS Médias Burundi</x:v>
      </x:c>
      <x:c r="L162" s="21" t="str">
        <x:f>IFERROR(HYPERLINK("https://www.radiookapi.net/2020/03/16/actualite/sante/coronavirus-la-fermeture-de-la-frontiere-entre-le-burundi-et-le-rwanda","Radio Okapi"),"Radio Okapi")</x:f>
        <x:v>Radio Okapi</x:v>
      </x:c>
      <x:c r="M162" s="21" t="str">
        <x:f>IFERROR(HYPERLINK("https://www.sosmediasburundi.org/2022/09/30/burundi-rwanda-le-burundi-rouvre-ses-frontieres-avec-le-rwanda-mais-refuse-de-le-reconnaitre-officiellement/","SOS Médias Burundi"),"SOS Médias Burundi")</x:f>
        <x:v>SOS Médias Burundi</x:v>
      </x:c>
      <x:c r="N162" s="4" t="str">
        <x:v>https://www.sosmediasburundi.org/2020/03/15/le-burundi-ferme-ses-frontieres-avec-le-rwanda/
https://www.radiookapi.net/2020/03/16/actualite/sante/coronavirus-la-fermeture-de-la-frontiere-entre-le-burundi-et-le-rwanda
https://www.sosmediasburundi.org/2022/09/30/burundi-rwanda-le-burundi-rouvre-ses-frontieres-avec-le-rwanda-mais-refuse-de-le-reconnaitre-officiellement/
https://www.iwacu-burundi.org/burundi-covid-19-reouverture-des-frontieres-avec-le-rwanda-et-la-rdc-pour-les-camions-de-marchandises/
https://dtm.iom.int/reports/burundi-%E2%80%94-tableau-de-bord-du-suivi-des-flux-avril-2020
https://www.iwacu-burundi.org/eac-covid-19-les-poids-lourds-transitant-par-le-rwanda-indesirables-au-burundi/
https://www.iwacu-burundi.org/englishnews/burundi-reopens-borders-with-rwanda-drc-to-goods-trucks/
https://www.newtimes.co.rw/article/175823/News/burundi-reopens-rwanda-drc-borders-to-cargo-trucks/amp
https://www.aa.com.tr/en/africa/burundi-reopens-its-borders-with-rwanda/2718763
https://www.sosmediasburundi.org/2020/09/10/covid-19-120-burundais-qui-etaient-bloques-au-rwanda-ont-pu-rentrer/
https://burundi-eco.com/wp-content/uploads/2022/09/Journal-Burundi-Eco-nr-522-du-vendredi-09-Septembre-2022-Mailing.pdf
https://burundi-eco.com/regler-les-paiements-uniquement-en-monnaie-locale-une-mesure-qui-nest-pas-respectee-aux-frontieres/</x:v>
      </x:c>
      <x:c r="O162" s="4" t="str">
        <x:v>Second full-register audit source access, 26 October 2026
https://www.sosmediasburundi.org/2020/03/15/le-burundi-ferme-ses-frontieres-avec-le-rwanda/: full text (fresh retrieval)
https://www.radiookapi.net/2020/03/16/actualite/sante/coronavirus-la-fermeture-de-la-frontiere-entre-le-burundi-et-le-rwanda: full text (fresh retrieval)
https://www.newtimes.co.rw/article/175823/News/burundi-reopens-rwanda-drc-borders-to-cargo-trucks/amp: full text (fresh retrieval) — Not a gate-by-gate inspection of passengers.
https://www.iwacu-burundi.org/englishnews/burundi-reopens-borders-with-rwanda-drc-to-goods-trucks/: full text (fresh retrieval) — Not passenger reopening.
https://www.sosmediasburundi.org/2020/09/10/covid-19-120-burundais-qui-etaient-bloques-au-rwanda-ont-pu-rentrer/: full text (fresh retrieval) — Does not identify each individual’s exact wait or Ruhwa access.
https://burundi-eco.com/wp-content/uploads/2022/09/Journal-Burundi-Eco-nr-522-du-vendredi-09-Septembre-2022-Mailing.pdf: full text (fresh retrieval) — Ordinary local cross-border activity still constrained.
https://burundi-eco.com/regler-les-paiements-uniquement-en-monnaie-locale-une-mesure-qui-nest-pas-respectee-aux-frontieres/: full text (fresh retrieval) — Exact date of that visit not supplied; use publication as latest access bound.
https://www.sosmediasburundi.org/2022/09/30/burundi-rwanda-le-burundi-rouvre-ses-frontieres-avec-le-rwanda-mais-refuse-de-le-reconnaitre-officiellement/: full text (fresh retrieval)
https://www.aa.com.tr/en/africa/burundi-reopens-its-borders-with-rwanda/2718763: full text (fresh retrieval)
Earlier URLs not separately inspected in this second assessment:
https://www.iwacu-burundi.org/burundi-covid-19-reouverture-des-frontieres-avec-le-rwanda-et-la-rdc-pour-les-camions-de-marchandises/
https://dtm.iom.int/reports/burundi-%E2%80%94-tableau-de-bord-du-suivi-des-flux-avril-2020
https://www.iwacu-burundi.org/eac-covid-19-les-poids-lourds-transitant-par-le-rwanda-indesirables-au-burundi/
Prior audit access record
Full-register audit source access (evidence cutoff 25 October 2026)
https://www.sosmediasburundi.org/2020/03/15/le-burundi-ferme-ses-frontieres-avec-le-rwanda/: full text
https://www.sosmediasburundi.org/2022/09/30/burundi-rwanda-le-burundi-rouvre-ses-frontieres-avec-le-rwanda-mais-refuse-de-le-reconnaitre-officiellement/: full text
https://www.aa.com.tr/en/africa/burundi-reopens-its-borders-with-rwanda/2718763: full text
Earlier source URLs not separately listed in this audit’s retrieval log (historical access notes below are not fresh verification):
https://www.radiookapi.net/2020/03/16/actualite/sante/coronavirus-la-fermeture-de-la-frontiere-entre-le-burundi-et-le-rwanda
https://www.iwacu-burundi.org/burundi-covid-19-reouverture-des-frontieres-avec-le-rwanda-et-la-rdc-pour-les-camions-de-marchandises/
https://dtm.iom.int/reports/burundi-%E2%80%94-tableau-de-bord-du-suivi-des-flux-avril-2020
https://www.iwacu-burundi.org/eac-covid-19-les-poids-lourds-transitant-par-le-rwanda-indesirables-au-burundi/
https://www.iwacu-burundi.org/englishnews/burundi-reopens-borders-with-rwanda-drc-to-goods-trucks/
https://www.newtimes.co.rw/article/175823/News/burundi-reopens-rwanda-drc-borders-to-cargo-trucks/amp
Earlier recorded access
Source 1: full; full text
Source 2: indexed excerpt; full text
Source 3: full</x:v>
      </x:c>
      <x:c r="P162" s="20" t="n">
        <x:v>1</x:v>
      </x:c>
      <x:c r="Q162" s="4" t="str">
        <x:v>Great Lakes</x:v>
      </x:c>
      <x:c r="R162" s="4" t="str">
        <x:v>Included</x:v>
      </x:c>
    </x:row>
    <x:row r="163" ht="409" hidden="0" customHeight="1">
      <x:c r="A163" s="16" t="str">
        <x:v>GL04</x:v>
      </x:c>
      <x:c r="B163" s="4" t="str">
        <x:v>Rwanda national COVID passenger border restrictions</x:v>
      </x:c>
      <x:c r="C163" s="4" t="str">
        <x:v>Rwanda; Uganda; Tanzania; Burundi; Democratic Republic of the Congo</x:v>
      </x:c>
      <x:c r="D163" s="4" t="str">
        <x:v>National land-border passenger regime</x:v>
      </x:c>
      <x:c r="E163" s="4" t="str">
        <x:v>Ordinary passengers; goods and returning citizens/residents exempt.
Direction: Not established
Exceptions: Cargo, returning citizens and legal residents subject to quarantine; later local trading arrangements.</x:v>
      </x:c>
      <x:c r="F163" s="4" t="str">
        <x:v>GL04-R1 — Formal policy
Rwanda default restriction on non-exempt land-border passengers; category permissions varied during this national regime
Start: 2020-03-21.
Policy endpoint: 2022-03-07.
Formal policy: 716 calendar-day difference; operational continuity not established</x:v>
      </x:c>
      <x:c r="G16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63" s="4" t="str">
        <x:v>GL04-R1: National default policy from March 21 at 23:59; March 7, 2022 general legal permission, precise effective clock time unverified. Exceptions evolved, including local couriers, Ruzizi education and medical categories and resident officials and Gatuna essential/cargo passage. No stable denial of every passenger; opposite-side and gate-specific delays continued.</x:v>
      </x:c>
      <x:c r="I163" s="4" t="str">
        <x:v>Second full-register audit, 26 October 2026: qualified. Fresh WHO timing, March 2022 reopening reports and November 2020 exception reporting support the national policy envelope while confirming that gate and cohort access varied. No new correction to the accepted March 21–March 7 policy dates.</x:v>
      </x:c>
      <x:c r="J163" s="18" t="d">
        <x:v>2026-10-26T00:00:00.000Z</x:v>
      </x:c>
      <x:c r="K163" s="21" t="str">
        <x:f>IFERROR(HYPERLINK("https://www.afro.who.int/countries/rwanda/news/update-covid-19-21-march-2020","WHO Africa"),"WHO Africa")</x:f>
        <x:v>WHO Africa</x:v>
      </x:c>
      <x:c r="L163" s="21" t="str">
        <x:f>IFERROR(HYPERLINK("https://www.primature.gov.rw/news-detail/statement-on-cabinet-decisions-of-july-29th-2020","Prime Minister of Rwanda"),"Prime Minister of Rwanda")</x:f>
        <x:v>Prime Minister of Rwanda</x:v>
      </x:c>
      <x:c r="M163" s="21" t="str">
        <x:f>IFERROR(HYPERLINK("https://rwandatoday.africa/rwanda/news/rwanda-lifts-covid-curfew-reopens-land-borders-3739528","Rwanda Today"),"Rwanda Today")</x:f>
        <x:v>Rwanda Today</x:v>
      </x:c>
      <x:c r="N163" s="4" t="str">
        <x:v>https://www.afro.who.int/countries/rwanda/news/update-covid-19-21-march-2020
https://www.primature.gov.rw/news-detail/statement-on-cabinet-decisions-of-july-29th-2020
https://rwandatoday.africa/rwanda/news/rwanda-lifts-covid-curfew-reopens-land-borders-3739528
https://www.ktpress.rw/2022/03/excitement-as-rwanda-reopens-land-borders-after-two-years-of-closure/
https://actualite.cd/2020/11/11/covid-19-la-rdc-et-le-rwanda-reouvrent-partiellement-les-frontieres-ruzizi-1-2-et
https://www.monitor.co.ug/uganda/news/national/excitement-as-gatuna-border-reopened-for-passenger-vehicles-3740484
https://theafricanmirror.africa/business/pandemic-derails-trade-for-congos-disabled-border-couriers/
https://www.ktpress.rw/2020/03/borders-shops-closed-motorcycles-banned-and-movements-limited/
https://www.reuters.com/world/middle-east-africa/pandemic-derails-trade-congos-disabled-border-couriers-2021-02-08/
https://www.gov.rw/blog-detail/covid-19-cabinet-extended-the-existing-measures-until-april-30th-2020</x:v>
      </x:c>
      <x:c r="O163" s="4" t="str">
        <x:v>Second full-register audit source access, 26 October 2026
https://www.afro.who.int/countries/rwanda/news/update-covid-19-21-march-2020: full text (fresh retrieval)
https://www.ktpress.rw/2022/03/excitement-as-rwanda-reopens-land-borders-after-two-years-of-closure/: full text (fresh retrieval)
https://actualite.cd/2020/11/11/covid-19-la-rdc-et-le-rwanda-reouvrent-partiellement-les-frontieres-ruzizi-1-2-et: full text (fresh retrieval)
Earlier URLs not separately inspected in this second assessment:
https://www.primature.gov.rw/news-detail/statement-on-cabinet-decisions-of-july-29th-2020
https://rwandatoday.africa/rwanda/news/rwanda-lifts-covid-curfew-reopens-land-borders-3739528
https://www.monitor.co.ug/uganda/news/national/excitement-as-gatuna-border-reopened-for-passenger-vehicles-3740484
https://theafricanmirror.africa/business/pandemic-derails-trade-for-congos-disabled-border-couriers/
https://www.ktpress.rw/2020/03/borders-shops-closed-motorcycles-banned-and-movements-limited/
https://www.reuters.com/world/middle-east-africa/pandemic-derails-trade-congos-disabled-border-couriers-2021-02-08/
https://www.gov.rw/blog-detail/covid-19-cabinet-extended-the-existing-measures-until-april-30th-2020
Prior audit access record
Full-register audit source access (evidence cutoff 25 October 2026)
https://www.afro.who.int/countries/rwanda/news/update-covid-19-21-march-2020: full text
https://www.ktpress.rw/2022/03/excitement-as-rwanda-reopens-land-borders-after-two-years-of-closure/: full text
Earlier source URLs not separately listed in this audit’s retrieval log (historical access notes below are not fresh verification):
https://www.primature.gov.rw/news-detail/statement-on-cabinet-decisions-of-july-29th-2020
https://rwandatoday.africa/rwanda/news/rwanda-lifts-covid-curfew-reopens-land-borders-3739528
https://actualite.cd/2020/11/11/covid-19-la-rdc-et-le-rwanda-reouvrent-partiellement-les-frontieres-ruzizi-1-2-et
https://www.monitor.co.ug/uganda/news/national/excitement-as-gatuna-border-reopened-for-passenger-vehicles-3740484
https://theafricanmirror.africa/business/pandemic-derails-trade-for-congos-disabled-border-couriers/
https://www.ktpress.rw/2020/03/borders-shops-closed-motorcycles-banned-and-movements-limited/
https://www.reuters.com/world/middle-east-africa/pandemic-derails-trade-congos-disabled-border-couriers-2021-02-08/
https://www.gov.rw/blog-detail/covid-19-cabinet-extended-the-existing-measures-until-april-30th-2020
Earlier recorded access
Source 1: full; full text
Source 2: indexed excerpt; full; full text
Source 3: indexed excerpt</x:v>
      </x:c>
      <x:c r="P163" s="20" t="n">
        <x:v>1</x:v>
      </x:c>
      <x:c r="Q163" s="4" t="str">
        <x:v>Great Lakes</x:v>
      </x:c>
      <x:c r="R163" s="4" t="str">
        <x:v>Included</x:v>
      </x:c>
    </x:row>
    <x:row r="164" ht="409" hidden="0" customHeight="1">
      <x:c r="A164" s="16" t="str">
        <x:v>GL05</x:v>
      </x:c>
      <x:c r="B164" s="4" t="str">
        <x:v>Uganda national COVID passenger border restrictions</x:v>
      </x:c>
      <x:c r="C164" s="4" t="str">
        <x:v>Uganda; Kenya; Tanzania; Rwanda; Democratic Republic of the Congo; South Sudan</x:v>
      </x:c>
      <x:c r="D164" s="4" t="str">
        <x:v>National land and water passenger entry/exit restrictions</x:v>
      </x:c>
      <x:c r="E164" s="4" t="str">
        <x:v>Passengers by road, water, foot and bicycle; cargo allowed.
Direction: Both entry and exit.
Exceptions: Cargo drivers and accompanying crew not exceeding three. Separately documented humanitarian asylum admissions include Gulajo/Golajo/Guladjo and Mount Zeu from July 1–3, 2020; the June 18, 2021 partners statement reports several authorised exceptions. A further humanitarian exception admitted Congolese through Bunagana and Kibaya in November 2021, with arrivals from November 7–8. These do not establish uniform ordinary asylum reopening.</x:v>
      </x:c>
      <x:c r="F164" s="4" t="str">
        <x:v>GL05-D1 — Formal policy
Uganda passenger-border policy period; cargo exemptions remained. This is not a measure of physical impermeability.
Start: 2020-03-22.
Policy endpoint: 2020-10-01.
Formal policy: 193 calendar-day difference; operational continuity not established
REC50-R47-GL05-P1 — Formal policy
Uganda ordinary asylum-admission policy during COVID, with exceptional permissions and informal entry
Start: 2020-03-01 to 2020-03-31.
Ordinary asylum-border restriction explicitly confirmed: 2021-11-09, alongside a humanitarian exception admitting Congolese at Bunagana and Kibaya. This is a policy observation, not uninterrupted denial.
Ordinary asylum access was restored by 2022-12-31 at the latest; UNHCR describes access during 2022. Exact first reopening is not established.
Formal policy: dated evidence; numeric duration withheld; see qualification
Humanitarian access observation: UNHCR reports arrivals at Bunagana and Kibaya from the night of November 7–8, 2021. Its later field account dates the Bunagana-area opening to November 8. Preserve this scoped admission exception separately from the unknown general asylum-policy endpoint.</x:v>
      </x:c>
      <x:c r="G16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64" s="4" t="str">
        <x:v>GL05-D1: The national policy took effect at midday on March 22, 2020; local Katuna refusals were reported late on March 21. Cargo drivers and accompanying crew of no more than three were excepted. July 1–3 admissions through Gulajo/Golajo/Guladjo and Mount Zeu interrupted denial for DRC asylum-seekers. October 1 marks general leisure/business reopening, not separately established universal asylum admission. The 193-day difference measures the national policy envelope, not physical impermeability.
REC50-R47-GL05-P1: The refugee-specific onset remains March 2020 at month precision. The 2020 year-end report records continuing ordinary asylum closure and informal arrivals. The June 18, 2021 statement is retrospective and supplies no exact last-confirmed date. A separate contemporaneous UNHCR briefing explicitly confirms the ordinary asylum-border restriction on November 9, 2021 while describing a humanitarian exception at Bunagana and Kibaya, with arrivals since Sunday night November 7; a later UNHCR field account dates the Bunagana-area opening to November 8. These scoped admissions do not end the nationwide default or establish uninterrupted enforcement between observations.
UNHCR’s 2022 annual assessment describes unhindered territorial and asylum access during that year, supporting the conservative ended-by December 31, 2022 bound, not an exact reopening day. The annual-report passage remains available through a substantive index; direct PDF retrieval failed. Preserve all humanitarian exceptions and informal arrivals; no numerical continuous duration is established for this cohort.</x:v>
      </x:c>
      <x:c r="I164" s="4" t="str">
        <x:v>Second full-register audit, 26 October 2026: additional source-audited corrections incorporated. See the phase, scope and qualification columns for the accepted findings.</x:v>
      </x:c>
      <x:c r="J164" s="18" t="d">
        <x:v>2026-10-26T00:00:00.000Z</x:v>
      </x:c>
      <x:c r="K164" s="21" t="str">
        <x:f>IFERROR(HYPERLINK("https://www.monitor.co.ug/News/National/Museveni-closes-borders-bans-international-flights/688334-5499830-ndqbb9z/index.html","Monitor"),"Monitor")</x:f>
        <x:v>Monitor</x:v>
      </x:c>
      <x:c r="L164" s="21" t="str">
        <x:f>IFERROR(HYPERLINK("https://utb.go.ug/international-travelers-are-required-to-adhere-to-new-health-and-sanitation-protocol/","Uganda Tourism Board"),"Uganda Tourism Board")</x:f>
        <x:v>Uganda Tourism Board</x:v>
      </x:c>
      <x:c r="M164" s="21" t="str">
        <x:f>IFERROR(HYPERLINK("https://www.monitor.co.ug/uganda/news/national/entebbe-airport-borders-to-reopen-for-travellers-tourists-on-october-1-2304958","Monitor"),"Monitor")</x:f>
        <x:v>Monitor</x:v>
      </x:c>
      <x:c r="N164" s="4" t="str">
        <x:v>https://www.monitor.co.ug/News/National/Museveni-closes-borders-bans-international-flights/688334-5499830-ndqbb9z/index.html
https://utb.go.ug/international-travelers-are-required-to-adhere-to-new-health-and-sanitation-protocol/
https://www.monitor.co.ug/uganda/news/national/entebbe-airport-borders-to-reopen-for-travellers-tourists-on-october-1-2304958
https://www.monitor.co.ug/uganda/news/national/museveni-closes-borders-bans-international-flights--1881684
https://www.monitor.co.ug/uganda/news/national/covid-19-travellers-stranded-at-katuna-as-uganda-rwanda-close-borders-1881760
https://www.unognewsroom.org/story/en/256/unog-bi-weekly-press-briefing-dr-congo-refugees-unhcr-07jul2020
https://www.monitor.co.ug/uganda/news/national/zombo-leaders-opm-disagree-on-relocation-1918640
https://reporting.unhcr.org/uganda-2020-year-end-report-issues-and-challenges
https://www.unhcr.org/africa/news/press-releases/uganda-refugee-response-partners-joint-press-statement
https://www.unhcr.org/us/news/press/2020/7/5efca8d64/uganda-provides-safe-haven-drc-refugees-amid-covid-19-lockdown.html
https://www.unhcr.org/uk/node/19963
https://reporting.unhcr.org/files/2023-06/EHGL%20Uganda.pdf
https://www.unhcr.org/news/briefing-notes/fighting-eastern-democratic-republic-congo-forces-11-000-flee-uganda
https://uganda.un.org/en/170916-congolese-refugees-torn-between-returning-home-or-remaining-exile</x:v>
      </x:c>
      <x:c r="O164" s="4" t="str">
        <x:v>Second full-register audit source access, 26 October 2026
https://www.monitor.co.ug/uganda/news/national/museveni-closes-borders-bans-international-flights--1881684: full text (fresh retrieval)
https://utb.go.ug/international-travelers-are-required-to-adhere-to-new-health-and-sanitation-protocol/: full text (fresh retrieval)
https://www.unognewsroom.org/story/en/256/unog-bi-weekly-press-briefing-dr-congo-refugees-unhcr-07jul2020: full text (fresh retrieval)
https://reporting.unhcr.org/uganda-2020-year-end-report-issues-and-challenges: search extract (fresh retrieval) — Direct page inaccessible
https://www.unhcr.org/africa/news/press-releases/uganda-refugee-response-partners-joint-press-statement: search extract (fresh retrieval) — Direct page 429
https://reporting.unhcr.org/files/2023-06/EHGL%20Uganda.pdf: search extract (fresh retrieval) — Direct PDF 429
https://www.unhcr.org/news/briefing-notes/fighting-eastern-democratic-republic-congo-forces-11-000-flee-uganda: search extract (fresh retrieval) — Substantive indexed body; direct page follow-up 429
https://uganda.un.org/en/170916-congolese-refugees-torn-between-returning-home-or-remaining-exile: full text (fresh retrieval)
Earlier URLs not separately inspected in this second assessment:
https://www.monitor.co.ug/News/National/Museveni-closes-borders-bans-international-flights/688334-5499830-ndqbb9z/index.html
https://www.monitor.co.ug/uganda/news/national/entebbe-airport-borders-to-reopen-for-travellers-tourists-on-october-1-2304958
https://www.monitor.co.ug/uganda/news/national/covid-19-travellers-stranded-at-katuna-as-uganda-rwanda-close-borders-1881760
https://www.monitor.co.ug/uganda/news/national/zombo-leaders-opm-disagree-on-relocation-1918640
https://www.unhcr.org/us/news/press/2020/7/5efca8d64/uganda-provides-safe-haven-drc-refugees-amid-covid-19-lockdown.html
https://www.unhcr.org/uk/node/19963
Prior audit access record
Full-register audit source access (evidence cutoff 25 October 2026)
https://www.monitor.co.ug/uganda/news/national/museveni-closes-borders-bans-international-flights--1881684: full text
https://utb.go.ug/international-travelers-are-required-to-adhere-to-new-health-and-sanitation-protocol/: full text
https://www.unognewsroom.org/story/en/256/unog-bi-weekly-press-briefing-dr-congo-refugees-unhcr-07jul2020: full text
https://reporting.unhcr.org/files/2023-06/EHGL%20Uganda.pdf: search extract — Indexed passage only; full PDF returned 429.
Earlier source URLs not separately listed in this audit’s retrieval log (historical access notes below are not fresh verification):
https://www.monitor.co.ug/News/National/Museveni-closes-borders-bans-international-flights/688334-5499830-ndqbb9z/index.html
https://www.monitor.co.ug/uganda/news/national/entebbe-airport-borders-to-reopen-for-travellers-tourists-on-october-1-2304958
https://www.monitor.co.ug/uganda/news/national/covid-19-travellers-stranded-at-katuna-as-uganda-rwanda-close-borders-1881760
https://www.monitor.co.ug/uganda/news/national/zombo-leaders-opm-disagree-on-relocation-1918640
https://reporting.unhcr.org/uganda-2020-year-end-report-issues-and-challenges
https://www.unhcr.org/africa/news/press-releases/uganda-refugee-response-partners-joint-press-statement
https://www.unhcr.org/us/news/press/2020/7/5efca8d64/uganda-provides-safe-haven-drc-refugees-amid-covid-19-lockdown.html
https://www.unhcr.org/uk/node/19963
Earlier recorded access
Source 1: full page
Source 2: full page
Source 3: search extract</x:v>
      </x:c>
      <x:c r="P164" s="20" t="n">
        <x:v>2</x:v>
      </x:c>
      <x:c r="Q164" s="4" t="str">
        <x:v>Great Lakes</x:v>
      </x:c>
      <x:c r="R164" s="4" t="str">
        <x:v>Included</x:v>
      </x:c>
    </x:row>
    <x:row r="165" ht="409" hidden="0" customHeight="1">
      <x:c r="A165" s="16" t="str">
        <x:v>GL17</x:v>
      </x:c>
      <x:c r="B165" s="4" t="str">
        <x:v>South Kivu provincial COVID closure at Ruzizi crossings</x:v>
      </x:c>
      <x:c r="C165" s="4" t="str">
        <x:v>Democratic Republic of the Congo; Rwanda</x:v>
      </x:c>
      <x:c r="D165" s="4" t="str">
        <x:v>Ruzizi I and II
Bukavu–Rwanda crossings</x:v>
      </x:c>
      <x:c r="E165" s="4" t="str">
        <x:v>Passenger movement at Ruzizi I and II; initial reporting describes total closure without a detailed commodity exemption list.
Direction: The November 11 relaxation permits eligible entrants into both countries.
Exceptions and later easing: The November 11 agreement permits pupils, students, teachers, doctors, resident officials and patients, subject to health measures. Passports or laissez-passer are required; local crossing tokens are not accepted. This is a cohort-specific policy relaxation, not unrestricted reopening.</x:v>
      </x:c>
      <x:c r="F165" s="4" t="str">
        <x:v>GL17-R1 — Formal policy
Provincial restriction at Ruzizi I/II for passenger classes expressly admitted by the 11 November bilateral relaxation
Start: 2020-03-22.
Policy endpoint: 2020-11-11.
Formal policy: 234 calendar-day difference; operational continuity not established</x:v>
      </x:c>
      <x:c r="G16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65" s="4" t="str">
        <x:v>GL17-R1: November 11 is agreement/permission date; effective clock time and first Ruzizi passage unknown. Before-November exceptional passage not exhaustively ruled out; first-easing description supports policy rather than universal physical closure. Kamanyola's later implementation must not be transferred to Ruzizi.</x:v>
      </x:c>
      <x:c r="I165" s="4" t="str">
        <x:v>Second full-register audit, 26 October 2026: additional source-audited corrections incorporated. See the phase, scope and qualification columns for the accepted findings.</x:v>
      </x:c>
      <x:c r="J165" s="18" t="d">
        <x:v>2026-10-26T00:00:00.000Z</x:v>
      </x:c>
      <x:c r="K165" s="21" t="str">
        <x:f>IFERROR(HYPERLINK("https://www.radiookapi.net/node/200594","Radio Okapi"),"Radio Okapi")</x:f>
        <x:v>Radio Okapi</x:v>
      </x:c>
      <x:c r="L165" s="21" t="str">
        <x:f>IFERROR(HYPERLINK("https://actualite.cd/2020/11/11/covid-19-la-rdc-et-le-rwanda-reouvrent-partiellement-les-frontieres-ruzizi-1-2-et","Actualite.cd"),"Actualite.cd")</x:f>
        <x:v>Actualite.cd</x:v>
      </x:c>
      <x:c r="M165" s="21" t="str">
        <x:f>IFERROR(HYPERLINK("https://www.mediacongo.net/article-actualite-79006_rdc_rwanda_les_frontieres_ruzizi_1_et_2_ouvertes_pour_certaines_categories_de_personnes.html","Mediacongo"),"Mediacongo")</x:f>
        <x:v>Mediacongo</x:v>
      </x:c>
      <x:c r="N165" s="4" t="str">
        <x:v>https://www.radiookapi.net/node/200594
https://actualite.cd/2020/11/11/covid-19-la-rdc-et-le-rwanda-reouvrent-partiellement-les-frontieres-ruzizi-1-2-et
https://www.mediacongo.net/article-actualite-79006_rdc_rwanda_les_frontieres_ruzizi_1_et_2_ouvertes_pour_certaines_categories_de_personnes.html
https://radiomaendeleo.org/rdc-rwanda-8-mois-apres-la-frontiere-kamanyola-bugarama-enfin-rouverte/
https://laprunellerdc.cd/rdc-rwanda-les-frontieres-ruzizi-1-et-2-ouvertes-pour-certaines-categories-de-personnes/
https://www.radiookapi.net/2020/03/22/actualite/sante/coronavirus-fermeture-totale-de-la-frontiere-entre-le-rwanda-et-la-rdc</x:v>
      </x:c>
      <x:c r="O165" s="4" t="str">
        <x:v>Second full-register audit source access, 26 October 2026
https://www.radiookapi.net/2020/03/22/actualite/sante/coronavirus-fermeture-totale-de-la-frontiere-entre-le-rwanda-et-la-rdc: full text (fresh retrieval)
https://actualite.cd/2020/11/11/covid-19-la-rdc-et-le-rwanda-reouvrent-partiellement-les-frontieres-ruzizi-1-2-et: full text (fresh retrieval) — Agreement date does not establish first actual passage.
https://radiomaendeleo.org/rdc-rwanda-8-mois-apres-la-frontiere-kamanyola-bugarama-enfin-rouverte/: full text (fresh retrieval) — Not a Ruzizi operational endpoint.
Earlier URLs not separately inspected in this second assessment:
https://www.radiookapi.net/node/200594
https://www.mediacongo.net/article-actualite-79006_rdc_rwanda_les_frontieres_ruzizi_1_et_2_ouvertes_pour_certaines_categories_de_personnes.html
https://laprunellerdc.cd/rdc-rwanda-les-frontieres-ruzizi-1-et-2-ouvertes-pour-certaines-categories-de-personnes/
Prior audit access record
Full-register audit source access (evidence cutoff 25 October 2026)
https://www.radiookapi.net/node/200594: full text
https://actualite.cd/2020/11/11/covid-19-la-rdc-et-le-rwanda-reouvrent-partiellement-les-frontieres-ruzizi-1-2-et: full text
Earlier source URLs not separately listed in this audit’s retrieval log (historical access notes below are not fresh verification):
https://www.mediacongo.net/article-actualite-79006_rdc_rwanda_les_frontieres_ruzizi_1_et_2_ouvertes_pour_certaines_categories_de_personnes.html
https://radiomaendeleo.org/rdc-rwanda-8-mois-apres-la-frontiere-kamanyola-bugarama-enfin-rouverte/
https://laprunellerdc.cd/rdc-rwanda-les-frontieres-ruzizi-1-et-2-ouvertes-pour-certaines-categories-de-personnes/
Earlier recorded access
Source 1: indexed excerpt
Source 2: full
Source 3: indexed excerpt</x:v>
      </x:c>
      <x:c r="P165" s="20" t="n">
        <x:v>1</x:v>
      </x:c>
      <x:c r="Q165" s="4" t="str">
        <x:v>Great Lakes</x:v>
      </x:c>
      <x:c r="R165" s="4" t="str">
        <x:v>Included</x:v>
      </x:c>
    </x:row>
    <x:row r="166" ht="409" hidden="0" customHeight="1">
      <x:c r="A166" s="16" t="str">
        <x:v>GL06</x:v>
      </x:c>
      <x:c r="B166" s="4" t="str">
        <x:v>DRC national COVID passenger border closure</x:v>
      </x:c>
      <x:c r="C166" s="4" t="str">
        <x:v>Democratic Republic of the Congo</x:v>
      </x:c>
      <x:c r="D166" s="4" t="str">
        <x:v>All national borders; national order not separately counted by neighbour</x:v>
      </x:c>
      <x:c r="E166" s="4" t="str">
        <x:v>Passengers; cargo exempt.
Direction: Not established
Exceptions: Freight and cargo personnel subject to health controls.</x:v>
      </x:c>
      <x:c r="F166" s="4" t="str">
        <x:v>GL06-D1 — Formal policy
DRC's national passenger-border closure policy, to the administrative reopening permission.
Start: 2020-03-24.
Policy endpoint: 2020-08-15.
Formal policy: dated evidence; numeric duration withheld; see qualification</x:v>
      </x:c>
      <x:c r="G16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66" s="4" t="str">
        <x:v>GL06-D1: Freight and cargo personnel were exempt. Earlier provincial actions and flight restrictions have different onsets. This is a national policy phase, not proof every post or neighbouring side resumed actual passage. The July21 presidential speech ends emergency measures while scheduling August15 border reopening; the intervening legal continuation instrument has not been recovered. Numeric duration is withheld pending reconciliation.</x:v>
      </x:c>
      <x:c r="I166" s="4" t="str">
        <x:v>Second full-register audit, 26 October 2026: qualified. Fresh ordinance and presidential speech inspection confirms the current unresolved legal-transition qualification: emergency measures ceased in July while border opening was scheduled for August 15. FEWS NET corroborates reopening by August 15, but no intervening legal instrument or all-post operational endpoint was recovered.</x:v>
      </x:c>
      <x:c r="J166" s="18" t="d">
        <x:v>2026-10-26T00:00:00.000Z</x:v>
      </x:c>
      <x:c r="K166" s="21" t="str">
        <x:f>IFERROR(HYPERLINK("https://www.leganet.be/Legislation/JO/2020/Ordonnance%2024.03.2020.html","Leganet"),"Leganet")</x:f>
        <x:v>Leganet</x:v>
      </x:c>
      <x:c r="L166" s="21" t="str">
        <x:f>IFERROR(HYPERLINK("https://actualite.cd/2020/03/24/rdc-tshisekedi-decide-disoler-kinshasa-et-interdit-les-voyages-capitale-vers-provinces","Actualite.cd"),"Actualite.cd")</x:f>
        <x:v>Actualite.cd</x:v>
      </x:c>
      <x:c r="M166" s="21" t="str">
        <x:f>IFERROR(HYPERLINK("https://kt.cd/2020/08/15/rdc-des-frontieres-reouvertes-ce-samedi-15-aout-cinq-mois-apres-leur-fermeture/","Kinshasa Times"),"Kinshasa Times")</x:f>
        <x:v>Kinshasa Times</x:v>
      </x:c>
      <x:c r="N166" s="4" t="str">
        <x:v>https://www.leganet.be/Legislation/JO/2020/Ordonnance%2024.03.2020.html
https://actualite.cd/2020/03/24/rdc-tshisekedi-decide-disoler-kinshasa-et-interdit-les-voyages-capitale-vers-provinces
https://kt.cd/2020/08/15/rdc-des-frontieres-reouvertes-ce-samedi-15-aout-cinq-mois-apres-leur-fermeture/
https://presidence.cd/uploads/files/Fin%20de%20l%27Etat%20d%27urgence.pdf
https://www.monitor.co.ug/uganda/news/world/dr-congo-ends-virus-health-emergency-borders-schools-to-reopen-1904284
https://fews.net/southern-africa/democratic-republic-congo/alert/august-18-2020</x:v>
      </x:c>
      <x:c r="O166" s="4" t="str">
        <x:v>Second full-register audit source access, 26 October 2026
https://www.leganet.be/Legislation/JO/2020/Ordonnance%2024.03.2020.html: full text (fresh retrieval)
https://presidence.cd/uploads/files/Fin%20de%20l%27Etat%20d%27urgence.pdf: full text (fresh retrieval) — Full earlier pages in B021; later schedule in substantive index
https://fews.net/southern-africa/democratic-republic-congo/alert/august-18-2020: full text (fresh retrieval)
Earlier URLs not separately inspected in this second assessment:
https://actualite.cd/2020/03/24/rdc-tshisekedi-decide-disoler-kinshasa-et-interdit-les-voyages-capitale-vers-provinces
https://kt.cd/2020/08/15/rdc-des-frontieres-reouvertes-ce-samedi-15-aout-cinq-mois-apres-leur-fermeture/
https://www.monitor.co.ug/uganda/news/world/dr-congo-ends-virus-health-emergency-borders-schools-to-reopen-1904284
Prior audit access record
Full-register audit source access (evidence cutoff 25 October 2026)
https://www.leganet.be/Legislation/JO/2020/Ordonnance%2024.03.2020.html: full text
https://www.monitor.co.ug/uganda/news/world/dr-congo-ends-virus-health-emergency-borders-schools-to-reopen-1904284: full text
https://fews.net/southern-africa/democratic-republic-congo/alert/august-18-2020: full text
Earlier source URLs not separately listed in this audit’s retrieval log (historical access notes below are not fresh verification):
https://actualite.cd/2020/03/24/rdc-tshisekedi-decide-disoler-kinshasa-et-interdit-les-voyages-capitale-vers-provinces
https://kt.cd/2020/08/15/rdc-des-frontieres-reouvertes-ce-samedi-15-aout-cinq-mois-apres-leur-fermeture/
https://presidence.cd/uploads/files/Fin%20de%20l%27Etat%20d%27urgence.pdf
Earlier recorded access
Source 1: full page
Source 2: full page
Source 3: search extract</x:v>
      </x:c>
      <x:c r="P166" s="20" t="n">
        <x:v>1</x:v>
      </x:c>
      <x:c r="Q166" s="4" t="str">
        <x:v>Great Lakes</x:v>
      </x:c>
      <x:c r="R166" s="4" t="str">
        <x:v>Included</x:v>
      </x:c>
    </x:row>
    <x:row r="167" ht="409" hidden="0" customHeight="1">
      <x:c r="A167" s="16" t="str">
        <x:v>GL07</x:v>
      </x:c>
      <x:c r="B167" s="4" t="str">
        <x:v>Burundi national COVID border reclosure with phased reopening</x:v>
      </x:c>
      <x:c r="C167" s="4" t="str">
        <x:v>Burundi; Tanzania; Rwanda; Democratic Republic of the Congo</x:v>
      </x:c>
      <x:c r="D167" s="4" t="str">
        <x:v>Gatumba; later Kobero–Kabanga and Mugina
National land/water passenger restrictions; first reopening at Gatumba</x:v>
      </x:c>
      <x:c r="E167" s="4" t="str">
        <x:v>Ordinary passenger movement restricted in both directions; goods/freight exempt.
Documented humanitarian permissions: the Burundi Interior ministry reports repatriation reception at Mugina on January 14, 2021; Radio Okapi reports 182 Burundian refugees/asylum-seekers returning from DRC through Kavimvira–Gatumba on February 17. These exceptions do not establish general passenger reopening.
June 1 Gatumba and June 14 Kobero-Kabanga/Mugina resumptions retained COVID testing/document conditions.</x:v>
      </x:c>
      <x:c r="F167" s="4" t="str">
        <x:v>GL07-D1 — Formal policy with observed scoped resumption
Gatumba ordinary passenger restriction under Burundi's January 11 2021 national measure, to June 1 2021 conditional passenger reopening; freight excluded.
Start: 2021-01-11.
Observed scoped reopening: 2021-06-01.
141 calendar-day difference from the selected January policy date to scoped passenger resumption; not a measured uninterrupted physical closure
GL07-R1 — Formal policy
Ordinary passenger restrictions at Kobero-Kabanga and Mugina under January 2021 national measure; cargo excluded.
Start: 2021-01-11.
Policy endpoint: 2021-06-14.
Formal policy: 154 calendar-day difference; operational continuity not established</x:v>
      </x:c>
      <x:c r="G16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67" s="4" t="str">
        <x:v>The selected January 11, 2021 national policy segment is not necessarily the first physical closure at Gatumba. Retrospective reports describe restrictions since March 2020. October 28, 2020 field reporting describes selective Gatumba passage with written authorisation and alleged informal payments, while some officials still called the post closed. This documents category-specific access before January, not a complete reopening or a settled continuous 2020–2021 interval.
GL07-D1: June 1 Gatumba resumption is supported by on-site reporting and the Health Ministry bulletin; testing costs and travel-document conditions remained. Radio Okapi reports completed repatriation through Kavimvira–Gatumba on February 17, with an earlier convoy the preceding week. The 141-day difference is a selected policy span, not physical impermeability.
GL07-R1: June 14 Kobero-Kabanga and Mugina reopening is an official-reported policy endpoint. The Interior ministry archive explicitly dates repatriation reception at Mugina to January 14; its full individual article remains inaccessible. Preserve this exception to ordinary passenger restrictions and do not combine Tanzania gates with the separate Rwanda political regime. No every-category continuous operational duration is established.</x:v>
      </x:c>
      <x:c r="I167" s="4" t="str">
        <x:v>Second full-register audit, 26 October 2026: additional source-audited corrections incorporated. See the phase, scope and qualification columns for the accepted findings.</x:v>
      </x:c>
      <x:c r="J167" s="18" t="d">
        <x:v>2026-10-26T00:00:00.000Z</x:v>
      </x:c>
      <x:c r="K167" s="21" t="str">
        <x:f>IFERROR(HYPERLINK("https://www.afro.who.int/sites/default/files/2021-06/Burundi_Bulletin%20Hebdomadaire%20COVID-19%20Num%C3%A9ro%2016.pdf","afro.who.int"),"afro.who.int")</x:f>
        <x:v>afro.who.int</x:v>
      </x:c>
      <x:c r="L167" s="21" t="str">
        <x:f>IFERROR(HYPERLINK("https://www.sosmediasburundi.org/2021/06/01/gatumba-reouverture-de-la-frontiere-entre-le-burundi-et-la-rdc/","sosmediasburundi.org"),"sosmediasburundi.org")</x:f>
        <x:v>sosmediasburundi.org</x:v>
      </x:c>
      <x:c r="M167" s="21" t="str">
        <x:f>IFERROR(HYPERLINK("https://abpinfo.bi/2021/06/02/la-frontiere-de-gatumba-est-desormais-ouverte/","abpinfo.bi"),"abpinfo.bi")</x:f>
        <x:v>abpinfo.bi</x:v>
      </x:c>
      <x:c r="N167" s="4" t="str">
        <x:v>https://www.afro.who.int/sites/default/files/2021-06/Burundi_Bulletin%20Hebdomadaire%20COVID-19%20Num%C3%A9ro%2016.pdf
https://www.sosmediasburundi.org/2021/06/01/gatumba-reouverture-de-la-frontiere-entre-le-burundi-et-la-rdc/
https://abpinfo.bi/2021/06/02/la-frontiere-de-gatumba-est-desormais-ouverte/
https://www.theeastafrican.co.ke/tea/news/east-africa/burundi-reopens-border-with-tanzania-3438032
https://www.radiookapi.net/2021/06/01/actualite/en-bref/uvira-une-annee-apres-le-burundi-rouvre-sa-frontiere-avec-la-rdc
https://www.sosmediasburundi.org/2021/01/08/covid-19-le-burundi-va-fermer-ses-frontieres-terrestre-et-maritime/
https://mininterinfos.gov.bi/des-refugies-continuent-de-rentrer-massivement/
https://mininterinfos.gov.bi/page/36/
https://www.radiookapi.net/2021/02/18/actualite/societe/uvira-182-refugies-rapatries-vers-le-burundi-par-la-frontiere-de
https://www.sosmediasburundi.org/2020/10/28/burundi-rdc-des-habitants-du-sud-kivu-deplorent-des-pots-de-vin-leur-exiges-pour-traverser-la-frontiere/</x:v>
      </x:c>
      <x:c r="O167" s="4" t="str">
        <x:v>Second full-register audit source access, 26 October 2026
https://www.sosmediasburundi.org/2021/01/08/covid-19-le-burundi-va-fermer-ses-frontieres-terrestre-et-maritime/: full text (fresh retrieval)
https://www.sosmediasburundi.org/2021/06/01/gatumba-reouverture-de-la-frontiere-entre-le-burundi-et-la-rdc/: full text (fresh retrieval)
https://www.afro.who.int/sites/default/files/2021-06/Burundi_Bulletin%20Hebdomadaire%20COVID-19%20Num%C3%A9ro%2016.pdf: full text (fresh retrieval)
https://www.theeastafrican.co.ke/tea/news/east-africa/burundi-reopens-border-with-tanzania-3438032: full text (fresh retrieval)
https://mininterinfos.gov.bi/page/36/: full text (fresh retrieval) — Archive excerpt only; full linked article timed out
https://www.radiookapi.net/2021/02/18/actualite/societe/uvira-182-refugies-rapatries-vers-le-burundi-par-la-frontiere-de: search extract (fresh retrieval) — Substantive indexed article; direct retrieval timeout
https://www.sosmediasburundi.org/2020/10/28/burundi-rdc-des-habitants-du-sud-kivu-deplorent-des-pots-de-vin-leur-exiges-pour-traverser-la-frontiere/: full text (fresh retrieval)
Earlier URLs not separately inspected in this second assessment:
https://abpinfo.bi/2021/06/02/la-frontiere-de-gatumba-est-desormais-ouverte/
https://www.radiookapi.net/2021/06/01/actualite/en-bref/uvira-une-annee-apres-le-burundi-rouvre-sa-frontiere-avec-la-rdc
https://mininterinfos.gov.bi/des-refugies-continuent-de-rentrer-massivement/
Prior audit access record
Full-register audit source access (evidence cutoff 25 October 2026)
https://www.sosmediasburundi.org/2021/01/08/covid-19-le-burundi-va-fermer-ses-frontieres-terrestre-et-maritime/: full text
https://www.sosmediasburundi.org/2021/06/01/gatumba-reouverture-de-la-frontiere-entre-le-burundi-et-la-rdc/: full text
https://www.theeastafrican.co.ke/tea/news/east-africa/burundi-reopens-border-with-tanzania-3438032: full text
Earlier source URLs not separately listed in this audit’s retrieval log (historical access notes below are not fresh verification):
https://www.afro.who.int/sites/default/files/2021-06/Burundi_Bulletin%20Hebdomadaire%20COVID-19%20Num%C3%A9ro%2016.pdf
https://abpinfo.bi/2021/06/02/la-frontiere-de-gatumba-est-desormais-ouverte/
https://www.radiookapi.net/2021/06/01/actualite/en-bref/uvira-une-annee-apres-le-burundi-rouvre-sa-frontiere-avec-la-rdc
https://mininterinfos.gov.bi/des-refugies-continuent-de-rentrer-massivement/
Earlier recorded access
Source 1: full
Source 2: full
Source 3: failed</x:v>
      </x:c>
      <x:c r="P167" s="20" t="n">
        <x:v>2</x:v>
      </x:c>
      <x:c r="Q167" s="4" t="str">
        <x:v>Great Lakes</x:v>
      </x:c>
      <x:c r="R167" s="4" t="str">
        <x:v>Included</x:v>
      </x:c>
    </x:row>
    <x:row r="168" ht="409" hidden="0" customHeight="1">
      <x:c r="A168" s="16" t="str">
        <x:v>GL12</x:v>
      </x:c>
      <x:c r="B168" s="4" t="str">
        <x:v>Congolese official prohibition of Bunagana border operations under M23 control</x:v>
      </x:c>
      <x:c r="C168" s="4" t="str">
        <x:v>Democratic Republic of the Congo; Uganda</x:v>
      </x:c>
      <x:c r="D168" s="4" t="str">
        <x:v>Bunagana
Bunagana goods import/export prohibition; access-road prohibition also retrospectively reported</x:v>
      </x:c>
      <x:c r="E168" s="4" t="str">
        <x:v>Goods imports and exports via Bunagana; road restrictions are separately reported retrospectively.
Direction: Imports into and exports from the DRC through Bunagana.
Exceptions: No formal exceptions established. Trade supervised by M23-appointed agents was nevertheless observed by journalists in April 2023.</x:v>
      </x:c>
      <x:c r="F168" s="4" t="str">
        <x:v>GL12-FU1 — Formal policy
Bunagana goods import/export prohibition by North Kivu authorities
Start: 2022-06-20.
Last confirmed: 2022-06-20. Reopening is not established.
Formal policy: dated evidence; numeric duration withheld; see qualification</x:v>
      </x:c>
      <x:c r="G168"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x:v>
      </x:c>
      <x:c r="H168" s="4" t="str">
        <x:v>GL12-FU1: The June 20, 2022 order prohibits goods imports and exports through Bunagana. M23 announced physical reopening the same day; journalists subsequently observed trade under its appointed administration in the week reported on April 21, 2023. These are evidence of traffic despite the Congolese prohibition, not its legal repeal. The July 5, 2023 letter envisaged a conditional return of Congolese state services, not a completed reopening, and M23 opposed that return. Uganda’s July 10, 2025 reopening likewise does not establish repeal by the DRC. The prohibition’s legal endpoint and continuity remain unknown; no uninterrupted operational closure or numeric duration is inferred.</x:v>
      </x:c>
      <x:c r="I168" s="4" t="str">
        <x:v>Second full-register audit, 26 October 2026: additional source-audited corrections incorporated. See the phase, scope and qualification columns for the accepted findings.</x:v>
      </x:c>
      <x:c r="J168" s="18" t="d">
        <x:v>2026-10-26T00:00:00.000Z</x:v>
      </x:c>
      <x:c r="K168" s="21" t="str">
        <x:f>IFERROR(HYPERLINK("https://actualite.cd/2022/06/20/nord-kivu-le-gouverneur-militaire-interdit-dimporter-et-dexporter-des-marchandises-le","Actualite.cd"),"Actualite.cd")</x:f>
        <x:v>Actualite.cd</x:v>
      </x:c>
      <x:c r="L168" s="21" t="str">
        <x:f>IFERROR(HYPERLINK("https://www.radiookapi.net/2022/06/21/actualite/economie/nord-kivu-interdiction-dimporter-et-dexporter-les-marchandises","Radio Okapi"),"Radio Okapi")</x:f>
        <x:v>Radio Okapi</x:v>
      </x:c>
      <x:c r="M168" s="21" t="str">
        <x:f>IFERROR(HYPERLINK("https://www.radiookapi.net/2023/07/09/actualite/securite/nord-kivu-le-gouverneur-annonce-la-reprise-des-activites-au-poste","Radio Okapi"),"Radio Okapi")</x:f>
        <x:v>Radio Okapi</x:v>
      </x:c>
      <x:c r="N168" s="4" t="str">
        <x:v>https://actualite.cd/2022/06/20/nord-kivu-le-gouverneur-militaire-interdit-dimporter-et-dexporter-des-marchandises-le
https://www.radiookapi.net/2022/06/21/actualite/economie/nord-kivu-interdiction-dimporter-et-dexporter-les-marchandises
https://www.radiookapi.net/2023/07/09/actualite/securite/nord-kivu-le-gouverneur-annonce-la-reprise-des-activites-au-poste
https://actualite.cd/2025/07/19/reouverture-unilaterale-de-la-frontiere-de-bunagana-therese-kayikwamba-exprime-la
https://www.radiookapi.net/node/226000
https://actualite.cd/2025/07/11/rdc-ouganda-reouverture-unilaterale-du-poste-de-bunagana-kinshasa-reclame-des
https://www.ugandaradionetwork.net/story/m23-rebels-warn-drc-govt-over-bunagana-border-resumption
https://www.monitor.co.ug/uganda/news/national/dr-congo-rebels-reopen-border-post-with-uganda-3854222
https://www.independent.co.ug/kisoro-authorities-close-bunagana-border-amid-rebel-clashes-in-dr-congo/
https://chimpreports.com/drc-suspends-cross-border-trade-via-captured-bunagana-border/
https://actualite.cd/index.php/2023/07/09/nord-kivu-le-gouverneur-militaire-annonce-la-reprise-officielle-des-activites
https://www.radiookapi.net/2023/04/21/actualite/economie/bunagana-les-echanges-commerciaux-toujours-supervises-par-le-m23</x:v>
      </x:c>
      <x:c r="O168" s="4" t="str">
        <x:v>Second full-register audit source access, 26 October 2026
https://actualite.cd/2022/06/20/nord-kivu-le-gouverneur-militaire-interdit-dimporter-et-dexporter-des-marchandises-le: full text (fresh retrieval)
https://www.radiookapi.net/2023/07/09/actualite/securite/nord-kivu-le-gouverneur-annonce-la-reprise-des-activites-au-poste: search extract (fresh retrieval) — Direct open timed out; indexed article body inspected.
https://actualite.cd/index.php/2023/07/09/nord-kivu-le-gouverneur-militaire-annonce-la-reprise-officielle-des-activites: full text (fresh retrieval)
https://www.radiookapi.net/2023/04/21/actualite/economie/bunagana-les-echanges-commerciaux-toujours-supervises-par-le-m23: search extract (fresh retrieval) — Direct open timed out; indexed body inspected; exact first resumption day unspecified.
https://actualite.cd/2025/07/11/rdc-ouganda-reouverture-unilaterale-du-poste-de-bunagana-kinshasa-reclame-des: full text (fresh retrieval) — Does not establish legal continuity of the original order.
Earlier URLs not separately inspected in this second assessment:
https://www.radiookapi.net/2022/06/21/actualite/economie/nord-kivu-interdiction-dimporter-et-dexporter-les-marchandises
https://actualite.cd/2025/07/19/reouverture-unilaterale-de-la-frontiere-de-bunagana-therese-kayikwamba-exprime-la
https://www.radiookapi.net/node/226000
https://www.ugandaradionetwork.net/story/m23-rebels-warn-drc-govt-over-bunagana-border-resumption
https://www.monitor.co.ug/uganda/news/national/dr-congo-rebels-reopen-border-post-with-uganda-3854222
https://www.independent.co.ug/kisoro-authorities-close-bunagana-border-amid-rebel-clashes-in-dr-congo/
https://chimpreports.com/drc-suspends-cross-border-trade-via-captured-bunagana-border/
Prior audit access record
Full-register audit source access (evidence cutoff 25 October 2026)
https://actualite.cd/2022/06/20/nord-kivu-le-gouverneur-militaire-interdit-dimporter-et-dexporter-des-marchandises-le: full text
https://www.radiookapi.net/2023/07/09/actualite/securite/nord-kivu-le-gouverneur-annonce-la-reprise-des-activites-au-poste: search extract — Direct retrieval timed out; original indexed body inspected.
https://actualite.cd/2025/07/11/rdc-ouganda-reouverture-unilaterale-du-poste-de-bunagana-kinshasa-reclame-des: full text
Earlier source URLs not separately listed in this audit’s retrieval log (historical access notes below are not fresh verification):
https://www.radiookapi.net/2022/06/21/actualite/economie/nord-kivu-interdiction-dimporter-et-dexporter-les-marchandises
https://actualite.cd/2025/07/19/reouverture-unilaterale-de-la-frontiere-de-bunagana-therese-kayikwamba-exprime-la
https://www.radiookapi.net/node/226000
https://www.ugandaradionetwork.net/story/m23-rebels-warn-drc-govt-over-bunagana-border-resumption
https://www.monitor.co.ug/uganda/news/national/dr-congo-rebels-reopen-border-post-with-uganda-3854222
https://www.independent.co.ug/kisoro-authorities-close-bunagana-border-amid-rebel-clashes-in-dr-congo/
https://chimpreports.com/drc-suspends-cross-border-trade-via-captured-bunagana-border/
Earlier recorded access
Source 1: search extract
Source 2: indexed excerpt
Source 3: indexed excerpt</x:v>
      </x:c>
      <x:c r="P168" s="20" t="n">
        <x:v>1</x:v>
      </x:c>
      <x:c r="Q168" s="4" t="str">
        <x:v>Great Lakes</x:v>
      </x:c>
      <x:c r="R168" s="4" t="str">
        <x:v>Included</x:v>
      </x:c>
    </x:row>
    <x:row r="169" ht="409" hidden="0" customHeight="1">
      <x:c r="A169" s="16" t="str">
        <x:v>GL10</x:v>
      </x:c>
      <x:c r="B169" s="4" t="str">
        <x:v>DRC election border closure extending beyond announced day at Mpondwe</x:v>
      </x:c>
      <x:c r="C169" s="4" t="str">
        <x:v>Democratic Republic of the Congo</x:v>
      </x:c>
      <x:c r="D169" s="4" t="str">
        <x:v>Mpondwe and DRC–Rwanda crossings
National order; observed Rwanda frontier and Mpondwe</x:v>
      </x:c>
      <x:c r="E169" s="4" t="str">
        <x:v>Passengers and trucks.
Direction: Both entry and exit at Mpondwe.
Exceptions: On December 20, 2023, incoming Congolese arriving from Burundi and Rwanda were reportedly admitted at Ruzizi around 11:00 to vote. No equivalent Mpondwe exception is established.</x:v>
      </x:c>
      <x:c r="F169" s="4" t="str">
        <x:v>GL10-D1 — Observed operation
Mpondwe–Kasindi election interruption, confirmed still closed at 15:00 on December 21.
Start: 2023-12-19 to 2023-12-20.
Last confirmed: 2023-12-21. Exact first reopening is not established.
confirmed through 2023-12-21; at least 1 calendar-day difference; exact first reopening unknown
Separate later access observation: Kasindi import/export traffic resumed late on June 18, 2024, after a different seven-day strike; the fish-sector strike remained. This proves later scoped freight access by that date, not the first reopening after the December 2023 election closure, general passenger restoration or continuous closure between observations.</x:v>
      </x:c>
      <x:c r="G169"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169" s="4" t="str">
        <x:v>GL10-D1: Onset remains December 19–20, 2023. The national December 20 00:00–23:59 schedule was not actual local reopening: Mpondwe still prevented entry/exit at 15:00 on December 21. The first subsequent reopening is unknown.
A separate December 20 Election-net report says Congolese arriving from Burundi and Rwanda crossed at Ruzizi around 11:00 to vote. This is an incoming voting exception, not general border restoration; the report does not identify each bridge. It qualifies broad claims that every Rwanda-frontier traveller was excluded.
Le Quotidien RDC reports actual import/export resumption at Kasindi late on June 18, 2024, with resident testimony, following a separate seven-day strike. Fish-sector disruption continued. This is a later scoped freight-access observation only: do not extend the election closure continuously to June, assign all passengers the freight endpoint or merge the unrelated strike into this episode.</x:v>
      </x:c>
      <x:c r="I169" s="4" t="str">
        <x:v>Second full-register audit, 26 October 2026: qualified. Fresh source inspection supports the scoped election closure and voter exception. No earlier matched reopening was found; the later Kasindi trade resumption belongs to a separate strike and cannot supply an exact election-closure endpoint.</x:v>
      </x:c>
      <x:c r="J169" s="18" t="d">
        <x:v>2026-10-26T00:00:00.000Z</x:v>
      </x:c>
      <x:c r="K169" s="21" t="str">
        <x:f>IFERROR(HYPERLINK("https://kt.cd/2023/12/19/election-generale-les-frontieres-vont-rester-fermees-dgm/","Kinshasa Times"),"Kinshasa Times")</x:f>
        <x:v>Kinshasa Times</x:v>
      </x:c>
      <x:c r="L169" s="21" t="str">
        <x:f>IFERROR(HYPERLINK("https://ugandaradionetwork.net/story/drc-elections-cargo-trucks-stuck-at-mpondwe","Uganda Radio Network"),"Uganda Radio Network")</x:f>
        <x:v>Uganda Radio Network</x:v>
      </x:c>
      <x:c r="M169" s="21" t="str">
        <x:f>IFERROR(HYPERLINK("https://www.trtafrika.com/francais/article/16306761","TRT Afrika"),"TRT Afrika")</x:f>
        <x:v>TRT Afrika</x:v>
      </x:c>
      <x:c r="N169" s="4" t="str">
        <x:v>https://kt.cd/2023/12/19/election-generale-les-frontieres-vont-rester-fermees-dgm/
https://ugandaradionetwork.net/story/drc-elections-cargo-trucks-stuck-at-mpondwe
https://www.trtafrika.com/francais/article/16306761
https://linterview.cd/fermeture-des-frontieres-de-la-rdc-pour-les-elections-generales-du-20-decembre/
https://ugandaradionetwork.net/story/dr-congo-closes-border-with-rwanda-over-presidential-polls
https://www.independent.co.ug/drc-elections-cargo-trucks-stuck-at-mpondwe/
https://congoprofond.net/elections-en-rdc-toutes-les-frontieres-fermees-ce-mercredi-20-decembre/
https://al24news.dz/fr/rd-congo-fermeture-des-frontieres-mercredi-a-loccasion-des-elections-generales/
https://lequotidienrdc.com/rdc-ouganda-reprises-des-activites-economiques-a-la-douane-de-kasindi/
https://election-net.com/article/sud-kivuelections-la-frontiere-de-ruzizi-ouverte-aux-congolais-venant-des-pays-voisins</x:v>
      </x:c>
      <x:c r="O169" s="4" t="str">
        <x:v>Second full-register audit source access, 26 October 2026
https://ugandaradionetwork.net/story/drc-elections-cargo-trucks-stuck-at-mpondwe: full text (fresh retrieval) — Does not report first reopening.
https://election-net.com/article/sud-kivuelections-la-frontiere-de-ruzizi-ouverte-aux-congolais-venant-des-pays-voisins: full text (fresh retrieval) — No individual bridge assignment.
https://lequotidienrdc.com/rdc-ouganda-reprises-des-activites-economiques-a-la-douane-de-kasindi/: full text (fresh retrieval) — Different episode from December elections.
https://linterview.cd/fermeture-des-frontieres-de-la-rdc-pour-les-elections-generales-du-20-decembre/: full text (fresh retrieval)
Earlier URLs not separately inspected in this second assessment:
https://kt.cd/2023/12/19/election-generale-les-frontieres-vont-rester-fermees-dgm/
https://www.trtafrika.com/francais/article/16306761
https://ugandaradionetwork.net/story/dr-congo-closes-border-with-rwanda-over-presidential-polls
https://www.independent.co.ug/drc-elections-cargo-trucks-stuck-at-mpondwe/
https://congoprofond.net/elections-en-rdc-toutes-les-frontieres-fermees-ce-mercredi-20-decembre/
https://al24news.dz/fr/rd-congo-fermeture-des-frontieres-mercredi-a-loccasion-des-elections-generales/
Prior audit access record
Full-register audit source access (evidence cutoff 25 October 2026)
https://ugandaradionetwork.net/story/drc-elections-cargo-trucks-stuck-at-mpondwe: full text
https://linterview.cd/fermeture-des-frontieres-de-la-rdc-pour-les-elections-generales-du-20-decembre/: full text
https://kt.cd/2023/12/19/election-generale-les-frontieres-vont-rester-fermees-dgm/: inaccessible — HTTP 403.
https://lequotidienrdc.com/rdc-ouganda-reprises-des-activites-economiques-a-la-douane-de-kasindi/: full text
https://election-net.com/article/sud-kivuelections-la-frontiere-de-ruzizi-ouverte-aux-congolais-venant-des-pays-voisins: full text
https://ugandaradionetwork.net/story/dr-congo-closes-border-with-rwanda-over-presidential-polls: full text
https://www.trtafrika.com/francais/article/16306761: full text
https://congoprofond.net/elections-en-rdc-toutes-les-frontieres-fermees-ce-mercredi-20-decembre/: full text
https://al24news.dz/fr/rd-congo-fermeture-des-frontieres-mercredi-a-loccasion-des-elections-generales/: inaccessible
Earlier source URLs not separately listed in this audit’s retrieval log (historical access notes below are not fresh verification):
https://www.independent.co.ug/drc-elections-cargo-trucks-stuck-at-mpondwe/
Earlier recorded access
Source 1: search extract
Source 2: full text
Source 3: indexed extract</x:v>
      </x:c>
      <x:c r="P169" s="20" t="n">
        <x:v>1</x:v>
      </x:c>
      <x:c r="Q169" s="4" t="str">
        <x:v>Great Lakes</x:v>
      </x:c>
      <x:c r="R169" s="4" t="str">
        <x:v>Included</x:v>
      </x:c>
    </x:row>
    <x:row r="170" ht="409" hidden="0" customHeight="1">
      <x:c r="A170" s="16" t="str">
        <x:v>GL11</x:v>
      </x:c>
      <x:c r="B170" s="4" t="str">
        <x:v>Burundi reclosure of Rwanda frontier</x:v>
      </x:c>
      <x:c r="C170" s="4" t="str">
        <x:v>Burundi; Rwanda</x:v>
      </x:c>
      <x:c r="D170" s="4" t="str">
        <x:v>Ruhwa; Gasenyi–Nemba; Kanyaru
All Burundi–Rwanda land crossings</x:v>
      </x:c>
      <x:c r="E170" s="4" t="str">
        <x:v>People and goods; cross-border transport and markets interrupted.
Direction: Both directions affected, including stranded returnees.
Exceptions: Not established</x:v>
      </x:c>
      <x:c r="F170" s="4" t="str">
        <x:v>GL11-D1 — Observed operation
Ordinary Burundi–Rwanda land passage under Burundi's January 2024 reclosure.
Start: 2024-01-11.
Last confirmed in the historical phase: 2026-09-09. Reopening is not established.
Confirmed through 2026-09-09; at least 972 calendar-day difference; reopening unknown.
Separate current-status observation, checked 2026-10-25: FCDO and Australian DFAT advice continue to describe the Burundi–Rwanda land frontier as closed. This check is not a new onset or direct observation at every post.</x:v>
      </x:c>
      <x:c r="G170"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Interstate disputes and pressure / Diplomatic disputes and retaliation
Reported reason
Applies to: Recorded episode; exact overlap not separately established
The recorded rationale and claim assessment support the selected subcategories. All applicable broad categories are retained together; no primary rationale is imposed.</x:v>
      </x:c>
      <x:c r="H170" s="4" t="str">
        <x:v>GL11-D1: Later advice is not direct observation at every post. Special permissions are not exhaustively reconstructed. The historical phase and its duration remain unchanged. A separate current-status observation checked on 2026-10-25 confirms ordinary land-border closure in current FCDO and Australian DFAT advice; it does not independently establish every day of enforcement or eliminate exceptional access. This episode is not combined with the earlier political regime.</x:v>
      </x:c>
      <x:c r="I170" s="4" t="str">
        <x:v>Second full-register audit, 26 October 2026: qualified. Fresh January 2024 reporting and October 26, 2026 travel advice support ordinary land-border closure and its political/security context. No reopening or comprehensive exceptional-access roster was established; retain the historical phase and separately qualified current observation.</x:v>
      </x:c>
      <x:c r="J170" s="18" t="d">
        <x:v>2026-10-26T00:00:00.000Z</x:v>
      </x:c>
      <x:c r="K170" s="21" t="str">
        <x:f>IFERROR(HYPERLINK("https://www.iwacu-burundi.org/burundi-rwanda-regain-de-tensions/","IWACU"),"IWACU")</x:f>
        <x:v>IWACU</x:v>
      </x:c>
      <x:c r="L170" s="21" t="str">
        <x:f>IFERROR(HYPERLINK("https://www.sosmediasburundi.org/2024/01/11/burundi-rwanda-les-autorites-burundaises-affirment-avoir-suspendu-toutes-les-relations-avec-le-president-paul-kagame-et-ferment-les-frontieres-avec-le-rwanda/","SOS Médias Burundi"),"SOS Médias Burundi")</x:f>
        <x:v>SOS Médias Burundi</x:v>
      </x:c>
      <x:c r="M170" s="21" t="str">
        <x:f>IFERROR(HYPERLINK("https://www.marketscreener.com/news/latest/Burundi-shuts-border-with-Rwanda-amid-spat-45726222/","MarketScreener"),"MarketScreener")</x:f>
        <x:v>MarketScreener</x:v>
      </x:c>
      <x:c r="N170" s="4" t="str">
        <x:v>https://www.iwacu-burundi.org/burundi-rwanda-regain-de-tensions/
https://www.sosmediasburundi.org/2024/01/11/burundi-rwanda-les-autorites-burundaises-affirment-avoir-suspendu-toutes-les-relations-avec-le-president-paul-kagame-et-ferment-les-frontieres-avec-le-rwanda/
https://www.marketscreener.com/news/latest/Burundi-shuts-border-with-Rwanda-amid-spat-45726222/
https://voyage.gc.ca/destinations/rwanda
https://www.aa.com.tr/en/africa/burundi-closes-border-with-rwanda-following-deadly-rebel-attack/3107010
https://www.gov.uk/foreign-travel-advice/burundi/safety-and-security
https://www.smartraveller.gov.au/destinations/africa/rwanda</x:v>
      </x:c>
      <x:c r="O170" s="4" t="str">
        <x:v>Second full-register audit source access, 26 October 2026
https://www.iwacu-burundi.org/burundi-rwanda-regain-de-tensions/: full text (fresh retrieval)
https://www.sosmediasburundi.org/2024/01/11/burundi-rwanda-les-autorites-burundaises-affirment-avoir-suspendu-toutes-les-relations-avec-le-president-paul-kagame-et-ferment-les-frontieres-avec-le-rwanda/: full text (fresh retrieval)
https://www.gov.uk/foreign-travel-advice/burundi/safety-and-security: full text (fresh retrieval) — Advice is not exhaustive operational monitoring
https://www.smartraveller.gov.au/destinations/africa/rwanda: full text (fresh retrieval) — Do not import separate DRC statement into this bilateral record
Earlier URLs not separately inspected in this second assessment:
https://www.marketscreener.com/news/latest/Burundi-shuts-border-with-Rwanda-amid-spat-45726222/
https://voyage.gc.ca/destinations/rwanda
https://www.aa.com.tr/en/africa/burundi-closes-border-with-rwanda-following-deadly-rebel-attack/3107010
Prior audit access record
Full-register audit source access (evidence cutoff 25 October 2026)
https://www.sosmediasburundi.org/2024/01/11/burundi-rwanda-les-autorites-burundaises-affirment-avoir-suspendu-toutes-les-relations-avec-le-president-paul-kagame-et-ferment-les-frontieres-avec-le-rwanda/: full text
https://www.gov.uk/foreign-travel-advice/burundi/safety-and-security: full text
https://www.smartraveller.gov.au/destinations/africa/rwanda: search extract — Direct page subsequently displayed an Australian October 26 current-at label; only October 25 indexed capture used for this audit.
Earlier source URLs not separately listed in this audit’s retrieval log (historical access notes below are not fresh verification):
https://www.iwacu-burundi.org/burundi-rwanda-regain-de-tensions/
https://www.marketscreener.com/news/latest/Burundi-shuts-border-with-Rwanda-amid-spat-45726222/
https://voyage.gc.ca/destinations/rwanda
https://www.aa.com.tr/en/africa/burundi-closes-border-with-rwanda-following-deadly-rebel-attack/3107010
Earlier recorded access
Source 1: full page
Source 2: full page
Source 3: full page</x:v>
      </x:c>
      <x:c r="P170" s="20" t="n">
        <x:v>1</x:v>
      </x:c>
      <x:c r="Q170" s="4" t="str">
        <x:v>Great Lakes</x:v>
      </x:c>
      <x:c r="R170" s="4" t="str">
        <x:v>Included</x:v>
      </x:c>
    </x:row>
    <x:row r="171" ht="409" hidden="0" customHeight="1">
      <x:c r="A171" s="16" t="str">
        <x:v>GL13</x:v>
      </x:c>
      <x:c r="B171" s="4" t="str">
        <x:v>Uganda closure of Bunagana and Ishasha adjoining M23-held territory</x:v>
      </x:c>
      <x:c r="C171" s="4" t="str">
        <x:v>Uganda; Democratic Republic of the Congo; Rwanda</x:v>
      </x:c>
      <x:c r="D171" s="4" t="str">
        <x:v>Bunagana; Ishasha; Busanza; Katuna; Cyanika (Chanika); Kyeshero
Selected Ugandan crossings adjoining eastern DRC; separately, DRC-bound goods clearance through the six named Uganda–Rwanda and Uganda–DRC posts.</x:v>
      </x:c>
      <x:c r="E171" s="4" t="str">
        <x:v>Formal passenger and trade operations in the January phases; separately, DRC-bound goods, including loads for Goma and Bukavu, in the March 3 routing rule.
Direction: March rule concerns goods leaving Uganda for the DRC, including transit via Rwanda; the earlier phases do not establish each direction separately.
Exceptions and alternatives: Informal Bunagana movement continued. March goods could be declared through unaffected posts. March 10 observations identify stranded freight at Katuna and Cyanika. August 4 reporting confirms small-truck local trade at Bunagana while heavy international freight remained limited.</x:v>
      </x:c>
      <x:c r="F171" s="4" t="str">
        <x:v>GL13-D1 — Formal policy
Ugandan formal suspension of Bunagana and Ishasha operations, to the officially reported reactivation.
Start: 2025-01-01 to 2025-01-31.
Policy endpoint: 2025-07-10.
Formal policy: 160–190 calendar-day difference; operational continuity not established
GL13-R1 — Formal policy
Ugandan formal suspension at Busanza until presidential reopening permission on July 9.
Start: 2025-01-01 to 2025-01-31.
Policy endpoint: 2025-07-09.
Formal policy: 159–189 calendar-day difference; operational continuity not established
REC50-R26-GL13-P1 — Formal policy, with scoped enforcement observations
URA routing restriction on DRC-bound goods clearance through Katuna, Bunagana, Cyanika (Chanika), Ishasha, Busanza and Kyeshero; affected destinations include Goma and Bukavu.
Start: 2025-03-03.
Last confirmed: 2025-03-10. Restoration of the affected clearance is not established.
Formal-policy evidence spans at least 7 calendar days. On March 10, five trucks were stranded at Katuna and seven at Cyanika; a Katuna driver reported nine days unable to proceed. This establishes a restriction longer than 24 hours for that reported cohort, without an exact complete operational duration or all-post continuity.</x:v>
      </x:c>
      <x:c r="G171" s="4" t="str">
        <x:v>Security / Armed conflict and military confrontation
Analytical interpretation of reported context
Applies to: GL13-D1 and GL13-R1.
The January suspensions concern crossings adjoining M23-held territory; the attribution remains an interpretation of the reported context.
REC50-R26-GL13-P1: The March 3 customs memo attributes rerouting to revenue losses after the DRC government lost control of Goma and Bukavu. This reported revenue-control explanation is specific to that memo and does not replace the earlier phases’ attribution.</x:v>
      </x:c>
      <x:c r="H171" s="4" t="str">
        <x:v>GL13-D1: The exact late-January onset is unknown; the whole-month range does not assert January 1. July 10 is officially reported reactivation at Bunagana and Ishasha, including a Bunagana ceremony, not independently established first ordinary passage at both posts. Informal Bunagana movement continued. August 4 reporting confirms small-truck local trade while heavy international traffic remained limited; its retrospective since-2021 wording is not used to replace this phase’s January 2025 onset.
GL13-R1: Busanza’s July 9 endpoint is presidential permission, not verified first ordinary passage. Its unknown January onset and policy duration remain separate from the other posts; no continuous physical seal is inferred.
REC50-R26-GL13-P1: URN’s March 5 account names four routes to Goma, but the fuller March 3 memo quotation in Monitor and New Vision’s account name six posts and DRC-bound goods, including Bukavu. The original attachment requires client access and was not inspected. The stated aim was preventing revenue loss after DRC authorities lost control of Goma and Bukavu; goods were directed to alternative posts. Monitor’s March 11 and March 17 reports identify March 10 stranded trucks at Katuna and Cyanika; the later publication is not a new truck-observation date. The driver’s reported nine-day wait supports a sustained restriction for that cohort, not an exact onset at every post. No general passenger closure, universal all-goods ban, July repeal of this routing rule or exact first clearance restoration is inferred.</x:v>
      </x:c>
      <x:c r="I171" s="4" t="str">
        <x:v>Second full-register audit, 26 October 2026: additional source-audited corrections incorporated. See the phase, scope and qualification columns for the accepted findings.</x:v>
      </x:c>
      <x:c r="J171" s="18" t="d">
        <x:v>2026-10-26T00:00:00.000Z</x:v>
      </x:c>
      <x:c r="K171" s="21" t="str">
        <x:f>IFERROR(HYPERLINK("https://www.aa.com.tr/en/africa/uganda-reopens-border-posts-with-dr-congo/3628319","Anadolu"),"Anadolu")</x:f>
        <x:v>Anadolu</x:v>
      </x:c>
      <x:c r="L171" s="21" t="str">
        <x:f>IFERROR(HYPERLINK("https://www.monitor.co.ug/uganda/news/national/uganda-reopens-bunagana-border-with-drc--5113572","Monitor"),"Monitor")</x:f>
        <x:v>Monitor</x:v>
      </x:c>
      <x:c r="M171" s="21" t="str">
        <x:f>IFERROR(HYPERLINK("https://ugandaradionetwork.net/story/uganda-reopens-border-posts-under-m23-control","Uganda Radio Network"),"Uganda Radio Network")</x:f>
        <x:v>Uganda Radio Network</x:v>
      </x:c>
      <x:c r="N171" s="4" t="str">
        <x:v>https://www.aa.com.tr/en/africa/uganda-reopens-border-posts-with-dr-congo/3628319
https://www.monitor.co.ug/uganda/news/national/uganda-reopens-bunagana-border-with-drc--5113572
https://ugandaradionetwork.net/story/uganda-reopens-border-posts-under-m23-control
https://www.monitor.co.ug/uganda/news/national/uganda-drc-border-trade-remains-stalled-despite-bunagana-reopening-5142662
https://www.independent.co.ug/uganda-reopens-border-posts-with-eastern-drc/
https://ugandaradionetwork.net/a/story.php?storyId=250653
https://ugandaradionetwork.net/a/file.php?fileId=392884
https://www.monitor.co.ug/uganda/news/national/long-route-cargo-drivers-stuck-at-katuna-border-post-amid-drc-crisis-4959562
https://www.monitor.co.ug/uganda/news/national/how-drc-conflict-is-hurting-business-at-katuna-border-4968202
https://www.newvision.co.ug/category/news/uganda-diverts-drc-destined-goods-from-katuna-NV_206148_062026</x:v>
      </x:c>
      <x:c r="O171" s="4" t="str">
        <x:v>Second full-register audit source access, 26 October 2026
https://www.aa.com.tr/en/africa/uganda-reopens-border-posts-with-dr-congo/3628319: full text (fresh retrieval)
https://www.independent.co.ug/uganda-reopens-border-posts-with-eastern-drc/: search extract (fresh retrieval) — Direct open timed out; full indexed article inspected. Reporting origins are not additional independent confirmations.
https://www.monitor.co.ug/uganda/news/national/uganda-drc-border-trade-remains-stalled-despite-bunagana-reopening-5142662: full text (fresh retrieval) — Retrospective 2021 onset not used for 2025 policy.
https://ugandaradionetwork.net/a/story.php?storyId=250653: full text (fresh retrieval) — Original memo attachment remains client-restricted.
https://www.monitor.co.ug/uganda/news/national/long-route-cargo-drivers-stuck-at-katuna-border-post-amid-drc-crisis-4959562: search extract (fresh retrieval) — Inspected accessible article prefix through named clearing agent; later text is behind subscription prompt.
https://www.monitor.co.ug/uganda/news/national/how-drc-conflict-is-hurting-business-at-katuna-border-4968202: search extract (fresh retrieval) — Indexed full body inspected; same driver reporting as March 11, not independent new daily observation.
https://www.newvision.co.ug/category/news/uganda-diverts-drc-destined-goods-from-katuna-NV_206148_062026: full text (fresh retrieval) — Visible page omits publication date; the memo date, not URL suffix or crawl date, anchors the claim.
Earlier URLs not separately inspected in this second assessment:
https://www.monitor.co.ug/uganda/news/national/uganda-reopens-bunagana-border-with-drc--5113572
https://ugandaradionetwork.net/story/uganda-reopens-border-posts-under-m23-control
https://ugandaradionetwork.net/a/file.php?fileId=392884
Prior audit access record
Full-register audit source access (evidence cutoff 25 October 2026)
https://www.aa.com.tr/en/africa/uganda-reopens-border-posts-with-dr-congo/3628319: full text
https://www.independent.co.ug/uganda-reopens-border-posts-with-eastern-drc/: search extract — Direct repeat timed out; indexed original-publisher body inspected.
https://ugandaradionetwork.net/a/story.php?storyId=250653: full text
https://www.monitor.co.ug/uganda/news/national/uganda-drc-border-trade-remains-stalled-despite-bunagana-reopening-5142662: full text
Earlier source URLs not separately listed in this audit’s retrieval log (historical access notes below are not fresh verification):
https://www.monitor.co.ug/uganda/news/national/uganda-reopens-bunagana-border-with-drc--5113572
https://ugandaradionetwork.net/story/uganda-reopens-border-posts-under-m23-control
https://ugandaradionetwork.net/a/file.php?fileId=392884
Earlier recorded access
Source 1: full page
Source 2: full page
Source 3: indexed extract</x:v>
      </x:c>
      <x:c r="P171" s="20" t="n">
        <x:v>3</x:v>
      </x:c>
      <x:c r="Q171" s="4" t="str">
        <x:v>Great Lakes</x:v>
      </x:c>
      <x:c r="R171" s="4" t="str">
        <x:v>Included</x:v>
      </x:c>
    </x:row>
    <x:row r="172" ht="409" hidden="0" customHeight="1">
      <x:c r="A172" s="16" t="str">
        <x:v>GL14</x:v>
      </x:c>
      <x:c r="B172" s="4" t="str">
        <x:v>Goma–Rubavu crossing interruption during M23 seizure of Goma</x:v>
      </x:c>
      <x:c r="C172" s="4" t="str">
        <x:v>Democratic Republic of the Congo; Rwanda</x:v>
      </x:c>
      <x:c r="D172" s="4" t="str">
        <x:v>Petite Barrière; Grande Barrière, with separate movement phases
Goma–Rubavu crossing area</x:v>
      </x:c>
      <x:c r="E172" s="4" t="str">
        <x:v>Ordinary crossing and cross-border trade.
Direction: Not established
Exceptions: AFP aid-worker source reports a few UN staff and families evacuated on morning of 27 January.</x:v>
      </x:c>
      <x:c r="F172" s="4" t="str">
        <x:v>GL14-R1 — Observed operation
Main Goma–Rubavu crossing, identified as Grande Barrière by the reopening account; refugee entry into Rwanda
Start: 2025-01-27.
Observed scoped reopening: 2025-01-28.
1 calendar-day difference; scoped endpoint only
GL14-R2 — Observed operation
Ordinary passenger and trade suspension at Petite Barrière during the Goma battle
Start: 2025-01-26.
Last confirmed closed: early 2025-01-28.
Ordinary passenger and commercial passage restored by 2025-02-04; exact first reopening unknown.
Bounded endpoint only; no exact elapsed duration.</x:v>
      </x:c>
      <x:c r="G172"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172" s="4" t="str">
        <x:v>Petite Barrière was reported closed from January 26 and still closed early January 28. The New Times visited on February 4 and observed ordinary travellers and traders crossing, so the interruption had ended by 2025-02-04. This is a later-access bound, not an exact first reopening date or a claim of continued openness afterward.
GL14-R1: The separate Grande Barrière refugee-entry restriction ended with admission on January 28 morning. AFP's unnamed main post is inferentially matched to Grande, explicitly identified by RFI. UN evacuations and military surrenders do not establish ordinary reopening. RFI copies are the same reporting origin.
GL14-R2: The confirmed closure extends only through early January 28, not the whole day. Its endpoint is bounded after that observation and by February 4. Do not transfer the Grande refugee opening to Petite or merge or sum the overlapping phases.</x:v>
      </x:c>
      <x:c r="I172" s="4" t="str">
        <x:v>Second full-register audit, 26 October 2026: qualified. Fresh source inspection confirms distinct Grande Barrière refugee admission and Petite Barrière ordinary-trade chronology. The February 4 observation is correctly a latest reopening bound, not an exact first reopening.</x:v>
      </x:c>
      <x:c r="J172" s="18" t="d">
        <x:v>2026-10-26T00:00:00.000Z</x:v>
      </x:c>
      <x:c r="K172" s="21" t="str">
        <x:f>IFERROR(HYPERLINK("https://amp.dw.com/en/m23-rebels-goma-capture-congo-rwanda/a-71421575","DW"),"DW")</x:f>
        <x:v>DW</x:v>
      </x:c>
      <x:c r="L172" s="21" t="str">
        <x:f>IFERROR(HYPERLINK("https://www.seneweb.com/en/news/Afrique/-en-direct-rdc-calme-precaire-a-goma-des-ambassades-attaquees-par-des-manifestants-a-kinshasa_n_461793.html","Seneweb RFI reprint"),"Seneweb RFI reprint")</x:f>
        <x:v>Seneweb RFI reprint</x:v>
      </x:c>
      <x:c r="M172" s="21" t="str">
        <x:f>IFERROR(HYPERLINK("https://www.thiesinfo.com/En-direct-RDC-calme-precaire-a-Goma-des-ambassades-attaquees-par-des-manifestants-a-Kinshasa_a6010.html","Thiesinfo RFI reprint"),"Thiesinfo RFI reprint")</x:f>
        <x:v>Thiesinfo RFI reprint</x:v>
      </x:c>
      <x:c r="N172" s="4" t="str">
        <x:v>https://amp.dw.com/en/m23-rebels-goma-capture-congo-rwanda/a-71421575
https://www.seneweb.com/en/news/Afrique/-en-direct-rdc-calme-precaire-a-goma-des-ambassades-attaquees-par-des-manifestants-a-kinshasa_n_461793.html
https://www.thiesinfo.com/En-direct-RDC-calme-precaire-a-Goma-des-ambassades-attaquees-par-des-manifestants-a-Kinshasa_a6010.html
https://www.sosmediasburundi.org/en/2025/01/27/war-in-eastern-congo-kinshasa-went-to-complain-to-the-un-against-rwanda-which-it-accuses-of-having-sent-new-troops-to-the-drc/
https://www.newtimes.co.rw/article/23817/news/africa/rubavu-goma-border-crossing-returns-to-normal/amp</x:v>
      </x:c>
      <x:c r="O172" s="4" t="str">
        <x:v>Second full-register audit source access, 26 October 2026
https://amp.dw.com/en/m23-rebels-goma-capture-congo-rwanda/a-71421575: full text (fresh retrieval) — Grande identity inferred from separate named account.
https://www.thiesinfo.com/En-direct-RDC-calme-precaire-a-Goma-des-ambassades-attaquees-par-des-manifestants-a-Kinshasa_a6010.html: full text (fresh retrieval) — Reprint date differs from dispatch/event date; not independent from other RFI copies.
https://www.sosmediasburundi.org/en/2025/01/27/war-in-eastern-congo-kinshasa-went-to-complain-to-the-un-against-rwanda-which-it-accuses-of-having-sent-new-troops-to-the-drc/: full text (fresh retrieval)
https://www.newtimes.co.rw/article/23817/news/africa/rubavu-goma-border-crossing-returns-to-normal/amp: full text (fresh retrieval) — First actual reopening date not stated.
Earlier URLs not separately inspected in this second assessment:
https://www.seneweb.com/en/news/Afrique/-en-direct-rdc-calme-precaire-a-goma-des-ambassades-attaquees-par-des-manifestants-a-kinshasa_n_461793.html
Prior audit access record
Full-register audit source access (evidence cutoff 25 October 2026)
https://amp.dw.com/en/m23-rebels-goma-capture-congo-rwanda/a-71421575: full text — Main post identity is inferential.
https://www.thiesinfo.com/En-direct-RDC-calme-precaire-a-Goma-des-ambassades-attaquees-par-des-manifestants-a-Kinshasa_a6010.html: full text
https://www.sosmediasburundi.org/en/2025/01/27/war-in-eastern-congo-kinshasa-went-to-complain-to-the-un-against-rwanda-which-it-accuses-of-having-sent-new-troops-to-the-drc/: full text
https://www.newtimes.co.rw/article/23817/news/africa/rubavu-goma-border-crossing-returns-to-normal/amp: full text
Earlier source URLs not separately listed in this audit’s retrieval log (historical access notes below are not fresh verification):
https://www.seneweb.com/en/news/Afrique/-en-direct-rdc-calme-precaire-a-goma-des-ambassades-attaquees-par-des-manifestants-a-kinshasa_n_461793.html
Earlier recorded access
Source 1: full
Source 2: indexed excerpt
Source 3: indexed excerpt</x:v>
      </x:c>
      <x:c r="P172" s="20" t="n">
        <x:v>2</x:v>
      </x:c>
      <x:c r="Q172" s="4" t="str">
        <x:v>Great Lakes</x:v>
      </x:c>
      <x:c r="R172" s="4" t="str">
        <x:v>Included</x:v>
      </x:c>
    </x:row>
    <x:row r="173" ht="409" hidden="0" customHeight="1">
      <x:c r="A173" s="16" t="str">
        <x:v>GL15</x:v>
      </x:c>
      <x:c r="B173" s="4" t="str">
        <x:v>Burundi closure of Gatumba after M23 capture of Uvira</x:v>
      </x:c>
      <x:c r="C173" s="4" t="str">
        <x:v>Burundi; Democratic Republic of the Congo</x:v>
      </x:c>
      <x:c r="D173" s="4" t="str">
        <x:v>Gatumba–Kavimvira
Gatumba–Kavimvira crossing</x:v>
      </x:c>
      <x:c r="E173" s="4" t="str">
        <x:v>Traders, transporters, patients and cross-border travellers.
Direction: Both directions affected; the December 10 account specifically records the blocked approach from Burundi toward Uvira.
Exceptions: The South Kivu governor crossed in January 2026 despite the ordinary closure. This official passage does not establish general reopening; other exceptional access is not exhaustively documented.</x:v>
      </x:c>
      <x:c r="F173" s="4" t="str">
        <x:v>GL15-D1 — Observed operation, bounded onset
Ordinary passenger and trade closure at Gatumba–Kavimvira; the outbound approach was blocked on December 10 and total closure confirmed on December 11.
Start: 2025-12-10 to 2025-12-11.
Observed scoped reopening: 2026-02-23, with ordinary migration formalities and published daily hours of 08:00–17:00.
74–75 calendar-day difference; exact elapsed hours are unknown. The sustained ordinary restriction exceeded 24 hours. January official passage was exceptional, not a general reopening.</x:v>
      </x:c>
      <x:c r="G173"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x:v>
      </x:c>
      <x:c r="H173" s="4" t="str">
        <x:v>GL15-D1: Contemporary DW reporting records the outbound approach blocked on December 10, 2025 and total closure on December 11. This direct evidence is preferred to IWACU’s later December 12 recollection. Burundi Eco’s March 6 report retrospectively claims late-January reopening, but the February 2 official statement and stranded travellers reported by SOS describe continued ordinary closure and an unfulfilled January promise. The governor’s January crossing was exceptional official passage. Independent February 23 reporting from Actualite.cd and SOS describes actual returning travellers, traders and patients; migration services set hours of 08:00–17:00. These contemporary observations support the bounded December 10–11 onset and February 23 ordinary reopening despite the weaker conflicting retrospectives. The 74–75 calendar-day difference is not an exact elapsed-hour measurement or a claim that no authorised exceptions occurred. No endpoint for another post is inferred.</x:v>
      </x:c>
      <x:c r="I173" s="4" t="str">
        <x:v>Second full-register audit, 26 October 2026: additional source-audited corrections incorporated. See the phase, scope and qualification columns for the accepted findings.</x:v>
      </x:c>
      <x:c r="J173" s="18" t="d">
        <x:v>2026-10-26T00:00:00.000Z</x:v>
      </x:c>
      <x:c r="K173" s="21" t="str">
        <x:f>IFERROR(HYPERLINK("https://actualite.cd/2026/02/23/rdc-burundi-ouverture-du-poste-frontalier-de-gatumba-kavimvira-ce-lundi","Actualite.cd"),"Actualite.cd")</x:f>
        <x:v>Actualite.cd</x:v>
      </x:c>
      <x:c r="L173" s="21" t="str">
        <x:f>IFERROR(HYPERLINK("https://www.radiookapi.net/2026/02/23/actualite/societe/la-rdc-et-le-burundi-rouvrent-la-frontiere-commune-de-gatumba","Radio Okapi"),"Radio Okapi")</x:f>
        <x:v>Radio Okapi</x:v>
      </x:c>
      <x:c r="M173" s="21" t="str">
        <x:f>IFERROR(HYPERLINK("https://www.sosmediasburundi.org/2026/02/23/gatumba-uvira-une-frontiere-vitale-rouverte-entre-enjeux-securitaires-et-survie-economique/","SOS Médias Burundi"),"SOS Médias Burundi")</x:f>
        <x:v>SOS Médias Burundi</x:v>
      </x:c>
      <x:c r="N173" s="4" t="str">
        <x:v>https://actualite.cd/2026/02/23/rdc-burundi-ouverture-du-poste-frontalier-de-gatumba-kavimvira-ce-lundi
https://www.radiookapi.net/2026/02/23/actualite/societe/la-rdc-et-le-burundi-rouvrent-la-frontiere-commune-de-gatumba
https://www.sosmediasburundi.org/2026/02/23/gatumba-uvira-une-frontiere-vitale-rouverte-entre-enjeux-securitaires-et-survie-economique/
https://www.iwacu-burundi.org/la-fermeture-de-la-frontiere-de-gatumba-plonge-les-menages-dans-la-precarite/
https://amp.dw.com/fr/burundi-inqui%C3%A9tudes-%C3%A0-la-fronti%C3%A8re-avec-la-rdc/a-75096843
https://amp.dw.com/fr/est-rdc-burundi-crise-uvira-trafic-fronti%C3%A8re-burundaise/a-75117743
https://burundi-eco.com/frontiere-de-gatumba-la-reprise-des-flux-commerciaux/
https://www.sosmediasburundi.org/2026/02/03/burundi-rdc-la-frontiere-gatumba-kavimvira-reste-fermee-lespoir-seffondre/
https://www.radiookapi.net/node/281291</x:v>
      </x:c>
      <x:c r="O173" s="4" t="str">
        <x:v>Second full-register audit source access, 26 October 2026
https://amp.dw.com/fr/burundi-inqui%C3%A9tudes-%C3%A0-la-fronti%C3%A8re-avec-la-rdc/a-75096843: full text (fresh retrieval)
https://amp.dw.com/fr/est-rdc-burundi-crise-uvira-trafic-fronti%C3%A8re-burundaise/a-75117743: full text (fresh retrieval)
https://www.sosmediasburundi.org/2026/02/03/burundi-rdc-la-frontiere-gatumba-kavimvira-reste-fermee-lespoir-seffondre/: full text (fresh retrieval) — Relative references within the January account do not safely establish an exact crossing day.
https://actualite.cd/2026/02/23/rdc-burundi-ouverture-du-poste-frontalier-de-gatumba-kavimvira-ce-lundi: full text (fresh retrieval)
https://www.sosmediasburundi.org/2026/02/23/gatumba-uvira-une-frontiere-vitale-rouverte-entre-enjeux-securitaires-et-survie-economique/: full text (fresh retrieval)
https://www.iwacu-burundi.org/la-fermeture-de-la-frontiere-de-gatumba-plonge-les-menages-dans-la-precarite/: full text (fresh retrieval)
https://burundi-eco.com/frontiere-de-gatumba-la-reprise-des-flux-commerciaux/: full text (fresh retrieval)
Earlier URLs not separately inspected in this second assessment:
https://www.radiookapi.net/2026/02/23/actualite/societe/la-rdc-et-le-burundi-rouvrent-la-frontiere-commune-de-gatumba
https://www.radiookapi.net/node/281291
Prior audit access record
Full-register audit source access (evidence cutoff 25 October 2026)
https://amp.dw.com/fr/burundi-inqui%C3%A9tudes-%C3%A0-la-fronti%C3%A8re-avec-la-rdc/a-75096843: full text
https://amp.dw.com/fr/est-rdc-burundi-crise-uvira-trafic-fronti%C3%A8re-burundaise/a-75117743: full text
https://www.sosmediasburundi.org/2026/02/03/burundi-rdc-la-frontiere-gatumba-kavimvira-reste-fermee-lespoir-seffondre/: full text
https://actualite.cd/2026/02/23/rdc-burundi-ouverture-du-poste-frontalier-de-gatumba-kavimvira-ce-lundi: full text
https://www.sosmediasburundi.org/2026/02/23/gatumba-uvira-une-frontiere-vitale-rouverte-entre-enjeux-securitaires-et-survie-economique/: full text
https://burundi-eco.com/frontiere-de-gatumba-la-reprise-des-flux-commerciaux/: full text
https://www.iwacu-burundi.org/la-fermeture-de-la-frontiere-de-gatumba-plonge-les-menages-dans-la-precarite/: full text
Earlier source URLs not separately listed in this audit’s retrieval log (historical access notes below are not fresh verification):
https://www.radiookapi.net/2026/02/23/actualite/societe/la-rdc-et-le-burundi-rouvrent-la-frontiere-commune-de-gatumba
https://www.radiookapi.net/node/281291
Earlier recorded access
Source 1: full page
Source 2: full page
Source 3: full page</x:v>
      </x:c>
      <x:c r="P173" s="20" t="n">
        <x:v>1</x:v>
      </x:c>
      <x:c r="Q173" s="4" t="str">
        <x:v>Great Lakes</x:v>
      </x:c>
      <x:c r="R173" s="4" t="str">
        <x:v>Included</x:v>
      </x:c>
    </x:row>
    <x:row r="174" ht="402" hidden="0" customHeight="1">
      <x:c r="A174" s="16" t="str">
        <x:v>GL18</x:v>
      </x:c>
      <x:c r="B174" s="4" t="str">
        <x:v>Burundi reported entry ban on travellers from AFC-M23 areas</x:v>
      </x:c>
      <x:c r="C174" s="4" t="str">
        <x:v>Burundi; Democratic Republic of the Congo</x:v>
      </x:c>
      <x:c r="D174" s="4" t="str">
        <x:v>Burundi entry points; restriction based on prior presence/transit in AFC-M23 areas</x:v>
      </x:c>
      <x:c r="E174" s="4" t="str">
        <x:v>People originating from or transiting AFC-M23-held territories, reportedly including UN personnel.
Direction: Entry into Burundi.
Exceptions: Not established</x:v>
      </x:c>
      <x:c r="F174" s="4" t="str">
        <x:v>No admissible dated phase. Duration and reopening remain unresolved.</x:v>
      </x:c>
      <x:c r="G174" s="4" t="str">
        <x:v>Security / Armed conflict and military confrontation
Attributed official justification
Applies to: Recorded episode; exact overlap not separately established
The security classification is retained for traceability. This record remains quarantined because actual implementation is unverified, and is excluded from analytical totals.</x:v>
      </x:c>
      <x:c r="H174" s="4" t="str">
        <x:v>Reference only: Correction pass: reviewed; see attribute findings
Broad ban announcement October 1 remains without verified effective date, written instrument or defined exceptions. Belgian foreign ministry September 28 advisory separately reports received testimony of land/air refusals for M23-issued/stamped documents; this verifies a narrower reported practice, not universal implementation of the October announcement.
No single combined duration is inferred. Unknown endpoints and continuity remain unresolved. Read each phase qualification and Audit review.
implementation: Fresh inspection confirms the broad October announcement still lacks an effective date or named-post implementation evidence. Earlier document-based refusals remain distinct. Retain quarantine and no phase.
Current onset finding: The recovered report still withholds effective date and implementation rules.
eligibility: Fresh inspection confirms the broad October announcement still lacks an effective date or named-post implementation evidence. Earlier document-based refusals remain distinct. Retain quarantine and no phase.
continuity: Earlier enhanced controls cannot prove this distinct ban was applied continuously.</x:v>
      </x:c>
      <x:c r="I174" s="4" t="str">
        <x:v>Second full-register audit, 26 October 2026: qualified. Fresh October reporting still gives an announcement without effective date or implementation rules. Belgian advice describes narrower document-based refusals; it does not prove implementation of the broad new origin/transit ban.</x:v>
      </x:c>
      <x:c r="J174" s="18" t="d">
        <x:v>2026-10-26T00:00:00.000Z</x:v>
      </x:c>
      <x:c r="K174" s="21" t="str">
        <x:f>IFERROR(HYPERLINK("https://www.sosmediasburundi.org/2026/10/02/burundi-interdiction-dentree-pour-les-personnes-ayant-sejourne-dans-les-zones-controlees-par-lafc-m23/","SOS Médias Burundi"),"SOS Médias Burundi")</x:f>
        <x:v>SOS Médias Burundi</x:v>
      </x:c>
      <x:c r="L174" s="21" t="str">
        <x:f>IFERROR(HYPERLINK("https://diplomatie.belgium.be/fr/pays/burundi/voyager-au-burundi-conseils-aux-voyageurs/derniere-mise-jour-au-burundi","Belgian Federal Public Service Foreign Affairs"),"Belgian Federal Public Service Foreign Affairs")</x:f>
        <x:v>Belgian Federal Public Service Foreign Affairs</x:v>
      </x:c>
      <x:c r="M174" s="21" t="str">
        <x:f>IFERROR(HYPERLINK("https://www.sosmediasburundi.org/en/2026/10/05/burundi-entry-ban-for-people-who-have-stayed-in-areas-controlled-by-the-afc-m23/","SOS Médias Burundi"),"SOS Médias Burundi")</x:f>
        <x:v>SOS Médias Burundi</x:v>
      </x:c>
      <x:c r="N174" s="4" t="str">
        <x:v>https://www.sosmediasburundi.org/2026/10/02/burundi-interdiction-dentree-pour-les-personnes-ayant-sejourne-dans-les-zones-controlees-par-lafc-m23/
https://diplomatie.belgium.be/fr/pays/burundi/voyager-au-burundi-conseils-aux-voyageurs/derniere-mise-jour-au-burundi
https://www.sosmediasburundi.org/en/2026/10/05/burundi-entry-ban-for-people-who-have-stayed-in-areas-controlled-by-the-afc-m23/
https://kivumorningpost.com/2026/10/02/burundi-entree-interdite-aux-voyageurs-venant-des-zones-sous-controle-de-lafc-m23/
https://tictachebdo.cd/2026/10/01/burundi-acces-interdit-zones-administrees-afc-m23-1er-octobre-2026/</x:v>
      </x:c>
      <x:c r="O174" s="4" t="str">
        <x:v>Second full-register audit source access, 26 October 2026
https://www.sosmediasburundi.org/2026/10/02/burundi-interdiction-dentree-pour-les-personnes-ayant-sejourne-dans-les-zones-controlees-par-lafc-m23/: full text (fresh retrieval)
https://diplomatie.belgium.be/fr/pays/burundi/voyager-au-burundi-conseils-aux-voyageurs/derniere-mise-jour-au-burundi: full text (fresh retrieval) — No named incident dates or universal origin-based implementation.
https://tictachebdo.cd/2026/10/01/burundi-acces-interdit-zones-administrees-afc-m23-1er-octobre-2026/: search extract (fresh retrieval) — Secondary restatement; indexed extract, not independent incident confirmation.
Earlier URLs not separately inspected in this second assessment:
https://www.sosmediasburundi.org/en/2026/10/05/burundi-entry-ban-for-people-who-have-stayed-in-areas-controlled-by-the-afc-m23/
https://kivumorningpost.com/2026/10/02/burundi-entree-interdite-aux-voyageurs-venant-des-zones-sous-controle-de-lafc-m23/
Prior audit access record
Full-register audit source access (evidence cutoff 25 October 2026)
https://www.sosmediasburundi.org/2026/10/02/burundi-interdiction-dentree-pour-les-personnes-ayant-sejourne-dans-les-zones-controlees-par-lafc-m23/: full text
https://diplomatie.belgium.be/fr/pays/burundi/voyager-au-burundi-conseils-aux-voyageurs/derniere-mise-jour-au-burundi: full text
https://www.sosmediasburundi.org/en/2026/10/05/burundi-entry-ban-for-people-who-have-stayed-in-areas-controlled-by-the-afc-m23/: full text
https://kivumorningpost.com/2026/10/02/burundi-entree-interdite-aux-voyageurs-venant-des-zones-sous-controle-de-lafc-m23/: full text
Earlier recorded access
Source 1: full text
Source 2: full text
Source 3: full page</x:v>
      </x:c>
      <x:c r="P174" s="20" t="n">
        <x:v>0</x:v>
      </x:c>
      <x:c r="Q174" s="4" t="str">
        <x:v>Great Lakes</x:v>
      </x:c>
      <x:c r="R174" s="4" t="str">
        <x:v>Reference only (excluded)</x:v>
      </x:c>
    </x:row>
    <x:row r="175" ht="409" hidden="0" customHeight="1">
      <x:c r="A175" s="16" t="str">
        <x:v>GL02</x:v>
      </x:c>
      <x:c r="B175" s="4" t="str">
        <x:v>Burundi restrictions on Rwanda border following political crisis</x:v>
      </x:c>
      <x:c r="C175" s="4" t="str">
        <x:v>Burundi; Rwanda</x:v>
      </x:c>
      <x:c r="D175" s="4" t="str">
        <x:v>Ruhwa; Kanyaru-Haut/Akanyaru Haut; Gasenyi-Nemba/Nemba (evidence differs by phase).
Burundi–Rwanda land frontier</x:v>
      </x:c>
      <x:c r="E175" s="4" t="str">
        <x:v>Passenger and small-trader restrictions varied by phase. March 2022 field reporting includes outbound Burundian traders, Burundian returnees and outbound Rwandans; later agency-vehicle transit was permitted.
Direction: Burundian controls restricted both entry and exit in observed March 2022 cases; no uniform direction established for entire regime.
Exceptions: Reported agency-vehicle entry/exit permission from Bukavu via Rwanda dated 29 August 2022 (RTNK; original order not retrieved). Burundi Eco issue 521, printed 2 September 2022, more specifically describes an Interior ministry letter of 29 August to the national police inspector general instructing permission for Mapassa Car Transit via Ruhwa for its Congolese and Burundian clients coming from DRC through Rwanda. Burundi Eco 16 September field reporting describes those passengers at Ruhwa. These preceded general ministry-permit relaxation observed 30 September.</x:v>
      </x:c>
      <x:c r="F175" s="4" t="str">
        <x:v>GL02-FU1 — Observed operation
Ruhwa: Burundian police prevent Burundians travelling to Rwanda
Original start unknown.
Closure observed: 2022-03-07.
Later access: September 30, 2022 field reports describe Ruhwa open without the previous ministry authorisation. Government confirmation followed by 2022-10-22. Use that conservative ended-by bound; passport/laissez-passer requirements remained.
No uninterrupted March–September closure or exact duration is established.</x:v>
      </x:c>
      <x:c r="G175" s="4" t="str">
        <x:v>Interstate disputes and pressure / Sanctions and coercive pressure
Reported reason
Applies to: Recorded episode; exact overlap not separately established
Extradition of alleged coup participants is the stated demand. The external pressure mechanism is coded without inferring a separate domestic closure objective.
Security / Unspecified security
Reported reason
Applies to: Recorded episode; exact overlap not separately established
Extradition of alleged coup participants is the stated demand. The external pressure mechanism is coded without inferring a separate domestic closure objective.</x:v>
      </x:c>
      <x:c r="H175" s="4" t="str">
        <x:v>The March 7 Ruhwa observation does not establish the original political-regime onset. Limited bus permissions and selective movements preceded ordinary ministry-permit relaxation. Burundi Eco issue 521, printed September 2, describes the August 29 ministry letter allowing Mapassa Car Transit permanent entry and exit through Ruhwa for Congolese and Burundian clients coming from DRC via Rwanda; the original letter remains unrecovered. September 30 field reporting documents ordinary access at Ruhwa and Kanyaru-Haut, with Gasenyi-Nemba dropping the ministry-authorisation requirement only during that afternoon, while the presidency still disputed general reopening. Government confirmation followed on October 22. Passport or laissez-passer requirements remained. Do not infer uninterrupted closure between the observations or join this episode to the January 2024 reclosure.</x:v>
      </x:c>
      <x:c r="I175" s="4" t="str">
        <x:v>Second full-register audit, 26 October 2026: additional source-audited corrections incorporated. See the phase, scope and qualification columns for the accepted findings.</x:v>
      </x:c>
      <x:c r="J175" s="18" t="d">
        <x:v>2026-10-26T00:00:00.000Z</x:v>
      </x:c>
      <x:c r="K175" s="21" t="str">
        <x:f>IFERROR(HYPERLINK("https://www.sosmediasburundi.org/2022/03/07/burundi-rwanda-le-rwanda-rouvre-ses-frontieres-terrestres-le-burundi-rechigne/","SOS Médias Burundi"),"SOS Médias Burundi")</x:f>
        <x:v>SOS Médias Burundi</x:v>
      </x:c>
      <x:c r="L175" s="21" t="str">
        <x:f>IFERROR(HYPERLINK("https://rtnk.org/grands-lacs-louverture-de-la-frontiere-de-ruhwa-entre-le-rwanda-et-le-burundi-fruits-dun-plaidoyer-des-autorites-locales/","Radio Télévision Ngoma ya Kivu"),"Radio Télévision Ngoma ya Kivu")</x:f>
        <x:v>Radio Télévision Ngoma ya Kivu</x:v>
      </x:c>
      <x:c r="M175" s="21" t="str">
        <x:f>IFERROR(HYPERLINK("https://www.sosmediasburundi.org/2022/09/30/burundi-rwanda-le-burundi-rouvre-ses-frontieres-avec-le-rwanda-mais-refuse-de-le-reconnaitre-officiellement/","SOS Médias Burundi"),"SOS Médias Burundi")</x:f>
        <x:v>SOS Médias Burundi</x:v>
      </x:c>
      <x:c r="N175" s="4" t="str">
        <x:v>https://www.sosmediasburundi.org/2022/03/07/burundi-rwanda-le-rwanda-rouvre-ses-frontieres-terrestres-le-burundi-rechigne/
https://rtnk.org/grands-lacs-louverture-de-la-frontiere-de-ruhwa-entre-le-rwanda-et-le-burundi-fruits-dun-plaidoyer-des-autorites-locales/
https://www.sosmediasburundi.org/2022/09/30/burundi-rwanda-le-burundi-rouvre-ses-frontieres-avec-le-rwanda-mais-refuse-de-le-reconnaitre-officiellement/
https://www.aa.com.tr/en/africa/burundi-reopens-its-borders-with-rwanda/2718763
https://www.sosmediasburundi.org/2020/03/15/le-burundi-ferme-ses-frontieres-avec-le-rwanda/
https://burundi-eco.com/regler-les-paiements-uniquement-en-monnaie-locale-une-mesure-qui-nest-pas-respectee-aux-frontieres/
https://www.sosmediasburundi.org/2022/10/25/rwanda-burundi-le-burundi-declare-avoir-reouvert-ses-frontieres-avec-le-rwanda/
https://www.africanews.com/2022/10/26/burundi-declares-border-with-rwanda-open-more-than-5-years-after-closure/
https://www.radiookapi.net/2020/03/16/actualite/sante/coronavirus-la-fermeture-de-la-frontiere-entre-le-burundi-et-le-rwanda
https://presidence.gov.bi/2022/03/les-chefs-detat-burundais-et-rwandais-determines-a-restaurer-les-relations-fraternelles/
https://burundi-eco.com/wp-content/uploads/2022/09/Journal-Burundi-Eco-nr-521-du-vendredi-03-Septembre-2022-Mailing.pdf
https://umuseke.rw/abarundi-bazindutse-baje-i-rusizi-basanga-umupaka-wa-ruhwa-ugifunze/
https://rpa.bi/index.php/mainarchive/item/6611-les-activites-paralysees-au-poste-frontiere-de-ruhwa-entre-le-burundi-et-le-rwanda-suite-a-des-tensions</x:v>
      </x:c>
      <x:c r="O175" s="4" t="str">
        <x:v>Second full-register audit source access, 26 October 2026
https://www.sosmediasburundi.org/2022/03/07/burundi-rwanda-le-rwanda-rouvre-ses-frontieres-terrestres-le-burundi-rechigne/: full text (fresh retrieval)
https://www.sosmediasburundi.org/2022/09/30/burundi-rwanda-le-burundi-rouvre-ses-frontieres-avec-le-rwanda-mais-refuse-de-le-reconnaitre-officiellement/: full text (fresh retrieval)
https://www.aa.com.tr/en/africa/burundi-reopens-its-borders-with-rwanda/2718763: full text (fresh retrieval)
https://burundi-eco.com/wp-content/uploads/2022/09/Journal-Burundi-Eco-nr-521-du-vendredi-03-Septembre-2022-Mailing.pdf: full text (fresh retrieval) — Original ministry letter not independently recovered
Earlier URLs not separately inspected in this second assessment:
https://rtnk.org/grands-lacs-louverture-de-la-frontiere-de-ruhwa-entre-le-rwanda-et-le-burundi-fruits-dun-plaidoyer-des-autorites-locales/
https://www.sosmediasburundi.org/2020/03/15/le-burundi-ferme-ses-frontieres-avec-le-rwanda/
https://burundi-eco.com/regler-les-paiements-uniquement-en-monnaie-locale-une-mesure-qui-nest-pas-respectee-aux-frontieres/
https://www.sosmediasburundi.org/2022/10/25/rwanda-burundi-le-burundi-declare-avoir-reouvert-ses-frontieres-avec-le-rwanda/
https://www.africanews.com/2022/10/26/burundi-declares-border-with-rwanda-open-more-than-5-years-after-closure/
https://www.radiookapi.net/2020/03/16/actualite/sante/coronavirus-la-fermeture-de-la-frontiere-entre-le-burundi-et-le-rwanda
https://presidence.gov.bi/2022/03/les-chefs-detat-burundais-et-rwandais-determines-a-restaurer-les-relations-fraternelles/
https://umuseke.rw/abarundi-bazindutse-baje-i-rusizi-basanga-umupaka-wa-ruhwa-ugifunze/
https://rpa.bi/index.php/mainarchive/item/6611-les-activites-paralysees-au-poste-frontiere-de-ruhwa-entre-le-burundi-et-le-rwanda-suite-a-des-tensions
Prior audit access record
Full-register audit source access (evidence cutoff 25 October 2026)
https://www.sosmediasburundi.org/2022/03/07/burundi-rwanda-le-rwanda-rouvre-ses-frontieres-terrestres-le-burundi-rechigne/: full text — Supports named scope, not continuous closure.
https://www.sosmediasburundi.org/2022/09/30/burundi-rwanda-le-burundi-rouvre-ses-frontieres-avec-le-rwanda-mais-refuse-de-le-reconnaitre-officiellement/: full text — Supports named scope, not continuous closure.
https://www.aa.com.tr/en/africa/burundi-reopens-its-borders-with-rwanda/2718763: full text — Supports named scope, not continuous closure.
Earlier source URLs not separately listed in this audit’s retrieval log (historical access notes below are not fresh verification):
https://rtnk.org/grands-lacs-louverture-de-la-frontiere-de-ruhwa-entre-le-rwanda-et-le-burundi-fruits-dun-plaidoyer-des-autorites-locales/
https://www.sosmediasburundi.org/2020/03/15/le-burundi-ferme-ses-frontieres-avec-le-rwanda/
https://burundi-eco.com/regler-les-paiements-uniquement-en-monnaie-locale-une-mesure-qui-nest-pas-respectee-aux-frontieres/
https://www.sosmediasburundi.org/2022/10/25/rwanda-burundi-le-burundi-declare-avoir-reouvert-ses-frontieres-avec-le-rwanda/
https://www.africanews.com/2022/10/26/burundi-declares-border-with-rwanda-open-more-than-5-years-after-closure/
https://www.radiookapi.net/2020/03/16/actualite/sante/coronavirus-la-fermeture-de-la-frontiere-entre-le-burundi-et-le-rwanda
https://presidence.gov.bi/2022/03/les-chefs-detat-burundais-et-rwandais-determines-a-restaurer-les-relations-fraternelles/
https://burundi-eco.com/wp-content/uploads/2022/09/Journal-Burundi-Eco-nr-521-du-vendredi-03-Septembre-2022-Mailing.pdf
https://umuseke.rw/abarundi-bazindutse-baje-i-rusizi-basanga-umupaka-wa-ruhwa-ugifunze/
https://rpa.bi/index.php/mainarchive/item/6611-les-activites-paralysees-au-poste-frontiere-de-ruhwa-entre-le-burundi-et-le-rwanda-suite-a-des-tensions
Earlier recorded access
Source 1: indexed excerpt
Source 2: indexed excerpt
Source 3: full</x:v>
      </x:c>
      <x:c r="P175" s="20" t="n">
        <x:v>1</x:v>
      </x:c>
      <x:c r="Q175" s="4" t="str">
        <x:v>Great Lakes</x:v>
      </x:c>
      <x:c r="R175" s="4" t="str">
        <x:v>Included</x:v>
      </x:c>
    </x:row>
    <x:row r="176" ht="270" hidden="0" customHeight="1">
      <x:c r="A176" s="16" t="str">
        <x:v>H02</x:v>
      </x:c>
      <x:c r="B176" s="4" t="str">
        <x:v>Ethiopia Eritrea war-related closure ending in partial reopening in 2018</x:v>
      </x:c>
      <x:c r="C176" s="4" t="str">
        <x:v>Ethiopia; Eritrea</x:v>
      </x:c>
      <x:c r="D176" s="4" t="str">
        <x:v>Bure Debay Sima and Zalambessa Serha</x:v>
      </x:c>
      <x:c r="E176" s="4" t="str">
        <x:v>Road travellers and goods
Direction: Not established</x:v>
      </x:c>
      <x:c r="F176" s="4" t="str">
        <x:v>H02-D1 — Observed operation
Ordinary passage at Bure–Debay Sima and Zalambessa–Serha, to the September 2018 opening and reunions.
Start: 1998-01-01 to 1998-12-31.
Observed scoped reopening: 2018-09-11.
7194–7558 calendar-day difference; scoped endpoint only</x:v>
      </x:c>
      <x:c r="G176"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176" s="4" t="str">
        <x:v>H02-D1: Only year precision is supported at onset, so the full year is retained. Other crossings and every traveller category are not assigned the same endpoint; later reclosures are separate episodes.</x:v>
      </x:c>
      <x:c r="I176" s="4" t="str">
        <x:v>Second full-register audit, 26 October 2026: qualified. Fresh official, Reuters and AP accounts sustain the September 11, 2018 opening of the two named roads. The 1998 onset remains year-level and no other crossing shares the endpoint.</x:v>
      </x:c>
      <x:c r="J176" s="18" t="d">
        <x:v>2026-10-26T00:00:00.000Z</x:v>
      </x:c>
      <x:c r="K176" s="21" t="str">
        <x:f>IFERROR(HYPERLINK("https://www.investing.com/news/world-news/ethiopian-eritrean-leaders-visit-border-together-to-celebrate-ethiopian-new-year-1605162","Reuters via Investing.com"),"Reuters via Investing.com")</x:f>
        <x:v>Reuters via Investing.com</x:v>
      </x:c>
      <x:c r="L176" s="21" t="str">
        <x:f>IFERROR(HYPERLINK("https://www.egyptindependent.com/ethiopian-eritrean-leaders-officially-open-their-border/","Associated Press via Egypt Independent"),"Associated Press via Egypt Independent")</x:f>
        <x:v>Associated Press via Egypt Independent</x:v>
      </x:c>
      <x:c r="M176" s="21" t="str">
        <x:f>IFERROR(HYPERLINK("https://shabait.com/amp/2018/09/11/roads-connecting-eritrea-and-ethiopia-re-opened/","Eritrea Ministry of Information"),"Eritrea Ministry of Information")</x:f>
        <x:v>Eritrea Ministry of Information</x:v>
      </x:c>
      <x:c r="N176" s="4" t="str">
        <x:v>https://www.investing.com/news/world-news/ethiopian-eritrean-leaders-visit-border-together-to-celebrate-ethiopian-new-year-1605162
https://www.egyptindependent.com/ethiopian-eritrean-leaders-officially-open-their-border/
https://shabait.com/amp/2018/09/11/roads-connecting-eritrea-and-ethiopia-re-opened/</x:v>
      </x:c>
      <x:c r="O176" s="4" t="str">
        <x:v>Second full-register audit source access, 26 October 2026
https://shabait.com/amp/2018/09/11/roads-connecting-eritrea-and-ethiopia-re-opened/: full text (fresh retrieval)
https://www.egyptindependent.com/ethiopian-eritrean-leaders-officially-open-their-border/: full text (fresh retrieval)
https://www.investing.com/news/world-news/ethiopian-eritrean-leaders-visit-border-together-to-celebrate-ethiopian-new-year-1605162: full text (fresh retrieval)
Prior audit access record
Full-register audit source access (evidence cutoff 25 October 2026)
https://www.investing.com/news/world-news/ethiopian-eritrean-leaders-visit-border-together-to-celebrate-ethiopian-new-year-1605162: full text
https://www.egyptindependent.com/ethiopian-eritrean-leaders-officially-open-their-border/: full text
https://shabait.com/amp/2018/09/11/roads-connecting-eritrea-and-ethiopia-re-opened/: full text
Earlier recorded access
Source 1: full; full text
Source 2: full; full text
Source 3: full; full text</x:v>
      </x:c>
      <x:c r="P176" s="20" t="n">
        <x:v>1</x:v>
      </x:c>
      <x:c r="Q176" s="4" t="str">
        <x:v>Horn of Africa</x:v>
      </x:c>
      <x:c r="R176" s="4" t="str">
        <x:v>Included</x:v>
      </x:c>
    </x:row>
    <x:row r="177" ht="409" hidden="0" customHeight="1">
      <x:c r="A177" s="16" t="str">
        <x:v>H06</x:v>
      </x:c>
      <x:c r="B177" s="4" t="str">
        <x:v>Sudan South Sudan prolonged restrictions on designated crossings</x:v>
      </x:c>
      <x:c r="C177" s="4" t="str">
        <x:v>Sudan; South Sudan</x:v>
      </x:c>
      <x:c r="D177" s="4" t="str">
        <x:v>Sudan–South Sudan land-border policy; later separate operational observations concern Jebelein–Renk, Meiram–Aweil and other designated corridors.</x:v>
      </x:c>
      <x:c r="E177" s="4" t="str">
        <x:v>Border movement covered by Sudan’s declared closure.
Direction: General policy is not separately resolved by direction; OCHA documents continued movement from South Sudan into Sudan in April 2016.
Qualification: Paid transport and pedestrian crossings continued despite the official restriction; exact authorised exceptions and named gates are unknown.</x:v>
      </x:c>
      <x:c r="F177" s="4" t="str">
        <x:v>H06-R2-2016 — Formal policy
Sudan’s declared closure of its land border with South Sudan, with continued actual movement reported.
Start: 2016-03-29.
Last confirmed: 2016-04-16. Formal repeal and first ordinary reopening are not established.
At least 18 calendar-day difference in the formal-policy period; this is not a duration of complete physical closure.</x:v>
      </x:c>
      <x:c r="G177" s="4" t="str">
        <x:v>Security / Armed conflict and military confrontation
Reported official allegation for the March 29, 2016 reclosure: Sudan alleged South Sudanese support for Sudanese rebels. South Sudan denied this and counter-accused Khartoum. This records the attributed justification, not established responsibility.
Interstate disputes and pressure / Territorial and frontier disputes
Interstate disputes and pressure / Diplomatic disputes and retaliation
These categories are retained as analytical historical context for the bilateral border dispute. They are not independently established official reasons for every crossing restriction, and do not establish a continuous closure throughout 2011–2021.</x:v>
      </x:c>
      <x:c r="H177" s="4" t="str">
        <x:v>No common 2011–2021 closure interval is supported. Sudan’s January 27, 2016 presidential opening decree is distinct from actual implementation; RMMS reports a March 29, 2016 formal reclosure. OCHA’s April 16, 2016 bulletin independently identifies that official closure while documenting continued movement into Sudan, including paid transport and travel on foot. This supports a formal-policy phase through the dated bulletin, not a physically sealed frontier.
The April 26, 2021 UN briefing (S/2021/408, circulated April 28) states that four corridors were open and functioning, including Meiram–Aweil following its temporary COVID closure. This text was recovered from the original PDF in this audit. On September 7, 2021, Deputy Foreign Minister Deng Dau separately told Sudans Post that traders and goods were already moving at Jebelein–Renk. These are scoped access observations, not exact first reopening dates.
The planned October 1 official launch did not happen, and Radio Tamazuj reported continuing Warawar trade difficulties on October 6. These accounts concern different operational and ceremonial claims; they do not erase the earlier functioning-corridor evidence. Exact first denial, restoration, affected cohorts and later status at each crossing remain unresolved. The March 2016 formal-policy segment has at least 18 calendar-day difference to its April 16 confirmation. No common 2011–2021 operational duration or uniform frontier-wide physical closure is assigned.</x:v>
      </x:c>
      <x:c r="I177" s="4" t="str">
        <x:v>Second full-register audit, 26 October 2026: additional source-audited corrections incorporated. See the phase, scope and qualification columns for the accepted findings.</x:v>
      </x:c>
      <x:c r="J177" s="18" t="d">
        <x:v>2026-10-26T00:00:00.000Z</x:v>
      </x:c>
      <x:c r="K177" s="21" t="str">
        <x:f>IFERROR(HYPERLINK("https://sudantribune.com/article/56186","Sudan Tribune"),"Sudan Tribune")</x:f>
        <x:v>Sudan Tribune</x:v>
      </x:c>
      <x:c r="L177" s="21" t="str">
        <x:f>IFERROR(HYPERLINK("https://mixedmigration.org/wp-content/uploads/2018/05/ms-ea-1603.pdf","Regional Mixed Migration Secretariat"),"Regional Mixed Migration Secretariat")</x:f>
        <x:v>Regional Mixed Migration Secretariat</x:v>
      </x:c>
      <x:c r="M177" s="21" t="str">
        <x:f>IFERROR(HYPERLINK("https://www.securitycouncilreport.org/atf/cf/%7B65BFCF9B-6D27-4E9C-8CD3-CF6E4FF96FF9%7D/S_2021_408_E.pdf","United Nations"),"United Nations")</x:f>
        <x:v>United Nations</x:v>
      </x:c>
      <x:c r="N177" s="4" t="str">
        <x:v>https://sudantribune.com/article/56186
https://mixedmigration.org/wp-content/uploads/2018/05/ms-ea-1603.pdf
https://www.securitycouncilreport.org/atf/cf/%7B65BFCF9B-6D27-4E9C-8CD3-CF6E4FF96FF9%7D/S_2021_408_E.pdf
https://www.voaafrica.com/a/sudan-threatens-to-close-borders-with-south-sudan-again/3241864.html
https://www.radiotamazuj.org/en/news/article/south-sudan-sudan-border-reopening-stalled
https://www.sudanspost.com/cross-border-trade-between-sudan-south-sudan-starts-ahead-of-official-opening/
https://digitallibrary.un.org/nanna/record/3927417/files/S_2021_408-EN.pdf?registerDownload=1&amp;version=1&amp;withMetadata=0&amp;withWatermark=0
https://www.theeastafrican.co.ke/tea/news/east-africa/sudan-south-sudan-to-reopen-borders-3521412
https://www.unmissions.org/en/dppa/speeches-and-statements/special-envoy-of-the-secretary-general-for-the-horn-of-africa-parfait
https://www.radiotamazuj.org/en/news/article/south-sudan-sudan-to-reopen-4-border-points
https://www.ecoi.net/en/file/local/1089358/1788_1460896607_april.pdf</x:v>
      </x:c>
      <x:c r="O177" s="4" t="str">
        <x:v>Second full-register audit source access, 26 October 2026
https://sudantribune.com/article/56186: full text (fresh retrieval)
https://mixedmigration.org/wp-content/uploads/2018/05/ms-ea-1603.pdf: full text (fresh retrieval)
https://www.ecoi.net/en/file/local/1089358/1788_1460896607_april.pdf: full text (fresh retrieval)
https://www.securitycouncilreport.org/atf/cf/%7B65BFCF9B-6D27-4E9C-8CD3-CF6E4FF96FF9%7D/S_2021_408_E.pdf: full text (previously retrieved text re-examined) — Dated access observation, not exact first reopening.
https://www.sudanspost.com/cross-border-trade-between-sudan-south-sudan-starts-ahead-of-official-opening/: full text (fresh retrieval)
https://www.radiotamazuj.org/en/news/article/south-sudan-sudan-border-reopening-stalled: full text (fresh retrieval)
Earlier URLs not separately inspected in this second assessment:
https://www.voaafrica.com/a/sudan-threatens-to-close-borders-with-south-sudan-again/3241864.html
https://digitallibrary.un.org/nanna/record/3927417/files/S_2021_408-EN.pdf?registerDownload=1&amp;version=1&amp;withMetadata=0&amp;withWatermark=0
https://www.theeastafrican.co.ke/tea/news/east-africa/sudan-south-sudan-to-reopen-borders-3521412
https://www.unmissions.org/en/dppa/speeches-and-statements/special-envoy-of-the-secretary-general-for-the-horn-of-africa-parfait
https://www.radiotamazuj.org/en/news/article/south-sudan-sudan-to-reopen-4-border-points
Prior audit access record
Full-register audit source access (evidence cutoff 25 October 2026)
https://sudantribune.com/article/56186: full text
https://mixedmigration.org/wp-content/uploads/2018/05/ms-ea-1603.pdf: full text
https://www.securitycouncilreport.org/atf/cf/%7B65BFCF9B-6D27-4E9C-8CD3-CF6E4FF96FF9%7D/S_2021_408_E.pdf: full text — Web direct retrieval failed; original PDF downloaded and text inspected in raw/africa/H06-UN-408.txt, page 4.
https://www.voaafrica.com/a/sudan-threatens-to-close-borders-with-south-sudan-again/3241864.html: full text
https://www.radiotamazuj.org/en/news/article/south-sudan-sudan-border-reopening-stalled: full text
https://www.sudanspost.com/cross-border-trade-between-sudan-south-sudan-starts-ahead-of-official-opening/: full text
https://digitallibrary.un.org/nanna/record/3927417/files/S_2021_408-EN.pdf?registerDownload=1&amp;version=1&amp;withMetadata=0&amp;withWatermark=0: inaccessible
https://www.theeastafrican.co.ke/tea/news/east-africa/sudan-south-sudan-to-reopen-borders-3521412: full text
https://www.unmissions.org/en/dppa/speeches-and-statements/special-envoy-of-the-secretary-general-for-the-horn-of-africa-parfait: inaccessible
https://www.radiotamazuj.org/en/news/article/south-sudan-sudan-to-reopen-4-border-points: full text
Earlier recorded access
Source 1: full; full text
Source 2: indexed excerpt
Source 3: full</x:v>
      </x:c>
      <x:c r="P177" s="20" t="n">
        <x:v>1</x:v>
      </x:c>
      <x:c r="Q177" s="4" t="str">
        <x:v>Horn of Africa</x:v>
      </x:c>
      <x:c r="R177" s="4" t="str">
        <x:v>Included</x:v>
      </x:c>
    </x:row>
    <x:row r="178" ht="409" hidden="0" customHeight="1">
      <x:c r="A178" s="16" t="str">
        <x:v>H01</x:v>
      </x:c>
      <x:c r="B178" s="4" t="str">
        <x:v>Kenya Somalia security closure continuing into research window</x:v>
      </x:c>
      <x:c r="C178" s="4" t="str">
        <x:v>Kenya; Somalia</x:v>
      </x:c>
      <x:c r="D178" s="4" t="str">
        <x:v>Mandera Belet Hawo; Liboi Dhobley; Kiunga Ras Kamboni</x:v>
      </x:c>
      <x:c r="E178" s="4" t="str">
        <x:v>General land passenger and commercial movements
Direction: Not established
Exceptions: Miraa road-export permission at Mandera, Liboi and Kiunga reported by 6 February 2026; exact effective date and first passage unverified. Informal passage also reported.</x:v>
      </x:c>
      <x:c r="F178" s="4" t="str">
        <x:v>H01-D1 — Formal policy
Kenya's formal Somalia-frontier closure regime at the named strategic posts, not a claim of impermeable physical enforcement.
Start: 2011-10-01 to 2011-10-31.
Last confirmed: 2026-05-14. Reopening is not established.
Formal policy: confirmed through 2026-05-14; at least 5309 calendar-day difference; reopening unknown
Separate current-status observation, checked 2026-10-25: FCDO guidance describes the Kenya–Somalia land border as closed. This is a current advice observation, not a new onset or a claim of impermeable enforcement.</x:v>
      </x:c>
      <x:c r="G178" s="4" t="str">
        <x:v>Security / Armed attacks and terrorism
Reported reason
Applies to: Initial regime and 2023 postponed reopening
Al-Shabaab attacks explicitly cited.
Security / Armed conflict and military confrontation
Attributed official justification
Applies to: 2026 failed general reopening
Ruto attributes delay to Somali army–Jubaland fighting; not assumed throughout 2011–2026.
Security / Smuggling and illicit trafficking
Reported reason
Applies to: Retrospective account of initial closure
Citizen separately reports illicit weapons and contraband smuggling as reason; original order not retrieved.</x:v>
      </x:c>
      <x:c r="H178" s="4" t="str">
        <x:v>H01-D1: Formal general regime, not impermeable physical enforcement. Some posts described as closed only on paper. By 6 February 2026, Interior PS letter reported permission for miraa exports by road at Mandera, Liboi and Kiunga; exact effective day and first traffic unverified. 2007 asylum measure separate. The historical duration remains limited to May 14, 2026. Separately, current FCDO advice checked October 25, 2026 confirms ordinary land-border closure. This does not establish uninterrupted enforcement or remove the miraa permission and informal-passage qualifications.</x:v>
      </x:c>
      <x:c r="I178" s="4" t="str">
        <x:v>Second full-register audit, 26 October 2026: qualified. Fresh official and current-advice checks support the long formal closure with porous enforcement and a separate miraa permission. No source establishes that the February announcement restored general ordinary passage.</x:v>
      </x:c>
      <x:c r="J178" s="18" t="d">
        <x:v>2026-10-26T00:00:00.000Z</x:v>
      </x:c>
      <x:c r="K178" s="21" t="str">
        <x:f>IFERROR(HYPERLINK("https://www.mod.go.ke/our-community/cs-duale-leads-high-profile-delegation-seeking-to-reopen-kenya-somalia-border/","mod.go.ke"),"mod.go.ke")</x:f>
        <x:v>mod.go.ke</x:v>
      </x:c>
      <x:c r="L178" s="21" t="str">
        <x:f>IFERROR(HYPERLINK("https://www.africanews.com/2023/07/05/kenya-postpones-reopening-of-border-with-somalia/","Africanews"),"Africanews")</x:f>
        <x:v>Africanews</x:v>
      </x:c>
      <x:c r="M178" s="21" t="str">
        <x:f>IFERROR(HYPERLINK("https://citizen.digital/article/president-ruto-why-we-have-not-re-opened-kenya-somalia-border-n382701","citizen.digital"),"citizen.digital")</x:f>
        <x:v>citizen.digital</x:v>
      </x:c>
      <x:c r="N178" s="4" t="str">
        <x:v>https://www.mod.go.ke/our-community/cs-duale-leads-high-profile-delegation-seeking-to-reopen-kenya-somalia-border/
https://www.africanews.com/2023/07/05/kenya-postpones-reopening-of-border-with-somalia/
https://citizen.digital/article/president-ruto-why-we-have-not-re-opened-kenya-somalia-border-n382701
https://www.amnesty.org/en/documents/afr32/002/2007/en/
https://www.kenyans.co.ke/news/120534-interior-ministry-announces-reopening-kenya-somalia-border-miraa-traders
https://www.gov.uk/foreign-travel-advice/somalia/regional-risks</x:v>
      </x:c>
      <x:c r="O178" s="4" t="str">
        <x:v>Second full-register audit source access, 26 October 2026
https://www.mod.go.ke/our-community/cs-duale-leads-high-profile-delegation-seeking-to-reopen-kenya-somalia-border/: full text (fresh retrieval)
https://www.africanews.com/2023/07/05/kenya-postpones-reopening-of-border-with-somalia/: full text (fresh retrieval) — Page later-update label is August 2024; article events correspond to July 2023 and are not redated.
https://citizen.digital/article/president-ruto-why-we-have-not-re-opened-kenya-somalia-border-n382701: full text (fresh retrieval)
https://www.kenyans.co.ke/news/120534-interior-ministry-announces-reopening-kenya-somalia-border-miraa-traders: full text (fresh retrieval) — Letter effective date and actual first consignments not recovered.
https://www.gov.uk/foreign-travel-advice/somalia/regional-risks: full text (fresh retrieval) — Advice, not each-post movement inspection.
Earlier URLs not separately inspected in this second assessment:
https://www.amnesty.org/en/documents/afr32/002/2007/en/
Prior audit access record
Full-register audit source access (evidence cutoff 25 October 2026)
https://www.mod.go.ke/our-community/cs-duale-leads-high-profile-delegation-seeking-to-reopen-kenya-somalia-border/: full text
https://citizen.digital/article/president-ruto-why-we-have-not-re-opened-kenya-somalia-border-n382701: full text
https://www.kenyans.co.ke/news/120534-interior-ministry-announces-reopening-kenya-somalia-border-miraa-traders: full text
https://www.gov.uk/foreign-travel-advice/somalia/regional-risks: full text
Earlier source URLs not separately listed in this audit’s retrieval log (historical access notes below are not fresh verification):
https://www.africanews.com/2023/07/05/kenya-postpones-reopening-of-border-with-somalia/
https://www.amnesty.org/en/documents/afr32/002/2007/en/
Earlier recorded access
Source 1: full
Source 2: search extract
Source 3: full</x:v>
      </x:c>
      <x:c r="P178" s="20" t="n">
        <x:v>1</x:v>
      </x:c>
      <x:c r="Q178" s="4" t="str">
        <x:v>Horn of Africa</x:v>
      </x:c>
      <x:c r="R178" s="4" t="str">
        <x:v>Included</x:v>
      </x:c>
    </x:row>
    <x:row r="179" ht="409" hidden="0" customHeight="1">
      <x:c r="A179" s="16" t="str">
        <x:v>H05</x:v>
      </x:c>
      <x:c r="B179" s="4" t="str">
        <x:v>Sudan closes Eritrea border under emergency order</x:v>
      </x:c>
      <x:c r="C179" s="4" t="str">
        <x:v>Sudan; Eritrea</x:v>
      </x:c>
      <x:c r="D179" s="4" t="str">
        <x:v>All Eritrea border crossings</x:v>
      </x:c>
      <x:c r="E179" s="4" t="str">
        <x:v>Border movements covered by the all-crossings order.
Direction: General order not separately resolved by direction.
Reported qualification: Al-Ahram's contemporary SUNA-derived account says entry and exit through Laffa for nationals of both countries would follow prescribed legal procedures. Exact eligibility and actual passage are not established.</x:v>
      </x:c>
      <x:c r="F179" s="4" t="str">
        <x:v>H05-R1 — Formal policy
Sudan order restricting Eritrea land crossings before presidential reopening announcement
Start: 2018-01-05.
Last confirmed: 2019-01-31. Reopening is not established.
Formal policy: confirmed through 2019-01-31; at least 391 calendar-day difference; reopening unknown</x:v>
      </x:c>
      <x:c r="G179" s="4" t="str">
        <x:v>Security / Smuggling and illicit trafficking
Attributed official justification
Applies to: January 2018 emergency/closure
Illegal drugs and human trafficking cited in emergency explanation underlying order.
Security / Crime and law enforcement
Attributed official justification
Applies to: January 2018 emergency/closure
Collection of illicit arms is distinct disarmament/law-enforcement purpose, not duplicated trafficking.
Security / Armed conflict and military confrontation
Reported reason
Applies to: January 2019 retrospective account of 2018 closure
Hostile rebel military activity allegedly supported by Asmara; allegation, not established responsibility.
Interstate disputes and pressure / Diplomatic disputes and retaliation
Analytical interpretation of reported context
Applies to: Bilateral closure/reopening context
Mutual harbouring accusations and normalisation talks; not proof of exclusive original motive.</x:v>
      </x:c>
      <x:c r="H179" s="4" t="str">
        <x:v>H05-R1: The order took effect on the evening of January 5, 2018; January 6 is the reporting date. The January 31, 2019 reopening announcement followed a reported year of restriction, but is not an observation of restored ordinary passage. Practical arrangements were still discussed in July 2019.
Al-Ahram’s full contemporary SUNA-derived account preserves legally regulated entry and exit at Laffa for nationals of both countries. The original order, precise eligibility and actual implementation remain unavailable; this is not evidence of unrestricted access.
Dabanga reported Laffa’s official reopening ceremony on September 13, 2023, with local residents welcoming the change. This later named-post opening does not establish a uniform repeal date for the 2018 order, continuous closure since 2018, or first actual passage for every cohort. Subsequent November 2023 Eritrean entry restrictions and a separate 2024 maintenance closure must not be merged into the 2018 emergency period.</x:v>
      </x:c>
      <x:c r="I179" s="4" t="str">
        <x:v>Second full-register audit, 26 October 2026: additional source-audited corrections incorporated. See the phase, scope and qualification columns for the accepted findings.</x:v>
      </x:c>
      <x:c r="J179" s="18" t="d">
        <x:v>2026-10-26T00:00:00.000Z</x:v>
      </x:c>
      <x:c r="K179" s="21" t="str">
        <x:f>IFERROR(HYPERLINK("https://sudantribune.com/article/62589","Sudan Tribune"),"Sudan Tribune")</x:f>
        <x:v>Sudan Tribune</x:v>
      </x:c>
      <x:c r="L179" s="21" t="str">
        <x:f>IFERROR(HYPERLINK("https://www.aa.com.tr/en/africa/sudan-to-reopen-eritrea-border-after-one-year-closure/1379896","Anadolu Agency"),"Anadolu Agency")</x:f>
        <x:v>Anadolu Agency</x:v>
      </x:c>
      <x:c r="M179" s="21" t="str">
        <x:f>IFERROR(HYPERLINK("https://sudantribune.com/article/65883","Sudan Tribune"),"Sudan Tribune")</x:f>
        <x:v>Sudan Tribune</x:v>
      </x:c>
      <x:c r="N179" s="4" t="str">
        <x:v>https://sudantribune.com/article/62589
https://www.aa.com.tr/en/africa/sudan-to-reopen-eritrea-border-after-one-year-closure/1379896
https://sudantribune.com/article/65883
https://sudantribune.com/article/65138
https://www.xinhuanet.com/english/2018-01/07/c_136876957.htm
https://agri.ahram.org.eg/News/78293.aspx
https://atarnetwork.com/?p=7204
https://www.dabangasudan.org/ar/all-news/article/%D8%A7%D9%81%D8%AA%D8%AA%D8%A7%D8%AD-%D9%85%D8%B9%D8%A8%D8%B1-%D8%A7%D9%84%D9%84%D9%81%D8%A9-%D8%A7%D9%84%D8%AD%D8%AF%D9%88%D8%AF%D9%8A-%D8%A7%D9%84%D8%B0%D9%8A-%D9%8A%D8%B1%D8%A8%D8%B7-%D8%A7%D9%84</x:v>
      </x:c>
      <x:c r="O179" s="4" t="str">
        <x:v>Second full-register audit source access, 26 October 2026
https://sudantribune.com/article/62589: full text (fresh retrieval)
https://agri.ahram.org.eg/News/78293.aspx: full text (fresh retrieval) — Original decree and actual passage not recovered.
https://sudantribune.com/article/65138: full text (fresh retrieval)
https://sudantribune.com/article/65883: full text (fresh retrieval)
https://www.aa.com.tr/en/africa/sudan-to-reopen-eritrea-border-after-one-year-closure/1379896: full text (fresh retrieval)
https://atarnetwork.com/?p=7204: full text (fresh retrieval) — Does not date original 2018 order’s uniform repeal.
https://www.dabangasudan.org/ar/all-news/article/%D8%A7%D9%81%D8%AA%D8%AA%D8%A7%D8%AD-%D9%85%D8%B9%D8%A8%D8%B1-%D8%A7%D9%84%D9%84%D9%81%D8%A9-%D8%A7%D9%84%D8%AD%D8%AF%D9%88%D8%AF%D9%8A-%D8%A7%D9%84%D8%B0%D9%8A-%D9%8A%D8%B1%D8%A8%D8%B7-%D8%A7%D9%84: full text (fresh retrieval) — No first ordinary traveller observation or uniform all-post endpoint.
Earlier URLs not separately inspected in this second assessment:
https://www.xinhuanet.com/english/2018-01/07/c_136876957.htm
Prior audit access record
Full-register audit source access (evidence cutoff 25 October 2026)
https://sudantribune.com/article/62589: full text
https://www.xinhuanet.com/english/2018-01/07/c_136876957.htm: full text
https://sudantribune.com/article/65138: search extract
https://sudantribune.com/article/65883: full text
https://agri.ahram.org.eg/News/78293.aspx: search extract — Direct retrieval failed; exact exception operation and eligible categories not independently established.
https://atarnetwork.com/?p=7204: full text — Not sufficient to establish uniform repeal of the original 2018 order or first ordinary access.
Earlier source URLs not separately listed in this audit’s retrieval log (historical access notes below are not fresh verification):
https://www.aa.com.tr/en/africa/sudan-to-reopen-eritrea-border-after-one-year-closure/1379896
Earlier recorded access
Source 1: full; full text
Source 2: full; full text
Source 3: full; full text</x:v>
      </x:c>
      <x:c r="P179" s="20" t="n">
        <x:v>1</x:v>
      </x:c>
      <x:c r="Q179" s="4" t="str">
        <x:v>Horn of Africa</x:v>
      </x:c>
      <x:c r="R179" s="4" t="str">
        <x:v>Included</x:v>
      </x:c>
    </x:row>
    <x:row r="180" ht="409" hidden="0" customHeight="1">
      <x:c r="A180" s="16" t="str">
        <x:v>H03</x:v>
      </x:c>
      <x:c r="B180" s="4" t="str">
        <x:v>Eritrean restrictions at Zalambessa and Rama from December 2018</x:v>
      </x:c>
      <x:c r="C180" s="4" t="str">
        <x:v>Eritrea; Ethiopia</x:v>
      </x:c>
      <x:c r="D180" s="4" t="str">
        <x:v>Serha Zalambessa and Ksadika Rama</x:v>
      </x:c>
      <x:c r="E180" s="4" t="str">
        <x:v>Ethiopian citizens and Ethiopian vehicles entering Eritrea
Direction: Entry to Eritrea selectively restricted
Exceptions: Reuters reports Eritreans could enter Eritrea and Ethiopians could leave.</x:v>
      </x:c>
      <x:c r="F180" s="4" t="str">
        <x:v>H03-D1 — Observed operation
Ethiopian entry into Eritrea at Zalambessa–Serha, with a later May 15, 2019 account of sustained disruption to ordinary cross-border business.
Start: 2018-12-26 to 2018-12-27.
Last confirmed: 2019-05-15. First ordinary reopening for this cohort is not established.
At least 139 calendar-day difference to the later confirmation of the sustained ordinary restriction; exact elapsed hours and the full exception history are unknown.
H03-R1 — Observed operation
Ethiopian citizens and Ethiopian-licensed vehicles entering Eritrea at Rama without newly required permits.
Start: 2018-12-26 to 2018-12-27.
Last confirmed: 2018-12-28. Reopening is not established.
confirmed through 2018-12-28; at least 1 calendar-day difference; reopening unknown</x:v>
      </x:c>
      <x:c r="G180" s="4" t="str">
        <x:v>Uncoded / Unresolved rationale
Not assigned
Applies to: Not assigned
No additional motive inferred</x:v>
      </x:c>
      <x:c r="H180" s="4" t="str">
        <x:v>H03-D1: Reuters and The Reporter disagree over which crossing changed on December 26 versus 27, so those bounds are retained. Reuters describes Eritrean entry and Ethiopian exit as permitted; The Reporter describes broader trader return difficulties. An on-site journalist’s May 15, 2019 account reports business disruption since the reclosure at Zalambessa, supporting a sustained restriction beyond the original December evidence. This does not mean that all authorised or informal movement ceased. The page’s later 2024 update label is not the event date.
H03-R1: Rama’s permit requirement for Ethiopian citizens and Ethiopian-licensed vehicles retains the December 28 last confirmation; the May Zalambessa observation does not extend Rama. No exact first reopening is established.
On June 22, 2025, a community-led reunion at Zalambessa included travellers from Eritrea, and BBC reporting described resumed nearby cross-border trade. This was local access without formal bilateral reopening, after the separate 2020 war; it is not proof that the December 2018 Ethiopian-entry restriction lasted continuously until 2025 or ended on that day. An April 6, 2019 Ministry of Information commentary mentions legal arrangements for unspecified partially restricted areas, but supplies no named-gate order or dated rationale for these phases.</x:v>
      </x:c>
      <x:c r="I180" s="4" t="str">
        <x:v>Second full-register audit, 26 October 2026: additional source-audited corrections incorporated. See the phase, scope and qualification columns for the accepted findings.</x:v>
      </x:c>
      <x:c r="J180" s="18" t="d">
        <x:v>2026-10-26T00:00:00.000Z</x:v>
      </x:c>
      <x:c r="K180" s="21" t="str">
        <x:f>IFERROR(HYPERLINK("https://www.euronews.com/2018/12/28/eritrea-closes-border-crossing-to-ethiopians-residents-say","Euronews"),"Euronews")</x:f>
        <x:v>Euronews</x:v>
      </x:c>
      <x:c r="L180" s="21" t="str">
        <x:f>IFERROR(HYPERLINK("https://www.euaa.europa.eu/sites/default/files/publications/2019_EASO_COI_Eritrea_National_service_exit_and_return.pdf","EUAA EASO"),"EUAA EASO")</x:f>
        <x:v>EUAA EASO</x:v>
      </x:c>
      <x:c r="M180" s="21" t="str">
        <x:f>IFERROR(HYPERLINK("https://www.thereporterethiopia.com/7111/","The Reporter Ethiopia"),"The Reporter Ethiopia")</x:f>
        <x:v>The Reporter Ethiopia</x:v>
      </x:c>
      <x:c r="N180" s="4" t="str">
        <x:v>https://www.euronews.com/2018/12/28/eritrea-closes-border-crossing-to-ethiopians-residents-say
https://www.euaa.europa.eu/sites/default/files/publications/2019_EASO_COI_Eritrea_National_service_exit_and_return.pdf
https://www.thereporterethiopia.com/7111/
https://www.voanews.com/amp/eritrea-shuts-border-crossing-to-ethiopians-official-residents-say-/4720779.html
https://afrinz.ru/en/2025/06/ethiopia-eritrea-border-opens-for-the-first-time-since-2020/
https://www.africanews.com/2019/05/15/eritrea-s-border-closure-cripples-key-ethiopia-border-town/
https://www.myjoyonline.com/joyful-ethiopians-and-eritreans-embrace-at-rare-border-reopening/
https://shabait.com/amp/2019/04/06/disinformation-and-its-impact-on-society/</x:v>
      </x:c>
      <x:c r="O180" s="4" t="str">
        <x:v>Second full-register audit source access, 26 October 2026
https://www.voanews.com/amp/eritrea-shuts-border-crossing-to-ethiopians-official-residents-say-/4720779.html: full text (fresh retrieval)
https://www.thereporterethiopia.com/7111/: full text (fresh retrieval)
https://www.africanews.com/2019/05/15/eritrea-s-border-closure-cripples-key-ethiopia-border-town/: full text (fresh retrieval)
https://www.myjoyonline.com/joyful-ethiopians-and-eritreans-embrace-at-rare-border-reopening/: full text (fresh retrieval) — Not exact first restoration of the December 2018 Ethiopian-entry cohort.
https://shabait.com/amp/2019/04/06/disinformation-and-its-impact-on-society/: full text (fresh retrieval) — Does not identify these gates or a dated operative policy.
Earlier URLs not separately inspected in this second assessment:
https://www.euronews.com/2018/12/28/eritrea-closes-border-crossing-to-ethiopians-residents-say
https://www.euaa.europa.eu/sites/default/files/publications/2019_EASO_COI_Eritrea_National_service_exit_and_return.pdf
https://afrinz.ru/en/2025/06/ethiopia-eritrea-border-opens-for-the-first-time-since-2020/
Prior audit access record
Full-register audit source access (evidence cutoff 25 October 2026)
https://www.euronews.com/2018/12/28/eritrea-closes-border-crossing-to-ethiopians-residents-say: full text
https://www.voanews.com/amp/eritrea-shuts-border-crossing-to-ethiopians-official-residents-say-/4720779.html: full text
https://www.thereporterethiopia.com/7111/: full text
https://afrinz.ru/en/2025/06/ethiopia-eritrea-border-opens-for-the-first-time-since-2020/: search extract — Secondary report only; does not establish formal reopening or the Rama phase.
Earlier source URLs not separately listed in this audit’s retrieval log (historical access notes below are not fresh verification):
https://www.euaa.europa.eu/sites/default/files/publications/2019_EASO_COI_Eritrea_National_service_exit_and_return.pdf
Earlier recorded access
Source 1: full page
Source 2: search extract
Source 3: full text</x:v>
      </x:c>
      <x:c r="P180" s="20" t="n">
        <x:v>2</x:v>
      </x:c>
      <x:c r="Q180" s="4" t="str">
        <x:v>Horn of Africa</x:v>
      </x:c>
      <x:c r="R180" s="4" t="str">
        <x:v>Included</x:v>
      </x:c>
    </x:row>
    <x:row r="181" ht="409" hidden="0" customHeight="1">
      <x:c r="A181" s="16" t="str">
        <x:v>H04</x:v>
      </x:c>
      <x:c r="B181" s="4" t="str">
        <x:v>Eritrean closure of remaining Ethiopia road crossings in April 2019</x:v>
      </x:c>
      <x:c r="C181" s="4" t="str">
        <x:v>Eritrea; Ethiopia</x:v>
      </x:c>
      <x:c r="D181" s="4" t="str">
        <x:v>Omhajer Humera then Debay Sima Bure</x:v>
      </x:c>
      <x:c r="E181" s="4" t="str">
        <x:v>Road movement of people and trade
Direction: Eritrean-side restrictions; Omhajer specifically denied non-Eritrean entry, while Ethiopia allowed Eritreans to enter.
Exceptions: At Omhajer, Eritrean Press as relayed by Borkena says Ethiopia continued admitting Eritrean nationals. This exception is not established for Bure; no general freight exemption inferred.</x:v>
      </x:c>
      <x:c r="F181" s="4" t="str">
        <x:v>H04-D1 — Observed operation
Bure–Debay Sima ordinary road-crossing closure, through the dated April 27 account.
Start: 2019-04-22.
Last confirmed: 2019-04-27. Reopening is not established.
confirmed through 2019-04-27; at least 5 calendar-day difference; reopening unknown
H04-R2-OMHAJER — Observed restriction
Non-Eritrean entry to Eritrea at Omhajer–Humera; Ethiopian admission of Eritrean nationals remained permitted.
Start: unknown; restriction reported by 2019-04-18.
Last confirmed: 2019-04-22, in a report describing closure the previous week. Reopening is not established.
The sustained ordinary restriction exceeded 24 hours; an exact start, endpoint and complete duration are unknown.</x:v>
      </x:c>
      <x:c r="G181" s="4" t="str">
        <x:v>Uncoded / Unresolved rationale
Not assigned
Applies to: Not assigned
No additional motive inferred</x:v>
      </x:c>
      <x:c r="H181" s="4" t="str">
        <x:v>H04-D1: Bure’s April 22 onset and April 27 confirmation are separately supported. The Reporter’s impossible December 2019 retrospective date is a typographical error, not another phase. No continuation after the dated evidence or terminal reopening is inferred.
H04-R2-OMHAJER: Contemporary April 18 reporting already describes the entry restriction, so the secondary April 19 chronology cannot be treated as its exact onset. The April 22 account identifies it as the previous week’s closure; this supports a sustained restriction rather than a precisely measured interval. Both April 18 and April 22 reports relay Eritrean Press and are not independent witnesses. Their named-gate and nationality qualification is retained; the Ethiopian-side admission exception is not assigned to Bure.
The April 6 ministry-hosted commentary on legal arrangements predates these April extensions and names neither gate. It cannot supply their specific rationale. No matched ordinary reopening has been established.</x:v>
      </x:c>
      <x:c r="I181" s="4" t="str">
        <x:v>Second full-register audit, 26 October 2026: additional source-audited corrections incorporated. See the phase, scope and qualification columns for the accepted findings.</x:v>
      </x:c>
      <x:c r="J181" s="18" t="d">
        <x:v>2026-10-26T00:00:00.000Z</x:v>
      </x:c>
      <x:c r="K181" s="21" t="str">
        <x:f>IFERROR(HYPERLINK("https://www.thereporterethiopia.com/7882/","The Reporter Ethiopia"),"The Reporter Ethiopia")</x:f>
        <x:v>The Reporter Ethiopia</x:v>
      </x:c>
      <x:c r="L181" s="21" t="str">
        <x:f>IFERROR(HYPERLINK("https://somalilandstandard.com/eritrea-closes-assab-road-to-ethiopia/","Somaliland Standard / Eritrean Press"),"Somaliland Standard / Eritrean Press")</x:f>
        <x:v>Somaliland Standard / Eritrean Press</x:v>
      </x:c>
      <x:c r="M181" s="21" t="str">
        <x:f>IFERROR(HYPERLINK("https://borkena.com/eritrea-closes-ethiopian-border-along-omhajer-humera/","Borkena / Eritrean Press"),"Borkena / Eritrean Press")</x:f>
        <x:v>Borkena / Eritrean Press</x:v>
      </x:c>
      <x:c r="N181" s="4" t="str">
        <x:v>https://www.thereporterethiopia.com/7882/
https://somalilandstandard.com/eritrea-closes-assab-road-to-ethiopia/
https://borkena.com/eritrea-closes-ethiopian-border-along-omhajer-humera/
https://www.euaa.europa.eu/sites/default/files/publications/2019_EASO_COI_Eritrea_National_service_exit_and_return.pdf
https://www.africanews.com/amp/2019/04/23/eritrea-shuts-all-borders-with-ethiopia-unilaterally/
https://www.ecoi.net/en/file/local/2017271/2019_EASO_COI_Eritrea_National_service_exit_and_return.pdf
https://shabait.com/amp/2019/04/06/disinformation-and-its-impact-on-society/</x:v>
      </x:c>
      <x:c r="O181" s="4" t="str">
        <x:v>Second full-register audit source access, 26 October 2026
https://borkena.com/eritrea-closes-ethiopian-border-along-omhajer-humera/: full text (fresh retrieval)
https://somalilandstandard.com/eritrea-closes-assab-road-to-ethiopia/: full text (fresh retrieval) — Shares Eritrean Press reporting origin with Borkena.
https://www.thereporterethiopia.com/7882/: full text (fresh retrieval) — December 2019 retrospective typo excluded.
https://shabait.com/amp/2019/04/06/disinformation-and-its-impact-on-society/: full text (fresh retrieval) — Does not establish motive for subsequent named April extensions.
Earlier URLs not separately inspected in this second assessment:
https://www.euaa.europa.eu/sites/default/files/publications/2019_EASO_COI_Eritrea_National_service_exit_and_return.pdf
https://www.africanews.com/amp/2019/04/23/eritrea-shuts-all-borders-with-ethiopia-unilaterally/
https://www.ecoi.net/en/file/local/2017271/2019_EASO_COI_Eritrea_National_service_exit_and_return.pdf
Prior audit access record
Full-register audit source access (evidence cutoff 25 October 2026)
https://somalilandstandard.com/eritrea-closes-assab-road-to-ethiopia/: full text
https://www.thereporterethiopia.com/7882/: full text — Retrospective December 2019 typo is not a usable date.
https://borkena.com/eritrea-closes-ethiopian-border-along-omhajer-humera/: full text
https://www.ecoi.net/en/file/local/2017271/2019_EASO_COI_Eritrea_National_service_exit_and_return.pdf: search extract — Omhajer April 19 chronology conflicts with April 18 contemporaneous reporting; not used to override.
Earlier source URLs not separately listed in this audit’s retrieval log (historical access notes below are not fresh verification):
https://www.euaa.europa.eu/sites/default/files/publications/2019_EASO_COI_Eritrea_National_service_exit_and_return.pdf
https://www.africanews.com/amp/2019/04/23/eritrea-shuts-all-borders-with-ethiopia-unilaterally/
Earlier recorded access
Source 1: full text
Source 2: full text
Source 3: full text</x:v>
      </x:c>
      <x:c r="P181" s="20" t="n">
        <x:v>2</x:v>
      </x:c>
      <x:c r="Q181" s="4" t="str">
        <x:v>Horn of Africa</x:v>
      </x:c>
      <x:c r="R181" s="4" t="str">
        <x:v>Included</x:v>
      </x:c>
    </x:row>
    <x:row r="182" ht="409" hidden="0" customHeight="1">
      <x:c r="A182" s="16" t="str">
        <x:v>H19</x:v>
      </x:c>
      <x:c r="B182" s="4" t="str">
        <x:v>Sudan land-border closure during April 2019 military takeover</x:v>
      </x:c>
      <x:c r="C182" s="4" t="str">
        <x:v>Sudan; Egypt; Libya; Chad; Central African Republic; South Sudan; Ethiopia; Eritrea</x:v>
      </x:c>
      <x:c r="D182" s="4" t="str">
        <x:v>National order; Arqin specifically verified
National closure order; observed land impact at Egypt frontier and partial relaxation at Arqin</x:v>
      </x:c>
      <x:c r="E182" s="4" t="str">
        <x:v>National order broad; Egyptian passengers and students at Arqin specifically documented.
Direction: The verified partial reopening facilitated Egyptian nationals travelling from Sudan into Egypt. Full direction-specific scope at other crossings is not established.
Exceptions: Arqin instructions took effect on April 13 morning and buses carrying Egyptian citizens and students were reported arriving; this does not establish universal admission or reopening.</x:v>
      </x:c>
      <x:c r="F182" s="4" t="str">
        <x:v>H19-D1 — Observed operation
Egyptian passenger return through Arqin during Sudan's military-takeover closure.
Start: 2019-04-11.
Observed scoped reopening: 2019-04-13.
2 calendar-day difference; scoped endpoint only</x:v>
      </x:c>
      <x:c r="G182" s="4" t="str">
        <x:v>Power and regime politics / Coups and succession
Analytical interpretation of reported context
Applies to: April 11 takeover closure
Border closure formed part of the military takeover package; no separate border-specific security explanation established.</x:v>
      </x:c>
      <x:c r="H182" s="4" t="str">
        <x:v>H19-D1: The April 13 endpoint is limited Egyptian return facilitation at Arqin, with instructions effective that morning and reported arrivals of buses carrying citizens and students. It does not establish reopening for all passenger classes or Sudan’s whole frontier. Exact onset and first-passage hours remain unknown. The separate 24-hour airspace restriction is not used for land duration.</x:v>
      </x:c>
      <x:c r="I182" s="4" t="str">
        <x:v>Second full-register audit, 26 October 2026: additional source-audited corrections incorporated. See the phase, scope and qualification columns for the accepted findings.</x:v>
      </x:c>
      <x:c r="J182" s="18" t="d">
        <x:v>2026-10-26T00:00:00.000Z</x:v>
      </x:c>
      <x:c r="K182" s="21" t="str">
        <x:f>IFERROR(HYPERLINK("https://www.pbs.org/newshour/world/sudanese-army-says-it-holds-president-wont-extradite-him","PBS"),"PBS")</x:f>
        <x:v>PBS</x:v>
      </x:c>
      <x:c r="L182" s="21" t="str">
        <x:f>IFERROR(HYPERLINK("https://www.euronews.com/2019/04/11/sudan-s-president-ousted-military-after-months-protests-n993336","Euronews"),"Euronews")</x:f>
        <x:v>Euronews</x:v>
      </x:c>
      <x:c r="M182" s="21" t="str">
        <x:f>IFERROR(HYPERLINK("https://www.citinewsroom.com/2019/04/sudan-protesters-defy-military-curfew/","citinewsroom.com"),"citinewsroom.com")</x:f>
        <x:v>citinewsroom.com</x:v>
      </x:c>
      <x:c r="N182" s="4" t="str">
        <x:v>https://www.pbs.org/newshour/world/sudanese-army-says-it-holds-president-wont-extradite-him
https://almalnews.com/486422/%D8%A7%D9%84%D8%AE%D8%A7%D8%B1%D8%AC%D9%8A%D8%A9-%D8%A7%D9%84%D8%B3%D9%81%D8%A7%D8%B1%D8%A9-%D8%A7%D9%84%D9%85%D8%B5%D8%B1%D9%8A%D8%A9-%D8%A8%D8%A7%D9%84%D8%AE%D8%B1%D8%B7%D9%88%D9%85-%D8%B3%D9%87%D9%84%D8%AA-%D8%B9%D8%A8%D9%88%D8%B1-%D8%A7%D9%84%D9%85%D9%88%D8%A7%D8%B7%D9%86%D9%8A%D9%86/
https://www.euronews.com/2019/04/11/sudan-s-president-ousted-military-after-months-protests-n993336
https://www.citinewsroom.com/2019/04/sudan-protesters-defy-military-curfew/
https://see.news/immigration-ends-egyptian-students-crisis-on-sudanese-border</x:v>
      </x:c>
      <x:c r="O182" s="4" t="str">
        <x:v>Second full-register audit source access, 26 October 2026
https://www.euronews.com/2019/04/11/sudan-s-president-ousted-military-after-months-protests-n993336: full text (fresh retrieval)
https://www.citinewsroom.com/2019/04/sudan-protesters-defy-military-curfew/: full text (fresh retrieval)
https://almalnews.com/486422/%D8%A7%D9%84%D8%AE%D8%A7%D8%B1%D8%AC%D9%8A%D8%A9-%D8%A7%D9%84%D8%B3%D9%81%D8%A7%D8%B1%D8%A9-%D8%A7%D9%84%D9%85%D8%B5%D8%B1%D9%8A%D8%A9-%D8%A8%D8%A7%D9%84%D8%AE%D8%B1%D8%B7%D9%88%D9%85-%D8%B3%D9%87%D9%84%D8%AA-%D8%B9%D8%A8%D9%88%D8%B1-%D8%A7%D9%84%D9%85%D9%88%D8%A7%D8%B7%D9%86%D9%8A%D9%86/: full text (fresh retrieval)
https://see.news/immigration-ends-egyptian-students-crisis-on-sudanese-border: full text (fresh retrieval) — Narrow cohort, not general national reopening.
https://www.pbs.org/newshour/world/sudanese-army-says-it-holds-president-wont-extradite-him: inaccessible (fresh retrieval) — Direct retrieval returned 403.
Prior audit access record
Full-register audit source access (evidence cutoff 25 October 2026)
https://www.pbs.org/newshour/world/sudanese-army-says-it-holds-president-wont-extradite-him: search extract — Direct page 403; usable extract does not itself verify border timing.
https://almalnews.com/486422/%D8%A7%D9%84%D8%AE%D8%A7%D8%B1%D8%AC%D9%8A%D8%A9-%D8%A7%D9%84%D8%B3%D9%81%D8%A7%D8%B1%D8%A9-%D8%A7%D9%84%D9%85%D8%B5%D8%B1%D9%8A%D8%A9-%D8%A8%D8%A7%D9%84%D8%AE%D8%B1%D8%B7%D9%88%D9%85-%D8%B3%D9%87%D9%84%D8%AA-%D8%B9%D8%A8%D9%88%D8%B1-%D8%A7%D9%84%D9%85%D9%88%D8%A7%D8%B7%D9%86%D9%8A%D9%86/: full text
https://www.euronews.com/2019/04/11/sudan-s-president-ousted-military-after-months-protests-n993336: full text
https://www.citinewsroom.com/2019/04/sudan-protesters-defy-military-curfew/: full text
https://see.news/immigration-ends-egyptian-students-crisis-on-sudanese-border: full text
Earlier recorded access
Source 1: search extract
Source 2: full page
Source 3: access detail is retained in the source catalogue.</x:v>
      </x:c>
      <x:c r="P182" s="20" t="n">
        <x:v>1</x:v>
      </x:c>
      <x:c r="Q182" s="4" t="str">
        <x:v>Horn of Africa</x:v>
      </x:c>
      <x:c r="R182" s="4" t="str">
        <x:v>Included</x:v>
      </x:c>
    </x:row>
    <x:row r="183" ht="409" hidden="0" customHeight="1">
      <x:c r="A183" s="16" t="str">
        <x:v>H09</x:v>
      </x:c>
      <x:c r="B183" s="4" t="str">
        <x:v>South Sudan COVID land passenger closure</x:v>
      </x:c>
      <x:c r="C183" s="4" t="str">
        <x:v>South Sudan; Uganda</x:v>
      </x:c>
      <x:c r="D183" s="4" t="str">
        <x:v>All South Sudan land crossings</x:v>
      </x:c>
      <x:c r="E183" s="4" t="str">
        <x:v>Passenger buses and ordinary entrants
Direction: Entry restriction clearly stated; full directional scope requires decree
Exceptions: Food trucks fuel tankers medical supplies and emergency relief operations</x:v>
      </x:c>
      <x:c r="F183" s="4" t="str">
        <x:v>H09-R1 — Formal policy
South Sudan national passenger travel ban, as dated by the national policy chronology
Start: 2020-03-23 to 2020-03-24.
Reported national policy relaxation: 2020-05-11.
48–49 calendar-day difference in the declared-policy chronology; the restriction exceeded 24 hours. This is not an all-post operational reopening date.
H09-FA1 — Reported operational reopening observation
South Sudan–Uganda land passenger border.
Start: unknown for this crossing-specific interval.
Reported reopening range: 2020-10-01 to 2020-10-15.
CDC/WHO/South Sudan Ministry of Health research distinguishes this from the national travel-ban relaxation on May 11. No continuous March–October duration is calculated.</x:v>
      </x:c>
      <x:c r="G18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83" s="4" t="str">
        <x:v>H09-R1: The March 23 announcement and March 24 national chronology support bounded onset of the declared passenger restriction. The CDC/WHO/South Sudan Ministry of Health study explicitly dates relaxation of international and domestic travel bans to May 11. This supports a formal-policy period, independently of whether every land post immediately admitted ordinary passengers. The period should not be entirely suppressed merely because physical reopening differed.
H09-FA1: The same study separately places Uganda land-passenger reopening in October 1–15, 2020. Contemporary IOM material in June and the September Nimule supervision report describe continued land-passenger closure, essential cargo access and informal movements. These preserve an important implementation and scope qualification: May 11 is not substituted for the Uganda operational endpoint. The existing October observation retains unknown crossing-specific onset, without a calculated continuous March–October operational spell.
Food and fuel trucks were expressly allowed by the initial account; air relief exceptions do not automatically establish identical land eligibility. No exact first-passage hour, universal frontier reopening or full exemption list is established.</x:v>
      </x:c>
      <x:c r="I183" s="4" t="str">
        <x:v>Second full-register audit, 26 October 2026: additional source-audited corrections incorporated. See the phase, scope and qualification columns for the accepted findings.</x:v>
      </x:c>
      <x:c r="J183" s="18" t="d">
        <x:v>2026-10-26T00:00:00.000Z</x:v>
      </x:c>
      <x:c r="K183" s="21" t="str">
        <x:f>IFERROR(HYPERLINK("https://www.radiotamazuj.org/en/news/article/south-sudan-closes-airports-and-borders-over-coronavirus-fears","Radio Tamazuj"),"Radio Tamazuj")</x:f>
        <x:v>Radio Tamazuj</x:v>
      </x:c>
      <x:c r="L183" s="21" t="str">
        <x:f>IFERROR(HYPERLINK("https://www.cdc.gov/mmwr/volumes/70/wr/mm7022a3.htm","CDC MMWR"),"CDC MMWR")</x:f>
        <x:v>CDC MMWR</x:v>
      </x:c>
      <x:c r="M183" s="21" t="str">
        <x:f>IFERROR(HYPERLINK("https://southsudan.iom.int/sites/g/files/tmzbdl1046/files/documents/2024-08/nimule-jss-report.pdf","IOM"),"IOM")</x:f>
        <x:v>IOM</x:v>
      </x:c>
      <x:c r="N183" s="4" t="str">
        <x:v>https://www.radiotamazuj.org/en/news/article/south-sudan-closes-airports-and-borders-over-coronavirus-fears
https://www.cdc.gov/mmwr/volumes/70/wr/mm7022a3.htm
https://southsudan.iom.int/sites/g/files/tmzbdl1046/files/documents/2024-08/nimule-jss-report.pdf
https://eastandhornofafrica.iom.int/sites/g/files/tmzbdl701/files/documents/iom-wfp-joint-report_east-and-horn-of-africa_june-2021_0.pdf
https://fews.net/east-africa/south-sudan/food-security-outlook/june-2020
https://www.scribd.com/document/860594941/nimule-jss-report
https://help.unhcr.org/southsudan/coronavirus-covid-19-info/
https://www.theeastafrican.co.ke/tea/news/east-africa/south-sudan-on-a-lockdown-over-coronavirus-fears-1439180
https://eastandhornofafrica.iom.int/sites/g/files/tmzbdl701/files/documents/IOM_DTM_RDH_COVID-19_Mobility_Restrictions_11062020.pdf
https://www.radiotamazuj.org/en/news/article/south-sudan-loosens-restrictions-even-as-coronavirus-cases-increase</x:v>
      </x:c>
      <x:c r="O183" s="4" t="str">
        <x:v>Second full-register audit source access, 26 October 2026
https://www.radiotamazuj.org/en/news/article/south-sudan-closes-airports-and-borders-over-coronavirus-fears: full text (fresh retrieval)
https://www.cdc.gov/mmwr/volumes/70/wr/mm7022a3.htm: full text (fresh retrieval)
https://southsudan.iom.int/sites/g/files/tmzbdl1046/files/documents/2024-08/nimule-jss-report.pdf: search extract (fresh retrieval) — Substantive indexed introduction; original PDF not fully retrieved.
https://eastandhornofafrica.iom.int/sites/g/files/tmzbdl701/files/documents/IOM_DTM_RDH_COVID-19_Mobility_Restrictions_11062020.pdf: search extract (fresh retrieval) — Indexed report section; secondary chronology compilation.
https://www.radiotamazuj.org/en/news/article/south-sudan-loosens-restrictions-even-as-coronavirus-cases-increase: search extract (fresh retrieval)
Earlier URLs not separately inspected in this second assessment:
https://eastandhornofafrica.iom.int/sites/g/files/tmzbdl701/files/documents/iom-wfp-joint-report_east-and-horn-of-africa_june-2021_0.pdf
https://fews.net/east-africa/south-sudan/food-security-outlook/june-2020
https://www.scribd.com/document/860594941/nimule-jss-report
https://help.unhcr.org/southsudan/coronavirus-covid-19-info/
https://www.theeastafrican.co.ke/tea/news/east-africa/south-sudan-on-a-lockdown-over-coronavirus-fears-1439180
Prior audit access record
Full-register audit source access (evidence cutoff 25 October 2026)
https://www.radiotamazuj.org/en/news/article/south-sudan-closes-airports-and-borders-over-coronavirus-fears: full text
https://www.cdc.gov/mmwr/volumes/70/wr/mm7022a3.htm: full text
https://southsudan.iom.int/sites/g/files/tmzbdl1046/files/documents/2024-08/nimule-jss-report.pdf: search extract — Indexed substantive passage; direct retrieval unavailable.
Earlier source URLs not separately listed in this audit’s retrieval log (historical access notes below are not fresh verification):
https://eastandhornofafrica.iom.int/sites/g/files/tmzbdl701/files/documents/iom-wfp-joint-report_east-and-horn-of-africa_june-2021_0.pdf
https://fews.net/east-africa/south-sudan/food-security-outlook/june-2020
https://www.scribd.com/document/860594941/nimule-jss-report
https://help.unhcr.org/southsudan/coronavirus-covid-19-info/
https://www.theeastafrican.co.ke/tea/news/east-africa/south-sudan-on-a-lockdown-over-coronavirus-fears-1439180
Earlier recorded access
Source 1: full
Source 2: full; full text
Source 3: indexed excerpt; failed</x:v>
      </x:c>
      <x:c r="P183" s="20" t="n">
        <x:v>2</x:v>
      </x:c>
      <x:c r="Q183" s="4" t="str">
        <x:v>Horn of Africa</x:v>
      </x:c>
      <x:c r="R183" s="4" t="str">
        <x:v>Included</x:v>
      </x:c>
    </x:row>
    <x:row r="184" ht="409" hidden="0" customHeight="1">
      <x:c r="A184" s="16" t="str">
        <x:v>H10</x:v>
      </x:c>
      <x:c r="B184" s="4" t="str">
        <x:v>Sudan COVID land-border restriction; Diffra reopening evidence</x:v>
      </x:c>
      <x:c r="C184" s="4" t="str">
        <x:v>Sudan; South Sudan</x:v>
      </x:c>
      <x:c r="D184" s="4" t="str">
        <x:v>Diffra flow-monitoring point, Abyei PCA Area
The national March 2020 order covered Sudan’s land crossings, but the retained operational reopening evidence concerns Diffra only.</x:v>
      </x:c>
      <x:c r="E184" s="4" t="str">
        <x:v>Incoming South Sudanese persons covered by IOM registration at Diffra.
Direction: South Sudan into Sudan.
Other categories, directions and exceptions: Not established.</x:v>
      </x:c>
      <x:c r="F184" s="4" t="str">
        <x:v>H10-R1 — Observed operation
Diffra border flow-monitoring point, Abyei PCA Area
Start: 2020-03-01 to 2020-03-31.
Observed scoped reopening: 2020-07-01 to 2020-07-31.
92–152 calendar-day difference; scoped endpoint only</x:v>
      </x:c>
      <x:c r="G18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84" s="4" t="str">
        <x:v>H10-R1: Month-precision retrospective IOM account at Diffra only. July bounds locate reopening within July 2020 and do not mean the whole month was closed. IOM reports renewed registration of incoming South Sudanese entering Sudan. The April–June overview links suspension of the Abyei monitoring point to the March 16 national emergency, but this is not a separately observed exact first gate denial. The March–July operational bounds remain unchanged.
Both IOM summaries were freshly recovered as substantive indexed text; direct retrieval returned 403 and the original full report remains unavailable. National-order reporting supports COVID rationale and broad legal scope, not simultaneous reopening of all Sudan crossings.</x:v>
      </x:c>
      <x:c r="I184" s="4" t="str">
        <x:v>Second full-register audit, 26 October 2026: qualified. The retrospective IOM account explicitly concerns Diffra and renewed incoming South Sudanese registration. March–July month bounds and the limited geography remain supported; no exact gate-onset date is created from the national emergency.</x:v>
      </x:c>
      <x:c r="J184" s="18" t="d">
        <x:v>2026-10-26T00:00:00.000Z</x:v>
      </x:c>
      <x:c r="K184" s="21" t="str">
        <x:f>IFERROR(HYPERLINK("https://dtm.iom.int/reports/sudan-%E2%80%94-registration-and-flow-monitoring-quarterly-overview-july-september-2020","IOM Displacement Tracking Matrix"),"IOM Displacement Tracking Matrix")</x:f>
        <x:v>IOM Displacement Tracking Matrix</x:v>
      </x:c>
      <x:c r="L184" s="21" t="str">
        <x:f>IFERROR(HYPERLINK("https://sudantribune.com/article/67223","Sudan Tribune"),"Sudan Tribune")</x:f>
        <x:v>Sudan Tribune</x:v>
      </x:c>
      <x:c r="M184" s="21" t="str">
        <x:f>IFERROR(HYPERLINK("https://dtm.iom.int/product-series/registration-and-verification-report","IOM DTM"),"IOM DTM")</x:f>
        <x:v>IOM DTM</x:v>
      </x:c>
      <x:c r="N184" s="4" t="str">
        <x:v>https://dtm.iom.int/reports/sudan-%E2%80%94-registration-and-flow-monitoring-quarterly-overview-july-september-2020
https://sudantribune.com/article/67223
https://dtm.iom.int/product-series/registration-and-verification-report
https://www.ecoi.net/en/file/local/2031690/Situation%2BReport%2B-%2BSudan%2B-%2B18%2BJun%2B2020%2B%281%29.pdf
https://www.xinhuanet.com/english/2020-03/17/c_138884711.htm
https://www.ecoi.net/en/file/local/2029598/Situation%2BReport%2B-%2BSudan%2B-%2B7%2BMay%2B2020.pdf
https://dtm.iom.int/reports/sudan-%E2%80%94-registration-quarterly-overview-april-june-2020
https://dtm.iom.int/sites/g/files/tmzbdl1461/files/reports/DTM%20Sudan%20Mobility%20Restrictions%20COVID19%20Dashboard_1.pdf</x:v>
      </x:c>
      <x:c r="O184" s="4" t="str">
        <x:v>Second full-register audit source access, 26 October 2026
https://dtm.iom.int/reports/sudan-%E2%80%94-registration-and-flow-monitoring-quarterly-overview-july-september-2020: search extract (fresh retrieval) — Direct page returned 403; indexed substantive summary inspected.
https://dtm.iom.int/reports/sudan-%E2%80%94-registration-quarterly-overview-april-june-2020: search extract (fresh retrieval) — Direct page returned 403; indexed substantive summary inspected.
https://sudantribune.com/article/67223: full text (fresh retrieval)
https://dtm.iom.int/sites/g/files/tmzbdl1461/files/reports/DTM%20Sudan%20Mobility%20Restrictions%20COVID19%20Dashboard_1.pdf: search extract (fresh retrieval) — Indexed PDF text; does not establish every category at Diffra.
Earlier URLs not separately inspected in this second assessment:
https://dtm.iom.int/product-series/registration-and-verification-report
https://www.ecoi.net/en/file/local/2031690/Situation%2BReport%2B-%2BSudan%2B-%2B18%2BJun%2B2020%2B%281%29.pdf
https://www.xinhuanet.com/english/2020-03/17/c_138884711.htm
https://www.ecoi.net/en/file/local/2029598/Situation%2BReport%2B-%2BSudan%2B-%2B7%2BMay%2B2020.pdf
Prior audit access record
Full-register audit source access (evidence cutoff 25 October 2026)
https://dtm.iom.int/reports/sudan-%E2%80%94-registration-and-flow-monitoring-quarterly-overview-july-september-2020: search extract — Direct page 403; full original report not recovered.
https://dtm.iom.int/reports/sudan-%E2%80%94-registration-quarterly-overview-april-june-2020: search extract — Direct page 403; precise monitoring suspension is not independently observed first border denial.
https://sudantribune.com/article/67223: full text
Earlier source URLs not separately listed in this audit’s retrieval log (historical access notes below are not fresh verification):
https://dtm.iom.int/product-series/registration-and-verification-report
https://www.ecoi.net/en/file/local/2031690/Situation%2BReport%2B-%2BSudan%2B-%2B18%2BJun%2B2020%2B%281%29.pdf
https://www.xinhuanet.com/english/2020-03/17/c_138884711.htm
https://www.ecoi.net/en/file/local/2029598/Situation%2BReport%2B-%2BSudan%2B-%2B7%2BMay%2B2020.pdf
Earlier recorded access
Source 1: indexed excerpt; indexed extract
Source 2: full; full text
Source 3: indexed excerpt</x:v>
      </x:c>
      <x:c r="P184" s="20" t="n">
        <x:v>1</x:v>
      </x:c>
      <x:c r="Q184" s="4" t="str">
        <x:v>Horn of Africa</x:v>
      </x:c>
      <x:c r="R184" s="4" t="str">
        <x:v>Included</x:v>
      </x:c>
    </x:row>
    <x:row r="185" ht="409" hidden="0" customHeight="1">
      <x:c r="A185" s="16" t="str">
        <x:v>H07</x:v>
      </x:c>
      <x:c r="B185" s="4" t="str">
        <x:v>Ethiopia COVID passenger land-border closure</x:v>
      </x:c>
      <x:c r="C185" s="4" t="str">
        <x:v>Ethiopia</x:v>
      </x:c>
      <x:c r="D185" s="4" t="str">
        <x:v>All Ethiopian land borders</x:v>
      </x:c>
      <x:c r="E185" s="4" t="str">
        <x:v>Cross-border movement of people.
Direction: Land passenger movement was generally restricted; the reported endpoint concerns bilateral services with Djibouti only.
Exceptions: The March 23 announcement exempts incoming essential goods. The government’s April 7 review describes entry and exit of goods as exempt.</x:v>
      </x:c>
      <x:c r="F185" s="4" t="str">
        <x:v>H07-V1 — Formal policy with bounded reported resumption
Ethiopia’s declared ordinary land-passenger restriction, with the endpoint limited to bilateral services with Djibouti.
Start: 2020-03-23.
Reported bilateral resumption: 2020-07-01 to 2020-08-07.
100–137 calendar-day difference to the reported resumption bound; the sustained declared restriction exceeded 24 hours. Exact legal repeal and first ordinary passage are unknown.</x:v>
      </x:c>
      <x:c r="G18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85" s="4" t="str">
        <x:v>H07-V1: The March 23 order and April 7 government review establish a sustained declared land-passenger restriction, with goods exempt. IOM’s retrospective Djibouti monitoring reports place bilateral land-service resumption in July 2020; the August 7 Ethiopian foreign-ministry briefing independently confirms that those services had resumed. A conservative July 1–August 7 bound is retained for reported bilateral resumption, rather than treating any specific July day as an exact legal or operational endpoint.
The July 31 IOM passage previously treated as a direct contradiction discusses suspended assisted returns from Bosasso and Hargeisa in Somalia. It does not by itself disprove the differently scoped Djibouti reopening. The August briefing also says negotiations with other neighbours were continuing. Country-level summaries differ in their categories, and the original reopening instrument, individual gate operation and passenger subcategories remain incomplete. Neither Djibouti’s July 17 airport reopening nor reported migrant counts establishes the first ordinary land traveller.
The dated declared-policy period is suitable for display and greater-than-24-hour analysis with these limits. Its 100–137 calendar-day difference to reported bilateral resumption is not an exact duration of physically closed crossings. No common endpoint is assigned to Ethiopia’s other land frontiers.</x:v>
      </x:c>
      <x:c r="I185" s="4" t="str">
        <x:v>Second full-register audit, 26 October 2026: additional source-audited corrections incorporated. See the phase, scope and qualification columns for the accepted findings.</x:v>
      </x:c>
      <x:c r="J185" s="18" t="d">
        <x:v>2026-10-26T00:00:00.000Z</x:v>
      </x:c>
      <x:c r="K185" s="21" t="str">
        <x:f>IFERROR(HYPERLINK("https://ethiopianembassy.org/ethiopia-closes-borders-to-prevent-spread-of-covid19-march-23-2020/","Embassy of Ethiopia"),"Embassy of Ethiopia")</x:f>
        <x:v>Embassy of Ethiopia</x:v>
      </x:c>
      <x:c r="L185" s="21" t="str">
        <x:f>IFERROR(HYPERLINK("https://wiki.unece.org/plugins/viewsource/viewpagesrc.action?pageId=172851507","UNECE"),"UNECE")</x:f>
        <x:v>UNECE</x:v>
      </x:c>
      <x:c r="M185" s="21" t="str">
        <x:f>IFERROR(HYPERLINK("https://dtm.iom.int/reports/djibouti-flow-monitoring-report-february-2021","IOM DTM"),"IOM DTM")</x:f>
        <x:v>IOM DTM</x:v>
      </x:c>
      <x:c r="N185" s="4" t="str">
        <x:v>https://ethiopianembassy.org/ethiopia-closes-borders-to-prevent-spread-of-covid19-march-23-2020/
https://wiki.unece.org/plugins/viewsource/viewpagesrc.action?pageId=172851507
https://dtm.iom.int/reports/djibouti-flow-monitoring-report-february-2021
https://www.newtimes.co.rw/article/179035/News/ethiopia-resumes-land-air-transport-services-to-djibouti/amp
https://dtm.iom.int/sites/g/files/tmzbdl1461/files/reports/IOM_Eastern%20Corridor%20Migrant%20Situation_11082020.pdf
https://wiki.unece.org/spaces/CTRBSBC/pages/101548961/Ethiopia
https://dtm.iom.int/report-product-series/stranded-migrants
https://wiki.unece.org/download/attachments/101548961/ETHIOPIA%20-%20COVID-19%20-%20CIQP%20Bulletin%201.pdf?api=v2&amp;modificationDate=1594995286601&amp;version=1
https://pmc.ncbi.nlm.nih.gov/articles/PMC7492795/
https://mfaethiopia.blog/2020/04/10/a-week-in-the-horn-10-04-2020/
https://media.odi.org/documents/HMI_Ethiopia_country_profile_v2.pdf
https://dtm.iom.int/sites/g/files/tmzbdl1461/files/reports/DJI_FMR_Dashboard_March21_EN.pdf
https://dtm.iom.int/report-product-series/flow-monitoring-survey-quarterly-dashboards
https://www.wcoesarpsg.org/esa-covid-19-situation-report-june-july-2020/</x:v>
      </x:c>
      <x:c r="O185" s="4" t="str">
        <x:v>Second full-register audit source access, 26 October 2026
https://ethiopianembassy.org/ethiopia-closes-borders-to-prevent-spread-of-covid19-march-23-2020/: full text (fresh retrieval)
https://mfaethiopia.blog/2020/04/10/a-week-in-the-horn-10-04-2020/: full text (fresh retrieval)
https://www.newtimes.co.rw/article/179035/News/ethiopia-resumes-land-air-transport-services-to-djibouti/amp: full text (fresh retrieval)
https://dtm.iom.int/sites/g/files/tmzbdl1461/files/reports/IOM_Eastern%20Corridor%20Migrant%20Situation_11082020.pdf: search extract (fresh retrieval) — Direct PDF fetch failed; substantive indexed section inspected, not complete PDF.
https://dtm.iom.int/report-product-series/flow-monitoring-survey-quarterly-dashboards: search extract (fresh retrieval) — Indexed report text; linked report direct fetch failed.
https://www.wcoesarpsg.org/esa-covid-19-situation-report-june-july-2020/: full text (fresh retrieval) — Broad mixed-mode summary; no gate-specific exact reopening.
Earlier URLs not separately inspected in this second assessment:
https://wiki.unece.org/plugins/viewsource/viewpagesrc.action?pageId=172851507
https://dtm.iom.int/reports/djibouti-flow-monitoring-report-february-2021
https://wiki.unece.org/spaces/CTRBSBC/pages/101548961/Ethiopia
https://dtm.iom.int/report-product-series/stranded-migrants
https://wiki.unece.org/download/attachments/101548961/ETHIOPIA%20-%20COVID-19%20-%20CIQP%20Bulletin%201.pdf?api=v2&amp;modificationDate=1594995286601&amp;version=1
https://pmc.ncbi.nlm.nih.gov/articles/PMC7492795/
https://media.odi.org/documents/HMI_Ethiopia_country_profile_v2.pdf
https://dtm.iom.int/sites/g/files/tmzbdl1461/files/reports/DJI_FMR_Dashboard_March21_EN.pdf
Prior audit access record
Full-register audit source access (evidence cutoff 25 October 2026)
https://ethiopianembassy.org/ethiopia-closes-borders-to-prevent-spread-of-covid19-march-23-2020/: full text
https://www.newtimes.co.rw/article/179035/News/ethiopia-resumes-land-air-transport-services-to-djibouti/amp: full text
https://dtm.iom.int/report-product-series/stranded-migrants: search extract — Indexed substantive passage; direct retrieval unavailable.
Earlier source URLs not separately listed in this audit’s retrieval log (historical access notes below are not fresh verification):
https://wiki.unece.org/plugins/viewsource/viewpagesrc.action?pageId=172851507
https://dtm.iom.int/reports/djibouti-flow-monitoring-report-february-2021
https://dtm.iom.int/sites/g/files/tmzbdl1461/files/reports/IOM_Eastern%20Corridor%20Migrant%20Situation_11082020.pdf
https://wiki.unece.org/spaces/CTRBSBC/pages/101548961/Ethiopia
https://wiki.unece.org/download/attachments/101548961/ETHIOPIA%20-%20COVID-19%20-%20CIQP%20Bulletin%201.pdf?api=v2&amp;modificationDate=1594995286601&amp;version=1
https://pmc.ncbi.nlm.nih.gov/articles/PMC7492795/
https://mfaethiopia.blog/2020/04/10/a-week-in-the-horn-10-04-2020/
https://media.odi.org/documents/HMI_Ethiopia_country_profile_v2.pdf
https://dtm.iom.int/sites/g/files/tmzbdl1461/files/reports/DJI_FMR_Dashboard_March21_EN.pdf
Earlier recorded access
Source 1: full
Source 2: full; failed
Source 3: indexed excerpt; failed</x:v>
      </x:c>
      <x:c r="P185" s="20" t="n">
        <x:v>1</x:v>
      </x:c>
      <x:c r="Q185" s="4" t="str">
        <x:v>Horn of Africa</x:v>
      </x:c>
      <x:c r="R185" s="4" t="str">
        <x:v>Included</x:v>
      </x:c>
    </x:row>
    <x:row r="186" ht="409" hidden="0" customHeight="1">
      <x:c r="A186" s="16" t="str">
        <x:v>H12</x:v>
      </x:c>
      <x:c r="B186" s="4" t="str">
        <x:v>Gedo COVID closure of Somalia Kenya and Ethiopia crossings</x:v>
      </x:c>
      <x:c r="C186" s="4" t="str">
        <x:v>Somalia; Kenya; Ethiopia</x:v>
      </x:c>
      <x:c r="D186" s="4" t="str">
        <x:v>Balad Hawo; Elwak; Doolow</x:v>
      </x:c>
      <x:c r="E186" s="4" t="str">
        <x:v>Ordinary cross-border workers, traders, small-scale goods carriers and refugees making local visits.
Direction: Dollow bridge affected ordinary trips and goods in both directions between Somalia and Ethiopia; other Gedo posts are not separately resolved.
Qualification: Informal river dinghies continued bringing some produce into Dollow, so this was not a complete frontier seal. No lawful general exemption is established.</x:v>
      </x:c>
      <x:c r="F186" s="4" t="str">
        <x:v>H12-FU1 — Observed operation
Dollow bridge between Somalia and Dolo Addo, Ethiopia
Start: 2020-03-01 to 2020-03-31.
Last confirmed: 2020-04-14. Reopening is not established.
confirmed through 2020-04-14; at least 14 calendar-day difference; reopening unknown</x:v>
      </x:c>
      <x:c r="G18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86" s="4" t="str">
        <x:v>H12-FU1: The Dollow bridge restriction is reported as beginning during March 2020 and continuing on April 14, with testimony referring to the previous two weeks. Month bounds do not mean the whole of March was closed. Ordinary work trips, local visits and small-scale goods traffic were affected in both directions; informal river supplies continued.
The Gedo governor’s April 9 statement names Balad Hawo, Elwak and Doolow, but supplies no exact first day at each post. The earlier bridge interviews do not identify the imposing authority or prove that the March restriction was the same measure announced by that governor. No matched ordinary reopening has been established, and later cargo or unspecified route access is not substituted for it.</x:v>
      </x:c>
      <x:c r="I186" s="4" t="str">
        <x:v>Second full-register audit, 26 October 2026: additional source-audited corrections incorporated. See the phase, scope and qualification columns for the accepted findings.</x:v>
      </x:c>
      <x:c r="J186" s="18" t="d">
        <x:v>2026-10-26T00:00:00.000Z</x:v>
      </x:c>
      <x:c r="K186" s="21" t="str">
        <x:f>IFERROR(HYPERLINK("https://radioergo.org/en/2020/04/somali-border-closures-affect-jobs-and-food-supplies-in-gedo/","Radio Ergo"),"Radio Ergo")</x:f>
        <x:v>Radio Ergo</x:v>
      </x:c>
      <x:c r="L186" s="21" t="str">
        <x:f>IFERROR(HYPERLINK("https://www.garoweonline.com/en/news/somalia/somalia-closes-land-border-with-kenya-to-rein-in-coronavirus-cases","Garowe Online"),"Garowe Online")</x:f>
        <x:v>Garowe Online</x:v>
      </x:c>
      <x:c r="M186" s="21" t="str">
        <x:f>IFERROR(HYPERLINK("https://www.ecoi.net/de/dokument/2035661.html","ACCORD"),"ACCORD")</x:f>
        <x:v>ACCORD</x:v>
      </x:c>
      <x:c r="N186" s="4" t="str">
        <x:v>https://radioergo.org/en/2020/04/somali-border-closures-affect-jobs-and-food-supplies-in-gedo/
https://www.garoweonline.com/en/news/somalia/somalia-closes-land-border-with-kenya-to-rein-in-coronavirus-cases
https://www.ecoi.net/de/dokument/2035661.html
https://dtm.iom.int/sites/g/files/tmzbdl1461/files/reports/IOM_Eastern%20Corridor%20Migrant%20Situation_10062020.pdf
https://logcluster.org/en/documents/somalia-logistics-cluster-meeting-minutes-13-october-2026
https://openpress.sussex.ac.uk/refugeesinaworldwithoutaid/chapter/ethiopia/
https://wiki.unece.org/spaces/CTRBSBC/pages/101548961/Ethiopia</x:v>
      </x:c>
      <x:c r="O186" s="4" t="str">
        <x:v>Second full-register audit source access, 26 October 2026
https://radioergo.org/en/2020/04/somali-border-closures-affect-jobs-and-food-supplies-in-gedo/: full text (fresh retrieval)
https://www.garoweonline.com/en/news/somalia/somalia-closes-land-border-with-kenya-to-rein-in-coronavirus-cases: full text (fresh retrieval)
https://wiki.unece.org/spaces/CTRBSBC/pages/101548961/Ethiopia: search extract (fresh retrieval) — Not proof of Dollow bridge ordinary passenger reopening.
Earlier URLs not separately inspected in this second assessment:
https://www.ecoi.net/de/dokument/2035661.html
https://dtm.iom.int/sites/g/files/tmzbdl1461/files/reports/IOM_Eastern%20Corridor%20Migrant%20Situation_10062020.pdf
https://logcluster.org/en/documents/somalia-logistics-cluster-meeting-minutes-13-october-2026
https://openpress.sussex.ac.uk/refugeesinaworldwithoutaid/chapter/ethiopia/
Prior audit access record
Full-register audit source access (evidence cutoff 25 October 2026)
https://radioergo.org/en/2020/04/somali-border-closures-affect-jobs-and-food-supplies-in-gedo/: full text
https://www.garoweonline.com/en/news/somalia/somalia-closes-land-border-with-kenya-to-rein-in-coronavirus-cases: search extract — Search passage or failed direct retrieval; see assessment.
https://logcluster.org/en/documents/somalia-logistics-cluster-meeting-minutes-13-october-2026: search extract — Search passage or failed direct retrieval; see assessment.
https://openpress.sussex.ac.uk/refugeesinaworldwithoutaid/chapter/ethiopia/: full text — The travel paragraph does not identify the bridge route or formal admission procedure. It cannot date reopening of the March 2020 bridge restriction.
Earlier source URLs not separately listed in this audit’s retrieval log (historical access notes below are not fresh verification):
https://www.ecoi.net/de/dokument/2035661.html
https://dtm.iom.int/sites/g/files/tmzbdl1461/files/reports/IOM_Eastern%20Corridor%20Migrant%20Situation_10062020.pdf
Earlier recorded access
Source 1: full
Source 2: full
Source 3: indexed excerpt</x:v>
      </x:c>
      <x:c r="P186" s="20" t="n">
        <x:v>1</x:v>
      </x:c>
      <x:c r="Q186" s="4" t="str">
        <x:v>Horn of Africa</x:v>
      </x:c>
      <x:c r="R186" s="4" t="str">
        <x:v>Included</x:v>
      </x:c>
    </x:row>
    <x:row r="187" ht="409" hidden="0" customHeight="1">
      <x:c r="A187" s="16" t="str">
        <x:v>H08</x:v>
      </x:c>
      <x:c r="B187" s="4" t="str">
        <x:v>Kenya COVID passenger closure at Tanzania and Somalia borders</x:v>
      </x:c>
      <x:c r="C187" s="4" t="str">
        <x:v>Kenya; Tanzania; Somalia</x:v>
      </x:c>
      <x:c r="D187" s="4" t="str">
        <x:v>Kenya Tanzania and Kenya Somalia land borders</x:v>
      </x:c>
      <x:c r="E187" s="4" t="str">
        <x:v>People and passenger-carrying vehicles
Direction: Both directions
Exceptions: Cargo vehicles with testing requirements for drivers; from May22 agreement, identified border farmers could access plots across boundary.</x:v>
      </x:c>
      <x:c r="F187" s="4" t="str">
        <x:v>H08-FU1 — Formal policy
Kenya–Tanzania and Kenya–Somalia land borders as covered by the Kenyan order
Start: 2020-05-16 to 2020-05-17.
Last confirmed: 2020-06-30, the reference date of the June FEWS NET assessment. Reopening is not established.
Formal policy: at least 44 calendar-day difference to the June assessment; sustained restriction exceeded 24 hours. Reopening remains unknown.
Separate later access observation: Riverside passenger shuttle services on the Nairobi–Arusha–Moshi route via Namanga resumed during October 2021, conservatively by 2021-10-31. The named operator reported actual passenger loads. This is a scoped later access bound, not the first border reopening or a repeal date.</x:v>
      </x:c>
      <x:c r="G18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87" s="4" t="str">
        <x:v>H08-FU1: The overnight May 16–17 onset is retained. FEWS NET’s June assessment, reporting conditions through June 30, describes the government’s passenger prohibition at both Tanzania and Somalia borders as indefinite. Kenya News Agency’s June 12 report independently documents continued human-traffic closure at the Lunga Lunga–Horo Horo area, with interception of attempted informal crossings. This supports sustained restriction beyond the initial announcement without claiming an impermeable frontier.
Cargo vehicles remained exempt subject to driver testing. The May 22 agreement also allowed locally identified border farmers to reach their plots; its trade-reopening language is not a general passenger reopening. Neither the June 6 domestic-curfew date nor a scheduled 30-day period supplies an actual land-border endpoint.
The May 2022 EABC interview documents Riverside’s ordinary Namanga shuttle services during October 2021, including actual passenger loads. This is a later operator-specific access bound, not proof of continuous closure since May 2020, first border reopening, uniform access at other Tanzania posts, or any Somalia endpoint. A broad August customs summary of permitted Kenyan travel does not identify these land cohorts or a repeal instrument.</x:v>
      </x:c>
      <x:c r="I187" s="4" t="str">
        <x:v>Second full-register audit, 26 October 2026: additional source-audited corrections incorporated. See the phase, scope and qualification columns for the accepted findings.</x:v>
      </x:c>
      <x:c r="J187" s="18" t="d">
        <x:v>2026-10-26T00:00:00.000Z</x:v>
      </x:c>
      <x:c r="K187" s="21" t="str">
        <x:f>IFERROR(HYPERLINK("https://www.kenyanews.go.ke/kenya-seals-borders-with-somalia-and-tanzania-to-contain-covid-19/","Kenya News Agency"),"Kenya News Agency")</x:f>
        <x:v>Kenya News Agency</x:v>
      </x:c>
      <x:c r="L187" s="21" t="str">
        <x:f>IFERROR(HYPERLINK("https://www.standardmedia.co.ke/amp/ureport/article/2001371581/tanzania-somalia-borders-shut-and-curfew-extended","standardmedia.co.ke"),"standardmedia.co.ke")</x:f>
        <x:v>standardmedia.co.ke</x:v>
      </x:c>
      <x:c r="M187" s="21" t="str">
        <x:f>IFERROR(HYPERLINK("https://www.theeastafrican.co.ke/tea/news/east-africa/kenya-tanzania-agree-on-covid-19-testing-and-cross-border-movement-1441772","The EastAfrican"),"The EastAfrican")</x:f>
        <x:v>The EastAfrican</x:v>
      </x:c>
      <x:c r="N187" s="4" t="str">
        <x:v>https://www.kenyanews.go.ke/kenya-seals-borders-with-somalia-and-tanzania-to-contain-covid-19/
https://www.standardmedia.co.ke/amp/ureport/article/2001371581/tanzania-somalia-borders-shut-and-curfew-extended
https://www.theeastafrican.co.ke/tea/news/east-africa/kenya-tanzania-agree-on-covid-19-testing-and-cross-border-movement-1441772
https://www.africanews.com/2020/07/24/kenya-coronavirus-updates/
https://citizen.digital/news/president-kenyatta-closes-kenyas-borders-with-tanzania-somalia-for-30-days-332832
https://www.theeastafrican.co.ke/tea/news/east-africa/kenya-shuts-tanzania-somalia-borders-over-covid-19-1441468
https://www.brecorder.com/news/597621/kenya-closes-borders-to-tanzania-and-somalia-over-coronavirus
https://www.kenyanews.go.ke/kenya-and-tanzania-resolve-dispute-over-covid19-tests/
https://www.kenyanews.go.ke/kenya-tanzania-trade-picking-after-covid-19/
https://eabc-online.com/interview-on-the-impact-of-covid-19-on-transport-services/
https://www.kenyanews.go.ke/new-police-post-opened-along-the-kenya-tanzania-border/
https://fews.net/east-africa/kenya/food-security-outlook/june-2020
https://www.wcoesarpsg.org/esa-covid-19-situation-report-june-july-2020/</x:v>
      </x:c>
      <x:c r="O187" s="4" t="str">
        <x:v>Second full-register audit source access, 26 October 2026
https://www.kenyanews.go.ke/kenya-seals-borders-with-somalia-and-tanzania-to-contain-covid-19/: search extract (fresh retrieval) — Direct page timed out; substantive indexed article inspected.
https://www.kenyanews.go.ke/new-police-post-opened-along-the-kenya-tanzania-border/: search extract (fresh retrieval) — Direct page timed out; substantive indexed article inspected.
https://www.kenyanews.go.ke/kenya-and-tanzania-resolve-dispute-over-covid19-tests/: search extract (fresh retrieval) — Direct page timed out; substantive indexed article inspected.
https://fews.net/east-africa/kenya/food-security-outlook/june-2020: full text (previously retrieved text re-examined) — Root fresh full retrieval read by this reviewer; June 30 is the assessment reference date, not an independently observed gate timestamp. Future forecast extensions are not used as confirmation.
https://eabc-online.com/interview-on-the-impact-of-covid-19-on-transport-services/: full text (fresh retrieval)
https://www.wcoesarpsg.org/esa-covid-19-situation-report-june-july-2020/: full text (fresh retrieval) — No named-post first passenger reopening or formal repeal.
Earlier URLs not separately inspected in this second assessment:
https://www.standardmedia.co.ke/amp/ureport/article/2001371581/tanzania-somalia-borders-shut-and-curfew-extended
https://www.theeastafrican.co.ke/tea/news/east-africa/kenya-tanzania-agree-on-covid-19-testing-and-cross-border-movement-1441772
https://www.africanews.com/2020/07/24/kenya-coronavirus-updates/
https://citizen.digital/news/president-kenyatta-closes-kenyas-borders-with-tanzania-somalia-for-30-days-332832
https://www.theeastafrican.co.ke/tea/news/east-africa/kenya-shuts-tanzania-somalia-borders-over-covid-19-1441468
https://www.brecorder.com/news/597621/kenya-closes-borders-to-tanzania-and-somalia-over-coronavirus
https://www.kenyanews.go.ke/kenya-tanzania-trade-picking-after-covid-19/
Prior audit access record
Full-register audit source access (evidence cutoff 25 October 2026)
https://www.kenyanews.go.ke/kenya-seals-borders-with-somalia-and-tanzania-to-contain-covid-19/: search extract — Indexed substantive passage; direct retrieval unavailable.
https://www.theeastafrican.co.ke/tea/news/east-africa/kenya-shuts-tanzania-somalia-borders-over-covid-19-1441468: full text
https://www.kenyanews.go.ke/kenya-and-tanzania-resolve-dispute-over-covid19-tests/: search extract — Indexed substantive passage; direct retrieval unavailable.
https://www.kenyanews.go.ke/kenya-tanzania-trade-picking-after-covid-19/: search extract — Indexed substantive passage; direct retrieval unavailable.
https://eabc-online.com/interview-on-the-impact-of-covid-19-on-transport-services/: full text — Business resumption does not identify the first reopening of the border, policy repeal or all crossing points.
Earlier source URLs not separately listed in this audit’s retrieval log (historical access notes below are not fresh verification):
https://www.standardmedia.co.ke/amp/ureport/article/2001371581/tanzania-somalia-borders-shut-and-curfew-extended
https://www.theeastafrican.co.ke/tea/news/east-africa/kenya-tanzania-agree-on-covid-19-testing-and-cross-border-movement-1441772
https://www.africanews.com/2020/07/24/kenya-coronavirus-updates/
https://citizen.digital/news/president-kenyatta-closes-kenyas-borders-with-tanzania-somalia-for-30-days-332832
https://www.brecorder.com/news/597621/kenya-closes-borders-to-tanzania-and-somalia-over-coronavirus
Earlier recorded access
Source 1: indexed excerpt
Source 2: access detail is retained in the source catalogue.
Source 3: indexed excerpt</x:v>
      </x:c>
      <x:c r="P187" s="20" t="n">
        <x:v>1</x:v>
      </x:c>
      <x:c r="Q187" s="4" t="str">
        <x:v>Horn of Africa</x:v>
      </x:c>
      <x:c r="R187" s="4" t="str">
        <x:v>Included</x:v>
      </x:c>
    </x:row>
    <x:row r="188" ht="409" hidden="0" customHeight="1">
      <x:c r="A188" s="16" t="str">
        <x:v>H21</x:v>
      </x:c>
      <x:c r="B188" s="4" t="str">
        <x:v>Djibouti second COVID land passenger closure in October 2020</x:v>
      </x:c>
      <x:c r="C188" s="4" t="str">
        <x:v>Djibouti</x:v>
      </x:c>
      <x:c r="D188" s="4" t="str">
        <x:v>Land borders including Ethiopia and Somalia/Somaliland</x:v>
      </x:c>
      <x:c r="E188" s="4" t="str">
        <x:v>Passengers
Direction: Not established
Exceptions: Goods and merchandise; returning Djiboutian nationals. Subsequent health/testing conditions did not establish an exact reopening date.</x:v>
      </x:c>
      <x:c r="F188" s="4" t="str">
        <x:v>H21-R1 — Announced window
Djibouti land passenger restriction in the October decree
Start: 2020-10-20.
Scheduled endpoint: 2020-11-03 to 2020-11-04.
Ordered window: dated evidence; numeric duration withheld; see qualification
H21-C7P1 — Observed operation
Djibouti land-passenger restriction reported implemented October 21
Start: 2020-10-21.
Last confirmed: 2020-10-21. Reopening is not established.
dated evidence; numeric duration withheld; see qualification
Separate later advisory-status observation — 2020-12-04; repeated 2020-12-10
Newland Chase’s December 4 guidance, repeated December 10, describes land borders as open subject to testing. This is a later reported permission/status observation, not an observed first gate reopening or the date of repeal.
Duration qualification: IOM’s retrospective monthly account supports a sustained restriction longer than 24 hours. Exact operational hours and the first ordinary-passenger reopening remain unestablished.</x:v>
      </x:c>
      <x:c r="G188" s="4" t="str">
        <x:v>Health and biosecurity / Human disease control
Officially stated reason
Applies to: October 2020 passenger restriction
The decree explicitly orders the temporary land-passenger restriction to counter COVID-19 transmission.</x:v>
      </x:c>
      <x:c r="H188" s="4" t="str">
        <x:v>H21-R1: The original decree is legally effective October 20, 2020 for fifteen days. November 3–4 are alternative counting interpretations of the stated duration, not independently observed gate reopening dates. The decree exempts goods but does not expressly exempt returning nationals.
H21-C7P1: La Nation’s October 22 account dates implementation to the previous Wednesday, October 21. The full IOM October monthly report retrospectively describes an imposed fifteen-day land restriction from October 20 that had little effect on monitored migrant flows. WHO’s January 3 review also describes the fifteen-day measure. This supports a sustained restriction longer than 24 hours, while the legal/implementation date difference and exact operational endpoint remain unresolved. It does not establish that every gate stopped all traffic.
The earlier returning-national exception remains attributed to the indexed regional IOM account, not to the decree. Irregular migration during the restriction does not establish ordinary passenger reopening.
Later status: newly recovered indexed Newland Chase guidance dated December 4, 2020 already describes air, land and sea borders as open under testing conditions; the December 10 bulletin repeats this. These are qualified later advisory-status observations, not an exact first gate reopening, legal repeal or operation at every post. A December 3 secondary tracker also reports reopening but its cited original advisory remains unrecovered. November advisory repetition of the original fifteen-day wording cannot independently establish continuing enforcement after the scheduled expiry.</x:v>
      </x:c>
      <x:c r="I188" s="4" t="str">
        <x:v>Second full-register audit, 26 October 2026: additional source-audited corrections incorporated. See the phase, scope and qualification columns for the accepted findings.</x:v>
      </x:c>
      <x:c r="J188" s="18" t="d">
        <x:v>2026-10-26T00:00:00.000Z</x:v>
      </x:c>
      <x:c r="K188" s="21" t="str">
        <x:f>IFERROR(HYPERLINK("https://www.journalofficiel.dj/texte-juridique/decret-n2020-271-pr-pm-procedant-a-la-fermeture-exceptionnelle-des-frontieres-terrestres-pour-lutter-la-propagation-du-covid-19/","Journal officiel de la République de Djibouti"),"Journal officiel de la République de Djibouti")</x:f>
        <x:v>Journal officiel de la République de Djibouti</x:v>
      </x:c>
      <x:c r="L188" s="21" t="str">
        <x:f>IFERROR(HYPERLINK("https://www.lanation.dj/djibouti-procede-a-la-fermeture-de-ses-frontieres-terrestres/","La Nation (Djibouti)"),"La Nation (Djibouti)")</x:f>
        <x:v>La Nation (Djibouti)</x:v>
      </x:c>
      <x:c r="M188" s="21" t="str">
        <x:f>IFERROR(HYPERLINK("https://djibouti.un.org/fr/108178-analyse-%C3%A9pid%C3%A9miologique-covid-19-octdec-2020","United Nations Djibouti"),"United Nations Djibouti")</x:f>
        <x:v>United Nations Djibouti</x:v>
      </x:c>
      <x:c r="N188" s="4" t="str">
        <x:v>https://www.journalofficiel.dj/texte-juridique/decret-n2020-271-pr-pm-procedant-a-la-fermeture-exceptionnelle-des-frontieres-terrestres-pour-lutter-la-propagation-du-covid-19/
https://www.lanation.dj/djibouti-procede-a-la-fermeture-de-ses-frontieres-terrestres/
https://djibouti.un.org/fr/108178-analyse-%C3%A9pid%C3%A9miologique-covid-19-octdec-2020
https://dtm.iom.int/sites/g/files/tmzbdl1461/files/reports/IOM_Eastern%20Corridor%20Migrant%20Situation_18112020.pdf
https://global-monitoring.com/gm/page/events/epidemic-0002056.rrusAFwsV4S4.html?lang=en
https://french.xinhuanet.com/afrique/2020-10/21/c_139455796.htm
https://newlandchase.com/wp-content/uploads/2020/12/10-December-AM-COVID19-Update.pdf
https://djibouti.un.org/sites/default/files/2020-11/OIM%20Djibouti%20Rapport%20mensuel%20october_ENG.pdf
https://newlandchase.com/wp-content/uploads/2020/12/4-December-PM-COVID19-Update.pdf</x:v>
      </x:c>
      <x:c r="O188" s="4" t="str">
        <x:v>Second full-register audit source access, 26 October 2026
https://www.journalofficiel.dj/texte-juridique/decret-n2020-271-pr-pm-procedant-a-la-fermeture-exceptionnelle-des-frontieres-terrestres-pour-lutter-la-propagation-du-covid-19/: full text (fresh retrieval)
https://www.lanation.dj/djibouti-procede-a-la-fermeture-de-ses-frontieres-terrestres/: search extract (fresh retrieval) — Substantive indexed article; direct retrieval unavailable before reset.
https://djibouti.un.org/sites/default/files/2020-11/OIM%20Djibouti%20Rapport%20mensuel%20october_ENG.pdf: full text (fresh retrieval) — October reporting period; exact publication date unstated.
https://djibouti.un.org/fr/108178-analyse-%C3%A9pid%C3%A9miologique-covid-19-octdec-2020: full text (fresh retrieval)
https://newlandchase.com/wp-content/uploads/2020/12/4-December-PM-COVID19-Update.pdf: search extract (fresh retrieval) — Indexed professional advisory, not observed gate reopening.
https://newlandchase.com/wp-content/uploads/2020/12/10-December-AM-COVID19-Update.pdf: search extract (fresh retrieval) — Indexed professional advisory.
Earlier URLs not separately inspected in this second assessment:
https://dtm.iom.int/sites/g/files/tmzbdl1461/files/reports/IOM_Eastern%20Corridor%20Migrant%20Situation_18112020.pdf
https://global-monitoring.com/gm/page/events/epidemic-0002056.rrusAFwsV4S4.html?lang=en
https://french.xinhuanet.com/afrique/2020-10/21/c_139455796.htm
Prior audit access record
Full-register audit source access (evidence cutoff 25 October 2026)
https://www.journalofficiel.dj/texte-juridique/decret-n2020-271-pr-pm-procedant-a-la-fermeture-exceptionnelle-des-frontieres-terrestres-pour-lutter-la-propagation-du-covid-19/: full text
https://french.xinhuanet.com/afrique/2020-10/21/c_139455796.htm: full text
https://www.lanation.dj/djibouti-procede-a-la-fermeture-de-ses-frontieres-terrestres/: search extract — Substantive indexed article inspected; direct page unavailable.
https://global-monitoring.com/gm/page/events/epidemic-0002056.rrusAFwsV4S4.html?lang=en: search extract — Search passage or failed direct retrieval; see assessment.
https://newlandchase.com/wp-content/uploads/2020/12/10-December-AM-COVID19-Update.pdf: search extract — Substantive indexed country passage in turn227search8; header in turn760search12. Direct PDF redirects to current homepage. Secondary professional travel guidance, not original repeal or observed gate passage.
Earlier source URLs not separately listed in this audit’s retrieval log (historical access notes below are not fresh verification):
https://djibouti.un.org/fr/108178-analyse-%C3%A9pid%C3%A9miologique-covid-19-octdec-2020
https://dtm.iom.int/sites/g/files/tmzbdl1461/files/reports/IOM_Eastern%20Corridor%20Migrant%20Situation_18112020.pdf
Earlier recorded access
Source 1: full text
Source 2: full; indexed excerpt; indexed extract
Source 3: indexed excerpt</x:v>
      </x:c>
      <x:c r="P188" s="20" t="n">
        <x:v>2</x:v>
      </x:c>
      <x:c r="Q188" s="4" t="str">
        <x:v>Horn of Africa</x:v>
      </x:c>
      <x:c r="R188" s="4" t="str">
        <x:v>Included</x:v>
      </x:c>
    </x:row>
    <x:row r="189" ht="409" hidden="0" customHeight="1">
      <x:c r="A189" s="16" t="str">
        <x:v>H13</x:v>
      </x:c>
      <x:c r="B189" s="4" t="str">
        <x:v>Kassala closes Ethiopia frontier as Tigray war begins</x:v>
      </x:c>
      <x:c r="C189" s="4" t="str">
        <x:v>Sudan; Ethiopia</x:v>
      </x:c>
      <x:c r="D189" s="4" t="str">
        <x:v>Kassala frontier with Ethiopia including Wad El Helew area</x:v>
      </x:c>
      <x:c r="E189" s="4" t="str">
        <x:v>Cross-border entrants including armed groups
Direction: Not established
Exceptions: Refugee handling was initially under consideration; by November 11 UNHCR and local authorities were receiving, screening and registering Ethiopian refugees at Hamdayet in Kassala.</x:v>
      </x:c>
      <x:c r="F189" s="4" t="str">
        <x:v>H13-NP1 — Formal policy
Kassala–Ethiopia border order
Start: 2020-11-05.
Last confirmed: 2020-11-05. Reopening is not established.
Formal policy: dated evidence; numeric duration withheld; see qualification</x:v>
      </x:c>
      <x:c r="G189"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x:v>
      </x:c>
      <x:c r="H189" s="4" t="str">
        <x:v>November 5 governor order supported by reports with shared policy origin. UNHCR November 11 operational release confirms actual refugee reception at Hamdayet during the preceding days; this is not proof of general repeal. Scope remains Kassala and ordinary operational duration remains unknown.
H13-NP1: The dated phase remains an order observation only. Refugee admission is documented regionally; it is not an ordinary passenger or trade reopening and does not establish each gate’s operation. Ordinary enforcement, continuity and endpoint remain unknown. The refugee-arrival reporting period does not extend this phase’s last-confirmed date.
ordinary reopening and enforcement: November 5 announcement established; seek crossing-specific enforcement and reopening evidence.
duration: November 5 announcement established; seek crossing-specific enforcement and reopening evidence.
continuity: Dabanga's November 6 report dates Kassala's until-further-notice order to November 5, with weapons excluded and refugee reception arrangements being considered. It supports a formal observation only, not a universal refugee ban or continuous physical closure.</x:v>
      </x:c>
      <x:c r="I189" s="4" t="str">
        <x:v>Second full-register audit, 26 October 2026: qualified. The Kassala order and later refugee admission remain distinct. Fresh source inspection did not establish an ordinary passenger/trade reopening or a continuous enforced closure.</x:v>
      </x:c>
      <x:c r="J189" s="18" t="d">
        <x:v>2026-10-26T00:00:00.000Z</x:v>
      </x:c>
      <x:c r="K189" s="21" t="str">
        <x:f>IFERROR(HYPERLINK("https://www.dabangasudan.org/en/all-news/article/sudan-s-kassala-border-closed-as-tensions-in-ethiopia-rise","Radio Dabanga"),"Radio Dabanga")</x:f>
        <x:v>Radio Dabanga</x:v>
      </x:c>
      <x:c r="L189" s="21" t="str">
        <x:f>IFERROR(HYPERLINK("https://www.ecoi.net/en/file/local/2041955/S_2020_1155_E.pdf","United Nations Secretary-General; copy hosted by ecoi.net"),"United Nations Secretary-General; copy hosted by ecoi.net")</x:f>
        <x:v>United Nations Secretary-General; copy hosted by ecoi.net</x:v>
      </x:c>
      <x:c r="M189" s="21" t="str">
        <x:f>IFERROR(HYPERLINK("https://www.voanews.com/a/africa_ethiopian-bombing-tigray-prompts-sudan-close-part-border/6198072.html","VOA"),"VOA")</x:f>
        <x:v>VOA</x:v>
      </x:c>
      <x:c r="N189" s="4" t="str">
        <x:v>https://www.dabangasudan.org/en/all-news/article/sudan-s-kassala-border-closed-as-tensions-in-ethiopia-rise
https://www.ecoi.net/en/file/local/2041955/S_2020_1155_E.pdf
https://www.voanews.com/a/africa_ethiopian-bombing-tigray-prompts-sudan-close-part-border/6198072.html
https://www.unhcr.org/en-us/news/briefing/2020/11/5fb78cec4/urgent-support-needed-help-ethiopian-refugees-reaching-sudan.html
https://www.msf.org/msf-assists-ethiopian-refugees-sudan
https://www.unhcr.org/africa/news/press-releases/clashes-ethiopias-tigray-region-force-thousands-flee-sudan
https://data.unhcr.org/es/news/22484
https://data.unhcr.org/ar/documents/download/82978
https://www.fanamc.com/english/amp/sudanese-kassala-state-announces-closure-of-border-with-ethiopia/</x:v>
      </x:c>
      <x:c r="O189" s="4" t="str">
        <x:v>Second full-register audit source access, 26 October 2026
https://www.dabangasudan.org/en/all-news/article/sudan-s-kassala-border-closed-as-tensions-in-ethiopia-rise: full text (fresh retrieval)
https://data.unhcr.org/es/news/22484: full text (fresh retrieval)
https://www.fanamc.com/english/amp/sudanese-kassala-state-announces-closure-of-border-with-ethiopia/: search extract (fresh retrieval) — Shared official origin, not independent enforcement evidence.
Earlier URLs not separately inspected in this second assessment:
https://www.ecoi.net/en/file/local/2041955/S_2020_1155_E.pdf
https://www.voanews.com/a/africa_ethiopian-bombing-tigray-prompts-sudan-close-part-border/6198072.html
https://www.unhcr.org/en-us/news/briefing/2020/11/5fb78cec4/urgent-support-needed-help-ethiopian-refugees-reaching-sudan.html
https://www.msf.org/msf-assists-ethiopian-refugees-sudan
https://www.unhcr.org/africa/news/press-releases/clashes-ethiopias-tigray-region-force-thousands-flee-sudan
https://data.unhcr.org/ar/documents/download/82978
Prior audit access record
Full-register audit source access (evidence cutoff 25 October 2026)
https://www.dabangasudan.org/en/all-news/article/sudan-s-kassala-border-closed-as-tensions-in-ethiopia-rise: full text
https://data.unhcr.org/es/news/22484: full text
https://data.unhcr.org/ar/documents/download/82978: search extract — Not ordinary passenger or trade traffic.
https://www.unhcr.org/africa/news/press-releases/clashes-ethiopias-tigray-region-force-thousands-flee-sudan: inaccessible — HTTP 429; recovered through UNHCR portal.
Earlier source URLs not separately listed in this audit’s retrieval log (historical access notes below are not fresh verification):
https://www.ecoi.net/en/file/local/2041955/S_2020_1155_E.pdf
https://www.voanews.com/a/africa_ethiopian-bombing-tigray-prompts-sudan-close-part-border/6198072.html
https://www.unhcr.org/en-us/news/briefing/2020/11/5fb78cec4/urgent-support-needed-help-ethiopian-refugees-reaching-sudan.html
https://www.msf.org/msf-assists-ethiopian-refugees-sudan
Earlier recorded access
Source 1: full; full text
Source 2: full text
Source 3: full</x:v>
      </x:c>
      <x:c r="P189" s="20" t="n">
        <x:v>1</x:v>
      </x:c>
      <x:c r="Q189" s="4" t="str">
        <x:v>Horn of Africa</x:v>
      </x:c>
      <x:c r="R189" s="4" t="str">
        <x:v>Included</x:v>
      </x:c>
    </x:row>
    <x:row r="190" ht="246" hidden="0" customHeight="1">
      <x:c r="A190" s="16" t="str">
        <x:v>H14</x:v>
      </x:c>
      <x:c r="B190" s="4" t="str">
        <x:v>Gallabat closure after attack on customs officers</x:v>
      </x:c>
      <x:c r="C190" s="4" t="str">
        <x:v>Sudan; Ethiopia</x:v>
      </x:c>
      <x:c r="D190" s="4" t="str">
        <x:v>Gallabat Metema</x:v>
      </x:c>
      <x:c r="E190" s="4" t="str">
        <x:v>Traders, workers and transit goods were affected.
Direction: The timed gas-truck reopening concerns Sudanese cooking-gas shipments from Sudan into Ethiopia. Other categories are not separately timed.
Reopening qualification: The April 5 agreement permitted goods, Ethiopian labour entry to Sudan and nationals’ entry/exit subject to the security authorities’ conditions; this is not an observation that every category resumed together.</x:v>
      </x:c>
      <x:c r="F190" s="4" t="str">
        <x:v>H14-D1 — Observed operation
Gallabat fuel/gas-truck interruption, to the first restored gas-truck movement.
Start: 2021-04-03.
Observed scoped reopening: 2021-04-04 to 2021-04-05.
1–2 calendar-day difference; scoped endpoint only</x:v>
      </x:c>
      <x:c r="G190" s="4" t="str">
        <x:v>Security / Armed attacks and terrorism
Reported reason
Applies to: April 3 closure
Closure followed the armed attack on Sudanese customs officers; attack occurred April 1.
Security / Crime and law enforcement
Reported reason
Applies to: Closure and reopening negotiations
Sudanese officials demanded arrest and prosecution of perpetrators; code concerns the explicit law-enforcement demand, not an additional inference from the attack alone.</x:v>
      </x:c>
      <x:c r="H190" s="4" t="str">
        <x:v>April 4 formal permission and April 5 gas-truck passage support the bounded fuel-truck phase. Full April 5 text was retrieved in this challenge, confirming prior later-round full access. First restoration of all other categories remains unknown; July episode is separate.
H14-D1: This does not assert that all passengers or goods resumed together. The attack occurred April 1, not the closure date. July's later episode is separate; same-publisher Arabic/English versions are not independent confirmations.</x:v>
      </x:c>
      <x:c r="I190" s="4" t="str">
        <x:v>Second full-register audit, 26 October 2026: additional source-audited corrections incorporated. See the phase, scope and qualification columns for the accepted findings.</x:v>
      </x:c>
      <x:c r="J190" s="18" t="d">
        <x:v>2026-10-26T00:00:00.000Z</x:v>
      </x:c>
      <x:c r="K190" s="21" t="str">
        <x:f>IFERROR(HYPERLINK("https://sudantribune.com/article/67504","Sudan Tribune"),"Sudan Tribune")</x:f>
        <x:v>Sudan Tribune</x:v>
      </x:c>
      <x:c r="L190" s="21" t="str">
        <x:f>IFERROR(HYPERLINK("https://sudantribune.net/article/83280","Sudan Tribune"),"Sudan Tribune")</x:f>
        <x:v>Sudan Tribune</x:v>
      </x:c>
      <x:c r="M190" s="21" t="str">
        <x:f>IFERROR(HYPERLINK("https://sudantribune.net/article/83271","Sudan Tribune"),"Sudan Tribune")</x:f>
        <x:v>Sudan Tribune</x:v>
      </x:c>
      <x:c r="N190" s="4" t="str">
        <x:v>https://sudantribune.com/article/67504
https://sudantribune.net/article/83280
https://sudantribune.net/article/83271
https://sudantribune.net/article/83288</x:v>
      </x:c>
      <x:c r="O190" s="4" t="str">
        <x:v>Second full-register audit source access, 26 October 2026
https://sudantribune.com/article/67504: full text (fresh retrieval)
https://sudantribune.net/article/83288: full text (fresh retrieval) — Same publisher as English onset article; not independent corroboration.
Earlier URLs not separately inspected in this second assessment:
https://sudantribune.net/article/83280
https://sudantribune.net/article/83271
Prior audit access record
Full-register audit source access (evidence cutoff 25 October 2026)
https://sudantribune.com/article/67504: full text
https://sudantribune.net/article/83280: full text
https://sudantribune.net/article/83271: full text
https://sudantribune.net/article/83288: full text
Earlier recorded access
Source 1: full text
Source 2: full text
Source 3: full text</x:v>
      </x:c>
      <x:c r="P190" s="20" t="n">
        <x:v>1</x:v>
      </x:c>
      <x:c r="Q190" s="4" t="str">
        <x:v>Horn of Africa</x:v>
      </x:c>
      <x:c r="R190" s="4" t="str">
        <x:v>Included</x:v>
      </x:c>
    </x:row>
    <x:row r="191" ht="409" hidden="0" customHeight="1">
      <x:c r="A191" s="16" t="str">
        <x:v>H15</x:v>
      </x:c>
      <x:c r="B191" s="4" t="str">
        <x:v>Gallabat closure following kidnapping and killing of officer</x:v>
      </x:c>
      <x:c r="C191" s="4" t="str">
        <x:v>Sudan; Ethiopia</x:v>
      </x:c>
      <x:c r="D191" s="4" t="str">
        <x:v>Gallabat Metema</x:v>
      </x:c>
      <x:c r="E191" s="4" t="str">
        <x:v>Commercial goods and Ethiopian workers/civilians; gas trucks separately exempt
Direction: Not established</x:v>
      </x:c>
      <x:c r="F191" s="4" t="str">
        <x:v>H15-R1 — Intermittent regime
Gallabat–Metema restriction regime, including intervening early-January trade reopening and gas exceptions
Start: 2021-07-24.
Scoped endpoint: 2022-03-02.
Intermittent regime envelope; total closed days unknown</x:v>
      </x:c>
      <x:c r="G191" s="4" t="str">
        <x:v>Security / Armed attacks and terrorism
Reported reason
Applies to: July closure
Closure followed the commander's abduction/disappearance, subsequently reported as killing by armed militiamen.
Security / Crime and law enforcement
Reported reason
Applies to: Initial closure and reopening conditions
Child kidnapping and demand to prosecute the commander's killers supply the distinct criminal-accountability basis.</x:v>
      </x:c>
      <x:c r="H191" s="4" t="str">
        <x:v>H15-R1: The contemporary onset account dates the Gallabat–Metema restriction to July 24, 2021. January 2022 reports conflict: one describes refusal to reopen, while another describes ten days of resumed trade followed by renewed military suspension. Gas-truck exemptions and alleged paid passage also prevent interpreting the entire period as continuous closure. Exact January interruption dates remain unknown. This intermittent regime must not be added to H16 as a separate count of closed days.
March 2, 2022 reopening is reported retrospectively with actual movement of goods and people, without an exact first-passage hour or proof every category resumed. Most listed reports share Sudan Tribune origin. Vellum’s March 4 reproduction separately attributes its account to Addis Standard and Amhara regional media; it describes a March 2 reopening meeting and permission for people and imports/exports between 07:00 and 17:30 local time. These are reported permitted hours, not independently observed daily enforcement. The original Addis Standard page was not recovered in full. Later July reclosures remain separate.</x:v>
      </x:c>
      <x:c r="I191" s="4" t="str">
        <x:v>Second full-register audit, 26 October 2026: qualified. Fresh source inspection supports the accepted intermittent July 2021–March 2022 regime and its non-additive relationship with H16. No dated correction is justified.</x:v>
      </x:c>
      <x:c r="J191" s="18" t="d">
        <x:v>2026-10-26T00:00:00.000Z</x:v>
      </x:c>
      <x:c r="K191" s="21" t="str">
        <x:f>IFERROR(HYPERLINK("https://sudantribune.com/article/253749","Sudan Tribune"),"Sudan Tribune")</x:f>
        <x:v>Sudan Tribune</x:v>
      </x:c>
      <x:c r="L191" s="21" t="str">
        <x:f>IFERROR(HYPERLINK("https://sudantribune.com/article/254090?lang=en","Sudan Tribune"),"Sudan Tribune")</x:f>
        <x:v>Sudan Tribune</x:v>
      </x:c>
      <x:c r="M191" s="21" t="str">
        <x:f>IFERROR(HYPERLINK("https://sudantribune.net/article/255872","Sudan Tribune Arabic"),"Sudan Tribune Arabic")</x:f>
        <x:v>Sudan Tribune Arabic</x:v>
      </x:c>
      <x:c r="N191" s="4" t="str">
        <x:v>https://sudantribune.com/article/253749
https://sudantribune.com/article/254090?lang=en
https://sudantribune.net/article/255872
https://sudantribune.com/article/255972
https://harnnet.org/index.php/articles-corner/english-articles/item/7543-sudan-closes-border-crossing-with-ethiopia?print=1&amp;tmpl=component
https://www.arabnews.com/middle-east/sudan-closes-border-crossing-with-ethiopia-after-disappearance-of-commander-reports-1899521
https://sudantribune.com/article/261620
https://www.ddcustomslaw.com/index.php?Itemid=50&amp;catid=1%3Aultime&amp;id=576%3Asudan-and-ethiopia-form-joint-border-patrols-but-no-agreement-on-the-reopening-of-the-metema-border-crossing-&amp;lang=it&amp;option=com_content&amp;view=article
https://vellum.co.ke/4th-march-2022-trade-financial-services-round-up/</x:v>
      </x:c>
      <x:c r="O191" s="4" t="str">
        <x:v>Second full-register audit source access, 26 October 2026
https://www.arabnews.com/middle-east/sudan-closes-border-crossing-with-ethiopia-after-disappearance-of-commander-reports-1899521: full text (fresh retrieval) — Not independent of Sudan Tribune.
https://sudantribune.com/article/253749: full text (fresh retrieval)
https://sudantribune.com/article/254090?lang=en: full text (fresh retrieval)
https://sudantribune.com/article/255972: full text (fresh retrieval)
https://vellum.co.ke/4th-march-2022-trade-financial-services-round-up/: full text (fresh retrieval) — Reported permission, not independently observed daily enforcement.
Earlier URLs not separately inspected in this second assessment:
https://sudantribune.net/article/255872
https://harnnet.org/index.php/articles-corner/english-articles/item/7543-sudan-closes-border-crossing-with-ethiopia?print=1&amp;tmpl=component
https://sudantribune.com/article/261620
https://www.ddcustomslaw.com/index.php?Itemid=50&amp;catid=1%3Aultime&amp;id=576%3Asudan-and-ethiopia-form-joint-border-patrols-but-no-agreement-on-the-reopening-of-the-metema-border-crossing-&amp;lang=it&amp;option=com_content&amp;view=article
Prior audit access record
Full-register audit source access (evidence cutoff 25 October 2026)
https://sudantribune.com/article/253749: full text
https://sudantribune.com/article/254090?lang=en: full text
https://sudantribune.net/article/255872: full text
https://sudantribune.com/article/255972: full text
https://harnnet.org/index.php/articles-corner/english-articles/item/7543-sudan-closes-border-crossing-with-ethiopia?print=1&amp;tmpl=component: inaccessible
https://www.arabnews.com/middle-east/sudan-closes-border-crossing-with-ethiopia-after-disappearance-of-commander-reports-1899521: full text
https://sudantribune.com/article/261620: full text
https://www.ddcustomslaw.com/index.php?Itemid=50&amp;catid=1%3Aultime&amp;id=576%3Asudan-and-ethiopia-form-joint-border-patrols-but-no-agreement-on-the-reopening-of-the-metema-border-crossing-&amp;lang=it&amp;option=com_content&amp;view=article: full text
https://vellum.co.ke/4th-march-2022-trade-financial-services-round-up/: full text — Original Addis Standard archive returned 403. Hours are reported permission, not independently observed daily enforcement.
Earlier recorded access
Source 1: full; full text
Source 2: full; full text
Source 3: full</x:v>
      </x:c>
      <x:c r="P191" s="20" t="n">
        <x:v>1</x:v>
      </x:c>
      <x:c r="Q191" s="4" t="str">
        <x:v>Horn of Africa</x:v>
      </x:c>
      <x:c r="R191" s="4" t="str">
        <x:v>Included</x:v>
      </x:c>
    </x:row>
    <x:row r="192" ht="342" hidden="0" customHeight="1">
      <x:c r="A192" s="16" t="str">
        <x:v>H16</x:v>
      </x:c>
      <x:c r="B192" s="4" t="str">
        <x:v>Gallabat reclosure with gas-truck exemption in January 2022</x:v>
      </x:c>
      <x:c r="C192" s="4" t="str">
        <x:v>Sudan; Ethiopia</x:v>
      </x:c>
      <x:c r="D192" s="4" t="str">
        <x:v>Gallabat Metema</x:v>
      </x:c>
      <x:c r="E192" s="4" t="str">
        <x:v>Ordinary non-fuel goods and passenger movements at Gallabat–Metema.
Direction: The restriction affected the crossing; complete direction-specific scope is not separately established. UNHCR describes Ethiopian fuel trucks allowed entry into Sudan.
Exceptions: Sudan Tribune reports a January 10 humanitarian permission for Ethiopian gas trucks, while UNHCR uses the broader term fuel trucks. Alleged paid passage was also reported.</x:v>
      </x:c>
      <x:c r="F192" s="4" t="str">
        <x:v>H16-D1 — Observed operation
Renewed Gallabat–Metema restriction on ordinary non-fuel trade and passengers in January, to March 2 resumption.
Start: 2022-01-01 to 2022-01-15.
Observed scoped reopening: 2022-03-02.
46–60 calendar-day difference; scoped endpoint only</x:v>
      </x:c>
      <x:c r="G192" s="4" t="str">
        <x:v>Security / Armed conflict and military confrontation
Analytical interpretation of reported context
Applies to: January reclosure
UNHCR states security reasons without subtype; conflict classification interprets the military and border-dispute context, not an explicit UNHCR conflict-specific quotation.
Security / Crime and law enforcement
Reported reason
Applies to: Continuing closure and reopening conditions
January account says Sudan still demanded arrest and prosecution of the kidnappers.</x:v>
      </x:c>
      <x:c r="H192" s="4" t="str">
        <x:v>H16-D1: January reclosure only, not continuous closure since July 2021. Onset remains January 1–15 because contemporary January accounts conflict over the precise reopening and renewed suspension dates. Sudan Tribune reports a January 10 gas-truck exemption and alleged paid passage; UNHCR independently confirms that only Ethiopian fuel trucks were allowed entry when the border was closed again. These descriptions do not establish that every fuel category received the same January 10 permission.
This spell falls within H15's intermittent regime and must not be added to that envelope. March 2 resumption of goods and people is reported retrospectively; screening continued, and no exact first-passage hour or universal resumption is established.</x:v>
      </x:c>
      <x:c r="I192" s="4" t="str">
        <x:v>Second full-register audit, 26 October 2026: additional source-audited corrections incorporated. See the phase, scope and qualification columns for the accepted findings.</x:v>
      </x:c>
      <x:c r="J192" s="18" t="d">
        <x:v>2026-10-26T00:00:00.000Z</x:v>
      </x:c>
      <x:c r="K192" s="21" t="str">
        <x:f>IFERROR(HYPERLINK("https://sudantribune.com/article/254090?lang=en","Sudan Tribune"),"Sudan Tribune")</x:f>
        <x:v>Sudan Tribune</x:v>
      </x:c>
      <x:c r="L192" s="21" t="str">
        <x:f>IFERROR(HYPERLINK("https://sudantribune.com/article/255972","Sudan Tribune"),"Sudan Tribune")</x:f>
        <x:v>Sudan Tribune</x:v>
      </x:c>
      <x:c r="M192" s="21" t="str">
        <x:f>IFERROR(HYPERLINK("https://www.ecoi.net/en/file/local/2067665/Ethiopia%2BEmergency%2BSituation%2BExternal%2BUpdates%2B31%2BJanuary%2B2022.pdf","UNHCR"),"UNHCR")</x:f>
        <x:v>UNHCR</x:v>
      </x:c>
      <x:c r="N192" s="4" t="str">
        <x:v>https://sudantribune.com/article/254090?lang=en
https://sudantribune.com/article/255972
https://www.ecoi.net/en/file/local/2067665/Ethiopia%2BEmergency%2BSituation%2BExternal%2BUpdates%2B31%2BJanuary%2B2022.pdf
https://www.ddcustomslaw.com/index.php?Itemid=50&amp;catid=1%3Aultime&amp;id=576%3Asudan-and-ethiopia-form-joint-border-patrols-but-no-agreement-on-the-reopening-of-the-metema-border-crossing-&amp;lang=it&amp;option=com_content&amp;view=article</x:v>
      </x:c>
      <x:c r="O192" s="4" t="str">
        <x:v>Second full-register audit source access, 26 October 2026
https://sudantribune.com/article/254090?lang=en: full text (fresh retrieval)
https://sudantribune.com/article/255972: full text (fresh retrieval)
https://www.ecoi.net/en/file/local/2067665/Ethiopia%2BEmergency%2BSituation%2BExternal%2BUpdates%2B31%2BJanuary%2B2022.pdf: full text (fresh retrieval)
Earlier URLs not separately inspected in this second assessment:
https://www.ddcustomslaw.com/index.php?Itemid=50&amp;catid=1%3Aultime&amp;id=576%3Asudan-and-ethiopia-form-joint-border-patrols-but-no-agreement-on-the-reopening-of-the-metema-border-crossing-&amp;lang=it&amp;option=com_content&amp;view=article
Prior audit access record
Full-register audit source access (evidence cutoff 25 October 2026)
https://sudantribune.com/article/254090?lang=en: full text
https://sudantribune.com/article/255972: full text
https://www.ecoi.net/en/file/local/2067665/Ethiopia%2BEmergency%2BSituation%2BExternal%2BUpdates%2B31%2BJanuary%2B2022.pdf: full text
https://www.ddcustomslaw.com/index.php?Itemid=50&amp;catid=1%3Aultime&amp;id=576%3Asudan-and-ethiopia-form-joint-border-patrols-but-no-agreement-on-the-reopening-of-the-metema-border-crossing-&amp;lang=it&amp;option=com_content&amp;view=article: full text
Earlier recorded access
Source 1: full page
Source 2: full page
Source 3: full page</x:v>
      </x:c>
      <x:c r="P192" s="20" t="n">
        <x:v>1</x:v>
      </x:c>
      <x:c r="Q192" s="4" t="str">
        <x:v>Horn of Africa</x:v>
      </x:c>
      <x:c r="R192" s="4" t="str">
        <x:v>Included</x:v>
      </x:c>
    </x:row>
    <x:row r="193" ht="409" hidden="0" customHeight="1">
      <x:c r="A193" s="16" t="str">
        <x:v>H17</x:v>
      </x:c>
      <x:c r="B193" s="4" t="str">
        <x:v>Gallabat closure after disputed killing of Sudanese soldiers</x:v>
      </x:c>
      <x:c r="C193" s="4" t="str">
        <x:v>Sudan; Ethiopia</x:v>
      </x:c>
      <x:c r="D193" s="4" t="str">
        <x:v>Gallabat Metema</x:v>
      </x:c>
      <x:c r="E193" s="4" t="str">
        <x:v>People and commercial traffic through Gallabat–Metema, including the dry port.
Direction: IOM reports disruption to economic migration from Ethiopia toward Sudan; the complete direction-specific policy scope is not separately established.
Exceptions and first resumption of every traffic category are not established.</x:v>
      </x:c>
      <x:c r="F193" s="4" t="str">
        <x:v>H17-D1 — Formal policy
Sudanese Gallabat closure order following the disputed soldier killings, to formal reopening permission.
Start: 2022-06-27.
Policy endpoint: 2022-07-17.
Formal policy: 20 calendar-day difference; operational continuity not established</x:v>
      </x:c>
      <x:c r="G193" s="4" t="str">
        <x:v>Security / Armed conflict and military confrontation
Analytical interpretation of reported context
Applies to: June–July 2022 closure
Closure followed disputed deaths of Sudanese soldiers and a civilian amid the bilateral border conflict. Sudan alleged executions by Ethiopian forces; Ethiopia rejected that allegation. Reopening permission followed bilateral confidence-building measures and included intensified patrols.</x:v>
      </x:c>
      <x:c r="H193" s="4" t="str">
        <x:v>H17-D1: June 27–July 17, 2022 remains the attributed Sudanese policy period. July 17 was reopening permission; the Ethiopian regional administrator separately reported dry-port services resumed on July 21. Neither establishes the first passage of every category on the permission date.
Fresh indexed text of IOM’s July 2022 Ethiopia flow-monitoring dashboard dates the official Metema–Gallabat closure June 26–July 21 and states that regular flows resumed after July 21. It reports a 30% decline in movements monitored at Metema during July. This is evidence of resumed actual flows within July, while leaving a one-day onset difference from the Sudanese policy account. Both this dashboard and the regional IOM report remained inaccessible as complete PDFs; their indexed chronology is retained with that access limit, without replacing the formal phase with an exact universal operational interval. The two IOM publications are part of the same reporting lineage.
Sudan alleged that Ethiopia executed detained Sudanese soldiers and a civilian. Ethiopia rejected the execution account and described deaths during clashes; those competing allegations remain attributed.</x:v>
      </x:c>
      <x:c r="I193" s="4" t="str">
        <x:v>Second full-register audit, 26 October 2026: additional source-audited corrections incorporated. See the phase, scope and qualification columns for the accepted findings.</x:v>
      </x:c>
      <x:c r="J193" s="18" t="d">
        <x:v>2026-10-26T00:00:00.000Z</x:v>
      </x:c>
      <x:c r="K193" s="21" t="str">
        <x:f>IFERROR(HYPERLINK("https://www.radiotamazuj.org/en/news/article/sudan-reopens-border-crossing-with-ethiopia","Radio Tamazuj"),"Radio Tamazuj")</x:f>
        <x:v>Radio Tamazuj</x:v>
      </x:c>
      <x:c r="L193" s="21" t="str">
        <x:f>IFERROR(HYPERLINK("https://sudantribune.com/article/261620","Sudan Tribune"),"Sudan Tribune")</x:f>
        <x:v>Sudan Tribune</x:v>
      </x:c>
      <x:c r="M193" s="21" t="str">
        <x:f>IFERROR(HYPERLINK("https://ethiopanorama.com/?p=171640","Ethiopanorama / Addis Standard"),"Ethiopanorama / Addis Standard")</x:f>
        <x:v>Ethiopanorama / Addis Standard</x:v>
      </x:c>
      <x:c r="N193" s="4" t="str">
        <x:v>https://www.radiotamazuj.org/en/news/article/sudan-reopens-border-crossing-with-ethiopia
https://sudantribune.com/article/261620
https://ethiopanorama.com/?p=171640
https://www.dabangasudan.org/en/all-news/article/sudan-ethiopia-border-conflict-escalates-further-as-7-soldiers-and-a-civilian-are-killed
https://eastandhornofafrica.iom.int/sites/g/files/tmzbdl701/files/documents/IOM_Eastern-Corridor-Migrant-Situation_31072022_0.pdf
https://dtm.iom.int/sites/g/files/tmzbdl1461/files/reports/51.%20DTM%20Ethiopia%20Flow%20Monitoring%20Dashboard%20%28July%202022%29.pdf</x:v>
      </x:c>
      <x:c r="O193" s="4" t="str">
        <x:v>Second full-register audit source access, 26 October 2026
https://www.radiotamazuj.org/en/news/article/sudan-reopens-border-crossing-with-ethiopia: full text (fresh retrieval)
https://sudantribune.com/article/261620: full text (fresh retrieval)
https://ethiopanorama.com/?p=171640: full text (fresh retrieval) — Mirror is not independent confirmation of Addis Standard.
https://eastandhornofafrica.iom.int/sites/g/files/tmzbdl701/files/documents/IOM_Eastern-Corridor-Migrant-Situation_31072022_0.pdf: search extract (fresh retrieval) — Original and landing page returned 403.
https://dtm.iom.int/sites/g/files/tmzbdl1461/files/reports/51.%20DTM%20Ethiopia%20Flow%20Monitoring%20Dashboard%20%28July%202022%29.pdf: search extract (fresh retrieval) — Complete PDF retrieval failed in B068; same IOM lineage as regional report.
Earlier URLs not separately inspected in this second assessment:
https://www.dabangasudan.org/en/all-news/article/sudan-ethiopia-border-conflict-escalates-further-as-7-soldiers-and-a-civilian-are-killed
Prior audit access record
Full-register audit source access (evidence cutoff 25 October 2026)
https://www.radiotamazuj.org/en/news/article/sudan-reopens-border-crossing-with-ethiopia: full text
https://sudantribune.com/article/261620: full text
https://ethiopanorama.com/?p=171640: full text
https://eastandhornofafrica.iom.int/sites/g/files/tmzbdl701/files/documents/IOM_Eastern-Corridor-Migrant-Situation_31072022_0.pdf: inaccessible — HTTP 403; report landing page also inaccessible. Existing indexed June 26–July 21 claim not freshly confirmed.
Earlier source URLs not separately listed in this audit’s retrieval log (historical access notes below are not fresh verification):
https://www.dabangasudan.org/en/all-news/article/sudan-ethiopia-border-conflict-escalates-further-as-7-soldiers-and-a-civilian-are-killed
Earlier recorded access
Source 1: full page
Source 2: search extract
Source 3: full page</x:v>
      </x:c>
      <x:c r="P193" s="20" t="n">
        <x:v>1</x:v>
      </x:c>
      <x:c r="Q193" s="4" t="str">
        <x:v>Horn of Africa</x:v>
      </x:c>
      <x:c r="R193" s="4" t="str">
        <x:v>Included</x:v>
      </x:c>
    </x:row>
    <x:row r="194" ht="409" hidden="0" customHeight="1">
      <x:c r="A194" s="16" t="str">
        <x:v>H18</x:v>
      </x:c>
      <x:c r="B194" s="4" t="str">
        <x:v>Gallabat Metema closure during Fano fighting</x:v>
      </x:c>
      <x:c r="C194" s="4" t="str">
        <x:v>Sudan; Ethiopia</x:v>
      </x:c>
      <x:c r="D194" s="4" t="str">
        <x:v>Gallabat Metema</x:v>
      </x:c>
      <x:c r="E194" s="4" t="str">
        <x:v>Commercial traffic and civilian crossers
Direction: Not established
Exceptions: Reported negotiated passage of disarmed Ethiopian security personnel and some stranded Sudanese</x:v>
      </x:c>
      <x:c r="F194" s="4" t="str">
        <x:v>H18-D1 — Observed operation
Gallabat–Metema restriction during September–October Fano fighting, ending in partial restoration of cross-border movement.
Start: 2024-09-01 to 2024-09-02.
Observed partial reopening: 2024-10-21 to 2024-10-22.
49–51 calendar-day difference; scoped endpoint only
Separate later status observation: during March 9–22, 2025, a UNHCR monitoring mission found regular-traveller movements officially closed while local crossings and Ethiopian refugee returns continued. This does not date a new closure or extend the September–October phase.</x:v>
      </x:c>
      <x:c r="G194"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194" s="4" t="str">
        <x:v>H18-D1: Onset September 1–2 and endpoint October 21–22 remain source conflicts. UNHCR January 2025 says bilateral movements resumed but government immigration, visa and customs services had not. Special security-personnel and stranded-person passage exceptions occurred during restriction.
UNHCR’s March 22, 2025 update, page 3, records a monitoring visit during March 9–22. The team observed local residents crossing and Ethiopian refugees returning to Ethiopia. Officials reported sixty former refugees authorized to return to Sudanese camps following security clearance; some asylum seekers, especially families, were reportedly unable to cross into Sudan at official points. Regular-traveller movements were officially closed. These cohort-specific observations do not establish full restoration in October 2024 or an uninterrupted all-traffic closure through March 2025.</x:v>
      </x:c>
      <x:c r="I194" s="4" t="str">
        <x:v>Second full-register audit, 26 October 2026: qualified. Fresh source inspection supports the accepted bounded September–October 2024 phase and separate March 2025 cohort-specific status. Later IOM aggregate flow reporting does not provide an exact full-service reopening date.</x:v>
      </x:c>
      <x:c r="J194" s="18" t="d">
        <x:v>2026-10-26T00:00:00.000Z</x:v>
      </x:c>
      <x:c r="K194" s="21" t="str">
        <x:f>IFERROR(HYPERLINK("https://sudantribune.com/article/290290","sudantribune.com"),"sudantribune.com")</x:f>
        <x:v>sudantribune.com</x:v>
      </x:c>
      <x:c r="L194" s="21" t="str">
        <x:f>IFERROR(HYPERLINK("https://www.dabangasudan.org/en/all-news/article/sudan-closes-el-gedaref-border-crossing-with-ethiopia","dabangasudan.org"),"dabangasudan.org")</x:f>
        <x:v>dabangasudan.org</x:v>
      </x:c>
      <x:c r="M194" s="21" t="str">
        <x:f>IFERROR(HYPERLINK("https://www.euaa.europa.eu/coi/sudan/2025/security-situation/13-impact-security-situation-civilian-population/131-humanitarian-situation","EUAA"),"EUAA")</x:f>
        <x:v>EUAA</x:v>
      </x:c>
      <x:c r="N194" s="4" t="str">
        <x:v>https://sudantribune.com/article/290290
https://www.dabangasudan.org/en/all-news/article/sudan-closes-el-gedaref-border-crossing-with-ethiopia
https://www.euaa.europa.eu/coi/sudan/2025/security-situation/13-impact-security-situation-civilian-population/131-humanitarian-situation
https://www.ecoi.net/en/file/local/2117250/Sudan%2BSituation%2B-%2BUNHCR%2BExternal%2BUpdate%2B85%2B-%2B26%2BOctober%2B2024.pdf
https://data.unhcr.org/fr/documents/download/114015
https://www.unhcr.org/sites/default/files/2024-11/Sudan%20Situation%20-%20UNHCR%20External%20Update%2088%20-%2016%20November%202024.pdf
https://www.ecoi.net/en/file/local/2123608/Sudan%20Situation%20-%20UNHCR%20External%20Update%20103%20-%2022%20March%202025.pdf</x:v>
      </x:c>
      <x:c r="O194" s="4" t="str">
        <x:v>Second full-register audit source access, 26 October 2026
https://sudantribune.com/article/290290: full text (fresh retrieval)
https://www.dabangasudan.org/en/all-news/article/sudan-closes-el-gedaref-border-crossing-with-ethiopia: full text (fresh retrieval) — Updated September 5 to remove an unverified governor quotation; that quotation is not used.
https://www.ecoi.net/en/file/local/2117250/Sudan%2BSituation%2B-%2BUNHCR%2BExternal%2BUpdate%2B85%2B-%2B26%2BOctober%2B2024.pdf: full text (fresh retrieval) — Report-period date; publication may follow.
https://data.unhcr.org/fr/documents/download/114015: full text (fresh retrieval) — Reporting period January 12–18.
https://www.ecoi.net/en/file/local/2123608/Sudan%20Situation%20-%20UNHCR%20External%20Update%20103%20-%2022%20March%202025.pdf: full text (fresh retrieval) — Observation within March 9–22, not exact closure onset.
https://www.unhcr.org/sites/default/files/2024-11/Sudan%20Situation%20-%20UNHCR%20External%20Update%2088%20-%2016%20November%202024.pdf: search extract (fresh retrieval) — Fresh direct PDF returned 429; same October date and scope corroborated in full January report.
Earlier URLs not separately inspected in this second assessment:
https://www.euaa.europa.eu/coi/sudan/2025/security-situation/13-impact-security-situation-civilian-population/131-humanitarian-situation
Prior audit access record
Full-register audit source access (evidence cutoff 25 October 2026)
https://sudantribune.com/article/290290: full text
https://www.dabangasudan.org/en/all-news/article/sudan-closes-el-gedaref-border-crossing-with-ethiopia: full text
https://www.euaa.europa.eu/coi/sudan/2025/security-situation/13-impact-security-situation-civilian-population/131-humanitarian-situation: full text
https://www.ecoi.net/en/file/local/2117250/Sudan%2BSituation%2B-%2BUNHCR%2BExternal%2BUpdate%2B85%2B-%2B26%2BOctober%2B2024.pdf: full text
https://data.unhcr.org/fr/documents/download/114015: full text
https://www.unhcr.org/sites/default/files/2024-11/Sudan%20Situation%20-%20UNHCR%20External%20Update%2088%20-%2016%20November%202024.pdf: inaccessible
https://www.ecoi.net/en/file/local/2123608/Sudan%20Situation%20-%20UNHCR%20External%20Update%20103%20-%2022%20March%202025.pdf: full text
Earlier recorded access
Source 1: full
Source 2: full
Source 3: full page</x:v>
      </x:c>
      <x:c r="P194" s="20" t="n">
        <x:v>1</x:v>
      </x:c>
      <x:c r="Q194" s="4" t="str">
        <x:v>Horn of Africa</x:v>
      </x:c>
      <x:c r="R194" s="4" t="str">
        <x:v>Included</x:v>
      </x:c>
    </x:row>
    <x:row r="195" ht="409" hidden="0" customHeight="1">
      <x:c r="A195" s="16" t="str">
        <x:v>H11</x:v>
      </x:c>
      <x:c r="B195" s="4" t="str">
        <x:v>Djibouti COVID land and cross-border rail passenger restrictions</x:v>
      </x:c>
      <x:c r="C195" s="4" t="str">
        <x:v>Djibouti</x:v>
      </x:c>
      <x:c r="D195" s="4" t="str">
        <x:v>Land borders including Ethiopia and Somalia/Somaliland</x:v>
      </x:c>
      <x:c r="E195" s="4" t="str">
        <x:v>Passengers
Direction: Not established
Exceptions: Goods and merchandise; reopening conditional on testing</x:v>
      </x:c>
      <x:c r="F195" s="4" t="str">
        <x:v>H11-R1 — Announced window
National land-border closure ordered in decree 2020-065 of March 24
Start: 2020-03-24.
Scheduled endpoint: 2020-04-06 to 2020-04-08.
Ordered window: dated evidence; numeric duration withheld; see qualification
H11-R2 — Formal policy
Maintained Djibouti land-passenger closure under decree 2020-080, amended by 2020-145
Start: 2020-05-10.
Policy endpoint: 2020-07-17.
Formal policy: 68 calendar-day difference; operational continuity not established
H11-C7P1 — Announced window
Decree074 continuation of land-passenger closure, excluding goods transport
Start: 2020-04-09.
Scheduled expiry: 2020-04-23 to 2020-04-24, reflecting inclusive-day versus elapsed-day counting of the stated fifteen days.
This is the ordered window only; actual cessation or reopening is not established.
H11-C7P2 — Announced window
Decree078 extension of Decree074 land-passenger restriction
Start: 2020-04-30.
Scheduled endpoint: 2020-05-08.
Ordered window: 8 calendar-day difference; actual end not established
REC50-R37-H11-P1 — Announced suspension and reported operational resumption
Djibouti–Ethiopia passenger train suspension announced by Djibouti transport ministry
Announced effective start: 2020-03-20.
Operator-reported passenger-service resumption: 2021-01-27, after a reported ten-month suspension.
The original scheduled endpoint was unspecified. The exact first day of physical non-operation is not independently timed, so no exact operational duration is established.</x:v>
      </x:c>
      <x:c r="G19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195" s="4" t="str">
        <x:v>H11-R1: Decree 2020-065 took immediate effect on March 24. Article 7 states two weeks and Article 9 fifteen days, so the existing April 6–8 counting bounds remain scheduled interpretations, not observed reopening. The ambassador’s March 18 retrospective is earlier reported closure, not the date of this instrument.
H11-C7P1: Decree 2020-074, signed April 15, expressly applies for fifteen days from April 9. This supports a scheduled April 23–24 expiry bound depending on day counting; it does not supply an actual reopening. Decree 2020-078, dated April 30, extends the measures until May 8. The intervening documentary gap is neither proof of reopening nor a fully recovered legal chronology.
H11-C7P2: The April 30–May 8 extension remains an ordered window. H11-R2: Decree 2020-080 maintains the land-passenger closure from May 10; decree 2020-145 substitutes July 17 for the previously scheduled September 1 reopening. Goods are exempt and admitted passengers face testing. These legal dates do not establish identical operation or counterpart permission at every crossing.
REC50-R37-H11-P1: The transport ministry’s March 18 notice announces passenger-train suspension from March 20, with cargo unaffected. The operator reports actual passenger-service resumption on January 27, 2021 after ten months of suspension. This establishes a sustained rail restriction exceeding 24 hours without an exact independently timed first non-operating day. July 2020 land-policy reopening is not the rail endpoint. The operator article is dated February 20, 2021, despite the migrated URL containing 2025.</x:v>
      </x:c>
      <x:c r="I195" s="4" t="str">
        <x:v>Second full-register audit, 26 October 2026: additional source-audited corrections incorporated. See the phase, scope and qualification columns for the accepted findings.</x:v>
      </x:c>
      <x:c r="J195" s="18" t="d">
        <x:v>2026-10-26T00:00:00.000Z</x:v>
      </x:c>
      <x:c r="K195" s="21" t="str">
        <x:f>IFERROR(HYPERLINK("https://faolex.fao.org/docs/pdf/dji194537.pdf","Djibouti Presidency / FAOLEX"),"Djibouti Presidency / FAOLEX")</x:f>
        <x:v>Djibouti Presidency / FAOLEX</x:v>
      </x:c>
      <x:c r="L195" s="21" t="str">
        <x:f>IFERROR(HYPERLINK("https://capitalethiopia.com/2020/04/18/tackling-covid-in-19-djibouti/","capitalethiopia.com"),"capitalethiopia.com")</x:f>
        <x:v>capitalethiopia.com</x:v>
      </x:c>
      <x:c r="M195" s="21" t="str">
        <x:f>IFERROR(HYPERLINK("https://www.journalofficiel.dj/texte-juridique/decret-n2020-145-pr-pm-portant-modification-du-decret-n-2020-080-pr-pm-portant-levee-partielle-des-mesures-exceptionnelles-de-prevention-contre-la-propagation-du-covid-19/","Djibouti Journal Officiel"),"Djibouti Journal Officiel")</x:f>
        <x:v>Djibouti Journal Officiel</x:v>
      </x:c>
      <x:c r="N195" s="4" t="str">
        <x:v>https://faolex.fao.org/docs/pdf/dji194537.pdf
https://capitalethiopia.com/2020/04/18/tackling-covid-in-19-djibouti/
https://www.journalofficiel.dj/texte-juridique/decret-n2020-145-pr-pm-portant-modification-du-decret-n-2020-080-pr-pm-portant-levee-partielle-des-mesures-exceptionnelles-de-prevention-contre-la-propagation-du-covid-19/
https://www.journalofficiel.dj/texte-juridique/decret-n2020-080-pr-pm-portant-levee-partielle-des-mesures-exceptionnelles-de-prevention-contre-la-propagation-du-covid-19/
https://faolex.fao.org/docs/pdf/dji194537EXT1.pdf
https://natlex.ilo.org/dyn/natlex2/natlex2/files/download/110313/DJI-110313.pdf
https://www.lanation.dj/communique/
https://en.ndrc.gov.cn/news/mediarusources/202107/t20210709_1290160.html
https://dtm.iom.int/sites/g/files/tmzbdl1461/files/reports/IOM_Eastern%20Corridor%20Migrant%20Situation_11082020.pdf
https://eastandhornofafrica.iom.int/sites/g/files/tmzbdl701/files/documents/IOM_Eastern%2520Corridor%2520Migrant%2520Situation_18112020.pdf
https://dtm.iom.int/sites/g/files/tmzbdl1461/files/reports/DJI_MigrantPresence_170621EN.pdf
https://www.crecg.com/zgztywz/cs11/10210606/2025021110100496672/index.html</x:v>
      </x:c>
      <x:c r="O195" s="4" t="str">
        <x:v>Second full-register audit source access, 26 October 2026
https://faolex.fao.org/docs/pdf/dji194537.pdf: full text (fresh retrieval)
https://faolex.fao.org/docs/pdf/dji194537EXT1.pdf: full text (fresh retrieval)
https://natlex.ilo.org/dyn/natlex2/natlex2/files/download/110313/DJI-110313.pdf: full text (fresh retrieval)
https://www.journalofficiel.dj/texte-juridique/decret-n2020-080-pr-pm-portant-levee-partielle-des-mesures-exceptionnelles-de-prevention-contre-la-propagation-du-covid-19/: full text (fresh retrieval)
https://www.journalofficiel.dj/texte-juridique/decret-n2020-145-pr-pm-portant-modification-du-decret-n-2020-080-pr-pm-portant-levee-partielle-des-mesures-exceptionnelles-de-prevention-contre-la-propagation-du-covid-19/: full text (fresh retrieval)
https://www.lanation.dj/communique/: search extract (fresh retrieval) — Direct retrieval failed; substantive indexed notice inspected.
https://www.crecg.com/zgztywz/cs11/10210606/2025021110100496672/index.html: full text (fresh retrieval) — Page date, not migrated URL year, used.
https://capitalethiopia.com/2020/04/18/tackling-covid-in-19-djibouti/: full text (fresh retrieval)
Earlier URLs not separately inspected in this second assessment:
https://en.ndrc.gov.cn/news/mediarusources/202107/t20210709_1290160.html
https://dtm.iom.int/sites/g/files/tmzbdl1461/files/reports/IOM_Eastern%20Corridor%20Migrant%20Situation_11082020.pdf
https://eastandhornofafrica.iom.int/sites/g/files/tmzbdl701/files/documents/IOM_Eastern%2520Corridor%2520Migrant%2520Situation_18112020.pdf
https://dtm.iom.int/sites/g/files/tmzbdl1461/files/reports/DJI_MigrantPresence_170621EN.pdf
Prior audit access record
Full-register audit source access (evidence cutoff 25 October 2026)
https://faolex.fao.org/docs/pdf/dji194537.pdf: full text
https://faolex.fao.org/docs/pdf/dji194537EXT1.pdf: full text
https://natlex.ilo.org/dyn/natlex2/natlex2/files/download/110313/DJI-110313.pdf: full text
https://www.journalofficiel.dj/texte-juridique/decret-n2020-080-pr-pm-portant-levee-partielle-des-mesures-exceptionnelles-de-prevention-contre-la-propagation-du-covid-19/: full text
https://www.journalofficiel.dj/texte-juridique/decret-n2020-145-pr-pm-portant-modification-du-decret-n-2020-080-pr-pm-portant-levee-partielle-des-mesures-exceptionnelles-de-prevention-contre-la-propagation-du-covid-19/: full text
https://www.lanation.dj/communique/: search extract — Indexed substantive passage; direct retrieval unavailable.
https://www.crecg.com/zgztywz/cs11/10210606/2025021110100496672/index.html: full text
Earlier source URLs not separately listed in this audit’s retrieval log (historical access notes below are not fresh verification):
https://capitalethiopia.com/2020/04/18/tackling-covid-in-19-djibouti/
https://en.ndrc.gov.cn/news/mediarusources/202107/t20210709_1290160.html
https://dtm.iom.int/sites/g/files/tmzbdl1461/files/reports/IOM_Eastern%20Corridor%20Migrant%20Situation_11082020.pdf
https://eastandhornofafrica.iom.int/sites/g/files/tmzbdl701/files/documents/IOM_Eastern%2520Corridor%2520Migrant%2520Situation_18112020.pdf
https://dtm.iom.int/sites/g/files/tmzbdl1461/files/reports/DJI_MigrantPresence_170621EN.pdf
Earlier recorded access
Source 1: full
Source 2: access detail is retained in the source catalogue.
Source 3: full</x:v>
      </x:c>
      <x:c r="P195" s="20" t="n">
        <x:v>5</x:v>
      </x:c>
      <x:c r="Q195" s="4" t="str">
        <x:v>Horn of Africa</x:v>
      </x:c>
      <x:c r="R195" s="4" t="str">
        <x:v>Included</x:v>
      </x:c>
    </x:row>
    <x:row r="196" ht="409" hidden="0" customHeight="1">
      <x:c r="A196" s="16" t="str">
        <x:v>H20</x:v>
      </x:c>
      <x:c r="B196" s="4" t="str">
        <x:v>Eritrea COVID land-border closure overlay</x:v>
      </x:c>
      <x:c r="C196" s="4" t="str">
        <x:v>Eritrea</x:v>
      </x:c>
      <x:c r="D196" s="4" t="str">
        <x:v>All land borders</x:v>
      </x:c>
      <x:c r="E196" s="4" t="str">
        <x:v>Legal overland passenger travel under the COVID restriction overlay.
Direction: Complete direction-specific scope is not established.
Exceptions: The June 2020 official statement acknowledges continuing land arrivals and quarantine. WCO’s August 2021 assessment reports screened cargo movement permitted.</x:v>
      </x:c>
      <x:c r="F196" s="4" t="str">
        <x:v>H20-NP1 — Formal policy
Eritrean land-border COVID policy overlay
Start: unknown.
Last confirmed: 2020-11-13. Reopening is not established.
Formal policy: dated evidence; numeric duration withheld; see qualification
Separate later policy-status assessment — August 2021
WCO describes land borders still closed to passengers with screened cargo excepted. This is an assessment reference, not a new onset or terminal reopening. Sustained restriction longer than 24 hours is supported; exact duration remains unknown.</x:v>
      </x:c>
      <x:c r="G196" s="4" t="str">
        <x:v>Health and biosecurity / Human disease control
Officially stated reason
Applies to: 2020 COVID restriction overlay
Eritrean foreign ministry statement explicitly connects border closure to COVID containment after the first case, while acknowledging continuing land arrivals.</x:v>
      </x:c>
      <x:c r="H196" s="4" t="str">
        <x:v>H20-NP1: The June 11, 2020 Eritrean foreign-ministry statement, published June 12, places border restrictions broadly after the first COVID case on March 21, without an exact land commencement. Neither the March 26 aviation date nor the April 2 domestic lockdown date is transferred to land crossings. Continuing land arrivals and quarantine are expressly acknowledged; this was not an impermeable physical seal.
COMESA’s November 13, 2020 compilation is a policy assessment reference, not an independently observed gate timestamp. The 2020 US human-rights report describes continuing closure to legal overland travel, without isolating COVID from inherited bilateral restrictions.
A WCO regional report describes the position as of August 2021: land and sea borders remained closed except screened cargo, with several COVID restrictions unchanged since June. Its Eritrea passage cites a GardaWorld August 12 bulletin. This supports a later reported passenger-policy restriction and a sustained restriction longer than 24 hours. It does not establish exact complete duration or an uninterrupted operational bridge from 2020. The WCO report’s October 26 publication is not the status date.
No terminal COVID-specific land reopening is established. Later Sudan humanitarian access or continuing Ethiopia/Djibouti bilateral closure cannot by themselves identify repeal of this overlay.</x:v>
      </x:c>
      <x:c r="I196" s="4" t="str">
        <x:v>Second full-register audit, 26 October 2026: additional source-audited corrections incorporated. See the phase, scope and qualification columns for the accepted findings.</x:v>
      </x:c>
      <x:c r="J196" s="18" t="d">
        <x:v>2026-10-26T00:00:00.000Z</x:v>
      </x:c>
      <x:c r="K196" s="21" t="str">
        <x:f>IFERROR(HYPERLINK("https://www.tralac.org/documents/resources/covid-19/regional/4212-covid-19-measures-in-place-in-comesa-member-states-30th-edition-13-november-2020/file.html","tralac.org"),"tralac.org")</x:f>
        <x:v>tralac.org</x:v>
      </x:c>
      <x:c r="L196" s="21" t="str">
        <x:f>IFERROR(HYPERLINK("https://www.tralac.org/documents/resources/covid-19/regional/4181-covid-19-measures-in-place-in-comesa-member-states-26th-edition-16-october-2020.html","COMESA / tralac"),"COMESA / tralac")</x:f>
        <x:v>COMESA / tralac</x:v>
      </x:c>
      <x:c r="M196" s="21" t="str">
        <x:f>IFERROR(HYPERLINK("https://2021-2025.state.gov/reports/2022-country-reports-on-human-rights-practices/eritrea/","US Department of State"),"US Department of State")</x:f>
        <x:v>US Department of State</x:v>
      </x:c>
      <x:c r="N196" s="4" t="str">
        <x:v>https://www.tralac.org/documents/resources/covid-19/regional/4212-covid-19-measures-in-place-in-comesa-member-states-30th-edition-13-november-2020/file.html
https://www.tralac.org/documents/resources/covid-19/regional/4181-covid-19-measures-in-place-in-comesa-member-states-26th-edition-16-october-2020.html
https://2021-2025.state.gov/reports/2022-country-reports-on-human-rights-practices/eritrea/
https://www.ecoi.net/en/document/2048098.html
https://www.comesa.int/wp-content/uploads/2020/09/Measures-in-COMESA-MS-in-Response-to-Covid-Vol-20-_-4-sept.pdf
https://2021-2025.state.gov/reports/2020-country-reports-on-human-rights-practices/eritrea/
https://shabait.com/amp/2020/06/12/statement-24/
https://disasterlaw.ifrc.org/sites/default/files/media/disaster_law/2021-03/IFRC%20Review%20of%20Emergency%20Decrees%20-%20Eritrea%20v1.0%20%2010.04.20.pdf
https://www.wcoesarpsg.org/esa-covid-19-situation-report-third-quarter-2021/</x:v>
      </x:c>
      <x:c r="O196" s="4" t="str">
        <x:v>Second full-register audit source access, 26 October 2026
https://shabait.com/amp/2020/06/12/statement-24/: full text (fresh retrieval)
https://www.ecoi.net/en/document/2048098.html: full text (fresh retrieval) — Annual reporting; cannot isolate COVID causation.
https://www.wcoesarpsg.org/esa-covid-19-situation-report-third-quarter-2021/: full text (fresh retrieval) — Secondary policy assessment citing August 12 GardaWorld bulletin; no exact gate observation.
https://www.tralac.org/documents/resources/covid-19/regional/4212-covid-19-measures-in-place-in-comesa-member-states-30th-edition-13-november-2020/file.html: search extract (fresh retrieval) — After workspace recovery the detailed follow-up returned 403 in R003; prior raw cache was lost. No new exact land onset established.
Earlier URLs not separately inspected in this second assessment:
https://www.tralac.org/documents/resources/covid-19/regional/4181-covid-19-measures-in-place-in-comesa-member-states-26th-edition-16-october-2020.html
https://2021-2025.state.gov/reports/2022-country-reports-on-human-rights-practices/eritrea/
https://www.comesa.int/wp-content/uploads/2020/09/Measures-in-COMESA-MS-in-Response-to-Covid-Vol-20-_-4-sept.pdf
https://2021-2025.state.gov/reports/2020-country-reports-on-human-rights-practices/eritrea/
https://disasterlaw.ifrc.org/sites/default/files/media/disaster_law/2021-03/IFRC%20Review%20of%20Emergency%20Decrees%20-%20Eritrea%20v1.0%20%2010.04.20.pdf
Prior audit access record
Full-register audit source access (evidence cutoff 25 October 2026)
https://shabait.com/amp/2020/06/12/statement-24/: full text
https://www.comesa.int/wp-content/uploads/2020/09/Measures-in-COMESA-MS-in-Response-to-Covid-Vol-20-_-4-sept.pdf: full text
https://www.tralac.org/documents/resources/covid-19/regional/4212-covid-19-measures-in-place-in-comesa-member-states-30th-edition-13-november-2020/file.html: inaccessible — Search passage or failed direct retrieval; see assessment.
Earlier source URLs not separately listed in this audit’s retrieval log (historical access notes below are not fresh verification):
https://www.tralac.org/documents/resources/covid-19/regional/4181-covid-19-measures-in-place-in-comesa-member-states-26th-edition-16-october-2020.html
https://2021-2025.state.gov/reports/2022-country-reports-on-human-rights-practices/eritrea/
https://www.ecoi.net/en/document/2048098.html
https://2021-2025.state.gov/reports/2020-country-reports-on-human-rights-practices/eritrea/
https://disasterlaw.ifrc.org/sites/default/files/media/disaster_law/2021-03/IFRC%20Review%20of%20Emergency%20Decrees%20-%20Eritrea%20v1.0%20%2010.04.20.pdf
Earlier recorded access
Source 1: access detail is retained in the source catalogue.
Source 2: indexed excerpt
Source 3: indexed excerpt</x:v>
      </x:c>
      <x:c r="P196" s="20" t="n">
        <x:v>1</x:v>
      </x:c>
      <x:c r="Q196" s="4" t="str">
        <x:v>Horn of Africa</x:v>
      </x:c>
      <x:c r="R196" s="4" t="str">
        <x:v>Included</x:v>
      </x:c>
    </x:row>
    <x:row r="197" ht="402" hidden="0" customHeight="1">
      <x:c r="A197" s="16" t="str">
        <x:v>ME004</x:v>
      </x:c>
      <x:c r="B197" s="4" t="str">
        <x:v>Iraq Saudi Arar long trade closure</x:v>
      </x:c>
      <x:c r="C197" s="4" t="str">
        <x:v>Iraq; Saudi Arabia</x:v>
      </x:c>
      <x:c r="D197" s="4" t="str">
        <x:v>Arar</x:v>
      </x:c>
      <x:c r="E197" s="4" t="str">
        <x:v>Regular trade
Direction: Not established
Exceptions: Not established</x:v>
      </x:c>
      <x:c r="F197" s="4" t="str">
        <x:v>ME004-D1 — Formal policy
Arar's ordinary commercial-trade closure regime, to formal trade reopening.
Start: 1990-01-01 to 1990-12-31.
Policy endpoint: 2020-11-18.
Formal policy: 10915–11279 calendar-day difference; operational continuity not established</x:v>
      </x:c>
      <x:c r="G197" s="4" t="str">
        <x:v>Interstate disputes and pressure / Diplomatic disputes and retaliation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197" s="4" t="str">
        <x:v>ME004-D1: The entire 1990 onset range remains. Pilgrimage and exceptional passengers are excluded. Photographed aid trucks establish aid passage, not first ordinary commercial clearance; the endpoint is therefore formal permission.</x:v>
      </x:c>
      <x:c r="I197" s="4" t="str">
        <x:v>Second full-register audit, 26 October 2026: qualified. Fresh Reuters text supports the ordinary-trade policy interval and shows the 2017 announcement was a plan with annual pilgrimage access, not an earlier proven commercial reopening.</x:v>
      </x:c>
      <x:c r="J197" s="18" t="d">
        <x:v>2026-10-26T00:00:00.000Z</x:v>
      </x:c>
      <x:c r="K197" s="21" t="str">
        <x:f>IFERROR(HYPERLINK("https://www.investing.com/news/economy/iraqsaudi-arabia-border-crossing-opens-for-trade-first-time-since-1990-2351093","Reuters via Investing.com"),"Reuters via Investing.com")</x:f>
        <x:v>Reuters via Investing.com</x:v>
      </x:c>
      <x:c r="L197" s="21" t="str">
        <x:f>IFERROR(HYPERLINK("https://www.reutersconnect.com/item/iraq-saudi-arabia-border-crossing-opens-for-trade/dGFnOnJldXRlcnMuY29tLDIwMjA6bmV3c21sX1JDMlM1SzlaWEJOVA","Reuters Connect"),"Reuters Connect")</x:f>
        <x:v>Reuters Connect</x:v>
      </x:c>
      <x:c r="M197" s="21" t="str">
        <x:f>IFERROR(HYPERLINK("https://www.investing.com/news/world-news/saudi-arabia-and-iraq-to-reopen-border-crossing-after-27-years-518627","investing.com"),"investing.com")</x:f>
        <x:v>investing.com</x:v>
      </x:c>
      <x:c r="N197" s="4" t="str">
        <x:v>https://www.investing.com/news/economy/iraqsaudi-arabia-border-crossing-opens-for-trade-first-time-since-1990-2351093
https://www.reutersconnect.com/item/iraq-saudi-arabia-border-crossing-opens-for-trade/dGFnOnJldXRlcnMuY29tLDIwMjA6bmV3c21sX1JDMlM1SzlaWEJOVA
https://www.investing.com/news/world-news/saudi-arabia-and-iraq-to-reopen-border-crossing-after-27-years-518627
https://halifax.citynews.ca/2020/11/18/iraq-saudi-arabia-reopen-key-border-crossing-after-decades/</x:v>
      </x:c>
      <x:c r="O197" s="4" t="str">
        <x:v>Second full-register audit source access, 26 October 2026
https://www.investing.com/news/economy/iraqsaudi-arabia-border-crossing-opens-for-trade-first-time-since-1990-2351093: full text (fresh retrieval)
https://www.investing.com/news/world-news/saudi-arabia-and-iraq-to-reopen-border-crossing-after-27-years-518627: full text (fresh retrieval)
https://halifax.citynews.ca/2020/11/18/iraq-saudi-arabia-reopen-key-border-crossing-after-decades/: inaccessible (fresh retrieval) — Fresh fetch forbidden 403; no verification credited.
Earlier URLs not separately inspected in this second assessment:
https://www.reutersconnect.com/item/iraq-saudi-arabia-border-crossing-opens-for-trade/dGFnOnJldXRlcnMuY29tLDIwMjA6bmV3c21sX1JDMlM1SzlaWEJOVA
Prior audit access record
Full-register audit source access (evidence cutoff 25 October 2026)
https://www.investing.com/news/economy/iraqsaudi-arabia-border-crossing-opens-for-trade-first-time-since-1990-2351093: full text
https://halifax.citynews.ca/2020/11/18/iraq-saudi-arabia-reopen-key-border-crossing-after-decades/: full text
Earlier source URLs not separately listed in this audit’s retrieval log (historical access notes below are not fresh verification):
https://www.reutersconnect.com/item/iraq-saudi-arabia-border-crossing-opens-for-trade/dGFnOnJldXRlcnMuY29tLDIwMjA6bmV3c21sX1JDMlM1SzlaWEJOVA
https://www.investing.com/news/world-news/saudi-arabia-and-iraq-to-reopen-border-crossing-after-27-years-518627
Earlier recorded access
Source 1: full; full text
Source 2: partial metadata
Source 3: full</x:v>
      </x:c>
      <x:c r="P197" s="20" t="n">
        <x:v>1</x:v>
      </x:c>
      <x:c r="Q197" s="4" t="str">
        <x:v>Middle East</x:v>
      </x:c>
      <x:c r="R197" s="4" t="str">
        <x:v>Included</x:v>
      </x:c>
    </x:row>
    <x:row r="198" ht="409" hidden="0" customHeight="1">
      <x:c r="A198" s="16" t="str">
        <x:v>ME005</x:v>
      </x:c>
      <x:c r="B198" s="4" t="str">
        <x:v>Jordan Iraq Trebil conflict closure</x:v>
      </x:c>
      <x:c r="C198" s="4" t="str">
        <x:v>Jordan; Iraq</x:v>
      </x:c>
      <x:c r="D198" s="4" t="str">
        <x:v>Trebil / Turaibil</x:v>
      </x:c>
      <x:c r="E198" s="4" t="str">
        <x:v>Not established
Direction: Not established
Exceptions: Not established</x:v>
      </x:c>
      <x:c r="F198" s="4" t="str">
        <x:v>ME005-R1 — Observed operation
Trebil/Karameh normal processing restriction, excluding ceremonial delegations and temporary clearance of stranded investor goods.
Start: 2015-07-01 to 2015-07-16.
Last closed-state evidence: 2017-08-30; not a reopening date.
Commercial cargo passage restored by 2017-10-04, when 250 loaded trucks were reported to have crossed since the August reopening.
First normal passenger processing and unrestricted through-truck entry remain separately unresolved. No complete operational duration is established.</x:v>
      </x:c>
      <x:c r="G198"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x:v>
      </x:c>
      <x:c r="H198" s="4" t="str">
        <x:v>ME005-R1: Onset remains bounded July 1–16, 2015. Temporary October 2015 clearance and ceremonial delegations do not establish normal service. The October 4, 2017 report quotes Jordan’s trade minister on 250 loaded trucks already having passed, which is evidence of real commercial cargo access by that date. It does not identify the first cargo passage, resolve transloading versus foreign through-truck entry, or establish a passenger endpoint. No uninterrupted closure is inferred between the last closed-state evidence and this cargo observation.</x:v>
      </x:c>
      <x:c r="I198" s="4" t="str">
        <x:v>Second full-register audit, 26 October 2026: qualified. The accepted October 4 2017 cargo-access bound survives independent rereading. AP explicitly says the August 30 ceremony set no firm start for passenger or truck traffic.</x:v>
      </x:c>
      <x:c r="J198" s="18" t="d">
        <x:v>2026-10-26T00:00:00.000Z</x:v>
      </x:c>
      <x:c r="K198" s="21" t="str">
        <x:f>IFERROR(HYPERLINK("https://www.ksl.com/article/news/business/jordan-iraq-reopen-border-crossing-vital-to-trade/45610517","Associated Press / KSL"),"Associated Press / KSL")</x:f>
        <x:v>Associated Press / KSL</x:v>
      </x:c>
      <x:c r="L198" s="21" t="str">
        <x:f>IFERROR(HYPERLINK("https://www.militarytimes.com/news/your-military/2015/07/16/iraq-closes-border-crossing-with-jordan-until-further-notice/","militarytimes.com"),"militarytimes.com")</x:f>
        <x:v>militarytimes.com</x:v>
      </x:c>
      <x:c r="M198" s="21" t="str">
        <x:f>IFERROR(HYPERLINK("https://factjo.com/news/40541","Fact International"),"Fact International")</x:f>
        <x:v>Fact International</x:v>
      </x:c>
      <x:c r="N198" s="4" t="str">
        <x:v>https://www.ksl.com/article/news/business/jordan-iraq-reopen-border-crossing-vital-to-trade/45610517
https://www.militarytimes.com/news/your-military/2015/07/16/iraq-closes-border-crossing-with-jordan-until-further-notice/
https://factjo.com/news/40541
https://www.alaraby.co.uk/%D8%A7%D9%84%D8%B9%D8%B1%D8%A7%D9%82-%D9%8A%D9%82%D8%B1%D8%B1-%D9%81%D8%AA%D8%AD-%D9%85%D8%B9%D8%A8%D8%B1-%D8%B7%D8%B1%D9%8A%D8%A8%D9%8A%D9%84-%D9%85%D8%B9-%D8%A7%D9%84%D8%A3%D8%B1%D8%AF%D9%86
https://www.eqtsad.net/news/article/11777/
https://iraqdirectory.com/ar/2015/10/17/30179/%D9%85%D8%AF%D9%8A%D8%B1%D9%8A%D8%A9-%D8%A7%D9%84%D9%85%D9%86%D8%A7%D9%81%D8%B0-%D8%A7%D9%84%D8%AD%D8%AF%D9%88%D8%AF%D9%8A%D8%A9-%D9%85%D9%86%D9%81%D8%B0-%D8%B7%D8%B1%D9%8A%D8%A8%D9%8A%D9%84-%D8%A7%D9%84%D8%AD%D8%AF%D9%88%D8%AF%D9%8A-%D9%85%D8%A7%D8%B2%D8%A7%D9%84-%D9%85%D8%BA%D9%84%D9%82%D8%A7.aspx
https://www.iraq-businessnews.com/2017/09/08/6000-jordanian-trucks-ready-to-use-trebil-crossing/
https://www.iraq-businessnews.com/2017/08/30/jordanian-iraqi-border-crossing-to-reopen-after-eid-al-adha/
https://www.iru.org/news-resources/newsroom/tir-focus-jordanian-iraqi-border-reopens
https://en.ammonnews.net/article/36149
https://jordantimes.com/news/local/border-crossing-iraq-reopen-major-boost-ties
https://jordantimes.com/news/local/jordan-iraq-celebrate-reopening-border-crossing</x:v>
      </x:c>
      <x:c r="O198" s="4" t="str">
        <x:v>Second full-register audit source access, 26 October 2026
https://www.militarytimes.com/news/your-military/2015/07/16/iraq-closes-border-crossing-with-jordan-until-further-notice/: full text (fresh retrieval)
https://www.ksl.com/article/news/business/jordan-iraq-reopen-border-crossing-vital-to-trade/45610517: full text (fresh retrieval)
https://en.ammonnews.net/article/36149: full text (fresh retrieval)
https://www.iru.org/news-resources/newsroom/tir-focus-jordanian-iraqi-border-reopens: full text (fresh retrieval)
Earlier URLs not separately inspected in this second assessment:
https://factjo.com/news/40541
https://www.alaraby.co.uk/%D8%A7%D9%84%D8%B9%D8%B1%D8%A7%D9%82-%D9%8A%D9%82%D8%B1%D8%B1-%D9%81%D8%AA%D8%AD-%D9%85%D8%B9%D8%A8%D8%B1-%D8%B7%D8%B1%D9%8A%D8%A8%D9%8A%D9%84-%D9%85%D8%B9-%D8%A7%D9%84%D8%A3%D8%B1%D8%AF%D9%86
https://www.eqtsad.net/news/article/11777/
https://iraqdirectory.com/ar/2015/10/17/30179/%D9%85%D8%AF%D9%8A%D8%B1%D9%8A%D8%A9-%D8%A7%D9%84%D9%85%D9%86%D8%A7%D9%81%D8%B0-%D8%A7%D9%84%D8%AD%D8%AF%D9%88%D8%AF%D9%8A%D8%A9-%D9%85%D9%86%D9%81%D8%B0-%D8%B7%D8%B1%D9%8A%D8%A8%D9%8A%D9%84-%D8%A7%D9%84%D8%AD%D8%AF%D9%88%D8%AF%D9%8A-%D9%85%D8%A7%D8%B2%D8%A7%D9%84-%D9%85%D8%BA%D9%84%D9%82%D8%A7.aspx
https://www.iraq-businessnews.com/2017/09/08/6000-jordanian-trucks-ready-to-use-trebil-crossing/
https://www.iraq-businessnews.com/2017/08/30/jordanian-iraqi-border-crossing-to-reopen-after-eid-al-adha/
https://jordantimes.com/news/local/border-crossing-iraq-reopen-major-boost-ties
https://jordantimes.com/news/local/jordan-iraq-celebrate-reopening-border-crossing
Prior audit access record
Full-register audit source access (evidence cutoff 25 October 2026)
https://www.militarytimes.com/news/your-military/2015/07/16/iraq-closes-border-crossing-with-jordan-until-further-notice/: full text
https://en.ammonnews.net/article/36149: full text — Does not resolve first day, transloading vs through-entry or passengers
https://www.iru.org/news-resources/newsroom/tir-focus-jordanian-iraqi-border-reopens: full text — Not specific first completed traffic
https://en.ammonnews.net/article/36149: full text
Earlier source URLs not separately listed in this audit’s retrieval log (historical access notes below are not fresh verification):
https://www.ksl.com/article/news/business/jordan-iraq-reopen-border-crossing-vital-to-trade/45610517
https://factjo.com/news/40541
https://www.alaraby.co.uk/%D8%A7%D9%84%D8%B9%D8%B1%D8%A7%D9%82-%D9%8A%D9%82%D8%B1%D8%B1-%D9%81%D8%AA%D8%AD-%D9%85%D8%B9%D8%A8%D8%B1-%D8%B7%D8%B1%D9%8A%D8%A8%D9%8A%D9%84-%D9%85%D8%B9-%D8%A7%D9%84%D8%A3%D8%B1%D8%AF%D9%86
https://www.eqtsad.net/news/article/11777/
https://iraqdirectory.com/ar/2015/10/17/30179/%D9%85%D8%AF%D9%8A%D8%B1%D9%8A%D8%A9-%D8%A7%D9%84%D9%85%D9%86%D8%A7%D9%81%D8%B0-%D8%A7%D9%84%D8%AD%D8%AF%D9%88%D8%AF%D9%8A%D8%A9-%D9%85%D9%86%D9%81%D8%B0-%D8%B7%D8%B1%D9%8A%D8%A8%D9%8A%D9%84-%D8%A7%D9%84%D8%AD%D8%AF%D9%88%D8%AF%D9%8A-%D9%85%D8%A7%D8%B2%D8%A7%D9%84-%D9%85%D8%BA%D9%84%D9%82%D8%A7.aspx
https://www.iraq-businessnews.com/2017/09/08/6000-jordanian-trucks-ready-to-use-trebil-crossing/
https://www.iraq-businessnews.com/2017/08/30/jordanian-iraqi-border-crossing-to-reopen-after-eid-al-adha/
https://jordantimes.com/news/local/border-crossing-iraq-reopen-major-boost-ties
https://jordantimes.com/news/local/jordan-iraq-celebrate-reopening-border-crossing
Earlier recorded access
Source 1: full; full text
Source 2: access detail is retained in the source catalogue.
Source 3: full</x:v>
      </x:c>
      <x:c r="P198" s="20" t="n">
        <x:v>1</x:v>
      </x:c>
      <x:c r="Q198" s="4" t="str">
        <x:v>Middle East</x:v>
      </x:c>
      <x:c r="R198" s="4" t="str">
        <x:v>Included</x:v>
      </x:c>
    </x:row>
    <x:row r="199" ht="409" hidden="0" customHeight="1">
      <x:c r="A199" s="16" t="str">
        <x:v>ME030</x:v>
      </x:c>
      <x:c r="B199" s="4" t="str">
        <x:v>Jordan Syria Nassib conflict closure active at window start</x:v>
      </x:c>
      <x:c r="C199" s="4" t="str">
        <x:v>Jordan; Syria</x:v>
      </x:c>
      <x:c r="D199" s="4" t="str">
        <x:v>Jaber / Nassib</x:v>
      </x:c>
      <x:c r="E199" s="4" t="str">
        <x:v>Passengers and freight
Direction: Not established
Exceptions: Not established</x:v>
      </x:c>
      <x:c r="F199" s="4" t="str">
        <x:v>ME030-D1 — Observed operation
Ordinary civilian passenger passage at Jaber–Nassib, to the October 15 observed crossing.
Start: 2015-03-31.
Observed scoped reopening: 2018-10-15.
1294 calendar-day difference; scoped endpoint only</x:v>
      </x:c>
      <x:c r="G199" s="4" t="str">
        <x:v>Security / Armed conflict and military confrontation
Reported official reason
Applies to: March 31, 2015 closure
Jordanian spokesman says crossing closed because of nearby clashes between rebels and government forces.</x:v>
      </x:c>
      <x:c r="H199" s="4" t="str">
        <x:v>Contemporary AP establishes late March 31, 2015 onset. October 15 civilian passage is fully verified in Reuters mirror; VOA separately reports Syria-to-Jordan truck passage that day, whereas Reuters saw none by 11:30 GMT. Exact hours and all-category restoration remain unmeasured.
ME030-D1: Calendar-date interval, no exact hours. Passenger scope retained. Reuters had seen no trucks by 11:30 GMT, while VOA's later same-day account describes trucks from Syria into Jordan; that directional freight resumption is separately supported, without implying every category resumed together.</x:v>
      </x:c>
      <x:c r="I199" s="4" t="str">
        <x:v>Second full-register audit, 26 October 2026: qualified. Contemporary late-March-31 onset and October-15 civilian crossing remain supported, with later same-day directional truck passage separately corroborated.</x:v>
      </x:c>
      <x:c r="J199" s="18" t="d">
        <x:v>2026-10-26T00:00:00.000Z</x:v>
      </x:c>
      <x:c r="K199" s="21" t="str">
        <x:f>IFERROR(HYPERLINK("https://finance.yahoo.com/news/jordan-syria-reopen-nassib-border-073349335.html","Yahoo Finance"),"Yahoo Finance")</x:f>
        <x:v>Yahoo Finance</x:v>
      </x:c>
      <x:c r="L199" s="21" t="str">
        <x:f>IFERROR(HYPERLINK("https://jordantimes.com/news/local/jaber-border-centre-officially-reopened-after-deal-concluded","Jordan Times"),"Jordan Times")</x:f>
        <x:v>Jordan Times</x:v>
      </x:c>
      <x:c r="M199" s="21" t="str">
        <x:f>IFERROR(HYPERLINK("https://today.thefinancialexpress.com.bd/world/jordan-syria-reopen-nassib-border-crossing-1539613772","The Financial Express"),"The Financial Express")</x:f>
        <x:v>The Financial Express</x:v>
      </x:c>
      <x:c r="N199" s="4" t="str">
        <x:v>https://finance.yahoo.com/news/jordan-syria-reopen-nassib-border-073349335.html
https://jordantimes.com/news/local/jaber-border-centre-officially-reopened-after-deal-concluded
https://today.thefinancialexpress.com.bd/world/jordan-syria-reopen-nassib-border-crossing-1539613772
https://www.philstar.com/world/2015/04/01/1440085/jordan-closes-border-syria-amid-heavy-clashes
https://www.voanews.com/a/key-syrian-border-crossings-reopen/4613758.html
https://www.omanobserver.om/article/45796/World/jordan-and-syria-reopen-nassib-border-crossing</x:v>
      </x:c>
      <x:c r="O199" s="4" t="str">
        <x:v>Second full-register audit source access, 26 October 2026
https://www.philstar.com/world/2015/04/01/1440085/jordan-closes-border-syria-amid-heavy-clashes: full text (fresh retrieval)
https://www.omanobserver.om/article/45796/World/jordan-and-syria-reopen-nassib-border-crossing: full text (fresh retrieval)
https://www.voanews.com/a/key-syrian-border-crossings-reopen/4613758.html: full text (fresh retrieval)
Earlier URLs not separately inspected in this second assessment:
https://finance.yahoo.com/news/jordan-syria-reopen-nassib-border-073349335.html
https://jordantimes.com/news/local/jaber-border-centre-officially-reopened-after-deal-concluded
https://today.thefinancialexpress.com.bd/world/jordan-syria-reopen-nassib-border-crossing-1539613772
Prior audit access record
Full-register audit source access (evidence cutoff 25 October 2026)
https://www.philstar.com/world/2015/04/01/1440085/jordan-closes-border-syria-amid-heavy-clashes: full text
https://www.omanobserver.om/article/45796/World/jordan-and-syria-reopen-nassib-border-crossing: full text
https://www.voanews.com/a/key-syrian-border-crossings-reopen/4613758.html: full text
Earlier source URLs not separately listed in this audit’s retrieval log (historical access notes below are not fresh verification):
https://finance.yahoo.com/news/jordan-syria-reopen-nassib-border-073349335.html
https://jordantimes.com/news/local/jaber-border-centre-officially-reopened-after-deal-concluded
https://today.thefinancialexpress.com.bd/world/jordan-syria-reopen-nassib-border-crossing-1539613772
Earlier recorded access
Source 1: search extract
Source 2: search extract
Source 3: opened article body</x:v>
      </x:c>
      <x:c r="P199" s="20" t="n">
        <x:v>1</x:v>
      </x:c>
      <x:c r="Q199" s="4" t="str">
        <x:v>Middle East</x:v>
      </x:c>
      <x:c r="R199" s="4" t="str">
        <x:v>Included</x:v>
      </x:c>
    </x:row>
    <x:row r="200" ht="409" hidden="0" customHeight="1">
      <x:c r="A200" s="16" t="str">
        <x:v>ME001</x:v>
      </x:c>
      <x:c r="B200" s="4" t="str">
        <x:v>Saudi Qatar blockade land component</x:v>
      </x:c>
      <x:c r="C200" s="4" t="str">
        <x:v>Saudi Arabia; Qatar</x:v>
      </x:c>
      <x:c r="D200" s="4" t="str">
        <x:v>Salwa / Abu Samra</x:v>
      </x:c>
      <x:c r="E200" s="4" t="str">
        <x:v>General passengers and freight with separate reopening phases
Direction: Not established
Exceptions: Pilgrim access from August 17 2017, followed by reported humanitarian passage before renewed December closure.</x:v>
      </x:c>
      <x:c r="F200" s="4" t="str">
        <x:v>ME001-D1 — Observed operation
Ordinary non-pilgrimage passenger passage at Salwa–Abu Samra, to observed vehicle restoration.
Start: 2017-06-01 to 2017-06-30.
Observed scoped reopening: 2021-01-09.
Contested: dated evidence; numeric duration withheld; see qualification
Held evidence: excluded from numeric duration and animation displays.</x:v>
      </x:c>
      <x:c r="G200" s="4" t="str">
        <x:v>Interstate disputes and pressure / Sanctions and coercive pressure
Analytical interpretation of reported context
Applies to: 2017 embargo regime
Coercive pressure is inferred from coordinated transport severance and the dispute over Qatar's policies; it is not presented as a separately quoted official rationale.
Interstate disputes and pressure / Diplomatic disputes and retaliation
Reported reason
Applies to: 2017 embargo regime
The land restriction accompanied an explicit diplomatic rupture with Qatar.
Security / Armed attacks and terrorism
Reported reason
Applies to: 2017 embargo regime
Saudi Arabia alleged Qatari support for extremist or terrorist groups. Qatar denied the allegations; the coding records the stated justification, not its truth.</x:v>
      </x:c>
      <x:c r="H200" s="4" t="str">
        <x:v>June month precision is retained for ordinary passenger onset. Contemporary freight blockage is documented June 5, while a later account gives a different initial gate chronology. January 9 2021 is the passenger restoration endpoint; cargo resumed February 14. Humanitarian and pilgrimage exceptions preclude a total continuous closure claim.
ME001-D1: June 2017 onset bounds and January 9, 2021 observed passenger return remain as evidence dates. June 5 freight evidence does not fix the passenger onset. August pilgrimage access was followed by mainly humanitarian passage before renewed December gate closure; the admitted non-pilgrimage cohorts are not sufficiently reconstructed. The previous 1289–1318-day operational calculation is therefore withheld. Diplomatic permission and later cargo return remain separate.
Matched ordinary non-pilgrimage passenger continuity, August-December 2017: After the August pilgrimage opening, mainly humanitarian passage continued before the renewed December gate closure. The admitted non-pilgrimage cohorts and their dates are insufficiently reconstructed, so ME001-D1 is held and its former 1289-1318-day operational duration is withheld.</x:v>
      </x:c>
      <x:c r="I200" s="4" t="str">
        <x:v>Second full-register audit, 26 October 2026: qualified. Fresh sources independently retain the contested passenger chronology, January 9 2021 actual restoration, and separate February 14 commercial return. The held multi-year operational duration should remain held.</x:v>
      </x:c>
      <x:c r="J200" s="18" t="d">
        <x:v>2026-10-26T00:00:00.000Z</x:v>
      </x:c>
      <x:c r="K200" s="21" t="str">
        <x:f>IFERROR(HYPERLINK("https://www.malaymail.com/news/world/2021/01/09/qatar-saudi-border-reopens-after-thaw/1938906","AFP via Malay Mail"),"AFP via Malay Mail")</x:f>
        <x:v>AFP via Malay Mail</x:v>
      </x:c>
      <x:c r="L200" s="21" t="str">
        <x:f>IFERROR(HYPERLINK("https://www.egyptindependent.com/first-qatari-vehicles-cross-border-into-saudi-after-gulf-detente/","Egypt Independent"),"Egypt Independent")</x:f>
        <x:v>Egypt Independent</x:v>
      </x:c>
      <x:c r="M200" s="21" t="str">
        <x:f>IFERROR(HYPERLINK("https://thepeninsulaqatar.com/article/15/02/2021/Cargo-service-through-Abu-Samra-border-begins","The Peninsula"),"The Peninsula")</x:f>
        <x:v>The Peninsula</x:v>
      </x:c>
      <x:c r="N200" s="4" t="str">
        <x:v>https://www.malaymail.com/news/world/2021/01/09/qatar-saudi-border-reopens-after-thaw/1938906
https://www.egyptindependent.com/first-qatari-vehicles-cross-border-into-saudi-after-gulf-detente/
https://thepeninsulaqatar.com/article/15/02/2021/Cargo-service-through-Abu-Samra-border-begins
https://www.straitstimes.com/world/middle-east/saudi-king-orders-qatar-border-be-reopened-to-pilgrims-state-media
https://www.livemint.com/news/world/qatarsaudi-arabia-border-reopens-after-thaw-11610186437840.html
https://www.investing.com/news/world-news/saudi-arabia%2C-egypt%2C-uae-sever-ties-to-qatar-over-%27terrorism%27-491704
https://www.dailysabah.com/mideast/2017/12/19/saudi-arabia-closes-only-border-gate-with-qatar/amp
https://www.timesofisrael.com/saudi-king-orders-reopening-of-qatar-border-to-pilgrims/
https://www.arabnews.com/saudi-arabia/saudi-customs-opens-salwa-border-crossing-with-qatar-1789626</x:v>
      </x:c>
      <x:c r="O200" s="4" t="str">
        <x:v>Second full-register audit source access, 26 October 2026
https://www.malaymail.com/news/world/2021/01/09/qatar-saudi-border-reopens-after-thaw/1938906: full text (fresh retrieval)
https://www.dailysabah.com/mideast/2017/12/19/saudi-arabia-closes-only-border-gate-with-qatar/amp: search extract (fresh retrieval) — Direct fresh fetch timed out; substantive indexed text inspected.
https://thepeninsulaqatar.com/article/15/02/2021/Cargo-service-through-Abu-Samra-border-begins: full text (fresh retrieval)
https://www.timesofisrael.com/saudi-king-orders-reopening-of-qatar-border-to-pilgrims/: full text (fresh retrieval)
Earlier URLs not separately inspected in this second assessment:
https://www.egyptindependent.com/first-qatari-vehicles-cross-border-into-saudi-after-gulf-detente/
https://www.straitstimes.com/world/middle-east/saudi-king-orders-qatar-border-be-reopened-to-pilgrims-state-media
https://www.livemint.com/news/world/qatarsaudi-arabia-border-reopens-after-thaw-11610186437840.html
https://www.investing.com/news/world-news/saudi-arabia%2C-egypt%2C-uae-sever-ties-to-qatar-over-%27terrorism%27-491704
https://www.arabnews.com/saudi-arabia/saudi-customs-opens-salwa-border-crossing-with-qatar-1789626
Prior audit access record
Full-register audit source access (evidence cutoff 25 October 2026)
https://www.malaymail.com/news/world/2021/01/09/qatar-saudi-border-reopens-after-thaw/1938906: full text
https://www.dailysabah.com/mideast/2017/12/19/saudi-arabia-closes-only-border-gate-with-qatar/amp: full text
Earlier source URLs not separately listed in this audit’s retrieval log (historical access notes below are not fresh verification):
https://www.egyptindependent.com/first-qatari-vehicles-cross-border-into-saudi-after-gulf-detente/
https://thepeninsulaqatar.com/article/15/02/2021/Cargo-service-through-Abu-Samra-border-begins
https://www.straitstimes.com/world/middle-east/saudi-king-orders-qatar-border-be-reopened-to-pilgrims-state-media
https://www.livemint.com/news/world/qatarsaudi-arabia-border-reopens-after-thaw-11610186437840.html
https://www.investing.com/news/world-news/saudi-arabia%2C-egypt%2C-uae-sever-ties-to-qatar-over-%27terrorism%27-491704
https://www.timesofisrael.com/saudi-king-orders-reopening-of-qatar-border-to-pilgrims/
https://www.arabnews.com/saudi-arabia/saudi-customs-opens-salwa-border-crossing-with-qatar-1789626
Earlier recorded access
Source 1: full text
Source 2: full page
Source 3: full page</x:v>
      </x:c>
      <x:c r="P200" s="20" t="n">
        <x:v>1</x:v>
      </x:c>
      <x:c r="Q200" s="4" t="str">
        <x:v>Middle East</x:v>
      </x:c>
      <x:c r="R200" s="4" t="str">
        <x:v>Included</x:v>
      </x:c>
    </x:row>
    <x:row r="201" ht="409" hidden="0" customHeight="1">
      <x:c r="A201" s="16" t="str">
        <x:v>ME020</x:v>
      </x:c>
      <x:c r="B201" s="4" t="str">
        <x:v>Turkey Syria Bab al Hawa armed-group fighting closure</x:v>
      </x:c>
      <x:c r="C201" s="4" t="str">
        <x:v>Türkiye; Syria</x:v>
      </x:c>
      <x:c r="D201" s="4" t="str">
        <x:v>Bab al Hawa / Cilvegozu</x:v>
      </x:c>
      <x:c r="E201" s="4" t="str">
        <x:v>Freight including humanitarian aid; passenger scope requires follow-up
Direction: Turkey to Syria for the documented aid and commercial cargo.
Exceptions: Not established</x:v>
      </x:c>
      <x:c r="F201" s="4" t="str">
        <x:v>ME020-D1 — Observed operation
Aid and commercial trucks from Turkey into Syria blocked by armed roadblocks on the Syrian approach to Bab al Hawa–Cilvegözü.
Start: 2017-07-19.
Observed scoped reopening: 2017-07-26.
7 calendar-day difference; scoped endpoint only</x:v>
      </x:c>
      <x:c r="G201"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01" s="4" t="str">
        <x:v>Full humanitarian reporting dates the intentional Syrian approach blockade to July 19–25. July 26 truck restoration remains supported by indexed Reuters text; the full reopening article was not retrieved. Later restrictions are separate.
ME020-D1: The July 26 observed-passage claim remains supported by substantial indexed Reuters text rather than a successfully retrieved full article. Planned July 19–21 maintenance on the Turkish side would have left an aid lane and is not the qualifying closure. Later restrictions and passenger access are outside this phase.
end: The July 26 truck endpoint is specific but remains indexed-only.
source verification: ME020-D1 July 26 actual truck restoration has substantial indexed Reuters support but no successful full-body retrieval in the applicable prior or fresh checks.</x:v>
      </x:c>
      <x:c r="I201" s="4" t="str">
        <x:v>Second full-register audit, 26 October 2026: qualified. The July 19–25 Syrian approach blockade and July 26 freight restoration remain supported. A freshly opened Kurdistan24 account quotes passenger restoration too, but does not define a continuous passenger closure.</x:v>
      </x:c>
      <x:c r="J201" s="18" t="d">
        <x:v>2026-10-26T00:00:00.000Z</x:v>
      </x:c>
      <x:c r="K201" s="21" t="str">
        <x:f>IFERROR(HYPERLINK("https://www.jpost.com/breaking-news/syrian-rebels-reopen-main-border-crossing-with-turkey-500955/","Jerusalem Post"),"Jerusalem Post")</x:f>
        <x:v>Jerusalem Post</x:v>
      </x:c>
      <x:c r="L201" s="21" t="str">
        <x:f>IFERROR(HYPERLINK("https://www.syriahr.com/en/70644/","SOHR"),"SOHR")</x:f>
        <x:v>SOHR</x:v>
      </x:c>
      <x:c r="M201" s="21" t="str">
        <x:f>IFERROR(HYPERLINK("https://www.developmentaid.org/news-stream/post/5051/developments-in-north-western-syria","developmentaid.org"),"developmentaid.org")</x:f>
        <x:v>developmentaid.org</x:v>
      </x:c>
      <x:c r="N201" s="4" t="str">
        <x:v>https://www.jpost.com/breaking-news/syrian-rebels-reopen-main-border-crossing-with-turkey-500955/
https://www.syriahr.com/en/70644/
https://www.developmentaid.org/news-stream/post/5051/developments-in-north-western-syria
https://syriadirect.org/ankara-reopens-idlib-border-crossing-as-turkish-soldiers-build-presence-in-northern-syria/
https://logcluster.org/fr/alerts/warning-183
https://reliefweb.int/report/syrian-arab-republic/turkey-syria-developments-north-western-syria-30-july-2017-enar
https://www.reuters.com/article/us-mideast-crisis-syria-crossing/syrian-rebels-reopen-main-border-crossing-with-turkey-idUSKBN1AC2PD
https://www.kurdistan24.net/en/story/372164</x:v>
      </x:c>
      <x:c r="O201" s="4" t="str">
        <x:v>Second full-register audit source access, 26 October 2026
https://www.developmentaid.org/news-stream/post/5051/developments-in-north-western-syria: full text (fresh retrieval) — Reproduces report originally posted July 30, not independent reporting.
https://www.jpost.com/breaking-news/syrian-rebels-reopen-main-border-crossing-with-turkey-500955/: search extract (fresh retrieval) — Fresh open supplied title/date only; indexed body reports over 200 trucks since Wednesday, including aid and commercial cargo.
https://www.kurdistan24.net/en/story/372164: full text (fresh retrieval) — Quotes crossing website and official speaking to Reuters; same official reporting is not independent observed truck count.
https://www.reuters.com/article/us-mideast-crisis-syria-crossing/syrian-rebels-reopen-main-border-crossing-with-turkey-idUSKBN1AC2PD: inaccessible (fresh retrieval) — Original full body unavailable.
Earlier URLs not separately inspected in this second assessment:
https://www.syriahr.com/en/70644/
https://syriadirect.org/ankara-reopens-idlib-border-crossing-as-turkish-soldiers-build-presence-in-northern-syria/
https://logcluster.org/fr/alerts/warning-183
https://reliefweb.int/report/syrian-arab-republic/turkey-syria-developments-north-western-syria-30-july-2017-enar
Prior audit access record
Full-register audit source access (evidence cutoff 25 October 2026)
https://www.developmentaid.org/news-stream/post/5051/developments-in-north-western-syria: full text
https://www.jpost.com/breaking-news/syrian-rebels-reopen-main-border-crossing-with-turkey-500955/: search extract — Direct page has no article body
https://www.kurdistan24.net/en/story/372164: full text
Earlier source URLs not separately listed in this audit’s retrieval log (historical access notes below are not fresh verification):
https://www.syriahr.com/en/70644/
https://syriadirect.org/ankara-reopens-idlib-border-crossing-as-turkish-soldiers-build-presence-in-northern-syria/
https://logcluster.org/fr/alerts/warning-183
https://reliefweb.int/report/syrian-arab-republic/turkey-syria-developments-north-western-syria-30-july-2017-enar
https://www.reuters.com/article/us-mideast-crisis-syria-crossing/syrian-rebels-reopen-main-border-crossing-with-turkey-idUSKBN1AC2PD
Earlier recorded access
Source 1: search extract
Source 2: search extract
Source 3: access detail is retained in the source catalogue.</x:v>
      </x:c>
      <x:c r="P201" s="20" t="n">
        <x:v>1</x:v>
      </x:c>
      <x:c r="Q201" s="4" t="str">
        <x:v>Middle East</x:v>
      </x:c>
      <x:c r="R201" s="4" t="str">
        <x:v>Included</x:v>
      </x:c>
    </x:row>
    <x:row r="202" ht="402" hidden="0" customHeight="1">
      <x:c r="A202" s="16" t="str">
        <x:v>ME018</x:v>
      </x:c>
      <x:c r="B202" s="4" t="str">
        <x:v>Iran Iraqi Kurdistan post-referendum border suspension</x:v>
      </x:c>
      <x:c r="C202" s="4" t="str">
        <x:v>Iran; Iraq</x:v>
      </x:c>
      <x:c r="D202" s="4" t="str">
        <x:v>Parwezkhan and Haji Omaran, reopened January 2 2018; Bashmakh, reopened October 25 2017.
Three official Iran–Iraqi Kurdistan crossings with distinct reopening phases.</x:v>
      </x:c>
      <x:c r="E202" s="4" t="str">
        <x:v>Passengers and commercial freight
Direction: Not established
Exceptions: People already waiting were initially allowed through; semi-official Tawqela remained open.</x:v>
      </x:c>
      <x:c r="F202" s="4" t="str">
        <x:v>ME018-D1 — Observed operation
The remaining Parwezkhan and Haji Omaran crossings in the Iran–Iraqi Kurdistan restriction.
Start: 2017-10-15.
Observed scoped reopening: 2018-01-02.
79 calendar-day difference; scoped endpoint only
ME018-R1 — Observed operation
Bashmakh official land crossing during the post-referendum restriction.
Start: 2017-10-15.
Scoped endpoint: 2017-10-25.
10 calendar-day difference; scoped endpoint only</x:v>
      </x:c>
      <x:c r="G202" s="4" t="str">
        <x:v>Interstate disputes and pressure / Territorial and frontier disputes
Reported reason
Applies to: October 15 2017 main official-gate closure
Kurdish officials attributed the closure to Baghdad's request following the independence referendum. This records the reported rationale without determining sovereignty; Iran initially denied new measures.
Interstate disputes and pressure / Sanctions and coercive pressure
Reported reason
Applies to: October 15 2017 main official-gate closure
The reported Baghdad measures sought reversal of the referendum and restoration of federal control; attribution is preserved rather than asserting an independently proved security threat.</x:v>
      </x:c>
      <x:c r="H202" s="4" t="str">
        <x:v>The main closure is dated October 15 by contemporary customs reporting; Iran initially denied new measures. Two gates reopened January 2 and Bashmakh October 25. Earlier drill and air measures are separate. Other reports' differing post counts remain a reporting disagreement.
ME018-D1: Waiting travellers were initially excepted and semi-official Tawqela remained open. Iran initially denied new measures despite Kurdish customs reports of cessation. Bashmakh reopened separately on October 25. The earlier October 2 drill closure and September air restriction are excluded.
ME018-R1: The endpoint is retrospective reporting rather than a fresh contemporary October 25 observation. Travellers already waiting and semi-official crossings were excepted at the initial closure. Reporting shares Rudaw institutional origin. Earlier brief drill and air restrictions are separate.</x:v>
      </x:c>
      <x:c r="I202" s="4" t="str">
        <x:v>Second full-register audit, 26 October 2026: qualified. The two scoped phases remain supported. December permission cannot replace January operation because the same report says earlier decisions had not been implemented.</x:v>
      </x:c>
      <x:c r="J202" s="18" t="d">
        <x:v>2026-10-26T00:00:00.000Z</x:v>
      </x:c>
      <x:c r="K202" s="21" t="str">
        <x:f>IFERROR(HYPERLINK("https://www.aa.com.tr/en/middle-east/iran-reopens-border-crossings-with-iraqi-kurdish-region/1020605","Anadolu"),"Anadolu")</x:f>
        <x:v>Anadolu</x:v>
      </x:c>
      <x:c r="L202" s="21" t="str">
        <x:f>IFERROR(HYPERLINK("https://www.thenationalnews.com/world/mena/iran-reopens-all-border-posts-with-iraqi-kurdistan-1.692253","The National"),"The National")</x:f>
        <x:v>The National</x:v>
      </x:c>
      <x:c r="M202" s="21" t="str">
        <x:f>IFERROR(HYPERLINK("https://www.rudaw.net/english/categories/kurdistan/1012096","rudaw.net"),"rudaw.net")</x:f>
        <x:v>rudaw.net</x:v>
      </x:c>
      <x:c r="N202" s="4" t="str">
        <x:v>https://www.aa.com.tr/en/middle-east/iran-reopens-border-crossings-with-iraqi-kurdish-region/1020605
https://www.thenationalnews.com/world/mena/iran-reopens-all-border-posts-with-iraqi-kurdistan-1.692253
https://www.rudaw.net/english/categories/kurdistan/1012096
https://www.rudaw.net/english/categories/middleeast/1015186
https://www.rudaw.net/english/categories/middleeast/1014625</x:v>
      </x:c>
      <x:c r="O202" s="4" t="str">
        <x:v>Second full-register audit source access, 26 October 2026
https://www.rudaw.net/english/categories/kurdistan/1012096: full text (fresh retrieval)
https://www.rudaw.net/english/categories/middleeast/1015186: full text (fresh retrieval)
https://www.rudaw.net/english/categories/middleeast/1014625: full text (fresh retrieval)
https://www.aa.com.tr/en/middle-east/iran-reopens-border-crossings-with-iraqi-kurdish-region/1020605: full text (fresh retrieval) — Names three posts including Sayran Ban, unlike Rudaw two remaining gates; counts are not reconciled.
Earlier URLs not separately inspected in this second assessment:
https://www.thenationalnews.com/world/mena/iran-reopens-all-border-posts-with-iraqi-kurdistan-1.692253
Prior audit access record
Full-register audit source access (evidence cutoff 25 October 2026)
https://www.rudaw.net/english/categories/kurdistan/1012096: full text
https://www.rudaw.net/english/categories/middleeast/1015186: full text
https://www.rudaw.net/english/categories/middleeast/1014625: full text
https://www.aa.com.tr/en/middle-east/iran-reopens-border-crossings-with-iraqi-kurdish-region/1020605: full text
Earlier source URLs not separately listed in this audit’s retrieval log (historical access notes below are not fresh verification):
https://www.thenationalnews.com/world/mena/iran-reopens-all-border-posts-with-iraqi-kurdistan-1.692253
Earlier recorded access
Source 1: full page
Source 2: full page
Source 3: access detail is retained in the source catalogue.</x:v>
      </x:c>
      <x:c r="P202" s="20" t="n">
        <x:v>2</x:v>
      </x:c>
      <x:c r="Q202" s="4" t="str">
        <x:v>Middle East</x:v>
      </x:c>
      <x:c r="R202" s="4" t="str">
        <x:v>Included</x:v>
      </x:c>
    </x:row>
    <x:row r="203" ht="409" hidden="0" customHeight="1">
      <x:c r="A203" s="16" t="str">
        <x:v>ME015</x:v>
      </x:c>
      <x:c r="B203" s="4" t="str">
        <x:v>Al-Wadea brief passenger interruption, 8 November 2017</x:v>
      </x:c>
      <x:c r="C203" s="4" t="str">
        <x:v>Saudi Arabia; Yemen</x:v>
      </x:c>
      <x:c r="D203" s="4" t="str">
        <x:v>Yemen land crossings; operational reopening evidence at al Wadea</x:v>
      </x:c>
      <x:c r="E203" s="4" t="str">
        <x:v>Passenger movement at al-Wadea; the brief interruption is supported by local reporting.
Direction: Crossing between Yemen and Saudi Arabia; the same-day report says the Yemeni and Saudi sides closed at noon.
Exceptions: Not established. Commercial traffic was reported operating normally afterward; a separate interruption of humanitarian supplies is not established for this brief episode.</x:v>
      </x:c>
      <x:c r="F203" s="4" t="str">
        <x:v>ME015-R1 — Observed operation
Brief interruption of passenger movement at al-Wadea described by local crossing employee
Start: 2017-11-08.
Observed scoped reopening: 2017-11-08.
Same-day episode; no whole-day duration inferred</x:v>
      </x:c>
      <x:c r="G203" s="4" t="str">
        <x:v>Uncoded / Unresolved rationale
Not assigned
Applies to: Not assigned
Removed broad coalition security codes from the specific brief post interruption; no unsupported motive assigned.</x:v>
      </x:c>
      <x:c r="H203" s="4" t="str">
        <x:v>ME015-R1: Single locally attributed account; relation to coalition blockade order is uncertain because source cites legal procedures. Do not report a multi-day blockade or zero hours from same-day dates. Contemporary Yemeni accounts dated 8 November corroborate same-day closure and reopening but do not establish its motive.
relationship of local phase to the coalition order: The two-hour local closure is attributed to legal procedures; available reporting does not establish whether it implemented the coalition blockade or a separate administrative action.
Current rationale finding: The specific interruption has no established official reason. Security codes and blockade title removed; broader coalition context retained as context only.</x:v>
      </x:c>
      <x:c r="I203" s="4" t="str">
        <x:v>Second full-register audit, 26 October 2026: additional source-audited corrections incorporated. See the phase, scope and qualification columns for the accepted findings.</x:v>
      </x:c>
      <x:c r="J203" s="18" t="d">
        <x:v>2026-10-26T00:00:00.000Z</x:v>
      </x:c>
      <x:c r="K203" s="21" t="str">
        <x:f>IFERROR(HYPERLINK("https://sadaalwadi.net/?p=38758","Sada al-Wadi"),"Sada al-Wadi")</x:f>
        <x:v>Sada al-Wadi</x:v>
      </x:c>
      <x:c r="L203" s="21" t="str">
        <x:f>IFERROR(HYPERLINK("https://ye-voice.com/news109027.html","Yemen Voice"),"Yemen Voice")</x:f>
        <x:v>Yemen Voice</x:v>
      </x:c>
      <x:c r="M203" s="21" t="str">
        <x:f>IFERROR(HYPERLINK("https://ye-voice.com/news109026.html","ye-voice.com"),"ye-voice.com")</x:f>
        <x:v>ye-voice.com</x:v>
      </x:c>
      <x:c r="N203" s="4" t="str">
        <x:v>https://sadaalwadi.net/?p=38758
https://ye-voice.com/news109027.html
https://ye-voice.com/news109026.html
https://yemenat.net/?p=308568
https://www.investing.com/news/world-news/saudiled-coalition-opens-yemen-border-crossing-aid-agencies-warn-of-famine-842048
https://www.acaps.org/en/countries/archives/detail/yemen-sea-air-and-land-embargo
https://www.acaps.org/fileadmin/Data_Product/Main_media/20171115_acaps_short_note_yemen_sea_air_and_land_embargo_0.pdf
https://www.almashhad.news/news/97027
https://yemenat.net/archives/308568</x:v>
      </x:c>
      <x:c r="O203" s="4" t="str">
        <x:v>Second full-register audit source access, 26 October 2026
https://sadaalwadi.net/?p=38758: full text (fresh retrieval)
https://ye-voice.com/news109027.html: full text (fresh retrieval)
Earlier URLs not separately inspected in this second assessment:
https://ye-voice.com/news109026.html
https://yemenat.net/?p=308568
https://www.investing.com/news/world-news/saudiled-coalition-opens-yemen-border-crossing-aid-agencies-warn-of-famine-842048
https://www.acaps.org/en/countries/archives/detail/yemen-sea-air-and-land-embargo
https://www.acaps.org/fileadmin/Data_Product/Main_media/20171115_acaps_short_note_yemen_sea_air_and_land_embargo_0.pdf
https://www.almashhad.news/news/97027
https://yemenat.net/archives/308568
Prior audit access record
Full-register audit source access (evidence cutoff 25 October 2026)
https://sadaalwadi.net/?p=38758: full text
https://ye-voice.com/news109027.html: full text
https://www.almashhad.news/news/97027: full text
Earlier source URLs not separately listed in this audit’s retrieval log (historical access notes below are not fresh verification):
https://ye-voice.com/news109026.html
https://yemenat.net/?p=308568
https://www.investing.com/news/world-news/saudiled-coalition-opens-yemen-border-crossing-aid-agencies-warn-of-famine-842048
https://www.acaps.org/en/countries/archives/detail/yemen-sea-air-and-land-embargo
https://www.acaps.org/fileadmin/Data_Product/Main_media/20171115_acaps_short_note_yemen_sea_air_and_land_embargo_0.pdf
https://yemenat.net/archives/308568
Earlier recorded access
Source 1: full
Source 2: full relevant article text
Source 3: access detail is retained in the source catalogue.</x:v>
      </x:c>
      <x:c r="P203" s="20" t="n">
        <x:v>1</x:v>
      </x:c>
      <x:c r="Q203" s="4" t="str">
        <x:v>Middle East</x:v>
      </x:c>
      <x:c r="R203" s="4" t="str">
        <x:v>Included</x:v>
      </x:c>
    </x:row>
    <x:row r="204" ht="409" hidden="0" customHeight="1">
      <x:c r="A204" s="16" t="str">
        <x:v>ME016</x:v>
      </x:c>
      <x:c r="B204" s="4" t="str">
        <x:v>Iraq 2018 election closure order</x:v>
      </x:c>
      <x:c r="C204" s="4" t="str">
        <x:v>Iraq; Türkiye; Iran; Kuwait; Saudi Arabia; Jordan; Syria</x:v>
      </x:c>
      <x:c r="D204" s="4" t="str">
        <x:v>National land crossings</x:v>
      </x:c>
      <x:c r="E204" s="4" t="str">
        <x:v>Not established
Direction: Not established
Exceptions: Not established</x:v>
      </x:c>
      <x:c r="F204" s="4" t="str">
        <x:v>ME016-R1 — Announced window
Iraq announced election closure of land border crossings
Start: 2018-05-11 to 2018-05-12.
Scheduled endpoint: 2018-05-12 to 2018-05-13.
Ordered window: dated evidence; numeric duration withheld; see qualification</x:v>
      </x:c>
      <x:c r="G204"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
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x:v>
      </x:c>
      <x:c r="H204" s="4" t="str">
        <x:v>ME016-R1: Bounds describe competing schedules, not arbitrary duration combinations. No actual land reopening evidence; early airport reopening cannot end this land period. The former 0–2 date-difference range combined endpoints from different schedules and is withdrawn.
actual land implementation: The precise announced schedule remains disputed and the search did not establish completed land reopening. This does not invalidate the explicitly scheduled current phase.
Current continuity finding: Rudaw and EPIC retain competing 24-hour schedules. Neither establishes implemented times at land gates; numerical duration is withheld.</x:v>
      </x:c>
      <x:c r="I204" s="4" t="str">
        <x:v>Second full-register audit, 26 October 2026: qualified. Fresh schedule checks retain the announced 24-hour election restriction and competing noon/midnight wording; no completed land reopening was found.</x:v>
      </x:c>
      <x:c r="J204" s="18" t="d">
        <x:v>2026-10-26T00:00:00.000Z</x:v>
      </x:c>
      <x:c r="K204" s="21" t="str">
        <x:f>IFERROR(HYPERLINK("https://www.rudaw.net/english/middleeast/iraq/090520183","Rudaw"),"Rudaw")</x:f>
        <x:v>Rudaw</x:v>
      </x:c>
      <x:c r="L204" s="21" t="str">
        <x:f>IFERROR(HYPERLINK("https://enablingpeace.org/ishm160/","EPIC"),"EPIC")</x:f>
        <x:v>EPIC</x:v>
      </x:c>
      <x:c r="M204" s="21" t="str">
        <x:f>IFERROR(HYPERLINK("https://iranpress.ir/content/2355/iraq-closes-airports-and-border-crossings-during-election","Iran Press"),"Iran Press")</x:f>
        <x:v>Iran Press</x:v>
      </x:c>
      <x:c r="N204" s="4" t="str">
        <x:v>https://www.rudaw.net/english/middleeast/iraq/090520183
https://enablingpeace.org/ishm160/
https://iranpress.ir/content/2355/iraq-closes-airports-and-border-crossings-during-election
https://www.xinhuanet.com/english/2018-05/10/c_137167537.htm
https://www.rudaw.net/english/categories/middleeast/1021069
https://www.arabnews.com/middle-east/iraq-to-close-airports-and-border-crossings-for-24-hours-during-election-state-tv-1299571
https://www.alsumaria.tv/news/236164/صدور-أمر-بغلق-المنافذ-الحدودية-والمطارات-خلال-الان/ar
https://www.sotaliraq.com/2018/05/07/ايران-تحذر-رعاياها-من-السفر-الى-العراق/</x:v>
      </x:c>
      <x:c r="O204" s="4" t="str">
        <x:v>Second full-register audit source access, 26 October 2026
https://www.rudaw.net/english/middleeast/iraq/090520183: full text (fresh retrieval)
https://enablingpeace.org/ishm160/: full text (fresh retrieval)
https://www.arabnews.com/middle-east/iraq-to-close-airports-and-border-crossings-for-24-hours-during-election-state-tv-1299571: search extract (fresh retrieval)
https://www.alsumaria.tv/news/236164/صدور-أمر-بغلق-المنافذ-الحدودية-والمطارات-خلال-الان/ar: search extract (fresh retrieval) — Arabic source text says 12 in the evening Friday to 12 in the evening Saturday; full fresh opening returned navigation rather than relevant body.
https://www.sotaliraq.com/2018/05/07/ايران-تحذر-رعاياها-من-السفر-الى-العراق/: search extract (fresh retrieval)
Earlier URLs not separately inspected in this second assessment:
https://iranpress.ir/content/2355/iraq-closes-airports-and-border-crossings-during-election
https://www.xinhuanet.com/english/2018-05/10/c_137167537.htm
https://www.rudaw.net/english/categories/middleeast/1021069
Prior audit access record
Full-register audit source access (evidence cutoff 25 October 2026)
https://www.rudaw.net/english/middleeast/iraq/090520183: full text
https://enablingpeace.org/ishm160/: full text
https://iranpress.ir/content/2355/iraq-closes-airports-and-border-crossings-during-election: search extract
Earlier source URLs not separately listed in this audit’s retrieval log (historical access notes below are not fresh verification):
https://www.xinhuanet.com/english/2018-05/10/c_137167537.htm
https://www.rudaw.net/english/categories/middleeast/1021069
Earlier recorded access
Source 1: indexed excerpt; full
Source 2: indexed excerpt; full
Source 3: indexed excerpt</x:v>
      </x:c>
      <x:c r="P204" s="20" t="n">
        <x:v>1</x:v>
      </x:c>
      <x:c r="Q204" s="4" t="str">
        <x:v>Middle East</x:v>
      </x:c>
      <x:c r="R204" s="4" t="str">
        <x:v>Included</x:v>
      </x:c>
    </x:row>
    <x:row r="205" ht="409" hidden="0" customHeight="1">
      <x:c r="A205" s="16" t="str">
        <x:v>ME019</x:v>
      </x:c>
      <x:c r="B205" s="4" t="str">
        <x:v>Pakistan Iran Taftan COVID suspension</x:v>
      </x:c>
      <x:c r="C205" s="4" t="str">
        <x:v>Pakistan; Iran</x:v>
      </x:c>
      <x:c r="D205" s="4" t="str">
        <x:v>Taftan / Mirjaveh</x:v>
      </x:c>
      <x:c r="E205" s="4" t="str">
        <x:v>Trade and Pakistani citizens travelling to Iran
Direction: Initial travel/trade restrictions; limited Iranian-to-Pakistani returnee passage separately documented.
Exceptions: Pakistani returnees admitted by 28 February with screening/quarantine; March trade passage also preceded the May milestone.</x:v>
      </x:c>
      <x:c r="F205" s="4" t="str">
        <x:v>ME019-R1 — Observed operation
Pakistani citizens/pilgrims returning from Iran through Taftan during initial suspension
Start: 2020-02-23 to 2020-02-24.
Observed scoped reopening: 2020-02-28.
4–5 calendar-day difference; scoped endpoint only
ME019-R2 — Observed operation
Initial commercial cargo suspension at Taftan–Mirjaveh, ending with screened truck passage on March 7.
Start: 2020-02-23 to 2020-02-24.
Scoped endpoint: 2020-03-07.
12–13 calendar-day difference; scoped endpoint only</x:v>
      </x:c>
      <x:c r="G20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05" s="4" t="str">
        <x:v>Onset remains bounded February 23–24 in the current phases. Screened Pakistani returnees were admitted February 28 and commercial trucks resumed March 7. May is a later trade milestone; general passenger restoration and later interruption schedules remain unestablished.
ME019-R1: Endpoint restores screened returnees only; no claim all travellers or cargo reopened. Quarantine admission differs from free passage.
ME019-R2: Initial cargo phase only, overlapping the returnee restriction and not additive to it. Later recurring trade restrictions and May or June milestones are not assigned this endpoint. Local outlets may share official reporting; no independent-origin count is inferred.</x:v>
      </x:c>
      <x:c r="I205" s="4" t="str">
        <x:v>Second full-register audit, 26 October 2026: qualified. Fresh returnee and trade reports sustain separate February 28 and March 7 restoration dates, without carrying this initial COVID episode to later trade milestones.</x:v>
      </x:c>
      <x:c r="J205" s="18" t="d">
        <x:v>2026-10-26T00:00:00.000Z</x:v>
      </x:c>
      <x:c r="K205" s="21" t="str">
        <x:f>IFERROR(HYPERLINK("https://www.radio.gov.pk/23-02-2020/pak-iran-border-at-taftan-closed-to-avoid-spread-of-coronavirus-reportedly-found-in-iran","Radio Pakistan"),"Radio Pakistan")</x:f>
        <x:v>Radio Pakistan</x:v>
      </x:c>
      <x:c r="L205" s="21" t="str">
        <x:f>IFERROR(HYPERLINK("https://tribune.com.pk/story/2166219/1-govt-gradually-allow-pakistani-pilgrims-return-iran","Express Tribune"),"Express Tribune")</x:f>
        <x:v>Express Tribune</x:v>
      </x:c>
      <x:c r="M205" s="21" t="str">
        <x:f>IFERROR(HYPERLINK("https://dunyanews.tv/en/Pakistan/534602-150-pilgrims-enter-Pakistan-as-authorities-reopen-border-with-Iran","Dunya News"),"Dunya News")</x:f>
        <x:v>Dunya News</x:v>
      </x:c>
      <x:c r="N205" s="4" t="str">
        <x:v>https://www.radio.gov.pk/23-02-2020/pak-iran-border-at-taftan-closed-to-avoid-spread-of-coronavirus-reportedly-found-in-iran
https://tribune.com.pk/story/2166219/1-govt-gradually-allow-pakistani-pilgrims-return-iran
https://dunyanews.tv/en/Pakistan/534602-150-pilgrims-enter-Pakistan-as-authorities-reopen-border-with-Iran
https://www.brecorder.com/news/577904/pakistan-opens-iran-border-for-trade-despite-coronavirus-threat
https://www.radio.gov.pk/08-03-2020/coronavirus-outbreak-trade-activities-resume-at-pakistan-iran-border
https://www.aa.com.tr/en/asia-pacific/pakistan-iran-border-trade-resumes-amid-virus-surge-/1881341
https://arynews.tv/passengers-arriving-iran-quarantine
https://www.radio.gov.pk/19-06-2020/pakistan-iran-border-reopens-at-mirjaveh-for-trade
https://www.dawn.com/news/1539170
https://www.radio.gov.pk/29-02-2020/pakistan-temporarily-opens-taftan-border-to-allow-over-300-citizens-to-return-from-iran</x:v>
      </x:c>
      <x:c r="O205" s="4" t="str">
        <x:v>Second full-register audit source access, 26 October 2026
https://www.radio.gov.pk/23-02-2020/pak-iran-border-at-taftan-closed-to-avoid-spread-of-coronavirus-reportedly-found-in-iran: full text (fresh retrieval)
https://dunyanews.tv/en/Pakistan/534602-150-pilgrims-enter-Pakistan-as-authorities-reopen-border-with-Iran: full text (fresh retrieval) — Updated February 28; URL retained earlier headcount, body reports 350. No need to adopt unstable headcount.
https://www.brecorder.com/news/577904/pakistan-opens-iran-border-for-trade-despite-coronavirus-threat: full text (fresh retrieval)
https://www.radio.gov.pk/08-03-2020/coronavirus-outbreak-trade-activities-resume-at-pakistan-iran-border: full text (fresh retrieval)
https://www.dawn.com/news/1539170: full text (fresh retrieval)
Earlier URLs not separately inspected in this second assessment:
https://tribune.com.pk/story/2166219/1-govt-gradually-allow-pakistani-pilgrims-return-iran
https://www.aa.com.tr/en/asia-pacific/pakistan-iran-border-trade-resumes-amid-virus-surge-/1881341
https://arynews.tv/passengers-arriving-iran-quarantine
https://www.radio.gov.pk/19-06-2020/pakistan-iran-border-reopens-at-mirjaveh-for-trade
https://www.radio.gov.pk/29-02-2020/pakistan-temporarily-opens-taftan-border-to-allow-over-300-citizens-to-return-from-iran
Prior audit access record
Full-register audit source access (evidence cutoff 25 October 2026)
https://www.radio.gov.pk/23-02-2020/pak-iran-border-at-taftan-closed-to-avoid-spread-of-coronavirus-reportedly-found-in-iran: full text
https://dunyanews.tv/en/Pakistan/534602-150-pilgrims-enter-Pakistan-as-authorities-reopen-border-with-Iran: full text
https://www.brecorder.com/news/577904/pakistan-opens-iran-border-for-trade-despite-coronavirus-threat: full text
Earlier source URLs not separately listed in this audit’s retrieval log (historical access notes below are not fresh verification):
https://tribune.com.pk/story/2166219/1-govt-gradually-allow-pakistani-pilgrims-return-iran
https://www.radio.gov.pk/08-03-2020/coronavirus-outbreak-trade-activities-resume-at-pakistan-iran-border
https://www.aa.com.tr/en/asia-pacific/pakistan-iran-border-trade-resumes-amid-virus-surge-/1881341
https://arynews.tv/passengers-arriving-iran-quarantine
https://www.radio.gov.pk/19-06-2020/pakistan-iran-border-reopens-at-mirjaveh-for-trade
https://www.dawn.com/news/1539170
https://www.radio.gov.pk/29-02-2020/pakistan-temporarily-opens-taftan-border-to-allow-over-300-citizens-to-return-from-iran
Earlier recorded access
Source 1: full
Source 2: indexed excerpt; failed
Source 3: indexed excerpt; full</x:v>
      </x:c>
      <x:c r="P205" s="20" t="n">
        <x:v>2</x:v>
      </x:c>
      <x:c r="Q205" s="4" t="str">
        <x:v>Middle East</x:v>
      </x:c>
      <x:c r="R205" s="4" t="str">
        <x:v>Included</x:v>
      </x:c>
    </x:row>
    <x:row r="206" ht="409" hidden="0" customHeight="1">
      <x:c r="A206" s="16" t="str">
        <x:v>ME007</x:v>
      </x:c>
      <x:c r="B206" s="4" t="str">
        <x:v>Turkey Iran COVID road-crossing restrictions</x:v>
      </x:c>
      <x:c r="C206" s="4" t="str">
        <x:v>Türkiye; Iran</x:v>
      </x:c>
      <x:c r="D206" s="4" t="str">
        <x:v>Gürbulak / Bazargan and other land gates</x:v>
      </x:c>
      <x:c r="E206" s="4" t="str">
        <x:v>Passengers and ordinary road-vehicle movement; freight exceptions and substitute arrangements varied.
Direction: Iran to Türkiye initially; controlled outbound trade treated separately
Exceptions: Controlled exports and transit toward Iran continued initially; screened Turkish returns were permitted at Gürbulak. Rail wagons without personnel were permitted from March 4. On May 5 entry processing began for 280 waiting trucks under quarantine and health precautions; driver nationality was not specified.</x:v>
      </x:c>
      <x:c r="F206" s="4" t="str">
        <x:v>ME007-NP1 — Formal policy
Iran road crossings; June freight endpoint applies to Gürbulak
Start: 2020-02-23.
Policy endpoint: 2020-06-04.
Formal policy: dated evidence; numeric duration withheld; see qualification
ME007-FA1 — Observed operation
Ordinary day-trip pedestrian passage at Gürbulak/Bazargan, distinct from freight and exceptional returns.
Start: 2020-02-23.
Observed scoped reopening: 2021-10-08.
The reopening report explicitly dates closure and describes arriving travellers. No corresponding reopening date is assigned to other Iran–Türkiye gates.</x:v>
      </x:c>
      <x:c r="G20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06" s="4" t="str">
        <x:v>The existing June 4, 2020 endpoint concerns freight permission. Controlled trade, rail substitution and returning-truck exceptions prevent an all-traffic closure interpretation. A separate pedestrian phase at Gürbulak/Bazargan is now established from 23 February 2020 to observed reopening on 8 October 2021. It covers ordinary pedestrian passage, with health checks on return, and does not establish the dates at other gates or exclude exceptional repatriation.</x:v>
      </x:c>
      <x:c r="I206" s="4" t="str">
        <x:v>Second full-register audit, 26 October 2026: qualified. Fresh Turkish sources sustain the separation of freight permission, exceptional returns and the observed 8 October 2021 pedestrian reopening at Gurbulak.</x:v>
      </x:c>
      <x:c r="J206" s="18" t="d">
        <x:v>2026-10-26T00:00:00.000Z</x:v>
      </x:c>
      <x:c r="K206" s="21" t="str">
        <x:f>IFERROR(HYPERLINK("https://covid19.ticaret.gov.tr/gumruk/haber/temassiz-ticarete-iliskin-bilgi-notu","Turkey Trade Ministry"),"Turkey Trade Ministry")</x:f>
        <x:v>Turkey Trade Ministry</x:v>
      </x:c>
      <x:c r="L206" s="21" t="str">
        <x:f>IFERROR(HYPERLINK("https://ticaret.gov.tr/haberler/bakan-pekcan-habur-ve-gurbulak-kapilarinin-acildigini-duyurdu","Türkiye Trade Ministry"),"Türkiye Trade Ministry")</x:f>
        <x:v>Türkiye Trade Ministry</x:v>
      </x:c>
      <x:c r="M206" s="21" t="str">
        <x:f>IFERROR(HYPERLINK("https://h.aa.com.tr/tr/ekonomi/ticaret-bakani-pekcan-gurbulak-sinir-kapisinda-bekleyen-tirlarin-turkiyeye-giris-islemleri-basladi/1829743","Anadolu"),"Anadolu")</x:f>
        <x:v>Anadolu</x:v>
      </x:c>
      <x:c r="N206" s="4" t="str">
        <x:v>https://covid19.ticaret.gov.tr/gumruk/haber/temassiz-ticarete-iliskin-bilgi-notu
https://ticaret.gov.tr/haberler/bakan-pekcan-habur-ve-gurbulak-kapilarinin-acildigini-duyurdu
https://h.aa.com.tr/tr/ekonomi/ticaret-bakani-pekcan-gurbulak-sinir-kapisinda-bekleyen-tirlarin-turkiyeye-giris-islemleri-basladi/1829743
https://wiki.unece.org/pages/viewpage.action?pageId=128420956
https://www.hurriyetdailynews.com/turkey-reopens-customs-gates-with-iran-iraq-155338
https://www.mfa.gov.tr/koronavirus-salginindaki-rol-ve-vizyonumuz-20-04-2022.en.mfa
https://u.aa.com.tr/en/health/turkey-shuts-border-with-iran-over-coronavirus-outbreak/1742448
https://www.saglik.gov.tr/EN,64320/turkey-temporarily-closes-the-border-with-iran.html
https://www.aa.com.tr/tr/ekonomi/ticaret-bakani-pekcan-turkiyeden-irana-ihracat-ve-transit-islemleri-kontrollu-devam-ediyor/1742469
https://www.aa.com.tr/tr/koronavirus/gurbulak-sinir-kapisina-koronavirus-tedbirleri-kapsaminda-termal-kamera-kuruldu/1742738
https://www.hurriyetdailynews.com/turkey-closes-border-with-iran-amid-coronavirus-concerns-152360
https://www.trthaber.com/haber/turkiye/gurbulak-sinir-kapisina-termal-kamera-kuruldu-462707.html
https://www.ticaret.gov.tr/blog/ulkelerden-ticari-haberler/iran/bazargan-gurbulak-sinir-kapisinda-bekleyen-turk-tirlarinin-turkiyeye-gecisi-ba
https://www.und.org.tr/medya-detay/undden-haberler/habur-ve-gurbulak-sinir-kapilarimiz-aciliyor
https://www.aa.com.tr/tr/dunya/gurbulak-gumruk-kapisi-yeniden-yaya-gecislerine-acildi/2386864
https://iranpress.ir/content/48543/iran-turkey-border-bazargan-reopens-for-passenger-commute</x:v>
      </x:c>
      <x:c r="O206" s="4" t="str">
        <x:v>Second full-register audit source access, 26 October 2026
https://www.aa.com.tr/tr/dunya/gurbulak-gumruk-kapisi-yeniden-yaya-gecislerine-acildi/2386864: full text (fresh retrieval)
https://ticaret.gov.tr/haberler/bakan-pekcan-habur-ve-gurbulak-kapilarinin-acildigini-duyurdu: full text (fresh retrieval)
https://covid19.ticaret.gov.tr/gumruk/haber/temassiz-ticarete-iliskin-bilgi-notu: full text (fresh retrieval) — Undated retrospective note; dates individual arrangements explicitly.
https://www.aa.com.tr/tr/ekonomi/ticaret-bakani-pekcan-turkiyeden-irana-ihracat-ve-transit-islemleri-kontrollu-devam-ediyor/1742469: full text (fresh retrieval) — Updated 25 February; embedded ministerial statement is dated 23 February.
https://h.aa.com.tr/tr/ekonomi/ticaret-bakani-pekcan-gurbulak-sinir-kapisinda-bekleyen-tirlarin-turkiyeye-giris-islemleri-basladi/1829743: full text (fresh retrieval)
https://www.aa.com.tr/tr/koronavirus/gurbulak-sinir-kapisina-koronavirus-tedbirleri-kapsaminda-termal-kamera-kuruldu/1742738: full text (fresh retrieval)
Earlier URLs not separately inspected in this second assessment:
https://wiki.unece.org/pages/viewpage.action?pageId=128420956
https://www.hurriyetdailynews.com/turkey-reopens-customs-gates-with-iran-iraq-155338
https://www.mfa.gov.tr/koronavirus-salginindaki-rol-ve-vizyonumuz-20-04-2022.en.mfa
https://u.aa.com.tr/en/health/turkey-shuts-border-with-iran-over-coronavirus-outbreak/1742448
https://www.saglik.gov.tr/EN,64320/turkey-temporarily-closes-the-border-with-iran.html
https://www.hurriyetdailynews.com/turkey-closes-border-with-iran-amid-coronavirus-concerns-152360
https://www.trthaber.com/haber/turkiye/gurbulak-sinir-kapisina-termal-kamera-kuruldu-462707.html
https://www.ticaret.gov.tr/blog/ulkelerden-ticari-haberler/iran/bazargan-gurbulak-sinir-kapisinda-bekleyen-turk-tirlarinin-turkiyeye-gecisi-ba
https://www.und.org.tr/medya-detay/undden-haberler/habur-ve-gurbulak-sinir-kapilarimiz-aciliyor
https://iranpress.ir/content/48543/iran-turkey-border-bazargan-reopens-for-passenger-commute
Prior audit access record
Full-register audit source access (evidence cutoff 25 October 2026)
https://covid19.ticaret.gov.tr/gumruk/haber/temassiz-ticarete-iliskin-bilgi-notu: full text — Live compilation date not specified
https://ticaret.gov.tr/haberler/bakan-pekcan-habur-ve-gurbulak-kapilarinin-acildigini-duyurdu: full text — Does not establish passenger restoration
https://www.aa.com.tr/tr/dunya/gurbulak-gumruk-kapisi-yeniden-yaya-gecislerine-acildi/2386864: full text — Gürbulak only; does not exclude exceptional resident/repatriation passage
https://iranpress.ir/content/48543/iran-turkey-border-bazargan-reopens-for-passenger-commute: full text — Director statement; broader chronology less precise
Earlier source URLs not separately listed in this audit’s retrieval log (historical access notes below are not fresh verification):
https://h.aa.com.tr/tr/ekonomi/ticaret-bakani-pekcan-gurbulak-sinir-kapisinda-bekleyen-tirlarin-turkiyeye-giris-islemleri-basladi/1829743
https://wiki.unece.org/pages/viewpage.action?pageId=128420956
https://www.hurriyetdailynews.com/turkey-reopens-customs-gates-with-iran-iraq-155338
https://www.mfa.gov.tr/koronavirus-salginindaki-rol-ve-vizyonumuz-20-04-2022.en.mfa
https://u.aa.com.tr/en/health/turkey-shuts-border-with-iran-over-coronavirus-outbreak/1742448
https://www.saglik.gov.tr/EN,64320/turkey-temporarily-closes-the-border-with-iran.html
https://www.aa.com.tr/tr/ekonomi/ticaret-bakani-pekcan-turkiyeden-irana-ihracat-ve-transit-islemleri-kontrollu-devam-ediyor/1742469
https://www.aa.com.tr/tr/koronavirus/gurbulak-sinir-kapisina-koronavirus-tedbirleri-kapsaminda-termal-kamera-kuruldu/1742738
https://www.hurriyetdailynews.com/turkey-closes-border-with-iran-amid-coronavirus-concerns-152360
https://www.trthaber.com/haber/turkiye/gurbulak-sinir-kapisina-termal-kamera-kuruldu-462707.html
https://www.ticaret.gov.tr/blog/ulkelerden-ticari-haberler/iran/bazargan-gurbulak-sinir-kapisinda-bekleyen-turk-tirlarinin-turkiyeye-gecisi-ba
https://www.und.org.tr/medya-detay/undden-haberler/habur-ve-gurbulak-sinir-kapilarimiz-aciliyor
Earlier recorded access
Source 1: full
Source 2: full page
Source 3: indexed excerpt; full</x:v>
      </x:c>
      <x:c r="P206" s="20" t="n">
        <x:v>2</x:v>
      </x:c>
      <x:c r="Q206" s="4" t="str">
        <x:v>Middle East</x:v>
      </x:c>
      <x:c r="R206" s="4" t="str">
        <x:v>Included</x:v>
      </x:c>
    </x:row>
    <x:row r="207" ht="409" hidden="0" customHeight="1">
      <x:c r="A207" s="16" t="str">
        <x:v>ME014</x:v>
      </x:c>
      <x:c r="B207" s="4" t="str">
        <x:v>Iraqi Kurdistan Iran Shushme COVID trade closure</x:v>
      </x:c>
      <x:c r="C207" s="4" t="str">
        <x:v>Iraq; Iran</x:v>
      </x:c>
      <x:c r="D207" s="4" t="str">
        <x:v>Shushme / Shushmi</x:v>
      </x:c>
      <x:c r="E207" s="4" t="str">
        <x:v>Commercial freight
Direction: Not established
Exceptions: Not established</x:v>
      </x:c>
      <x:c r="F207" s="4" t="str">
        <x:v>ME014-D1 — Observed operation
Shushme / Shushmi; Commercial freight; Not established
Start: 2020-02-28.
Observed scoped reopening: 2020-05-03.
Contested: dated evidence; numeric duration withheld; see qualification
Held evidence: excluded from numeric duration and animation displays.</x:v>
      </x:c>
      <x:c r="G20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07" s="4" t="str">
        <x:v>May 3 truck passage is directly documented, but a full April 28 Iranian customs statement claims earlier reopening. The first operational restoration and continuity of the reported February 28–May 3 spell remain unresolved. An indexed IRNA summary additionally gives February 25 onset. Evidence is specific to Shushme freight.
ME014-D1: Reuters's May 3 footage and employee interview support operation that day and a reported February 28 onset. An indexed IRNA account instead gives February 25. More materially, an April 28 ISNA report reproduced by Arman Eqtesadi quotes the Iranian customs spokesman saying Shoushmi opened that day; a May 4 Alsumaria official account corroborates May 3 formal reopening. Preserve these conflicting claims and withhold the complete continuous duration until their scope is reconciled. Passenger chronology remains unestablished.
continuity and first reopening: Retain the contested phase and withheld numeric duration. A Kurdish-side order supports April 28 permission; actual implementation and February 25 versus February 28 onset remain unresolved.
Current continuity finding: April 28 and May 3 opening accounts remain unreconciled by traffic or direction. Contested duration remains withheld; stale numerical assurance removed.
start: Retain the contested phase and withheld numeric duration. A Kurdish-side order supports April 28 permission; actual implementation and February 25 versus February 28 onset remain unresolved.</x:v>
      </x:c>
      <x:c r="I207" s="4" t="str">
        <x:v>Second full-register audit, 26 October 2026: qualified. Fresh Reuters footage transcript and Iranian customs account preserve the existing conflict: actual May 3 truck passage versus April 28 reported opening. The earlier order does not establish its implementation.</x:v>
      </x:c>
      <x:c r="J207" s="18" t="d">
        <x:v>2026-10-26T00:00:00.000Z</x:v>
      </x:c>
      <x:c r="K207" s="21" t="str">
        <x:f>IFERROR(HYPERLINK("https://www.reutersconnect.com/item/iraqi-kurdistan-and-iran-border-partially-reopens-for-trade/dGFnOnJldXRlcnMuY29tLDIwMjA6bmV3c21sX1ZBQ0NETTlUWg","Reuters Connect"),"Reuters Connect")</x:f>
        <x:v>Reuters Connect</x:v>
      </x:c>
      <x:c r="L207" s="21" t="str">
        <x:f>IFERROR(HYPERLINK("https://armaneghtesadi.com/484459/1399/02/09/%D9%BE%D9%86%D8%AC-%D9%85%D8%B1%D8%B2-%D8%A8%D8%A7-%D8%B9%D8%B1%D8%A7%D9%82-%D8%A8%D8%A7%D8%B2-%D8%A7%D8%B3%D8%AA/","armaneghtesadi.com"),"armaneghtesadi.com")</x:f>
        <x:v>armaneghtesadi.com</x:v>
      </x:c>
      <x:c r="M207" s="21" t="str">
        <x:f>IFERROR(HYPERLINK("https://www.globalsecurity.org/wmd/library/news/iraq/2020/index_02.htm","globalsecurity.org"),"globalsecurity.org")</x:f>
        <x:v>globalsecurity.org</x:v>
      </x:c>
      <x:c r="N207" s="4" t="str">
        <x:v>https://www.reutersconnect.com/item/iraqi-kurdistan-and-iran-border-partially-reopens-for-trade/dGFnOnJldXRlcnMuY29tLDIwMjA6bmV3c21sX1ZBQ0NETTlUWg
https://armaneghtesadi.com/484459/1399/02/09/%D9%BE%D9%86%D8%AC-%D9%85%D8%B1%D8%B2-%D8%A8%D8%A7-%D8%B9%D8%B1%D8%A7%D9%82-%D8%A8%D8%A7%D8%B2-%D8%A7%D8%B3%D8%AA/
https://www.alsumaria.tv/news/economy/344024/%D8%A7%D9%8A%D8%B1%D8%A7%D9%86-%D8%AA%D8%B9%D9%84%D9%86-%D8%A7%D8%B9%D8%A7%D8%AF%D8%A9-%D9%81%D8%AA%D8%AD-%D9%85%D8%B9%D8%A8%D8%B1%D9%8A%D9%86-%D8%AD%D8%AF%D9%88%D8%AF%D9%8A%D9%8A%D9%86-%D9%85%D8%B9-%D8%A7%D9%84%D8%B9%D8%B1%D8%A7%D9%82
https://www.globalsecurity.org/wmd/library/news/iraq/2020/index_02.htm
https://fa.alalam.ir/news/4892831/عراق-مرز-شوشمی-را-از-امروز-سه-شنبه-باز-می-کند
https://armaneghtesadi.com/484459/1399/02/09/پنج-مرز-با-عراق-باز-است/</x:v>
      </x:c>
      <x:c r="O207" s="4" t="str">
        <x:v>Second full-register audit source access, 26 October 2026
https://www.reutersconnect.com/item/iraqi-kurdistan-and-iran-border-partially-reopens-for-trade/dGFnOnJldXRlcnMuY29tLDIwMjA6bmV3c21sX1ZBQ0NETTlUWg: full text (fresh retrieval)
https://armaneghtesadi.com/484459/1399/02/09/پنج-مرز-با-عراق-باز-است/: full text (fresh retrieval)
https://fa.alalam.ir/news/4892831/عراق-مرز-شوشمی-را-از-امروز-سه-شنبه-باز-می-کند: search extract (previously retrieved text re-examined) — Earlier cached indexed text actually inspected; current full-page retrieval times out. Quotes Kurdish customs order for April 28 and gives 6 Esfand onset.
Earlier URLs not separately inspected in this second assessment:
https://armaneghtesadi.com/484459/1399/02/09/%D9%BE%D9%86%D8%AC-%D9%85%D8%B1%D8%B2-%D8%A8%D8%A7-%D8%B9%D8%B1%D8%A7%D9%82-%D8%A8%D8%A7%D8%B2-%D8%A7%D8%B3%D8%AA/
https://www.alsumaria.tv/news/economy/344024/%D8%A7%D9%8A%D8%B1%D8%A7%D9%86-%D8%AA%D8%B9%D9%84%D9%86-%D8%A7%D8%B9%D8%A7%D8%AF%D8%A9-%D9%81%D8%AA%D8%AD-%D9%85%D8%B9%D8%A8%D8%B1%D9%8A%D9%86-%D8%AD%D8%AF%D9%88%D8%AF%D9%8A%D9%8A%D9%86-%D9%85%D8%B9-%D8%A7%D9%84%D8%B9%D8%B1%D8%A7%D9%82
https://www.globalsecurity.org/wmd/library/news/iraq/2020/index_02.htm
Prior audit access record
Full-register audit source access (evidence cutoff 25 October 2026)
https://www.reutersconnect.com/item/iraqi-kurdistan-and-iran-border-partially-reopens-for-trade/dGFnOnJldXRlcnMuY29tLDIwMjA6bmV3c21sX1ZBQ0NETTlUWg: full text
https://armaneghtesadi.com/484459/1399/02/09/%D9%BE%D9%86%D8%AC-%D9%85%D8%B1%D8%B2-%D8%A8%D8%A7-%D8%B9%D8%B1%D8%A7%D9%82-%D8%A8%D8%A7%D8%B2-%D8%A7%D8%B3%D8%AA/: full text
https://fa.alalam.ir/news/4892831/عراق-مرز-شوشمی-را-از-امروز-سه-شنبه-باز-می-کند: search extract — Direct page returned 502
Earlier source URLs not separately listed in this audit’s retrieval log (historical access notes below are not fresh verification):
https://www.alsumaria.tv/news/economy/344024/%D8%A7%D9%8A%D8%B1%D8%A7%D9%86-%D8%AA%D8%B9%D9%84%D9%86-%D8%A7%D8%B9%D8%A7%D8%AF%D8%A9-%D9%81%D8%AA%D8%AD-%D9%85%D8%B9%D8%A8%D8%B1%D9%8A%D9%86-%D8%AD%D8%AF%D9%88%D8%AF%D9%8A%D9%8A%D9%86-%D9%85%D8%B9-%D8%A7%D9%84%D8%B9%D8%B1%D8%A7%D9%82
https://www.globalsecurity.org/wmd/library/news/iraq/2020/index_02.htm
Earlier recorded access
Source 1: search extract
Source 2: access detail is retained in the source catalogue.
Source 3: access detail is retained in the source catalogue.</x:v>
      </x:c>
      <x:c r="P207" s="20" t="n">
        <x:v>1</x:v>
      </x:c>
      <x:c r="Q207" s="4" t="str">
        <x:v>Middle East</x:v>
      </x:c>
      <x:c r="R207" s="4" t="str">
        <x:v>Included</x:v>
      </x:c>
    </x:row>
    <x:row r="208" ht="409" hidden="0" customHeight="1">
      <x:c r="A208" s="16" t="str">
        <x:v>ME009</x:v>
      </x:c>
      <x:c r="B208" s="4" t="str">
        <x:v>Saudi national COVID citizen travel restrictions</x:v>
      </x:c>
      <x:c r="C208" s="4" t="str">
        <x:v>Saudi Arabia; Jordan; Iraq; Kuwait; Qatar; United Arab Emirates; Yemen; Bahrain</x:v>
      </x:c>
      <x:c r="D208" s="4" t="str">
        <x:v>National land entry/exit ports including causeway; changing exemptions</x:v>
      </x:c>
      <x:c r="E208" s="4" t="str">
        <x:v>Saudi citizens travelling abroad; other populations subject to differing phases
Direction: Not established
Exceptions: From 15 September 2020: specified official, diplomatic, employment, business, medical and student travel under conditions. May 2021 easing retained health eligibility requirements.</x:v>
      </x:c>
      <x:c r="F208" s="4" t="str">
        <x:v>ME009-D1 — Formal policy
Saudi restriction on ordinary citizen leisure departure, to health-eligible citizen travel permission; land component evidenced at King Fahd Causeway.
Start: 2020-03-01 to 2020-03-31.
Policy endpoint: 2021-05-17.
Formal policy: 412–442 calendar-day difference; operational continuity not established</x:v>
      </x:c>
      <x:c r="G20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08" s="4" t="str">
        <x:v>ME009-D1: The whole March onset range is retained. Earlier official/work/business/medical/student permissions are excluded; this is not all-citizen denial. Other gates and the later Saudi–Oman road are not assigned observed first passage.</x:v>
      </x:c>
      <x:c r="I208" s="4" t="str">
        <x:v>Second full-register audit, 26 October 2026: qualified. Fresh evidence supports the scoped ordinary citizen-departure policy and 17 May 2021 easing, with differentiated September exemptions. March remains a range because named-country measures do not establish one universal start.</x:v>
      </x:c>
      <x:c r="J208" s="18" t="d">
        <x:v>2026-10-26T00:00:00.000Z</x:v>
      </x:c>
      <x:c r="K208" s="21" t="str">
        <x:f>IFERROR(HYPERLINK("https://bdnews24.com/world/saudi-arabia-to-open-land-sea-air-borders-as-on-may-17","bdnews24"),"bdnews24")</x:f>
        <x:v>bdnews24</x:v>
      </x:c>
      <x:c r="L208" s="21" t="str">
        <x:f>IFERROR(HYPERLINK("https://www.spa.gov.sa/2133211","Saudi Press Agency"),"Saudi Press Agency")</x:f>
        <x:v>Saudi Press Agency</x:v>
      </x:c>
      <x:c r="M208" s="21" t="str">
        <x:f>IFERROR(HYPERLINK("https://www.arabnews.com/saudi-arabia/saudi-arabia-limits-entry-by-land-from-uae-kuwait-bahrain-amid-coronavirus-threat-1637971","arabnews.com"),"arabnews.com")</x:f>
        <x:v>arabnews.com</x:v>
      </x:c>
      <x:c r="N208" s="4" t="str">
        <x:v>https://bdnews24.com/world/saudi-arabia-to-open-land-sea-air-borders-as-on-may-17
https://www.spa.gov.sa/2133211
https://www.reutersconnect.com/item/a-pileup-of-saudi-nationals-cars-as-they-enter-bahrain-after-saudi-authorities-lift-the-travel-ban-on-its-citizens-after-fourteen-months-due-to-coronavirus-covid-19-restrictions-at-king-fahad-causeway-bahrain/dGFnOnJldXRlcnMuY29tLDIwMjE6bmV3c21sX1JDMkRITjlBWjJTOQ
https://www.arabnews.com/saudi-arabia/saudi-arabia-limits-entry-by-land-from-uae-kuwait-bahrain-amid-coronavirus-threat-1637971
https://www.arabnews.com/saudi-arabia/saudi-citizens-allowed-to-enter-kingdom-by-land-from-uae-bahrain-and-kuwait-1708951
https://english.ajel.sa/news/saudi-arabia-reopens-king-fahd-causeway-for-travelers-to-and-from-bahrain
https://www.uqn.gov.sa/details?p=17570
https://saudigazette.com.sa/article/597910/SAUDI-ARABIA/Saudi-Arabia-to-lift-all-travel-restrictions-on-citizens-from-Jan-1
https://www.spa.gov.sa/2046766
https://saudigazette.com.sa/article/606824/SAUDI-ARABIA/18680-Saudis-traveled-abroad-within-36-hours-after-ban-lifted</x:v>
      </x:c>
      <x:c r="O208" s="4" t="str">
        <x:v>Second full-register audit source access, 26 October 2026
https://bdnews24.com/world/saudi-arabia-to-open-land-sea-air-borders-as-on-may-17: full text (fresh retrieval) — Page updated 8 April 2022; current text remains the May 2 announcement.
https://saudigazette.com.sa/article/597910/SAUDI-ARABIA/Saudi-Arabia-to-lift-all-travel-restrictions-on-citizens-from-Jan-1: full text (fresh retrieval)
https://www.spa.gov.sa/2046766: search extract (fresh retrieval) — Fresh page open had no body; indexed official text inspected. Applies to named countries and Jordan, not one exact universal onset.
https://saudigazette.com.sa/article/606824/SAUDI-ARABIA/18680-Saudis-traveled-abroad-within-36-hours-after-ban-lifted: full text (fresh retrieval)
Earlier URLs not separately inspected in this second assessment:
https://www.spa.gov.sa/2133211
https://www.reutersconnect.com/item/a-pileup-of-saudi-nationals-cars-as-they-enter-bahrain-after-saudi-authorities-lift-the-travel-ban-on-its-citizens-after-fourteen-months-due-to-coronavirus-covid-19-restrictions-at-king-fahad-causeway-bahrain/dGFnOnJldXRlcnMuY29tLDIwMjE6bmV3c21sX1JDMkRITjlBWjJTOQ
https://www.arabnews.com/saudi-arabia/saudi-arabia-limits-entry-by-land-from-uae-kuwait-bahrain-amid-coronavirus-threat-1637971
https://www.arabnews.com/saudi-arabia/saudi-citizens-allowed-to-enter-kingdom-by-land-from-uae-bahrain-and-kuwait-1708951
https://english.ajel.sa/news/saudi-arabia-reopens-king-fahd-causeway-for-travelers-to-and-from-bahrain
https://www.uqn.gov.sa/details?p=17570
Prior audit access record
Full-register audit source access (evidence cutoff 25 October 2026)
https://bdnews24.com/world/saudi-arabia-to-open-land-sea-air-borders-as-on-may-17: full text — Announcement, not all-gate first passage
https://www.spa.gov.sa/2133211: inaccessible — Zero-line response
https://www.spa.gov.sa/2046766: search extract — Not national uniform onset
Earlier source URLs not separately listed in this audit’s retrieval log (historical access notes below are not fresh verification):
https://www.reutersconnect.com/item/a-pileup-of-saudi-nationals-cars-as-they-enter-bahrain-after-saudi-authorities-lift-the-travel-ban-on-its-citizens-after-fourteen-months-due-to-coronavirus-covid-19-restrictions-at-king-fahad-causeway-bahrain/dGFnOnJldXRlcnMuY29tLDIwMjE6bmV3c21sX1JDMkRITjlBWjJTOQ
https://www.arabnews.com/saudi-arabia/saudi-arabia-limits-entry-by-land-from-uae-kuwait-bahrain-amid-coronavirus-threat-1637971
https://www.arabnews.com/saudi-arabia/saudi-citizens-allowed-to-enter-kingdom-by-land-from-uae-bahrain-and-kuwait-1708951
https://english.ajel.sa/news/saudi-arabia-reopens-king-fahd-causeway-for-travelers-to-and-from-bahrain
https://www.uqn.gov.sa/details?p=17570
https://saudigazette.com.sa/article/597910/SAUDI-ARABIA/Saudi-Arabia-to-lift-all-travel-restrictions-on-citizens-from-Jan-1
Earlier recorded access
Source 1: search extract
Source 2: search extract
Source 3: access detail is retained in the source catalogue.</x:v>
      </x:c>
      <x:c r="P208" s="20" t="n">
        <x:v>1</x:v>
      </x:c>
      <x:c r="Q208" s="4" t="str">
        <x:v>Middle East</x:v>
      </x:c>
      <x:c r="R208" s="4" t="str">
        <x:v>Included</x:v>
      </x:c>
    </x:row>
    <x:row r="209" ht="409" hidden="0" customHeight="1">
      <x:c r="A209" s="16" t="str">
        <x:v>ME036</x:v>
      </x:c>
      <x:c r="B209" s="4" t="str">
        <x:v>Jordan national COVID passenger closure</x:v>
      </x:c>
      <x:c r="C209" s="4" t="str">
        <x:v>Jordan; Syria; Iraq; Saudi Arabia; Israel; Palestine (occupied West Bank)</x:v>
      </x:c>
      <x:c r="D209" s="4" t="str">
        <x:v>National land passenger crossings</x:v>
      </x:c>
      <x:c r="E209" s="4" t="str">
        <x:v>Non-essential passenger travel
Direction: Not established
Exceptions: Commercial freight; diplomatic and international organisation categories; Jordanians in neighbouring countries forced to return, subject to health procedures.</x:v>
      </x:c>
      <x:c r="F209" s="4" t="str">
        <x:v>ME036-D1 — Observed operation
Jordan's ordinary private land-passenger restriction, through the September 27 retrospective account.
Start: 2020-03-01 to 2020-03-31.
Last confirmed: 2020-09-27. Reopening is not established.
confirmed through 2020-09-27; at least 180 calendar-day difference; reopening unknown
Later scoped access bound: Roya reported passenger reopening at Al-Mudawwarah, King Hussein Bridge and Sheikh Hussein Bridge on 2020-10-29, subject to prior approval and daily quotas. This is a reported partial reopening, not an all-post national endpoint or a measured first-passenger time.</x:v>
      </x:c>
      <x:c r="G20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09" s="4" t="str">
        <x:v>Land implementation in March remains at month precision. The last restricted-state observation is 27 September 2020. A contemporaneous 29 October report states that three named posts had reopened to approved passengers under quotas. This supports a reported partial-reopening bound for those posts. Its procedural text and absence of a throughput count do not establish first-passenger times, unrestricted entry, national all-post reopening or uninterrupted closure after September 27. Freight, forced returns and diplomatic exceptions remain outside the ordinary passenger scope.</x:v>
      </x:c>
      <x:c r="I209" s="4" t="str">
        <x:v>Second full-register audit, 26 October 2026: qualified. March announcement, September passenger-restriction observation and October 29 three-post partial restoration are supported; the air-suspension date cannot supply a precise land implementation date.</x:v>
      </x:c>
      <x:c r="J209" s="18" t="d">
        <x:v>2026-10-26T00:00:00.000Z</x:v>
      </x:c>
      <x:c r="K209" s="21" t="str">
        <x:f>IFERROR(HYPERLINK("https://jordantimes.com/news/local/schools-suspended-borders-closed-gatherings-banned-govt-responds-continued-coronavirus","Jordan Times"),"Jordan Times")</x:f>
        <x:v>Jordan Times</x:v>
      </x:c>
      <x:c r="L209" s="21" t="str">
        <x:f>IFERROR(HYPERLINK("https://gulfnews.com/world/mena/covid-19-jordan-reopens-three-land-border-crossings-1.74835141","Gulf News"),"Gulf News")</x:f>
        <x:v>Gulf News</x:v>
      </x:c>
      <x:c r="M209" s="21" t="str">
        <x:f>IFERROR(HYPERLINK("https://pmc.ncbi.nlm.nih.gov/articles/PMC9376901/","Nature Communications / PMC"),"Nature Communications / PMC")</x:f>
        <x:v>Nature Communications / PMC</x:v>
      </x:c>
      <x:c r="N209" s="4" t="str">
        <x:v>https://jordantimes.com/news/local/schools-suspended-borders-closed-gatherings-banned-govt-responds-continued-coronavirus
https://gulfnews.com/world/mena/covid-19-jordan-reopens-three-land-border-crossings-1.74835141
https://pmc.ncbi.nlm.nih.gov/articles/PMC9376901/
https://www.arabnews.com/middle-east/jordan-reopens-trade-gateway-with-syria-after-month-long-covid-closure-1740856
https://international.visitjordan.com/mediacenter/shownews/15/
https://en.royanews.tv/news/23108/Three-Jordanian-border-crossings-reopen
https://en.royanews.tv/news/23077/Jordanian-border-crossings-to-reopen-Thursday
https://en.ammonnews.net/article/44285
https://jordantimes.com/news/local/four-land-border-crossings-be-opened-thursday</x:v>
      </x:c>
      <x:c r="O209" s="4" t="str">
        <x:v>Second full-register audit source access, 26 October 2026
https://international.visitjordan.com/mediacenter/shownews/15/: full text (fresh retrieval)
https://jordantimes.com/news/local/schools-suspended-borders-closed-gatherings-banned-govt-responds-continued-coronavirus: search extract (fresh retrieval) — Full indexed text; direct fresh page returned 403.
https://www.arabnews.com/middle-east/jordan-reopens-trade-gateway-with-syria-after-month-long-covid-closure-1740856: full text (fresh retrieval)
https://en.royanews.tv/news/23108/Three-Jordanian-border-crossings-reopen: full text (fresh retrieval)
Earlier URLs not separately inspected in this second assessment:
https://gulfnews.com/world/mena/covid-19-jordan-reopens-three-land-border-crossings-1.74835141
https://pmc.ncbi.nlm.nih.gov/articles/PMC9376901/
https://en.royanews.tv/news/23077/Jordanian-border-crossings-to-reopen-Thursday
https://en.ammonnews.net/article/44285
https://jordantimes.com/news/local/four-land-border-crossings-be-opened-thursday
Prior audit access record
Full-register audit source access (evidence cutoff 25 October 2026)
https://en.royanews.tv/news/23108/Three-Jordanian-border-crossings-reopen: full text — No independent throughput count; not all national gates
https://en.ammonnews.net/article/44285: search extract — Announcement
https://jordantimes.com/news/local/schools-suspended-borders-closed-gatherings-banned-govt-responds-continued-coronavirus: inaccessible — 403
https://jordantimes.com/news/local/four-land-border-crossings-be-opened-thursday: inaccessible — Opening initially returned navigation; article fetch returned 403
Earlier source URLs not separately listed in this audit’s retrieval log (historical access notes below are not fresh verification):
https://gulfnews.com/world/mena/covid-19-jordan-reopens-three-land-border-crossings-1.74835141
https://pmc.ncbi.nlm.nih.gov/articles/PMC9376901/
https://www.arabnews.com/middle-east/jordan-reopens-trade-gateway-with-syria-after-month-long-covid-closure-1740856
https://international.visitjordan.com/mediacenter/shownews/15/
https://en.royanews.tv/news/23077/Jordanian-border-crossings-to-reopen-Thursday
Earlier recorded access
Source 1: search extract
Source 2: search extract
Source 3: search extract</x:v>
      </x:c>
      <x:c r="P209" s="20" t="n">
        <x:v>1</x:v>
      </x:c>
      <x:c r="Q209" s="4" t="str">
        <x:v>Middle East</x:v>
      </x:c>
      <x:c r="R209" s="4" t="str">
        <x:v>Included</x:v>
      </x:c>
    </x:row>
    <x:row r="210" ht="409" hidden="0" customHeight="1">
      <x:c r="A210" s="16" t="str">
        <x:v>ME038</x:v>
      </x:c>
      <x:c r="B210" s="4" t="str">
        <x:v>Saudi Bahrain King Fahd Causeway initial COVID passenger closure</x:v>
      </x:c>
      <x:c r="C210" s="4" t="str">
        <x:v>Saudi Arabia; Bahrain</x:v>
      </x:c>
      <x:c r="D210" s="4" t="str">
        <x:v>King Fahd Causeway</x:v>
      </x:c>
      <x:c r="E210" s="4" t="str">
        <x:v>Passengers with changing citizenship exemptions
Direction: Not established
Exceptions: Humanitarian return exceptions; Saudi citizens, immediate family and domestic staff could return without prior authorisation from July 2020.</x:v>
      </x:c>
      <x:c r="F210" s="4" t="str">
        <x:v>ME038-R1 — Formal policy
Saudi citizens returning from Bahrain by King Fahd Causeway without special prior permission
Start: 2020-03-07.
Policy endpoint: 2020-07-22 to 2020-07-23.
Formal policy: 137–138 calendar-day difference; operational continuity not established</x:v>
      </x:c>
      <x:c r="G21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10" s="4" t="str">
        <x:v>ME038-R1: The contemporaneous SPA-based report specifies the policy taking effect at 23:55 on 7 March 2020, which takes priority over later rounding to 8 March. This dates the formal restriction, not a directly observed first barrier. The embassy statement reported on 23 July says Saudi citizens could return without prior permission from Wednesday 22 July, while another contemporary report dates the land reopening to Thursday 23 July; the endpoint remains bounded to those dates. Earlier humanitarian or specially authorised returns and commercial trucks are excluded. The 137–138 calendar-day policy span is not a continuous physical-closure duration or a September foreign-passenger endpoint.</x:v>
      </x:c>
      <x:c r="I210" s="4" t="str">
        <x:v>Second full-register audit, 26 October 2026: additional source-audited corrections incorporated. See the phase, scope and qualification columns for the accepted findings.</x:v>
      </x:c>
      <x:c r="J210" s="18" t="d">
        <x:v>2026-10-26T00:00:00.000Z</x:v>
      </x:c>
      <x:c r="K210" s="21" t="str">
        <x:f>IFERROR(HYPERLINK("https://www.thenationalnews.com/world/gcc/saudis-allowed-to-return-from-bahrain-via-king-fahd-causeway-1.1053468","The National"),"The National")</x:f>
        <x:v>The National</x:v>
      </x:c>
      <x:c r="L210" s="21" t="str">
        <x:f>IFERROR(HYPERLINK("https://www.newsofbahrain.com/bahrain/72541.html","Daily Tribune"),"Daily Tribune")</x:f>
        <x:v>Daily Tribune</x:v>
      </x:c>
      <x:c r="M210" s="21" t="str">
        <x:f>IFERROR(HYPERLINK("https://www.argaam.com/en/article/articledetail/id/1378633","Argaam"),"Argaam")</x:f>
        <x:v>Argaam</x:v>
      </x:c>
      <x:c r="N210" s="4" t="str">
        <x:v>https://www.thenationalnews.com/world/gcc/saudis-allowed-to-return-from-bahrain-via-king-fahd-causeway-1.1053468
https://www.newsofbahrain.com/bahrain/72541.html
https://www.argaam.com/en/article/articledetail/id/1378633
https://gulfnews.com/world/gulf/saudi/covid-19-saudi-bahrain-bridge-opening-reports-denied-1.1591775943294
https://www.reutersconnect.com/item/people-travel-between-bahrain-and-saudi-arabia-after-covid-19-restrictions-were-eased/dGFnOnJldXRlcnMuY29tLDIwMjA6bmV3c21sX1JDMlRZSTlDQlBXSQ?lastViewed=dGFnOnJldXRlcnMuY29tLDIwMjA6bmV3c21sX1JDMlRZSTlLUEs2UQ&amp;position=2
https://www.arabnews.com/node/1859406/saudi-arabia/1000
https://www.arabnews.com/saudi-arabia/saudi-citizens-allowed-to-enter-kingdom-by-land-from-uae-bahrain-and-kuwait-1708951
https://www.arabnews.com/saudi-arabia/saudi-arabia-limits-entry-by-land-from-uae-kuwait-bahrain-amid-coronavirus-threat-1637971
https://english.ajel.sa/news/saudi-arabia-reopens-king-fahd-causeway-for-travelers-to-and-from-bahrain
https://www.bahrainmirror.com/en/news/57290.html</x:v>
      </x:c>
      <x:c r="O210" s="4" t="str">
        <x:v>Second full-register audit source access, 26 October 2026
https://www.arabnews.com/saudi-arabia/saudi-arabia-limits-entry-by-land-from-uae-kuwait-bahrain-amid-coronavirus-threat-1637971: full text (fresh retrieval)
https://www.thenationalnews.com/world/gcc/saudis-allowed-to-return-from-bahrain-via-king-fahd-causeway-1.1053468: full text (fresh retrieval)
https://www.arabnews.com/saudi-arabia/saudi-citizens-allowed-to-enter-kingdom-by-land-from-uae-bahrain-and-kuwait-1708951: full text (fresh retrieval)
Earlier URLs not separately inspected in this second assessment:
https://www.newsofbahrain.com/bahrain/72541.html
https://www.argaam.com/en/article/articledetail/id/1378633
https://gulfnews.com/world/gulf/saudi/covid-19-saudi-bahrain-bridge-opening-reports-denied-1.1591775943294
https://www.reutersconnect.com/item/people-travel-between-bahrain-and-saudi-arabia-after-covid-19-restrictions-were-eased/dGFnOnJldXRlcnMuY29tLDIwMjA6bmV3c21sX1JDMlRZSTlDQlBXSQ?lastViewed=dGFnOnJldXRlcnMuY29tLDIwMjA6bmV3c21sX1JDMlRZSTlLUEs2UQ&amp;position=2
https://www.arabnews.com/node/1859406/saudi-arabia/1000
https://english.ajel.sa/news/saudi-arabia-reopens-king-fahd-causeway-for-travelers-to-and-from-bahrain
https://www.bahrainmirror.com/en/news/57290.html
Prior audit access record
Full-register audit source access (evidence cutoff 25 October 2026)
https://www.thenationalnews.com/world/gcc/saudis-allowed-to-return-from-bahrain-via-king-fahd-causeway-1.1053468: full text
https://www.argaam.com/en/article/articledetail/id/1378633: full text
Earlier source URLs not separately listed in this audit’s retrieval log (historical access notes below are not fresh verification):
https://www.newsofbahrain.com/bahrain/72541.html
https://gulfnews.com/world/gulf/saudi/covid-19-saudi-bahrain-bridge-opening-reports-denied-1.1591775943294
https://www.reutersconnect.com/item/people-travel-between-bahrain-and-saudi-arabia-after-covid-19-restrictions-were-eased/dGFnOnJldXRlcnMuY29tLDIwMjA6bmV3c21sX1JDMlRZSTlDQlBXSQ?lastViewed=dGFnOnJldXRlcnMuY29tLDIwMjA6bmV3c21sX1JDMlRZSTlLUEs2UQ&amp;position=2
https://www.arabnews.com/node/1859406/saudi-arabia/1000
https://www.arabnews.com/saudi-arabia/saudi-citizens-allowed-to-enter-kingdom-by-land-from-uae-bahrain-and-kuwait-1708951
https://www.arabnews.com/saudi-arabia/saudi-arabia-limits-entry-by-land-from-uae-kuwait-bahrain-amid-coronavirus-threat-1637971
https://english.ajel.sa/news/saudi-arabia-reopens-king-fahd-causeway-for-travelers-to-and-from-bahrain
https://www.bahrainmirror.com/en/news/57290.html
Earlier recorded access
Source 1: indexed excerpt; full
Source 2: indexed excerpt; full
Source 3: indexed excerpt</x:v>
      </x:c>
      <x:c r="P210" s="20" t="n">
        <x:v>1</x:v>
      </x:c>
      <x:c r="Q210" s="4" t="str">
        <x:v>Middle East</x:v>
      </x:c>
      <x:c r="R210" s="4" t="str">
        <x:v>Included</x:v>
      </x:c>
    </x:row>
    <x:row r="211" ht="409" hidden="0" customHeight="1">
      <x:c r="A211" s="16" t="str">
        <x:v>ME008</x:v>
      </x:c>
      <x:c r="B211" s="4" t="str">
        <x:v>Turkey Iraq COVID land-crossing closure</x:v>
      </x:c>
      <x:c r="C211" s="4" t="str">
        <x:v>Türkiye; Iraq</x:v>
      </x:c>
      <x:c r="D211" s="4" t="str">
        <x:v>Habur / Ibrahim Khalil and land crossings</x:v>
      </x:c>
      <x:c r="E211" s="4" t="str">
        <x:v>Passengers and ordinary road-vehicle movement; freight exceptions and substitute arrangements varied.
Direction: Passenger/ordinary vehicle movement at Habur; freight retained through exchange arrangements
Exceptions: Freight continued through container, trailer and driver exchanges. Turkish drivers could enter under quarantine; foreign drivers were not admitted normally.</x:v>
      </x:c>
      <x:c r="F211" s="4" t="str">
        <x:v>ME008-NP1 — Formal policy
Habur on the Iraq frontier
Start: 2020-03-01.
Policy endpoint: 2020-06-04.
Formal policy: dated evidence; numeric duration withheld; see qualification
ME008-FA1 — Observed operation
Turkish truck drivers crossing into Iraq in their own vehicles at Habur/Ibrahim Khalil; freight exchanges continued.
Start: 2020-03-01.
Observed scoped reopening: 2020-08-19.
Türkiye permitted drivers from June 4, but Iraqi-side permission and actual passage came later.
Later passenger-status observation: on 2020-09-15, IOM monitoring reported Ibrahim Al-Khalil operating for incoming and outgoing travellers under permission and health conditions. This does not date the first passenger reopening.</x:v>
      </x:c>
      <x:c r="G21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11" s="4" t="str">
        <x:v>June 4, 2020 was Turkish-side permission for freight drivers. The contemporaneous August 19 report says Iraq had continued to refuse those drivers and describes their actual return in their own trucks that day. The new phase concerns Turkish drivers crossing into Iraq, not a halt to freight, which continued through trailer and driver exchanges. The truck-driver evidence does not establish passenger restoration. Separately, IOM monitoring on 15 September 2020 reported incoming and outgoing passenger operation under restrictions: incoming foreigners needed Interior Ministry permission; outgoing Iraqis needed such permission or Turkish residence, with educational, medical and business exceptions. This is a later partial-access observation, not an exact first reopening or proof of continuity between passenger observations.</x:v>
      </x:c>
      <x:c r="I211" s="4" t="str">
        <x:v>Second full-register audit, 26 October 2026: additional source-audited corrections incorporated. See the phase, scope and qualification columns for the accepted findings.</x:v>
      </x:c>
      <x:c r="J211" s="18" t="d">
        <x:v>2026-10-26T00:00:00.000Z</x:v>
      </x:c>
      <x:c r="K211" s="21" t="str">
        <x:f>IFERROR(HYPERLINK("https://covid19.ticaret.gov.tr/gumruk/haber/temassiz-ticarete-iliskin-bilgi-notu","Turkey Trade Ministry"),"Turkey Trade Ministry")</x:f>
        <x:v>Turkey Trade Ministry</x:v>
      </x:c>
      <x:c r="L211" s="21" t="str">
        <x:f>IFERROR(HYPERLINK("https://ticaret.gov.tr/haberler/bakan-pekcan-habur-ve-gurbulak-kapilarinin-acildigini-duyurdu","Turkey Trade Ministry"),"Turkey Trade Ministry")</x:f>
        <x:v>Turkey Trade Ministry</x:v>
      </x:c>
      <x:c r="M211" s="21" t="str">
        <x:f>IFERROR(HYPERLINK("https://www.hurriyetdailynews.com/turkey-reopens-customs-gates-with-iran-iraq-155338","Hürriyet Daily News"),"Hürriyet Daily News")</x:f>
        <x:v>Hürriyet Daily News</x:v>
      </x:c>
      <x:c r="N211" s="4" t="str">
        <x:v>https://covid19.ticaret.gov.tr/gumruk/haber/temassiz-ticarete-iliskin-bilgi-notu
https://ticaret.gov.tr/haberler/bakan-pekcan-habur-ve-gurbulak-kapilarinin-acildigini-duyurdu
https://www.hurriyetdailynews.com/turkey-reopens-customs-gates-with-iran-iraq-155338
https://wiki.unece.org/pages/viewpage.action?pageId=128420956
https://ticaret.gov.tr/haberler/irak-ile-ticaret-temassiz-surduruluyor
https://www.mfa.gov.tr/koronavirus-salginindaki-rol-ve-vizyonumuz-20-04-2022.en.mfa
https://www.anews.com.tr/world/2020/02/29/turkey-halts-passenger-flights-to-and-from-italy-iraq-and-south-korea
https://bianet.org/haber/border-crossing-between-turkey-iraq-s-krg-closed-due-to-coronavirus-228456
https://h.aa.com.tr/tr/dunya/ikby-habur-ibrahim-halil-gumruk-kapilarini-kovid-19-nedeniyle-yolcu-gecislerine-kapatma-karari-aldi/1930538
https://h.aa.com.tr/tr/ekonomi/bakan-pekcan-habur-ve-gurbulak-kapilari-acildi/1864567
https://mezopotamyaajansi.com/tum-haberler/content/view/107087?page=804
https://www.trthaber.com/haber/turkiye/habur-sinir-kapisindan-tir-ve-kamyonlarin-suruculu-gecisi-basladi-510164.html
https://www.und.org.tr/medya-detay/duyurular/habur-ibrahim-halil-sinir-kapisi-tir-gecisine-aciliyor
https://iraqdtm.iom.int/files/COVID-19/Mobility_Restrictions_Health_Measurement/DTM_COVID_19_Mobility_Restrictions_Health_Measures_08_Sep_to_21_Sep2020.pdf</x:v>
      </x:c>
      <x:c r="O211" s="4" t="str">
        <x:v>Second full-register audit source access, 26 October 2026
https://www.trthaber.com/haber/turkiye/habur-sinir-kapisindan-tir-ve-kamyonlarin-suruculu-gecisi-basladi-510164.html: full text (fresh retrieval)
https://ticaret.gov.tr/haberler/bakan-pekcan-habur-ve-gurbulak-kapilarinin-acildigini-duyurdu: full text (fresh retrieval)
https://covid19.ticaret.gov.tr/gumruk/haber/temassiz-ticarete-iliskin-bilgi-notu: full text (fresh retrieval) — Undated retrospective note; dates individual arrangements explicitly.
https://www.anews.com.tr/world/2020/02/29/turkey-halts-passenger-flights-to-and-from-italy-iraq-and-south-korea: full text (fresh retrieval)
https://www.und.org.tr/medya-detay/duyurular/habur-ibrahim-halil-sinir-kapisi-tir-gecisine-aciliyor: full text (fresh retrieval)
https://iraqdtm.iom.int/files/COVID-19/Mobility_Restrictions_Health_Measurement/DTM_COVID_19_Mobility_Restrictions_Health_Measures_08_Sep_to_21_Sep2020.pdf: search extract (fresh retrieval) — Fresh PDF opening supplied cover and methods in b014; later page retrieval timed out. Specific 15 September operational-status passage inspected in indexed extract; authority/staff monitoring is not individually verified traveller counts.
Earlier URLs not separately inspected in this second assessment:
https://www.hurriyetdailynews.com/turkey-reopens-customs-gates-with-iran-iraq-155338
https://wiki.unece.org/pages/viewpage.action?pageId=128420956
https://ticaret.gov.tr/haberler/irak-ile-ticaret-temassiz-surduruluyor
https://www.mfa.gov.tr/koronavirus-salginindaki-rol-ve-vizyonumuz-20-04-2022.en.mfa
https://bianet.org/haber/border-crossing-between-turkey-iraq-s-krg-closed-due-to-coronavirus-228456
https://h.aa.com.tr/tr/dunya/ikby-habur-ibrahim-halil-gumruk-kapilarini-kovid-19-nedeniyle-yolcu-gecislerine-kapatma-karari-aldi/1930538
https://h.aa.com.tr/tr/ekonomi/bakan-pekcan-habur-ve-gurbulak-kapilari-acildi/1864567
https://mezopotamyaajansi.com/tum-haberler/content/view/107087?page=804
Prior audit access record
Full-register audit source access (evidence cutoff 25 October 2026)
https://covid19.ticaret.gov.tr/gumruk/haber/temassiz-ticarete-iliskin-bilgi-notu: full text — Trade scope
https://ticaret.gov.tr/haberler/bakan-pekcan-habur-ve-gurbulak-kapilarinin-acildigini-duyurdu: full text — Iraqi implementation differs
https://www.trthaber.com/haber/turkiye/habur-sinir-kapisindan-tir-ve-kamyonlarin-suruculu-gecisi-basladi-510164.html: search extract — Direct open timed out; detailed indexed article text inspected
https://bianet.org/haber/border-crossing-between-turkey-iraq-s-krg-closed-due-to-coronavirus-228456: full text — June passenger endpoint not independently corroborated
Earlier source URLs not separately listed in this audit’s retrieval log (historical access notes below are not fresh verification):
https://www.hurriyetdailynews.com/turkey-reopens-customs-gates-with-iran-iraq-155338
https://wiki.unece.org/pages/viewpage.action?pageId=128420956
https://ticaret.gov.tr/haberler/irak-ile-ticaret-temassiz-surduruluyor
https://www.mfa.gov.tr/koronavirus-salginindaki-rol-ve-vizyonumuz-20-04-2022.en.mfa
https://www.anews.com.tr/world/2020/02/29/turkey-halts-passenger-flights-to-and-from-italy-iraq-and-south-korea
https://h.aa.com.tr/tr/dunya/ikby-habur-ibrahim-halil-gumruk-kapilarini-kovid-19-nedeniyle-yolcu-gecislerine-kapatma-karari-aldi/1930538
https://h.aa.com.tr/tr/ekonomi/bakan-pekcan-habur-ve-gurbulak-kapilari-acildi/1864567
https://mezopotamyaajansi.com/tum-haberler/content/view/107087?page=804
Earlier recorded access
Source 1: full
Source 2: indexed excerpt
Source 3: indexed excerpt</x:v>
      </x:c>
      <x:c r="P211" s="20" t="n">
        <x:v>2</x:v>
      </x:c>
      <x:c r="Q211" s="4" t="str">
        <x:v>Middle East</x:v>
      </x:c>
      <x:c r="R211" s="4" t="str">
        <x:v>Included</x:v>
      </x:c>
    </x:row>
    <x:row r="212" ht="409" hidden="0" customHeight="1">
      <x:c r="A212" s="16" t="str">
        <x:v>ME011</x:v>
      </x:c>
      <x:c r="B212" s="4" t="str">
        <x:v>Oman initial COVID selective entry prohibition</x:v>
      </x:c>
      <x:c r="C212" s="4" t="str">
        <x:v>Oman; United Arab Emirates; Yemen</x:v>
      </x:c>
      <x:c r="D212" s="4" t="str">
        <x:v>National land entry ports</x:v>
      </x:c>
      <x:c r="E212" s="4" t="str">
        <x:v>Passenger entry and Omani citizen departure; freight is outside these phases.
Direction: Into Oman for the March 17 initial and March 18 successor rules; out of Oman for the separate March 18 citizen-departure prohibition.
Exceptions: Omanis could enter throughout; GCC citizens were excepted only under the initial March 17 rule, before noon March 18. By October 1, published land-travel guidance allowed valid residents to return subject to health and insurance requirements and permitted departures with a two-week stay abroad, with stated commuter and medical exceptions. Tourist visa issuance remained suspended.</x:v>
      </x:c>
      <x:c r="F212" s="4" t="str">
        <x:v>ME011-FU1 — Formal policy
Omani land ports operating in March 2020; land component of a multi-mode rule
Start: 2020-03-17.
Policy endpoint: 2020-03-18.
Formal policy: 1 calendar-day difference; operational continuity not established
ME011-C7P1 — Formal policy
Land component of Oman successor entry prohibition for non-Omanis, including GCC nationals
Start: 2020-03-18.
Partial policy easing for valid residents established by 2020-10-01; tourist visa issuance remained suspended. Full non-resident endpoint unknown.
Formal policy: dated evidence; numeric duration withheld; see qualification
ME011-C7P2 — Formal policy
Land component of Oman prohibition on Omani citizens departing
Start: 2020-03-18.
Conditional land-departure permission established by 2020-10-01. Exact first easing date and actual gate-level resumption are not established.
Formal policy: dated evidence; numeric duration withheld; see qualification</x:v>
      </x:c>
      <x:c r="G21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12" s="4" t="str">
        <x:v>ME011-FU1: The initial March 17 rule was strengthened on March 18. This is supersession of a policy version, not reopening.
ME011-C7P1: The successor rule included GCC nationals. By October 1, published Ministry of Health guidance permitted valid residents to return with PCR, quarantine and insurance conditions; tourist visa issuance remained suspended. This is partial policy easing for residents, not an observed reopening for all non-Omanis.
ME011-C7P2: The October 1 land-travel guidance permitted departure subject to a two-week stay abroad, with stated commuter/medical exceptions. It bounds the former blanket citizen departure prohibition without proving uniform physical enforcement or the first actual crossing date.
Freight remains outside these passenger phases. This record is distinct from the January 2021 closure and does not assume the later direct Saudi road already operated. Numeric operational duration remains withheld.
The October 4 MEED chronology described ordinary land travel as still closed except for special permits, goods and medical supplies. This reinforces the distinction between the October 1 conditional guidance and proof of unrestricted operation. The July 14 citizen-travel easing explicitly concerned airports and cannot date land reopening.</x:v>
      </x:c>
      <x:c r="I212" s="4" t="str">
        <x:v>Second full-register audit, 26 October 2026: additional source-audited corrections incorporated. See the phase, scope and qualification columns for the accepted findings.</x:v>
      </x:c>
      <x:c r="J212" s="18" t="d">
        <x:v>2026-10-26T00:00:00.000Z</x:v>
      </x:c>
      <x:c r="K212" s="21" t="str">
        <x:f>IFERROR(HYPERLINK("https://www.moh.gov.om/en/media-center/news/covid-19-supreme-committee-issues-new-decisions/","Oman Health Ministry"),"Oman Health Ministry")</x:f>
        <x:v>Oman Health Ministry</x:v>
      </x:c>
      <x:c r="L212" s="21" t="str">
        <x:f>IFERROR(HYPERLINK("https://decree.om/2020/covidcs20200317/","decree.om"),"decree.om")</x:f>
        <x:v>decree.om</x:v>
      </x:c>
      <x:c r="M212" s="21" t="str">
        <x:f>IFERROR(HYPERLINK("https://timesofoman.com/article/91746-travelling-outside-oman-by-land-heres-what-you-need-to-know","Times of Oman"),"Times of Oman")</x:f>
        <x:v>Times of Oman</x:v>
      </x:c>
      <x:c r="N212" s="4" t="str">
        <x:v>https://www.moh.gov.om/en/media-center/news/covid-19-supreme-committee-issues-new-decisions/
https://decree.om/2020/covidcs20200317/
https://timesofoman.com/article/91746-travelling-outside-oman-by-land-heres-what-you-need-to-know
https://www.meed.com/covid-19-curbs-return-in-lebanon-and-morocco
https://cdn.timesofoman.com/article/91451-exclusive-oman-to-open-land-borders-from-october-1
https://timesofoman.com/article/91451-exclusive-oman-to-open-land-borders-from-october-1
https://decree.om/2020/covidcs20200714/</x:v>
      </x:c>
      <x:c r="O212" s="4" t="str">
        <x:v>Second full-register audit source access, 26 October 2026
https://www.moh.gov.om/en/media-center/news/covid-19-supreme-committee-issues-new-decisions/: full text (fresh retrieval)
https://decree.om/2020/covidcs20200317/: full text (fresh retrieval)
https://timesofoman.com/article/91746-travelling-outside-oman-by-land-heres-what-you-need-to-know: full text (fresh retrieval)
https://decree.om/2020/covidcs20200714/: full text (fresh retrieval)
https://www.meed.com/covid-19-curbs-return-in-lebanon-and-morocco: full text (fresh retrieval)
Earlier URLs not separately inspected in this second assessment:
https://cdn.timesofoman.com/article/91451-exclusive-oman-to-open-land-borders-from-october-1
https://timesofoman.com/article/91451-exclusive-oman-to-open-land-borders-from-october-1
Prior audit access record
Full-register audit source access (evidence cutoff 25 October 2026)
https://www.moh.gov.om/en/media-center/news/covid-19-supreme-committee-issues-new-decisions/: search extract — Page open initially showed navigation; substantive indexed text inspected
https://decree.om/2020/covidcs20200317/: full text — Formal policy
https://timesofoman.com/article/91746-travelling-outside-oman-by-land-heres-what-you-need-to-know: full text — Not actual crossing throughput; tourists still excluded
https://timesofoman.com/article/91451-exclusive-oman-to-open-land-borders-from-october-1: search extract — Advance announcement; exact publication day not established
https://decree.om/2020/covidcs20200714/: search extract — Not land reopening
https://timesofoman.com/article/91746-travelling-outside-oman-by-land-heres-what-you-need-to-know: full text
Earlier source URLs not separately listed in this audit’s retrieval log (historical access notes below are not fresh verification):
https://www.meed.com/covid-19-curbs-return-in-lebanon-and-morocco
https://cdn.timesofoman.com/article/91451-exclusive-oman-to-open-land-borders-from-october-1
Earlier recorded access
Source 1: full
Source 2: access detail is retained in the source catalogue.
Source 3: full</x:v>
      </x:c>
      <x:c r="P212" s="20" t="n">
        <x:v>3</x:v>
      </x:c>
      <x:c r="Q212" s="4" t="str">
        <x:v>Middle East</x:v>
      </x:c>
      <x:c r="R212" s="4" t="str">
        <x:v>Included</x:v>
      </x:c>
    </x:row>
    <x:row r="213" ht="318" hidden="0" customHeight="1">
      <x:c r="A213" s="16" t="str">
        <x:v>ME037</x:v>
      </x:c>
      <x:c r="B213" s="4" t="str">
        <x:v>Jordan Syria Jaber COVID freight closure</x:v>
      </x:c>
      <x:c r="C213" s="4" t="str">
        <x:v>Jordan; Syria</x:v>
      </x:c>
      <x:c r="D213" s="4" t="str">
        <x:v>Jaber / Nassib</x:v>
      </x:c>
      <x:c r="E213" s="4" t="str">
        <x:v>Commercial freight
Direction: Not established
Exceptions: Conditional entry permission for commercial trucks stranded between the crossings on September 12 2020.</x:v>
      </x:c>
      <x:c r="F213" s="4" t="str">
        <x:v>ME037-D1 — Observed operation
Ordinary commercial traffic at Jaber–Nassib, excluding special permission for stranded trucks, to general commercial restoration September 27.
Start: 2020-08-13.
Observed scoped reopening: 2020-09-27.
45 calendar-day difference; scoped endpoint only</x:v>
      </x:c>
      <x:c r="G21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13" s="4" t="str">
        <x:v>The ordinary freight restriction began August 13 and general commercial restoration occurred September 27. Conditional stranded-truck admission on September 12 prevents an all-truck continuous closure reading. This overlaps ME036 passenger policy and is not additive national closure time.
ME037-D1: North Press reports conditional admission of stranded trucks on September 12. This phase therefore measures the ordinary commercial restriction with that exception, not a continuously sealed gate. Reopening used health-controlled cargo handling. Passenger restrictions continued separately under ME036, and overlapping days are not additive.</x:v>
      </x:c>
      <x:c r="I213" s="4" t="str">
        <x:v>Second full-register audit, 26 October 2026: qualified. August 13 ordinary freight restriction and September 27 commercial return are supported, with September 12 stranded-truck permission retained as a real exception.</x:v>
      </x:c>
      <x:c r="J213" s="18" t="d">
        <x:v>2026-10-26T00:00:00.000Z</x:v>
      </x:c>
      <x:c r="K213" s="21" t="str">
        <x:f>IFERROR(HYPERLINK("https://www.arabnews.com/middle-east/jordan-reopens-trade-gateway-with-syria-after-month-long-covid-closure-1740856","Arab News"),"Arab News")</x:f>
        <x:v>Arab News</x:v>
      </x:c>
      <x:c r="L213" s="21" t="str">
        <x:f>IFERROR(HYPERLINK("https://www.arabnews.com/node/1718931/middle-east","arabnews.com"),"arabnews.com")</x:f>
        <x:v>arabnews.com</x:v>
      </x:c>
      <x:c r="M213" s="21" t="str">
        <x:f>IFERROR(HYPERLINK("https://npasyria.com/en/47405/","npasyria.com"),"npasyria.com")</x:f>
        <x:v>npasyria.com</x:v>
      </x:c>
      <x:c r="N213" s="4" t="str">
        <x:v>https://www.arabnews.com/middle-east/jordan-reopens-trade-gateway-with-syria-after-month-long-covid-closure-1740856
https://www.arabnews.com/node/1718931/middle-east
https://npasyria.com/en/47405/
https://jordantimes.com/news/local/jaber-crossing-syria-be-closed-over-virus-concerns</x:v>
      </x:c>
      <x:c r="O213" s="4" t="str">
        <x:v>Second full-register audit source access, 26 October 2026
https://www.arabnews.com/node/1718931/middle-east: full text (fresh retrieval)
https://npasyria.com/en/47405/: full text (fresh retrieval)
https://www.arabnews.com/middle-east/jordan-reopens-trade-gateway-with-syria-after-month-long-covid-closure-1740856: full text (fresh retrieval)
Earlier URLs not separately inspected in this second assessment:
https://jordantimes.com/news/local/jaber-crossing-syria-be-closed-over-virus-concerns
Prior audit access record
Full-register audit source access (evidence cutoff 25 October 2026)
https://www.arabnews.com/middle-east/jordan-reopens-trade-gateway-with-syria-after-month-long-covid-closure-1740856: full text
https://npasyria.com/en/47405/: full text
https://www.arabnews.com/node/1718931/middle-east: full text
Earlier source URLs not separately listed in this audit’s retrieval log (historical access notes below are not fresh verification):
https://jordantimes.com/news/local/jaber-crossing-syria-be-closed-over-virus-concerns
Earlier recorded access
Source 1: full page
Source 2: access detail is retained in the source catalogue.
Source 3: access detail is retained in the source catalogue.</x:v>
      </x:c>
      <x:c r="P213" s="20" t="n">
        <x:v>1</x:v>
      </x:c>
      <x:c r="Q213" s="4" t="str">
        <x:v>Middle East</x:v>
      </x:c>
      <x:c r="R213" s="4" t="str">
        <x:v>Included</x:v>
      </x:c>
    </x:row>
    <x:row r="214" ht="409" hidden="0" customHeight="1">
      <x:c r="A214" s="16" t="str">
        <x:v>ME010</x:v>
      </x:c>
      <x:c r="B214" s="4" t="str">
        <x:v>Saudi December 2020 variant-related entry suspension</x:v>
      </x:c>
      <x:c r="C214" s="4" t="str">
        <x:v>Saudi Arabia; Jordan; Iraq; Kuwait; Qatar; United Arab Emirates; Yemen; Bahrain</x:v>
      </x:c>
      <x:c r="D214" s="4" t="str">
        <x:v>National land entry ports</x:v>
      </x:c>
      <x:c r="E214" s="4" t="str">
        <x:v>People entering
Direction: Entry
Exceptions: Goods and supply chains; emergency categories</x:v>
      </x:c>
      <x:c r="F214" s="4" t="str">
        <x:v>ME010-R1 — Formal policy
Temporary variant-related suspension of otherwise eligible passenger entry to Saudi Arabia via operational land ports
Start: 2020-12-20 to 2020-12-21.
Policy endpoint: 2021-01-03.
Formal policy: 13–14 calendar-day difference; operational continuity not established</x:v>
      </x:c>
      <x:c r="G21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14" s="4" t="str">
        <x:v>ME010-R1: Endpoint at 11:00; goods/supply chains excepted, broader citizen-travel ban persists, and origin-specific quarantine conditions apply. No Saudi–Oman road assumed.</x:v>
      </x:c>
      <x:c r="I214" s="4" t="str">
        <x:v>Second full-register audit, 26 October 2026: qualified. Fresh onset and lifting reports support the December 20–21 date bound and 3 January 2021 11:00 formal endpoint; this is distinct from the longer citizen-departure ban.</x:v>
      </x:c>
      <x:c r="J214" s="18" t="d">
        <x:v>2026-10-26T00:00:00.000Z</x:v>
      </x:c>
      <x:c r="K214" s="21" t="str">
        <x:f>IFERROR(HYPERLINK("https://www.khaleejtimes.com/lifestyle/health/new-covid-variant-saudi-arabia-ends-entry-ban-to-reopen-borders-today-with-some-virus-restrictions","Khaleej Times / AFP / SPA"),"Khaleej Times / AFP / SPA")</x:f>
        <x:v>Khaleej Times / AFP / SPA</x:v>
      </x:c>
      <x:c r="L214" s="21" t="str">
        <x:f>IFERROR(HYPERLINK("https://www.emro.who.int/images/stories/saudi_arabia/saudi-arabia-covid-sit-rep-209-2021-01-03.pdf","WHO Riyadh"),"WHO Riyadh")</x:f>
        <x:v>WHO Riyadh</x:v>
      </x:c>
      <x:c r="M214" s="21" t="str">
        <x:f>IFERROR(HYPERLINK("https://www.spa.gov.sa/2172854","spa.gov.sa"),"spa.gov.sa")</x:f>
        <x:v>spa.gov.sa</x:v>
      </x:c>
      <x:c r="N214" s="4" t="str">
        <x:v>https://www.khaleejtimes.com/lifestyle/health/new-covid-variant-saudi-arabia-ends-entry-ban-to-reopen-borders-today-with-some-virus-restrictions
https://www.emro.who.int/images/stories/saudi_arabia/saudi-arabia-covid-sit-rep-209-2021-01-03.pdf
https://www.spa.gov.sa/2172854
https://www.uqn.gov.sa/details?p=17209
https://saudigazette.com.sa/article/601634/SAUDI-ARABIA/Saudi-Arabia-shuts-land-air-sea-borders-over-fears-of-a-new-strain-of-coronavirus
https://www.arabnews.com/news/flights-to-saudi-arabia-resume-as-kingdom-ends-temporary-travel-ban-1786516
https://www.arabnews.com/saudi-arabia/flights-to-saudi-arabia-resume-as-kingdom-ends-temporary-travel-ban-1786461</x:v>
      </x:c>
      <x:c r="O214" s="4" t="str">
        <x:v>Second full-register audit source access, 26 October 2026
https://saudigazette.com.sa/article/601634/SAUDI-ARABIA/Saudi-Arabia-shuts-land-air-sea-borders-over-fears-of-a-new-strain-of-coronavirus: full text (fresh retrieval)
https://www.khaleejtimes.com/lifestyle/health/new-covid-variant-saudi-arabia-ends-entry-ban-to-reopen-borders-today-with-some-virus-restrictions: full text (fresh retrieval)
Earlier URLs not separately inspected in this second assessment:
https://www.emro.who.int/images/stories/saudi_arabia/saudi-arabia-covid-sit-rep-209-2021-01-03.pdf
https://www.spa.gov.sa/2172854
https://www.uqn.gov.sa/details?p=17209
https://www.arabnews.com/news/flights-to-saudi-arabia-resume-as-kingdom-ends-temporary-travel-ban-1786516
https://www.arabnews.com/saudi-arabia/flights-to-saudi-arabia-resume-as-kingdom-ends-temporary-travel-ban-1786461
Prior audit access record
Full-register audit source access (evidence cutoff 25 October 2026)
https://www.khaleejtimes.com/lifestyle/health/new-covid-variant-saudi-arabia-ends-entry-ban-to-reopen-borders-today-with-some-virus-restrictions: full text
https://www.emro.who.int/images/stories/saudi_arabia/saudi-arabia-covid-sit-rep-209-2021-01-03.pdf: inaccessible — 502
Earlier source URLs not separately listed in this audit’s retrieval log (historical access notes below are not fresh verification):
https://www.spa.gov.sa/2172854
https://www.uqn.gov.sa/details?p=17209
https://saudigazette.com.sa/article/601634/SAUDI-ARABIA/Saudi-Arabia-shuts-land-air-sea-borders-over-fears-of-a-new-strain-of-coronavirus
https://www.arabnews.com/news/flights-to-saudi-arabia-resume-as-kingdom-ends-temporary-travel-ban-1786516
https://www.arabnews.com/saudi-arabia/flights-to-saudi-arabia-resume-as-kingdom-ends-temporary-travel-ban-1786461
Earlier recorded access
Source 1: indexed excerpt
Source 2: full
Source 3: indexed excerpt</x:v>
      </x:c>
      <x:c r="P214" s="20" t="n">
        <x:v>1</x:v>
      </x:c>
      <x:c r="Q214" s="4" t="str">
        <x:v>Middle East</x:v>
      </x:c>
      <x:c r="R214" s="4" t="str">
        <x:v>Included</x:v>
      </x:c>
    </x:row>
    <x:row r="215" ht="409" hidden="0" customHeight="1">
      <x:c r="A215" s="16" t="str">
        <x:v>ME031</x:v>
      </x:c>
      <x:c r="B215" s="4" t="str">
        <x:v>Kuwait December 2020 variant-related border closure</x:v>
      </x:c>
      <x:c r="C215" s="4" t="str">
        <x:v>Kuwait; Iraq; Saudi Arabia</x:v>
      </x:c>
      <x:c r="D215" s="4" t="str">
        <x:v>National land ports</x:v>
      </x:c>
      <x:c r="E215" s="4" t="str">
        <x:v>Ordinary returning Kuwaiti citizens through Nuwaiseeb from Saudi Arabia.
Direction: Into Kuwait.
Exceptions: Extraordinary permissions are not inventoried. The 2 January 2021 limited opening does not establish reopening for every nationality, crossing or land-freight category.</x:v>
      </x:c>
      <x:c r="F215" s="4" t="str">
        <x:v>ME031-R1 — Observed operation
Ordinary returning Kuwaiti citizens through Nuwaiseeb from Saudi Arabia
Start: 2020-12-21.
Observed scoped reopening: 2021-01-02.
12 calendar-day difference; scoped endpoint only</x:v>
      </x:c>
      <x:c r="G215" s="4" t="str">
        <x:v>Health and biosecurity / Human disease control
Attributed official justification
Applies to: Recorded episode; exact overlap not separately established
The recorded rationale and claim assessment support the selected subcategories. All applicable broad categories are retained together; no primary rationale is imposed.</x:v>
      </x:c>
      <x:c r="H215" s="4" t="str">
        <x:v>ME031-R1: 21 December 23:00 onset, 2 January 09:00 limited opening; hours then 09:00–15:00. Does not establish all-nationality or all-post reopening; extraordinary permissions not inventoried.</x:v>
      </x:c>
      <x:c r="I215" s="4" t="str">
        <x:v>Second full-register audit, 26 October 2026: additional source-audited corrections incorporated. See the phase, scope and qualification columns for the accepted findings.</x:v>
      </x:c>
      <x:c r="J215" s="18" t="d">
        <x:v>2026-10-26T00:00:00.000Z</x:v>
      </x:c>
      <x:c r="K215" s="21" t="str">
        <x:f>IFERROR(HYPERLINK("https://www.ynetnews.com/article/BJku5fCnv","Ynet"),"Ynet")</x:f>
        <x:v>Ynet</x:v>
      </x:c>
      <x:c r="L215" s="21" t="str">
        <x:f>IFERROR(HYPERLINK("https://gulfbusiness.com/en/2020/covid-19/kuwait-to-resume-flights-reopen-borders-on-january-2/","Gulf Business"),"Gulf Business")</x:f>
        <x:v>Gulf Business</x:v>
      </x:c>
      <x:c r="M215" s="21" t="str">
        <x:f>IFERROR(HYPERLINK("https://www.arabtimesonline.com/news/cabinet-holds-weekly-meeting-all-ports-to-open-on-jan-2nd/","Arab Times"),"Arab Times")</x:f>
        <x:v>Arab Times</x:v>
      </x:c>
      <x:c r="N215" s="4" t="str">
        <x:v>https://www.ynetnews.com/article/BJku5fCnv
https://gulfbusiness.com/en/2020/covid-19/kuwait-to-resume-flights-reopen-borders-on-january-2/
https://www.alraimedia.com/article/1515019/%D9%85%D8%AD%D9%84%D9%8A%D8%A7%D8%AA/%D8%A7%D9%81%D8%AA%D8%AA%D8%A7%D8%AD-%D9%85%D8%AD%D8%AF%D9%88%D8%AF-%D9%84%D9%84%D9%85%D9%86%D8%A7%D9%81%D8%B0-%D8%A7%D9%84%D8%A8%D8%B1%D9%8A%D8%A9-%D8%A8%D9%8A%D9%86-%D8%A7%D9%84%D9%83%D9%88%D9%8A%D8%AA-%D9%88%D8%A7%D9%84%D8%B3%D8%B9%D9%88%D8%AF%D9%8A%D8%A9
https://www.alraimedia.com/article/1514983/%D9%85%D8%AD%D9%84%D9%8A%D8%A7%D8%AA/%D9%88%D8%B2%D9%8A%D8%B1-%D8%A7%D9%84%D8%AF%D8%A7%D8%AE%D9%84%D9%8A%D8%A9-%D9%8A%D8%AA%D9%81%D9%82%D8%AF-%D9%85%D9%86%D9%81%D8%B0-%D8%A7%D9%84%D9%86%D9%88%D9%8A%D8%B5%D9%8A%D8%A8-%D8%A7%D9%84%D8%AD%D8%AF%D9%88%D8%AF%D9%8A
https://www.arabtimesonline.com/news/cabinet-holds-weekly-meeting-all-ports-to-open-on-jan-2nd/
https://www.alraimedia.com/article/1514983/محليات/وزير-الداخلية-يتفقد-منفذ-النويصيب-الحدودي
https://www.alraimedia.com/article/1515019/محليات/افتتاح-محدود-للمنافذ-البرية-بين-الكويت-والسعودية
https://www.arabnews.com/node/1784156/middle-east
https://ambalkuwait.esteri.it/it/news/dall_ambasciata/2020/12/sospensione-dei-trasporti-marittimi/
https://kuwaittimes.com/cabinet-borders-reopen-flights-resume-from-jan-2/
https://kuwaittimes.com/kuwait-halts-flights-closes-borders-over-virus-variant/owl.video.play.png</x:v>
      </x:c>
      <x:c r="O215" s="4" t="str">
        <x:v>Second full-register audit source access, 26 October 2026
https://ambalkuwait.esteri.it/it/news/dall_ambasciata/2020/12/sospensione-dei-trasporti-marittimi/: full text (fresh retrieval)
https://www.alraimedia.com/article/1514983/محليات/وزير-الداخلية-يتفقد-منفذ-النويصيب-الحدودي: full text (fresh retrieval)
https://www.alraimedia.com/article/1515019/محليات/افتتاح-محدود-للمنافذ-البرية-بين-الكويت-والسعودية: full text (fresh retrieval)
Earlier URLs not separately inspected in this second assessment:
https://www.ynetnews.com/article/BJku5fCnv
https://gulfbusiness.com/en/2020/covid-19/kuwait-to-resume-flights-reopen-borders-on-january-2/
https://www.alraimedia.com/article/1515019/%D9%85%D8%AD%D9%84%D9%8A%D8%A7%D8%AA/%D8%A7%D9%81%D8%AA%D8%AA%D8%A7%D8%AD-%D9%85%D8%AD%D8%AF%D9%88%D8%AF-%D9%84%D9%84%D9%85%D9%86%D8%A7%D9%81%D8%B0-%D8%A7%D9%84%D8%A8%D8%B1%D9%8A%D8%A9-%D8%A8%D9%8A%D9%86-%D8%A7%D9%84%D9%83%D9%88%D9%8A%D8%AA-%D9%88%D8%A7%D9%84%D8%B3%D8%B9%D9%88%D8%AF%D9%8A%D8%A9
https://www.alraimedia.com/article/1514983/%D9%85%D8%AD%D9%84%D9%8A%D8%A7%D8%AA/%D9%88%D8%B2%D9%8A%D8%B1-%D8%A7%D9%84%D8%AF%D8%A7%D8%AE%D9%84%D9%8A%D8%A9-%D9%8A%D8%AA%D9%81%D9%82%D8%AF-%D9%85%D9%86%D9%81%D8%B0-%D8%A7%D9%84%D9%86%D9%88%D9%8A%D8%B5%D9%8A%D8%A8-%D8%A7%D9%84%D8%AD%D8%AF%D9%88%D8%AF%D9%8A
https://www.arabtimesonline.com/news/cabinet-holds-weekly-meeting-all-ports-to-open-on-jan-2nd/
https://www.arabnews.com/node/1784156/middle-east
https://kuwaittimes.com/cabinet-borders-reopen-flights-resume-from-jan-2/
https://kuwaittimes.com/kuwait-halts-flights-closes-borders-over-virus-variant/owl.video.play.png
Prior audit access record
Full-register audit source access (evidence cutoff 25 October 2026)
https://ambalkuwait.esteri.it/it/news/dall_ambasciata/2020/12/sospensione-dei-trasporti-marittimi/: full text
https://www.alraimedia.com/article/1515019/محليات/افتتاح-محدود-للمنافذ-البرية-بين-الكويت-والسعودية: full text
https://www.alraimedia.com/article/1514983/محليات/وزير-الداخلية-يتفقد-منفذ-النويصيب-الحدودي: full text
Earlier source URLs not separately listed in this audit’s retrieval log (historical access notes below are not fresh verification):
https://www.ynetnews.com/article/BJku5fCnv
https://gulfbusiness.com/en/2020/covid-19/kuwait-to-resume-flights-reopen-borders-on-january-2/
https://www.alraimedia.com/article/1515019/%D9%85%D8%AD%D9%84%D9%8A%D8%A7%D8%AA/%D8%A7%D9%81%D8%AA%D8%AA%D8%A7%D8%AD-%D9%85%D8%AD%D8%AF%D9%88%D8%AF-%D9%84%D9%84%D9%85%D9%86%D8%A7%D9%81%D8%B0-%D8%A7%D9%84%D8%A8%D8%B1%D9%8A%D8%A9-%D8%A8%D9%8A%D9%86-%D8%A7%D9%84%D9%83%D9%88%D9%8A%D8%AA-%D9%88%D8%A7%D9%84%D8%B3%D8%B9%D9%88%D8%AF%D9%8A%D8%A9
https://www.alraimedia.com/article/1514983/%D9%85%D8%AD%D9%84%D9%8A%D8%A7%D8%AA/%D9%88%D8%B2%D9%8A%D8%B1-%D8%A7%D9%84%D8%AF%D8%A7%D8%AE%D9%84%D9%8A%D8%A9-%D9%8A%D8%AA%D9%81%D9%82%D8%AF-%D9%85%D9%86%D9%81%D8%B0-%D8%A7%D9%84%D9%86%D9%88%D9%8A%D8%B5%D9%8A%D8%A8-%D8%A7%D9%84%D8%AD%D8%AF%D9%88%D8%AF%D9%8A
https://www.arabtimesonline.com/news/cabinet-holds-weekly-meeting-all-ports-to-open-on-jan-2nd/
https://www.arabnews.com/node/1784156/middle-east
https://kuwaittimes.com/cabinet-borders-reopen-flights-resume-from-jan-2/
https://kuwaittimes.com/kuwait-halts-flights-closes-borders-over-virus-variant/owl.video.play.png
Earlier recorded access
Source 1: full
Source 2: indexed excerpt
Source 3: indexed excerpt</x:v>
      </x:c>
      <x:c r="P215" s="20" t="n">
        <x:v>1</x:v>
      </x:c>
      <x:c r="Q215" s="4" t="str">
        <x:v>Middle East</x:v>
      </x:c>
      <x:c r="R215" s="4" t="str">
        <x:v>Included</x:v>
      </x:c>
    </x:row>
    <x:row r="216" ht="409" hidden="0" customHeight="1">
      <x:c r="A216" s="16" t="str">
        <x:v>ME012</x:v>
      </x:c>
      <x:c r="B216" s="4" t="str">
        <x:v>Oman January 2021 land closure</x:v>
      </x:c>
      <x:c r="C216" s="4" t="str">
        <x:v>Oman; United Arab Emirates; Yemen</x:v>
      </x:c>
      <x:c r="D216" s="4" t="str">
        <x:v>National land border outlets</x:v>
      </x:c>
      <x:c r="E216" s="4" t="str">
        <x:v>General land travellers; June easing for Omanis and GCC residents living in Oman and working in neighbouring countries
Direction: Not established
Exceptions: The February 10 continuation exempted trucks and permitted Omani citizens to return until February 21 at 00:00 (midnight at the start of Sunday) under institutional isolation. June 2 subsequently permitted qualifying cross-border work commuters with employer proof.</x:v>
      </x:c>
      <x:c r="F216" s="4" t="str">
        <x:v>ME012-R1 — Announced window
Oman national land outlets under initial one-week order
Start: 2021-01-18.
Scheduled endpoint: 2021-01-25.
Ordered window: 7 calendar-day difference; actual end not established
ME012-C7P1 — Announced window
First scheduled extension of Oman national land-outlet closure
Start: 2021-01-25.
Scheduled endpoint: 2021-02-01.
Ordered window: 7 calendar-day difference; actual end not established
ME012-C7P2 — Announced window
Second scheduled extension of Oman national land-outlet closure
Start: 2021-02-01.
Scheduled endpoint: 2021-02-08.
Ordered window: 7 calendar-day difference; actual end not established
ME012-C7P3 — Formal policy
Oman February 7 legal closure version with Omani citizen return exception
Start: 2021-02-07.
Policy endpoint: 2021-02-10.
Formal policy: 3 calendar-day difference; operational continuity not established
ME012-C7P4 — Formal policy
Oman continued land-passenger restriction with truck exception and time-limited citizen return permission
Start: 2021-02-10.
Partial UAE passenger reopening established by 2021-09-15; formal permission from 2021-09-01. Original national policy endpoint remains unresolved.
Formal policy: dated evidence; numeric duration withheld; see qualification</x:v>
      </x:c>
      <x:c r="G21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16" s="4" t="str">
        <x:v>The January and February dates describe successive ordered policy versions, not a measured continuous closure. January 25 and February 1/8 were scheduled expiry dates, not observed reopening. The February continuation included truck and citizen-return exceptions. June 2 permitted specified cross-border workers. UAE-to-Oman passenger admission was authorized from September 1, 2021, and reporting on September 15 documents actual Emirati tourist arrivals. This supplies a scoped ended-by bound. The first reopening at every outlet, other passenger cohorts, Yemen routes and continuous January–September operation remain unestablished.
The February 10 decision gives the citizen-return deadline as 12 am on Sunday, 21 February 2021; the Arabic text also says the twelfth hour of Sunday morning. The former 10:00 clock entry was unsupported and is corrected to midnight. This deadline ended an exception, not the land closure.</x:v>
      </x:c>
      <x:c r="I216" s="4" t="str">
        <x:v>Second full-register audit, 26 October 2026: additional source-audited corrections incorporated. See the phase, scope and qualification columns for the accepted findings.</x:v>
      </x:c>
      <x:c r="J216" s="18" t="d">
        <x:v>2026-10-26T00:00:00.000Z</x:v>
      </x:c>
      <x:c r="K216" s="21" t="str">
        <x:f>IFERROR(HYPERLINK("https://decree.om/2021/covidcs20210117/","Decree.om"),"Decree.om")</x:f>
        <x:v>Decree.om</x:v>
      </x:c>
      <x:c r="L216" s="21" t="str">
        <x:f>IFERROR(HYPERLINK("https://qanoon.om/p/2021/covidcs20210124/","qanoon.om"),"qanoon.om")</x:f>
        <x:v>qanoon.om</x:v>
      </x:c>
      <x:c r="M216" s="21" t="str">
        <x:f>IFERROR(HYPERLINK("https://decree.om/2021/covidcs20210131/","decree.om"),"decree.om")</x:f>
        <x:v>decree.om</x:v>
      </x:c>
      <x:c r="N216" s="4" t="str">
        <x:v>https://decree.om/2021/covidcs20210117/
https://qanoon.om/p/2021/covidcs20210124/
https://decree.om/2021/covidcs20210131/
https://decree.om/2021/covidcs20210207/
https://decree.om/2021/covidcs20210210/
https://cdn-4.timesofoman.com/article/98135-oman-land-borders-to-remain-closed-until-further-notice-parks-and-beaches-closed-for-two-weeks
https://decree.om/2021/covidcs20210602/
https://www.omanobserver.om/article/1105955/oman/transport/oman-uae-land-border-to-fully-open-from-sept-1
https://www.arabnews.com/middle-east/oman-land-border-closure-extended-by-a-week-on-coronavirus-concerns-1797561
https://gulfnews.com/world/gulf/oman/oman-reopens-land-borders-with-gcc-countries-1.79628471
https://www.muscatdaily.com/2021/08/28/issuance-of-visas-for-all-categories-from-sept-1/
https://www.thenationalnews.com/gulf-news/oman/2021/09/15/uae-border-opening-gives-omans-tourism-a-shot-in-the-arm/
https://qanoon.om/p/2021/covidcs20210210/</x:v>
      </x:c>
      <x:c r="O216" s="4" t="str">
        <x:v>Second full-register audit source access, 26 October 2026
https://decree.om/2021/covidcs20210117/: full text (fresh retrieval)
https://qanoon.om/p/2021/covidcs20210124/: full text (fresh retrieval)
https://decree.om/2021/covidcs20210131/: full text (fresh retrieval)
https://decree.om/2021/covidcs20210207/: full text (fresh retrieval)
https://decree.om/2021/covidcs20210210/: full text (fresh retrieval)
https://qanoon.om/p/2021/covidcs20210210/: full text (fresh retrieval)
https://decree.om/2021/covidcs20210602/: full text (fresh retrieval)
https://www.omanobserver.om/article/1105955/oman/transport/oman-uae-land-border-to-fully-open-from-sept-1: full text (fresh retrieval)
https://www.thenationalnews.com/gulf-news/oman/2021/09/15/uae-border-opening-gives-omans-tourism-a-shot-in-the-arm/: full text (fresh retrieval)
Earlier URLs not separately inspected in this second assessment:
https://cdn-4.timesofoman.com/article/98135-oman-land-borders-to-remain-closed-until-further-notice-parks-and-beaches-closed-for-two-weeks
https://www.arabnews.com/middle-east/oman-land-border-closure-extended-by-a-week-on-coronavirus-concerns-1797561
https://gulfnews.com/world/gulf/oman/oman-reopens-land-borders-with-gcc-countries-1.79628471
https://www.muscatdaily.com/2021/08/28/issuance-of-visas-for-all-categories-from-sept-1/
Prior audit access record
Full-register audit source access (evidence cutoff 25 October 2026)
https://decree.om/2021/covidcs20210117/: full text
https://qanoon.om/p/2021/covidcs20210124/: full text
https://decree.om/2021/covidcs20210131/: full text
https://decree.om/2021/covidcs20210207/: full text
https://decree.om/2021/covidcs20210210/: full text
https://decree.om/2021/covidcs20210602/: full text
https://www.omanobserver.om/article/1105955/oman/transport/oman-uae-land-border-to-fully-open-from-sept-1: full text
https://www.thenationalnews.com/gulf-news/oman/2021/09/15/uae-border-opening-gives-omans-tourism-a-shot-in-the-arm/: full text — Retrospective references April closure, not evidence of uninterrupted January closure
Earlier source URLs not separately listed in this audit’s retrieval log (historical access notes below are not fresh verification):
https://cdn-4.timesofoman.com/article/98135-oman-land-borders-to-remain-closed-until-further-notice-parks-and-beaches-closed-for-two-weeks
https://www.arabnews.com/middle-east/oman-land-border-closure-extended-by-a-week-on-coronavirus-concerns-1797561
https://gulfnews.com/world/gulf/oman/oman-reopens-land-borders-with-gcc-countries-1.79628471
https://www.muscatdaily.com/2021/08/28/issuance-of-visas-for-all-categories-from-sept-1/
Earlier recorded access
Source 1: full
Source 2: access detail is retained in the source catalogue.
Source 3: access detail is retained in the source catalogue.</x:v>
      </x:c>
      <x:c r="P216" s="20" t="n">
        <x:v>5</x:v>
      </x:c>
      <x:c r="Q216" s="4" t="str">
        <x:v>Middle East</x:v>
      </x:c>
      <x:c r="R216" s="4" t="str">
        <x:v>Included</x:v>
      </x:c>
    </x:row>
    <x:row r="217" ht="409" hidden="0" customHeight="1">
      <x:c r="A217" s="16" t="str">
        <x:v>ME017</x:v>
      </x:c>
      <x:c r="B217" s="4" t="str">
        <x:v>Iraq 2021 election land closure order</x:v>
      </x:c>
      <x:c r="C217" s="4" t="str">
        <x:v>Iraq; Türkiye; Iran; Kuwait; Saudi Arabia; Jordan; Syria</x:v>
      </x:c>
      <x:c r="D217" s="4" t="str">
        <x:v>National land crossings</x:v>
      </x:c>
      <x:c r="E217" s="4" t="str">
        <x:v>Not established
Direction: Not established
Exceptions: Not established</x:v>
      </x:c>
      <x:c r="F217" s="4" t="str">
        <x:v>ME017-R1 — Announced window
Iraqi national land border election order
Start: 2021-10-09.
Scheduled endpoint: 2021-10-11.
Ordered window: 2 calendar-day difference; actual end not established</x:v>
      </x:c>
      <x:c r="G217"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217" s="4" t="str">
        <x:v>The official order gives October 9 evening through October 11 at 06:00, with 21:00/23:00 start-hour disagreement. The National additionally reports an October 10 morning implementation start. Actual gate reopening is not independently observed.
ME017-R1: This is the October 9–11 ordered window, with a scheduled October 11 06:00 end. NRT quotes the Border Ports Authority giving October 9 at 21:00; the earlier KUNA account gives 23:00. The National instead reports closure from October 10 at 09:00, without a named gate observation. Preserve this order-versus-reported-implementation discrepancy and do not infer an observed duration or reopening.
implementation timing: The National reports Sunday morning whereas the Border Ports Authority schedule begins Saturday evening; current chronology is explicitly the order.
Current continuity finding: Announced October 9 evening closure and October 10 reported implementation remain distinct. Existing ordered-window qualification is retained; no observed duration inferred.</x:v>
      </x:c>
      <x:c r="I217" s="4" t="str">
        <x:v>Second full-register audit, 26 October 2026: qualified. Fresh land-authority reporting confirms the October 9 21:00 to October 11 06:00 order. Conflicting implementation and aviation clocks still prevent an observed land duration.</x:v>
      </x:c>
      <x:c r="J217" s="18" t="d">
        <x:v>2026-10-26T00:00:00.000Z</x:v>
      </x:c>
      <x:c r="K217" s="21" t="str">
        <x:f>IFERROR(HYPERLINK("https://www.kuna.net.kw/ArticlePrintPage.aspx?id=3000600","KUNA"),"KUNA")</x:f>
        <x:v>KUNA</x:v>
      </x:c>
      <x:c r="L217" s="21" t="str">
        <x:f>IFERROR(HYPERLINK("https://www.kurdistan24.net/en/story/385738/Iraq-will-close-all-airports-and-borders-during-election","Kurdistan24"),"Kurdistan24")</x:f>
        <x:v>Kurdistan24</x:v>
      </x:c>
      <x:c r="M217" s="21" t="str">
        <x:f>IFERROR(HYPERLINK("https://www.nrttv.com/Ar/detail3/4025","nrttv.com"),"nrttv.com")</x:f>
        <x:v>nrttv.com</x:v>
      </x:c>
      <x:c r="N217" s="4" t="str">
        <x:v>https://www.kuna.net.kw/ArticlePrintPage.aspx?id=3000600
https://www.kurdistan24.net/en/story/385738/Iraq-will-close-all-airports-and-borders-during-election
https://www.nrttv.com/Ar/detail3/4025
https://www.thenationalnews.com/mena/iraq/2021/10/10/iraqis-head-to-polls-to-choose-new-parliament-in-early-elections/
https://www.mawazin.net/Details.aspx?jimare=170481
https://www.aa.com.tr/en/middle-east/iraq-to-close-borders-airspace-ahead-of-parliamentary-polls/2387514
https://www.al-monitor.com/originals/2021/09/iraq-close-airports-borders-october-election
https://www.gpb.org/news/2021/10/11/iraqs-election-marred-by-boycott-and-voter-apathy</x:v>
      </x:c>
      <x:c r="O217" s="4" t="str">
        <x:v>Second full-register audit source access, 26 October 2026
https://www.nrttv.com/Ar/detail3/4025: full text (fresh retrieval)
https://www.thenationalnews.com/mena/iraq/2021/10/10/iraqis-head-to-polls-to-choose-new-parliament-in-early-elections/: full text (fresh retrieval) — Rolling election report; says closure from Sunday 09:00, without a named land-gate observation.
https://www.aa.com.tr/en/middle-east/iraq-to-close-borders-airspace-ahead-of-parliamentary-polls/2387514: full text (fresh retrieval) — Updated October 10; 18:00 clock is attached to aviation statement, not a separate land authority order.
https://www.gpb.org/news/2021/10/11/iraqs-election-marred-by-boycott-and-voter-apathy: search extract (fresh retrieval) — Fresh opening returned navigation; relevant indexed account says Saturday night to early Monday, but does not identify actual gate reopening.
https://www.kuna.net.kw/ArticlePrintPage.aspx?id=3000600: inaccessible (fresh retrieval) — Fresh retrieval failed; not new confirmation of older 23:00 clock.
Earlier URLs not separately inspected in this second assessment:
https://www.kurdistan24.net/en/story/385738/Iraq-will-close-all-airports-and-borders-during-election
https://www.mawazin.net/Details.aspx?jimare=170481
https://www.al-monitor.com/originals/2021/09/iraq-close-airports-borders-october-election
Prior audit access record
Full-register audit source access (evidence cutoff 25 October 2026)
https://www.nrttv.com/Ar/detail3/4025: full text
https://www.aa.com.tr/en/middle-east/iraq-to-close-borders-airspace-ahead-of-parliamentary-polls/2387514: search extract
https://www.kuna.net.kw/ArticlePrintPage.aspx?id=3000600: inaccessible
Earlier source URLs not separately listed in this audit’s retrieval log (historical access notes below are not fresh verification):
https://www.kurdistan24.net/en/story/385738/Iraq-will-close-all-airports-and-borders-during-election
https://www.thenationalnews.com/mena/iraq/2021/10/10/iraqis-head-to-polls-to-choose-new-parliament-in-early-elections/
https://www.mawazin.net/Details.aspx?jimare=170481
https://www.al-monitor.com/originals/2021/09/iraq-close-airports-borders-october-election
Earlier recorded access
Source 1: indexed excerpt; failed
Source 2: indexed excerpt
Source 3: access detail is retained in the source catalogue.</x:v>
      </x:c>
      <x:c r="P217" s="20" t="n">
        <x:v>1</x:v>
      </x:c>
      <x:c r="Q217" s="4" t="str">
        <x:v>Middle East</x:v>
      </x:c>
      <x:c r="R217" s="4" t="str">
        <x:v>Included</x:v>
      </x:c>
    </x:row>
    <x:row r="218" ht="409" hidden="0" customHeight="1">
      <x:c r="A218" s="16" t="str">
        <x:v>ME013</x:v>
      </x:c>
      <x:c r="B218" s="4" t="str">
        <x:v>Iran Iraq closure during Baghdad unrest</x:v>
      </x:c>
      <x:c r="C218" s="4" t="str">
        <x:v>Iran; Iraq</x:v>
      </x:c>
      <x:c r="D218" s="4" t="str">
        <x:v>Iraq-bound land crossings</x:v>
      </x:c>
      <x:c r="E218" s="4" t="str">
        <x:v>Travellers including pilgrims
Direction: Not established
Exceptions: Not established</x:v>
      </x:c>
      <x:c r="F218" s="4" t="str">
        <x:v>ME013-NP1 — Formal policy
Iran–Iraq pilgrim admission restriction during Baghdad unrest
Start: 2022-08-29 to 2022-08-30.
Policy endpoint: 2022-08-30.
Formal policy: dated evidence; numeric duration withheld; see qualification</x:v>
      </x:c>
      <x:c r="G218" s="4" t="str">
        <x:v>Security / Public order and immediate safety
Reported reason
Applies to: Recorded episode; exact overlap not separately established
Iran's deputy interior minister linked land closure to Iraqi curfews; a state-TV official linked reopening to restored security and calm.</x:v>
      </x:c>
      <x:c r="H218" s="4" t="str">
        <x:v>Start differs between late 29 and 30 August; month precision is retained. August 30 reopening is an official report, not an observation at every post. Continued Mehran and Chazzabeh restrictions are supported only by an indexed Press TV account; prior full NINA retrieval confirms August 31 procession permission without identifying the first opening.
ME013-NP1: Conflicting date descriptions and lack of gate-level continuity prevent a complete operational duration.
scope and end: Seek actual crossing-specific suspension and resumption times within August 29–30.
duration: Seek actual crossing-specific suspension and resumption times within August 29–30.
source verification: Seek actual crossing-specific suspension and resumption times within August 29–30.</x:v>
      </x:c>
      <x:c r="I218" s="4" t="str">
        <x:v>Second full-register audit, 26 October 2026: qualified. Fresh reporting supports unrest-related restriction and a 30 August official reopening, with 31 August processional permission; precise implemented start and gate-level endpoint remain uncertain.</x:v>
      </x:c>
      <x:c r="J218" s="18" t="d">
        <x:v>2026-10-26T00:00:00.000Z</x:v>
      </x:c>
      <x:c r="K218" s="21" t="str">
        <x:f>IFERROR(HYPERLINK("https://kashmirobserver.net/2022/08/30/nationwide-curfew-in-iraq-iran-closes-border/","kashmirobserver.net"),"kashmirobserver.net")</x:f>
        <x:v>kashmirobserver.net</x:v>
      </x:c>
      <x:c r="L218" s="21" t="str">
        <x:f>IFERROR(HYPERLINK("https://www.euronews.com/2022/08/31/iraq-politics-iran","Euronews/Reuters"),"Euronews/Reuters")</x:f>
        <x:v>Euronews/Reuters</x:v>
      </x:c>
      <x:c r="M218" s="21" t="str">
        <x:f>IFERROR(HYPERLINK("https://www.presstv.co.uk/Detail/2022/08/30/688317/Iran-border-reopening-Iraq-Baghdad-unrest-Arbaeen-pilgrimage","Press TV"),"Press TV")</x:f>
        <x:v>Press TV</x:v>
      </x:c>
      <x:c r="N218" s="4" t="str">
        <x:v>https://kashmirobserver.net/2022/08/30/nationwide-curfew-in-iraq-iran-closes-border/
https://www.euronews.com/2022/08/31/iraq-politics-iran
https://www.presstv.co.uk/Detail/2022/08/30/688317/Iran-border-reopening-Iraq-Baghdad-unrest-Arbaeen-pilgrimage
https://ninanews.com/website/News/Details?Key=997388
https://www.aa.com.tr/en/middle-east/iran-closes-land-crossings-with-iraq-amid-unrest/2672443
https://www.globalsecurity.org/wmd/library/news/iraq/2022/iraq-220829-irna02.htm
https://aa.com.tr/tr/dunya/iran-irak-ile-tum-kara-sinirlari-kapatildi-bagdata-ucuslar-durduruldu/2672297</x:v>
      </x:c>
      <x:c r="O218" s="4" t="str">
        <x:v>Second full-register audit source access, 26 October 2026
https://www.aa.com.tr/en/middle-east/iran-closes-land-crossings-with-iraq-amid-unrest/2672443: full text (fresh retrieval)
https://www.euronews.com/2022/08/31/iraq-politics-iran: full text (fresh retrieval)
https://ninanews.com/website/News/Details?Key=997388: full text (fresh retrieval)
https://www.presstv.co.uk/Detail/2022/08/30/688317/Iran-border-reopening-Iraq-Baghdad-unrest-Arbaeen-pilgrimage: inaccessible (fresh retrieval) — Fresh retrieval failed; cannot independently confirm crossing-specific residual restriction from this page.
https://www.globalsecurity.org/wmd/library/news/iraq/2022/iraq-220829-irna02.htm: inaccessible (fresh retrieval) — 403; not used as fresh proof of August 29 onset.
Earlier URLs not separately inspected in this second assessment:
https://kashmirobserver.net/2022/08/30/nationwide-curfew-in-iraq-iran-closes-border/
https://aa.com.tr/tr/dunya/iran-irak-ile-tum-kara-sinirlari-kapatildi-bagdata-ucuslar-durduruldu/2672297
Prior audit access record
Full-register audit source access (evidence cutoff 25 October 2026)
https://www.euronews.com/2022/08/31/iraq-politics-iran: full text
https://www.aa.com.tr/en/middle-east/iran-closes-land-crossings-with-iraq-amid-unrest/2672443: full text
https://www.presstv.co.uk/Detail/2022/08/30/688317/Iran-border-reopening-Iraq-Baghdad-unrest-Arbaeen-pilgrimage: inaccessible
Earlier source URLs not separately listed in this audit’s retrieval log (historical access notes below are not fresh verification):
https://kashmirobserver.net/2022/08/30/nationwide-curfew-in-iraq-iran-closes-border/
https://ninanews.com/website/News/Details?Key=997388
https://www.globalsecurity.org/wmd/library/news/iraq/2022/iraq-220829-irna02.htm
https://aa.com.tr/tr/dunya/iran-irak-ile-tum-kara-sinirlari-kapatildi-bagdata-ucuslar-durduruldu/2672297
Earlier recorded access
Source 1: access detail is retained in the source catalogue.
Source 2: full; indexed excerpt
Source 3: indexed excerpt; failed</x:v>
      </x:c>
      <x:c r="P218" s="20" t="n">
        <x:v>1</x:v>
      </x:c>
      <x:c r="Q218" s="4" t="str">
        <x:v>Middle East</x:v>
      </x:c>
      <x:c r="R218" s="4" t="str">
        <x:v>Included</x:v>
      </x:c>
    </x:row>
    <x:row r="219" ht="342" hidden="0" customHeight="1">
      <x:c r="A219" s="16" t="str">
        <x:v>ME025</x:v>
      </x:c>
      <x:c r="B219" s="4" t="str">
        <x:v>Gaza Kerem Shalom export prohibition September 2023</x:v>
      </x:c>
      <x:c r="C219" s="4" t="str">
        <x:v>Israel; Palestine (Gaza)</x:v>
      </x:c>
      <x:c r="D219" s="4" t="str">
        <x:v>Kerem Shalom / Karm Abu Salem</x:v>
      </x:c>
      <x:c r="E219" s="4" t="str">
        <x:v>Gaza exports to Israel
Direction: Gaza outward freight only
Exceptions: Not established</x:v>
      </x:c>
      <x:c r="F219" s="4" t="str">
        <x:v>ME025-D1 — Observed operation
Kerem Shalom / Karm Abu Salem; Gaza exports to Israel; Gaza outward freight only
Start: 2023-09-04 to 2023-09-05.
Observed scoped reopening: 2023-09-10.
5–6 calendar-day difference; scoped endpoint only</x:v>
      </x:c>
      <x:c r="G219" s="4" t="str">
        <x:v>Security / Smuggling and illicit trafficking
Reported reason
Applies to: Recorded episode; exact overlap not separately established
The recorded rationale and claim assessment support the selected subcategories. All applicable broad categories are retained together; no primary rationale is imposed.</x:v>
      </x:c>
      <x:c r="H219" s="4" t="str">
        <x:v>Export restriction only, with no ban on imports established. September 4 is the reported order and initial halt date; Xinhua's Palestinian sources describe implementation from September 5. The operational onset is therefore bounded to September 4–5. Actual exports resumed September 10. The alleged smuggling rationale is attributed to Israeli authorities.
ME025-D1: Operational onset is bounded to September 4–5 because reporting differs on announcement versus commencement. Endpoint is actual September 10 truck passage. Export-only restriction; imports and passengers are outside this phase. Israeli smuggling allegation remains attributed. No exact hours or exact six-day duration inferred.</x:v>
      </x:c>
      <x:c r="I219" s="4" t="str">
        <x:v>Second full-register audit, 26 October 2026: qualified. The September 4 order/September 5 implementation distinction and actual September 10 export resumption are correct.</x:v>
      </x:c>
      <x:c r="J219" s="18" t="d">
        <x:v>2026-10-26T00:00:00.000Z</x:v>
      </x:c>
      <x:c r="K219" s="21" t="str">
        <x:f>IFERROR(HYPERLINK("https://www.jpost.com/middle-east/article-757567","jpost.com"),"jpost.com")</x:f>
        <x:v>jpost.com</x:v>
      </x:c>
      <x:c r="L219" s="21" t="str">
        <x:f>IFERROR(HYPERLINK("https://www.timesofisrael.com/gaza-exports-into-israel-resume-days-after-attempted-explosives-smuggling/","timesofisrael.com"),"timesofisrael.com")</x:f>
        <x:v>timesofisrael.com</x:v>
      </x:c>
      <x:c r="M219" s="21" t="str">
        <x:f>IFERROR(HYPERLINK("https://www.aljazeera.com/amp/news/2023/9/8/gaza-exports-to-resume-after-israel-agrees-to-reopen-vital-crossing","aljazeera.com"),"aljazeera.com")</x:f>
        <x:v>aljazeera.com</x:v>
      </x:c>
      <x:c r="N219" s="4" t="str">
        <x:v>https://www.jpost.com/middle-east/article-757567
https://www.timesofisrael.com/gaza-exports-into-israel-resume-days-after-attempted-explosives-smuggling/
https://www.aljazeera.com/amp/news/2023/9/8/gaza-exports-to-resume-after-israel-agrees-to-reopen-vital-crossing
https://www.chinadailyhk.com/hk/article/349447
https://apnews.com/article/ae136ae038da45b4bd6c175147a0c48f</x:v>
      </x:c>
      <x:c r="O219" s="4" t="str">
        <x:v>Second full-register audit source access, 26 October 2026
https://www.chinadailyhk.com/hk/article/349447: full text (fresh retrieval)
https://www.timesofisrael.com/gaza-exports-into-israel-resume-days-after-attempted-explosives-smuggling/: full text (fresh retrieval)
Earlier URLs not separately inspected in this second assessment:
https://www.jpost.com/middle-east/article-757567
https://www.aljazeera.com/amp/news/2023/9/8/gaza-exports-to-resume-after-israel-agrees-to-reopen-vital-crossing
https://apnews.com/article/ae136ae038da45b4bd6c175147a0c48f
Prior audit access record
Full-register audit source access (evidence cutoff 25 October 2026)
https://www.timesofisrael.com/gaza-exports-into-israel-resume-days-after-attempted-explosives-smuggling/: full text
https://www.chinadailyhk.com/hk/article/349447: full text
Earlier source URLs not separately listed in this audit’s retrieval log (historical access notes below are not fresh verification):
https://www.jpost.com/middle-east/article-757567
https://www.aljazeera.com/amp/news/2023/9/8/gaza-exports-to-resume-after-israel-agrees-to-reopen-vital-crossing
https://apnews.com/article/ae136ae038da45b4bd6c175147a0c48f
Earlier recorded access
Source 1: full
Source 2: full
Source 3: indexed excerpt</x:v>
      </x:c>
      <x:c r="P219" s="20" t="n">
        <x:v>1</x:v>
      </x:c>
      <x:c r="Q219" s="4" t="str">
        <x:v>Middle East</x:v>
      </x:c>
      <x:c r="R219" s="4" t="str">
        <x:v>Included</x:v>
      </x:c>
    </x:row>
    <x:row r="220" ht="354" hidden="0" customHeight="1">
      <x:c r="A220" s="16" t="str">
        <x:v>ME024</x:v>
      </x:c>
      <x:c r="B220" s="4" t="str">
        <x:v>Gaza Erez September 2023 worker closure</x:v>
      </x:c>
      <x:c r="C220" s="4" t="str">
        <x:v>Israel; Palestine (Gaza)</x:v>
      </x:c>
      <x:c r="D220" s="4" t="str">
        <x:v>Erez / Beit Hanoun</x:v>
      </x:c>
      <x:c r="E220" s="4" t="str">
        <x:v>Palestinian workers with permits
Direction: Gaza outward
Exceptions: Medical patients nominally eligible subject to permit approval</x:v>
      </x:c>
      <x:c r="F220" s="4" t="str">
        <x:v>ME024-D1 — Observed operation
Erez / Beit Hanoun; Palestinian workers with permits; Gaza outward
Start: 2023-09-15.
Observed scoped reopening: 2023-09-28.
13 calendar-day difference; scoped endpoint only</x:v>
      </x:c>
      <x:c r="G220" s="4" t="str">
        <x:v>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220" s="4" t="str">
        <x:v>ME024-D1: Worker restriction only, not complete physical closure to all categories. Holiday onset and later security extension are different phases. Medical patients nominally eligible subject to permit approval</x:v>
      </x:c>
      <x:c r="I220" s="4" t="str">
        <x:v>Second full-register audit, 26 October 2026: qualified. September 15–28 Erez worker restriction and its holiday-to-security extension are corroborated; medical exceptions remain nominal rather than guaranteed access.</x:v>
      </x:c>
      <x:c r="J220" s="18" t="d">
        <x:v>2026-10-26T00:00:00.000Z</x:v>
      </x:c>
      <x:c r="K220" s="21" t="str">
        <x:f>IFERROR(HYPERLINK("https://www.thenationalnews.com/mena/2023/09/28/israel-reopens-key-crossing-to-palestinian-workers-amid-ongoing-gaza-violence/","The National"),"The National")</x:f>
        <x:v>The National</x:v>
      </x:c>
      <x:c r="L220" s="21" t="str">
        <x:f>IFERROR(HYPERLINK("https://apnews.com/article/8d1d3cd570f27e6470f23daef4337216","AP"),"AP")</x:f>
        <x:v>AP</x:v>
      </x:c>
      <x:c r="M220" s="21" t="str">
        <x:f>IFERROR(HYPERLINK("https://www.timesofisrael.com/israel-temporarily-shutters-gaza-pedestrian-crossing-following-border-rioting/","timesofisrael.com"),"timesofisrael.com")</x:f>
        <x:v>timesofisrael.com</x:v>
      </x:c>
      <x:c r="N220" s="4" t="str">
        <x:v>https://www.thenationalnews.com/mena/2023/09/28/israel-reopens-key-crossing-to-palestinian-workers-amid-ongoing-gaza-violence/
https://apnews.com/article/8d1d3cd570f27e6470f23daef4337216
https://www.timesofisrael.com/israel-temporarily-shutters-gaza-pedestrian-crossing-following-border-rioting/
https://ny1.com/nyc/all-boroughs/ap-top-news/2023/09/28/israel-reopens-gaza-crossing-for-palestinian-laborers-after-sealing-it-over-rising-tensions</x:v>
      </x:c>
      <x:c r="O220" s="4" t="str">
        <x:v>Second full-register audit source access, 26 October 2026
https://www.timesofisrael.com/israel-temporarily-shutters-gaza-pedestrian-crossing-following-border-rioting/: full text (fresh retrieval)
https://www.thenationalnews.com/mena/2023/09/28/israel-reopens-key-crossing-to-palestinian-workers-amid-ongoing-gaza-violence/: full text (fresh retrieval)
Earlier URLs not separately inspected in this second assessment:
https://apnews.com/article/8d1d3cd570f27e6470f23daef4337216
https://ny1.com/nyc/all-boroughs/ap-top-news/2023/09/28/israel-reopens-gaza-crossing-for-palestinian-laborers-after-sealing-it-over-rising-tensions
Prior audit access record
Full-register audit source access (evidence cutoff 25 October 2026)
https://www.thenationalnews.com/mena/2023/09/28/israel-reopens-key-crossing-to-palestinian-workers-amid-ongoing-gaza-violence/: full text
https://www.timesofisrael.com/israel-temporarily-shutters-gaza-pedestrian-crossing-following-border-rioting/: full text
Earlier source URLs not separately listed in this audit’s retrieval log (historical access notes below are not fresh verification):
https://apnews.com/article/8d1d3cd570f27e6470f23daef4337216
https://ny1.com/nyc/all-boroughs/ap-top-news/2023/09/28/israel-reopens-gaza-crossing-for-palestinian-laborers-after-sealing-it-over-rising-tensions
Earlier recorded access
Source 1: full page
Source 2: search extract
Source 3: access detail is retained in the source catalogue.</x:v>
      </x:c>
      <x:c r="P220" s="20" t="n">
        <x:v>1</x:v>
      </x:c>
      <x:c r="Q220" s="4" t="str">
        <x:v>Middle East</x:v>
      </x:c>
      <x:c r="R220" s="4" t="str">
        <x:v>Included</x:v>
      </x:c>
    </x:row>
    <x:row r="221" ht="409" hidden="0" customHeight="1">
      <x:c r="A221" s="16" t="str">
        <x:v>ME026</x:v>
      </x:c>
      <x:c r="B221" s="4" t="str">
        <x:v>Kerem Shalom direct-aid interruptions during the 2023 war</x:v>
      </x:c>
      <x:c r="C221" s="4" t="str">
        <x:v>Israel; Palestine (Gaza)</x:v>
      </x:c>
      <x:c r="D221" s="4" t="str">
        <x:v>Kerem Shalom / Karm Abu Salem</x:v>
      </x:c>
      <x:c r="E221" s="4" t="str">
        <x:v>Freight and humanitarian entry
Direction: Into Gaza
Exceptions: Not established</x:v>
      </x:c>
      <x:c r="F221" s="4" t="str">
        <x:v>ME026-D1 — Observed operation
Kerem Shalom direct aid entry; 12 December inspection arrangements are not counted as direct reopening.
Start: 2023-10-07.
Observed scoped reopening: 2023-12-17.
71 calendar-day difference; scoped endpoint only
ME026-C7P1 — Observed operation
Reported humanitarian-aid dispatch suspension through Kerem Shalom, 25–28 December 2023; eligibility as an intentional crossing restriction remains unresolved.
Start: 2023-12-25.
Observed scoped reopening: 2023-12-29.
Contested: dated evidence; numeric duration withheld; see qualification
Held evidence: excluded from numeric duration and animation displays.
REC50-R13-ME026-P1 — Observed operation
Kerem Shalom aid-entry interruption, with a documented return for one Jordan food convoy by 9 May 2024
Start: 2024-05-05.
Observed scoped reopening: by 2024-05-09; earliest bound unknown.
dated evidence; numeric duration withheld; see qualification</x:v>
      </x:c>
      <x:c r="G221" s="4" t="str">
        <x:v>Security / Armed conflict and military confrontation
Analytical interpretation of reported context
Applies to: War phase
The recorded rationale and claim assessment support the selected subcategories. All applicable broad categories are retained together; no primary rationale is imposed.
Security / Armed attacks and terrorism
Analytical interpretation of reported context
Applies to: Initial attack trigger
The recorded rationale and claim assessment support the selected subcategories. All applicable broad categories are retained together; no primary rationale is imposed.</x:v>
      </x:c>
      <x:c r="H221" s="4" t="str">
        <x:v>ME026-D1: 17 December direct aid crossing supported by dated operational tally; 12 December inspection restart is not crossing reopening. Does not establish normal trade or passenger restoration; Rafah recorded separately. Not established
ME026-C7P1: The interruption and 29 December aid resumption are retained as reported facts. Numeric restriction duration is held because a continuous intentional restriction has not been established. An official order is not required: the existing codebook also permits source-supported coercive closures. The present accounts do not resolve whether that rule explains this entire aid-dispatch interval. Ordinary trade, passengers and durable restoration remain outside this phase.
REC50-R13-ME026-P1: Closure is dated 5 May 2024; Israeli-side reopening was announced on 8 May and one Jordan food convoy entered through Kerem Shalom on 9 May. The latter is a scoped restoration upper bound. General safe aid collection remained constrained; no complete duration or normal-access endpoint is inferred.
May 2024 first actual return and access scope: The 9 May Jordan food convoy proves some entry, not the first post-closure movement or general restoration. The 8 May announcement is a different evidence category.
Geography for the new May phase: The new May phase is unlocated; earlier phase markers are not inherited.
ME026-C7P1 eligibility and continuity of intentional restriction: OCHA establishes a December 25–28 aid-dispatch interruption and December 29 resumption, but the mixed incident account does not establish a continuous intentional restriction across the full interval.</x:v>
      </x:c>
      <x:c r="I221" s="4" t="str">
        <x:v>Second full-register audit, 26 October 2026: qualified. All three scoped episodes survive independent review; December 12 inspection must remain distinct from December 17 direct entry, and the May 9 convoy is only a later restoration bound.</x:v>
      </x:c>
      <x:c r="J221" s="18" t="d">
        <x:v>2026-10-26T00:00:00.000Z</x:v>
      </x:c>
      <x:c r="K221" s="21" t="str">
        <x:f>IFERROR(HYPERLINK("https://www.ynetnews.com/article/ry6m7phlp","Ynet"),"Ynet")</x:f>
        <x:v>Ynet</x:v>
      </x:c>
      <x:c r="L221" s="21" t="str">
        <x:f>IFERROR(HYPERLINK("https://gaza-aid-data.gov.il/mainhome/archive/","COGAT Gaza aid archive"),"COGAT Gaza aid archive")</x:f>
        <x:v>COGAT Gaza aid archive</x:v>
      </x:c>
      <x:c r="M221" s="21" t="str">
        <x:f>IFERROR(HYPERLINK("https://www.timesofisrael.com/liveblog_entry/first-aid-convoy-enters-gaza-through-kerem-shalom-crossing/","AFP via The Times of Israel"),"AFP via The Times of Israel")</x:f>
        <x:v>AFP via The Times of Israel</x:v>
      </x:c>
      <x:c r="N221" s="4" t="str">
        <x:v>https://www.ynetnews.com/article/ry6m7phlp
https://gaza-aid-data.gov.il/mainhome/archive/
https://www.timesofisrael.com/liveblog_entry/first-aid-convoy-enters-gaza-through-kerem-shalom-crossing/
https://govextra.gov.il/cogat/humanitarian-efforts/mainhome/archive/
https://www.ochaopt.org/content/hostilities-gaza-strip-and-israel-flash-update-80
https://www.ochaopt.org/sites/default/files/Gaza_casualties_info-graphic_29_Dec_2023.pdf
https://www.ochaopt.org/content/hostilities-gaza-strip-and-israel-flash-update-163
https://www.ochaopt.org/content/hostilities-gaza-strip-and-israel-flash-update-164
https://www.ochaopt.org/content/gaza-humanitarian-response-update-6-12-may-2024
https://www.ochaopt.org/content/humanitarian-access-snapshot-gaza-strip-1-31-may-2024
https://www.un.org/sg/en/content/highlight/2023-12-12.html
https://h.aa.com.tr/en/middle-east/israeli-army-targets-karm-abu-salem-commercial-crossing-killing-director/3089491
https://www.timesofisrael.com/liveblog_entry/egypt-sends-80-trucks-of-aid-to-reopened-kerem-shalom-checkpoint-for-inspection/
https://www.ochaopt.org/content/hostilities-gaza-strip-and-israel-flash-update-72</x:v>
      </x:c>
      <x:c r="O221" s="4" t="str">
        <x:v>Second full-register audit source access, 26 October 2026
https://www.ochaopt.org/content/hostilities-gaza-strip-and-israel-flash-update-72: full text (fresh retrieval)
https://www.ochaopt.org/content/hostilities-gaza-strip-and-israel-flash-update-80: full text (fresh retrieval)
https://www.ochaopt.org/content/hostilities-gaza-strip-and-israel-flash-update-163: full text (fresh retrieval)
https://www.ochaopt.org/content/gaza-humanitarian-response-update-6-12-may-2024: full text (fresh retrieval)
https://www.timesofisrael.com/liveblog_entry/egypt-sends-80-trucks-of-aid-to-reopened-kerem-shalom-checkpoint-for-inspection/: full text (fresh retrieval)
https://www.ynetnews.com/article/ry6m7phlp: full text (fresh retrieval) — Short version says Saturday; authoritative dated OCHA entry tally establishes December 17, not that ambiguous weekday.
Earlier URLs not separately inspected in this second assessment:
https://gaza-aid-data.gov.il/mainhome/archive/
https://www.timesofisrael.com/liveblog_entry/first-aid-convoy-enters-gaza-through-kerem-shalom-crossing/
https://govextra.gov.il/cogat/humanitarian-efforts/mainhome/archive/
https://www.ochaopt.org/sites/default/files/Gaza_casualties_info-graphic_29_Dec_2023.pdf
https://www.ochaopt.org/content/hostilities-gaza-strip-and-israel-flash-update-164
https://www.ochaopt.org/content/humanitarian-access-snapshot-gaza-strip-1-31-may-2024
https://www.un.org/sg/en/content/highlight/2023-12-12.html
https://h.aa.com.tr/en/middle-east/israeli-army-targets-karm-abu-salem-commercial-crossing-killing-director/3089491
Prior audit access record
Full-register audit source access (evidence cutoff 25 October 2026)
https://www.ynetnews.com/article/ry6m7phlp: full text
https://www.ochaopt.org/content/hostilities-gaza-strip-and-israel-flash-update-72: full text
https://www.ochaopt.org/content/hostilities-gaza-strip-and-israel-flash-update-80: full text
https://www.ochaopt.org/content/hostilities-gaza-strip-and-israel-flash-update-163: full text
https://www.ochaopt.org/content/gaza-humanitarian-response-update-6-12-may-2024: full text
Earlier source URLs not separately listed in this audit’s retrieval log (historical access notes below are not fresh verification):
https://gaza-aid-data.gov.il/mainhome/archive/
https://www.timesofisrael.com/liveblog_entry/first-aid-convoy-enters-gaza-through-kerem-shalom-crossing/
https://govextra.gov.il/cogat/humanitarian-efforts/mainhome/archive/
https://www.ochaopt.org/sites/default/files/Gaza_casualties_info-graphic_29_Dec_2023.pdf
https://www.ochaopt.org/content/hostilities-gaza-strip-and-israel-flash-update-164
https://www.ochaopt.org/content/humanitarian-access-snapshot-gaza-strip-1-31-may-2024
https://www.un.org/sg/en/content/highlight/2023-12-12.html
https://h.aa.com.tr/en/middle-east/israeli-army-targets-karm-abu-salem-commercial-crossing-killing-director/3089491
https://www.timesofisrael.com/liveblog_entry/egypt-sends-80-trucks-of-aid-to-reopened-kerem-shalom-checkpoint-for-inspection/
Earlier recorded access
Source 1: search extract
Source 2: search extract
Source 3: full text</x:v>
      </x:c>
      <x:c r="P221" s="20" t="n">
        <x:v>3</x:v>
      </x:c>
      <x:c r="Q221" s="4" t="str">
        <x:v>Middle East</x:v>
      </x:c>
      <x:c r="R221" s="4" t="str">
        <x:v>Included</x:v>
      </x:c>
    </x:row>
    <x:row r="222" ht="409" hidden="0" customHeight="1">
      <x:c r="A222" s="16" t="str">
        <x:v>ME032</x:v>
      </x:c>
      <x:c r="B222" s="4" t="str">
        <x:v>Turkey Syria July 2024 unrest closure</x:v>
      </x:c>
      <x:c r="C222" s="4" t="str">
        <x:v>Türkiye; Syria</x:v>
      </x:c>
      <x:c r="D222" s="4" t="str">
        <x:v>Northwest Syrian crossings; endpoint specifically Bab al Hawa</x:v>
      </x:c>
      <x:c r="E222" s="4" t="str">
        <x:v>Passengers and freight
Direction: Not established
Exceptions: Not established</x:v>
      </x:c>
      <x:c r="F222" s="4" t="str">
        <x:v>ME032-D1 — Observed operation
Bab al Hawa passenger and lorry restriction during the July unrest, to reported normal operation on July 3.
Start: 2024-07-01.
Observed scoped reopening: 2024-07-03.
2 calendar-day difference; scoped endpoint only
Additional scoped observation — Bab al Salam and al Rai commercial trucks
Both gates were reported closed by 2024-07-02. Commercial-truck operation was reported restored on 2024-07-08.
The July 8 report specifically limits Bab al Salam restoration to commercial trucks; permit-holder passenger arrangements were still to be announced. Exact first movement and continuous operational duration are not established.</x:v>
      </x:c>
      <x:c r="G222" s="4" t="str">
        <x:v>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222" s="4" t="str">
        <x:v>ME032-D1: Reuters quotes a border official dating closure to late July 1; the July 2 crossing-administration announcement reported by Enab Baladi dates its suspension announcement to July 2. These may describe the Turkish closure and the subsequent Syrian-side notice, so July 1 is retained as the attributed onset, not an independently timed first barrier. The July 3 passenger and lorry restoration is administration-reported. The two-day calendar difference is not measured 48 hours.
Other gates: A July 8 report quotes or summarizes gate administrations announcing restored commercial-truck movement at Bab al Salam and al Rai. SOHR still reported both closed on July 7. Bab al Salam passenger permits were not included in that restoration. No general passenger endpoint or continuous numeric duration is inferred for these gates.</x:v>
      </x:c>
      <x:c r="I222" s="4" t="str">
        <x:v>Second full-register audit, 26 October 2026: qualified. The gate-specific July 3 and July 8 restoration milestones remain supported; different announcement dates do not warrant replacing the attributed late-July-1 onset.</x:v>
      </x:c>
      <x:c r="J222" s="18" t="d">
        <x:v>2026-10-26T00:00:00.000Z</x:v>
      </x:c>
      <x:c r="K222" s="21" t="str">
        <x:f>IFERROR(HYPERLINK("https://www.reuters.com/world/middle-east/turkey-closes-syria-border-after-violence-flares-both-countries-2024-07-02/","Reuters"),"Reuters")</x:f>
        <x:v>Reuters</x:v>
      </x:c>
      <x:c r="L222" s="21" t="str">
        <x:f>IFERROR(HYPERLINK("https://www.thenationalnews.com/news/mena/2024/07/03/turkey-syria/","The National"),"The National")</x:f>
        <x:v>The National</x:v>
      </x:c>
      <x:c r="M222" s="21" t="str">
        <x:f>IFERROR(HYPERLINK("https://www.syriahr.com/en/337781/","syriahr.com"),"syriahr.com")</x:f>
        <x:v>syriahr.com</x:v>
      </x:c>
      <x:c r="N222" s="4" t="str">
        <x:v>https://www.reuters.com/world/middle-east/turkey-closes-syria-border-after-violence-flares-both-countries-2024-07-02/
https://www.thenationalnews.com/news/mena/2024/07/03/turkey-syria/
https://www.syriahr.com/en/337781/
https://www.securitycouncilreport.org/monthly-forecast/2024-08/syria-70.php?print=true
https://english.enabbaladi.net/archives/2024/07/status-of-crossings-with-turkey-after-protests-in-northwestern-syria/?noamp=mobile
https://syrianpressagency.org/السلطات-التركية-تعيد-افتتاح-المعابر-ا/
https://www.syriahr.com/en/338194/</x:v>
      </x:c>
      <x:c r="O222" s="4" t="str">
        <x:v>Second full-register audit source access, 26 October 2026
https://www.reuters.com/world/middle-east/turkey-closes-syria-border-after-violence-flares-both-countries-2024-07-02/: full text (fresh retrieval)
https://english.enabbaladi.net/archives/2024/07/status-of-crossings-with-turkey-after-protests-in-northwestern-syria/?noamp=mobile: full text (fresh retrieval)
https://www.thenationalnews.com/news/mena/2024/07/03/turkey-syria/: full text (fresh retrieval)
https://syrianpressagency.org/السلطات-التركية-تعيد-افتتاح-المعابر-ا/: full text (fresh retrieval)
https://www.syriahr.com/en/338194/: inaccessible (fresh retrieval) — Anti-bot response; no substantive text freshly obtained.
Earlier URLs not separately inspected in this second assessment:
https://www.syriahr.com/en/337781/
https://www.securitycouncilreport.org/monthly-forecast/2024-08/syria-70.php?print=true
Prior audit access record
Full-register audit source access (evidence cutoff 25 October 2026)
https://www.reuters.com/world/middle-east/turkey-closes-syria-border-after-violence-flares-both-countries-2024-07-02/: full text
https://english.enabbaladi.net/archives/2024/07/status-of-crossings-with-turkey-after-protests-in-northwestern-syria/?noamp=mobile: full text
https://www.thenationalnews.com/news/mena/2024/07/03/turkey-syria/: full text
https://syrianpressagency.org/السلطات-التركية-تعيد-افتتاح-المعابر-ا/: full text
https://www.syriahr.com/en/338194/: search extract — Full direct page inaccessible in this audit.
Earlier source URLs not separately listed in this audit’s retrieval log (historical access notes below are not fresh verification):
https://www.syriahr.com/en/337781/
https://www.securitycouncilreport.org/monthly-forecast/2024-08/syria-70.php?print=true
Earlier recorded access
Source 1: full text
Source 2: full text
Source 3: access detail is retained in the source catalogue.</x:v>
      </x:c>
      <x:c r="P222" s="20" t="n">
        <x:v>1</x:v>
      </x:c>
      <x:c r="Q222" s="4" t="str">
        <x:v>Middle East</x:v>
      </x:c>
      <x:c r="R222" s="4" t="str">
        <x:v>Included</x:v>
      </x:c>
    </x:row>
    <x:row r="223" ht="409" hidden="0" customHeight="1">
      <x:c r="A223" s="16" t="str">
        <x:v>ME021</x:v>
      </x:c>
      <x:c r="B223" s="4" t="str">
        <x:v>Jordan-facing terminal restrictions after the Allenby shooting, September 2024</x:v>
      </x:c>
      <x:c r="C223" s="4" t="str">
        <x:v>Israel; Palestine (occupied West Bank); Jordan</x:v>
      </x:c>
      <x:c r="D223" s="4" t="str">
        <x:v>Allenby / King Hussein / Al Karameh; Wadi Araba / Yitzhak Rabin; Jordan River / Sheikh Hussein
Allenby / King Hussein / Al Karameh; Wadi Araba / Yitzhak Rabin; Jordan River / Sheikh Hussein; scope is phase-specific.</x:v>
      </x:c>
      <x:c r="E223" s="4" t="str">
        <x:v>Passengers and commercial trucks in the existing Allenby phases; traffic classes at the two other terminals are not independently disaggregated.
Direction: Not established
Exceptions: Not established</x:v>
      </x:c>
      <x:c r="F223" s="4" t="str">
        <x:v>ME021-D1 — Observed operation
Allenby / King Hussein / Al Karameh bridge passenger interruption; commercial trucks excluded from this phase
Start: 2024-09-08.
Observed scoped reopening: 2024-09-10.
Contested: dated evidence; numeric duration withheld; see qualification
Held evidence: excluded from numeric duration and animation displays.
ME021-C7P1 — Observed operation
Commercial-truck restriction at Allenby / King Hussein bridge up to documented gradual freight resumption
Start: 2024-09-08.
Observed scoped reopening: by 2024-09-23; earliest bound unknown.
dated evidence; numeric duration withheld; see qualification
REC50-R38-ME021-P1 — Formal policy
Wadi Araba / Yitzhak Rabin closure statement after the Allenby shooting
Start: 2024-09-08.
Last confirmed closed: 2024-09-08. Reopened by 2024-09-12 according to the Polish Embassy; first actual passage and traffic-class scope unknown.
Formal policy: dated evidence; numeric duration withheld; see qualification
REC50-R38-ME021-P2 — Formal policy
Jordan River / Sheikh Hussein closure statement after the Allenby shooting
Start: 2024-09-08.
Last confirmed closed: 2024-09-08. Reopened by 2024-09-12 according to the Polish Embassy; first actual passage and traffic-class scope unknown.
Formal policy: dated evidence; numeric duration withheld; see qualification</x:v>
      </x:c>
      <x:c r="G223" s="4" t="str">
        <x:v>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x:v>
      </x:c>
      <x:c r="H223" s="4" t="str">
        <x:v>ME021-D1: The September 8–10, 2024 Allenby passenger interval remains contested and excluded from numeric duration and animation. September 10 supports passenger operation, while a September 9 morning official closure statement does not resolve a later report of relaxation that day. Neither is a freight endpoint.
ME021-C7P1: Some Allenby freight had resumed by September 23. This is an upper bound, not the exact first truck, unrestricted reopening or proof of continuous closure; exact direction and uniform truck access remain unresolved.
REC50-R38-ME021-P1 and REC50-R38-ME021-P2: The September 8 closure statements name Wadi Araba / Yitzhak Rabin and Jordan River / Sheikh Hussein. The Polish Embassy confirms these two terminals had reopened as of September 12. These are usable ended-by bounds, without exact first passages, a passenger/cargo breakdown, exhaustive exceptions or continuous closed intervals. Allenby’s endpoints must not be transferred to either terminal.
The West Bank is occupied territory; the Allenby phases are not described as an ordinary bilateral state frontier.</x:v>
      </x:c>
      <x:c r="I223" s="4" t="str">
        <x:v>Second full-register audit, 26 October 2026: qualified. All four scoped phases retain their current safeguards. Fresh sources confirm the September 9 reopening/reclosure discrepancy and prevent upgrading the contested Allenby passenger interval.</x:v>
      </x:c>
      <x:c r="J223" s="18" t="d">
        <x:v>2026-10-26T00:00:00.000Z</x:v>
      </x:c>
      <x:c r="K223" s="21" t="str">
        <x:f>IFERROR(HYPERLINK("https://www.timesofisrael.com/liveblog_entry/israel-shuts-all-land-crossings-with-jordan-after-deadly-terror-attack/","Times of Israel"),"Times of Israel")</x:f>
        <x:v>Times of Israel</x:v>
      </x:c>
      <x:c r="L223" s="21" t="str">
        <x:f>IFERROR(HYPERLINK("https://english.wafa.ps/Pages/Details/149094","WAFA"),"WAFA")</x:f>
        <x:v>WAFA</x:v>
      </x:c>
      <x:c r="M223" s="21" t="str">
        <x:f>IFERROR(HYPERLINK("https://www.thenationalnews.com/news/mena/2024/09/10/allenby-israel-jordan-river/","The National"),"The National")</x:f>
        <x:v>The National</x:v>
      </x:c>
      <x:c r="N223" s="4" t="str">
        <x:v>https://www.timesofisrael.com/liveblog_entry/israel-shuts-all-land-crossings-with-jordan-after-deadly-terror-attack/
https://english.wafa.ps/Pages/Details/149094
https://www.thenationalnews.com/news/mena/2024/09/10/allenby-israel-jordan-river/
https://www.timesofisrael.com/jordan-crossing-reopens-to-pedestrians-after-terror-attack-celebrated-in-amman/amp/
https://english.wafa.ps/Pages/Details/149054
https://www.aa.com.tr/en/middle-east/jordan-again-closes-king-hussein-bridge-crossing/3325155
https://www.wafa.ps/news/2024/9/23/%D9%85%D9%87%D9%86%D8%A7-%D8%A5%D8%B9%D8%A7%D8%AF%D8%A9-%D9%81%D8%AA%D8%AD-%D9%85%D8%B9%D8%A8%D8%B1-%D8%A7%D9%84%D9%83%D8%B1%D8%A7%D9%85%D8%A9-%D8%A3%D9%85%D8%A7%D9%85-%D8%A7%D9%84%D8%AD%D8%B1%D9%83%D8%A9
https://www.bnews.ps/index.php/ar/node/23941
https://www.chinadailyhk.com/hk/article/592550
https://www.gov.pl/web/jordania/sytuacja-na-przejsciach-granicznych-na-moscie-krola-husseina-w-akabie-oraz-jordan-river
https://www.petra.gov.jo/ar/news/%D8%A7%D9%84%D8%A3%D9%85%D9%86-%D8%A7%D9%84%D8%B9%D8%A7%D9%85-%D8%A5%D8%BA%D9%84%D8%A7%D9%82-%D8%AC%D8%B3%D8%B1-%D8%A7%D9%84%D9%85%D9%84%D9%83-%D8%AD%D8%B3%D9%8A%D9%86-%D8%AD%D8%AA%D9%89-%D8%A5%D8%B4%D8%B9%D8%A7%D8%B1-%D8%A2%D8%AE%D8%B1
https://f.aa.com.tr/en/middle-east/jordan-again-closes-king-hussein-bridge-crossing/3325155
https://aa.com.tr/en/middle-east/jordan-again-closes-king-hussein-bridge-crossing/3325155
https://petra.gov.jo/dotclear/index.php/ar/news/الأمن-العام-إغلاق-جسر-الملك-حسين-حتى-إشعار-آخر</x:v>
      </x:c>
      <x:c r="O223" s="4" t="str">
        <x:v>Second full-register audit source access, 26 October 2026
https://www.timesofisrael.com/liveblog_entry/israel-shuts-all-land-crossings-with-jordan-after-deadly-terror-attack/: full text (fresh retrieval)
https://english.wafa.ps/Pages/Details/149094: full text (fresh retrieval)
https://www.bnews.ps/index.php/ar/node/23941: full text (fresh retrieval)
https://www.gov.pl/web/jordania/sytuacja-na-przejsciach-granicznych-na-moscie-krola-husseina-w-akabie-oraz-jordan-river: full text (fresh retrieval) — Page originally dated September 8, updated body explicitly as of September 12; do not backdate open status.
https://www.timesofisrael.com/jordan-crossing-reopens-to-pedestrians-after-terror-attack-celebrated-in-amman/amp/: full text (fresh retrieval)
https://www.aa.com.tr/en/middle-east/jordan-again-closes-king-hussein-bridge-crossing/3325155: full text (fresh retrieval) — Updated September 10; reports renewed Monday closure after reopening announcements, not timestamped actual passage.
Earlier URLs not separately inspected in this second assessment:
https://www.thenationalnews.com/news/mena/2024/09/10/allenby-israel-jordan-river/
https://english.wafa.ps/Pages/Details/149054
https://www.wafa.ps/news/2024/9/23/%D9%85%D9%87%D9%86%D8%A7-%D8%A5%D8%B9%D8%A7%D8%AF%D8%A9-%D9%81%D8%AA%D8%AD-%D9%85%D8%B9%D8%A8%D8%B1-%D8%A7%D9%84%D9%83%D8%B1%D8%A7%D9%85%D8%A9-%D8%A3%D9%85%D8%A7%D9%85-%D8%A7%D9%84%D8%AD%D8%B1%D9%83%D8%A9
https://www.chinadailyhk.com/hk/article/592550
https://www.petra.gov.jo/ar/news/%D8%A7%D9%84%D8%A3%D9%85%D9%86-%D8%A7%D9%84%D8%B9%D8%A7%D9%85-%D8%A5%D8%BA%D9%84%D8%A7%D9%82-%D8%AC%D8%B3%D8%B1-%D8%A7%D9%84%D9%85%D9%84%D9%83-%D8%AD%D8%B3%D9%8A%D9%86-%D8%AD%D8%AA%D9%89-%D8%A5%D8%B4%D8%B9%D8%A7%D8%B1-%D8%A2%D8%AE%D8%B1
https://f.aa.com.tr/en/middle-east/jordan-again-closes-king-hussein-bridge-crossing/3325155
https://aa.com.tr/en/middle-east/jordan-again-closes-king-hussein-bridge-crossing/3325155
https://petra.gov.jo/dotclear/index.php/ar/news/الأمن-العام-إغلاق-جسر-الملك-حسين-حتى-إشعار-آخر
Prior audit access record
Full-register audit source access (evidence cutoff 25 October 2026)
https://www.gov.pl/web/jordania/sytuacja-na-przejsciach-granicznych-na-moscie-krola-husseina-w-akabie-oraz-jordan-river: full text
https://www.timesofisrael.com/jordan-crossing-reopens-to-pedestrians-after-terror-attack-celebrated-in-amman/amp/: full text
https://www.bnews.ps/index.php/ar/node/23941: full text
Earlier source URLs not separately listed in this audit’s retrieval log (historical access notes below are not fresh verification):
https://www.timesofisrael.com/liveblog_entry/israel-shuts-all-land-crossings-with-jordan-after-deadly-terror-attack/
https://english.wafa.ps/Pages/Details/149094
https://www.thenationalnews.com/news/mena/2024/09/10/allenby-israel-jordan-river/
https://english.wafa.ps/Pages/Details/149054
https://www.aa.com.tr/en/middle-east/jordan-again-closes-king-hussein-bridge-crossing/3325155
https://www.wafa.ps/news/2024/9/23/%D9%85%D9%87%D9%86%D8%A7-%D8%A5%D8%B9%D8%A7%D8%AF%D8%A9-%D9%81%D8%AA%D8%AD-%D9%85%D8%B9%D8%A8%D8%B1-%D8%A7%D9%84%D9%83%D8%B1%D8%A7%D9%85%D8%A9-%D8%A3%D9%85%D8%A7%D9%85-%D8%A7%D9%84%D8%AD%D8%B1%D9%83%D8%A9
https://www.chinadailyhk.com/hk/article/592550
https://www.petra.gov.jo/ar/news/%D8%A7%D9%84%D8%A3%D9%85%D9%86-%D8%A7%D9%84%D8%B9%D8%A7%D9%85-%D8%A5%D8%BA%D9%84%D8%A7%D9%82-%D8%AC%D8%B3%D8%B1-%D8%A7%D9%84%D9%85%D9%84%D9%83-%D8%AD%D8%B3%D9%8A%D9%86-%D8%AD%D8%AA%D9%89-%D8%A5%D8%B4%D8%B9%D8%A7%D8%B1-%D8%A2%D8%AE%D8%B1
https://f.aa.com.tr/en/middle-east/jordan-again-closes-king-hussein-bridge-crossing/3325155
https://aa.com.tr/en/middle-east/jordan-again-closes-king-hussein-bridge-crossing/3325155
https://petra.gov.jo/dotclear/index.php/ar/news/الأمن-العام-إغلاق-جسر-الملك-حسين-حتى-إشعار-آخر
Earlier recorded access
Source 1: full page
Source 2: full text
Source 3: full text</x:v>
      </x:c>
      <x:c r="P223" s="20" t="n">
        <x:v>4</x:v>
      </x:c>
      <x:c r="Q223" s="4" t="str">
        <x:v>Middle East</x:v>
      </x:c>
      <x:c r="R223" s="4" t="str">
        <x:v>Included</x:v>
      </x:c>
    </x:row>
    <x:row r="224" ht="409" hidden="0" customHeight="1">
      <x:c r="A224" s="16" t="str">
        <x:v>ME028</x:v>
      </x:c>
      <x:c r="B224" s="4" t="str">
        <x:v>Lebanon Syria Masnaa road severed by air strike</x:v>
      </x:c>
      <x:c r="C224" s="4" t="str">
        <x:v>Lebanon; Syria</x:v>
      </x:c>
      <x:c r="D224" s="4" t="str">
        <x:v>Masnaa / Jdaidet Yabous road</x:v>
      </x:c>
      <x:c r="E224" s="4" t="str">
        <x:v>Motor vehicles and formal road access
Direction: Not established
Exceptions: Pedestrian passage across the damaged road documented by UNHCR after 4 October; vehicular through-traffic disrupted.</x:v>
      </x:c>
      <x:c r="F224" s="4" t="str">
        <x:v>ME028-REV1 — Observed operation
Severed through-vehicle road between Masnaa and Jdeidat Yabous following the October 4 strike
Start: 2024-10-04.
Last confirmed vehicle-closure observation: 2024-10-04. Road reported fully repaired and operational by 2024-11-30; exact first restoration unknown.
dated evidence; numeric duration withheld; see qualification</x:v>
      </x:c>
      <x:c r="G224"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Security / Smuggling and illicit trafficking
Attributed official justification
Applies to: October 4, 2024 strike at Masnaa; exact overlap beyond this action not inferred
Added alongside the existing conflict rationale, without endorsing the weapons-transfer allegation or inferring a primary purpose.</x:v>
      </x:c>
      <x:c r="H224" s="4" t="str">
        <x:v>The October 4, 2024 strike severed through-vehicle access at the Masnaa road; pedestrians continued crossing. The former October 10 last-confirmation and six-day minimum are withdrawn because reproduced evidence did not support them. A November 30 ministerial statement reported the road repaired and operational, providing a later restoration bound. Exact first restoration and intervening continuity remain unresolved; later strikes are separate events. No continuous October–November closure or exact duration is inferred.</x:v>
      </x:c>
      <x:c r="I224" s="4" t="str">
        <x:v>Second full-register audit, 26 October 2026: qualified. October 4 through-vehicle interruption, continued pedestrian passage and a November 30 later operational bound are supported; the intervening October 22 strike cannot establish uninterrupted closure.</x:v>
      </x:c>
      <x:c r="J224" s="18" t="d">
        <x:v>2026-10-26T00:00:00.000Z</x:v>
      </x:c>
      <x:c r="K224" s="21" t="str">
        <x:f>IFERROR(HYPERLINK("https://press.un.org/en/2024/db241010.doc.htm","press.un.org"),"press.un.org")</x:f>
        <x:v>press.un.org</x:v>
      </x:c>
      <x:c r="L224" s="21" t="str">
        <x:f>IFERROR(HYPERLINK("https://www.unhcr.org/sy/sites/sy/files/legacy-pdf/UNHCR-FLASH-UPDATE-10_Displacement-from-Lebanon_8-October-2024.pdf","unhcr.org"),"unhcr.org")</x:f>
        <x:v>unhcr.org</x:v>
      </x:c>
      <x:c r="M224" s="21" t="str">
        <x:f>IFERROR(HYPERLINK("https://www.unognewsroom.org/story/en/2373/lebanon-displacement-crisis-unhcr-iom/7152","unognewsroom.org"),"unognewsroom.org")</x:f>
        <x:v>unognewsroom.org</x:v>
      </x:c>
      <x:c r="N224" s="4" t="str">
        <x:v>https://press.un.org/en/2024/db241010.doc.htm
https://www.unhcr.org/sy/sites/sy/files/legacy-pdf/UNHCR-FLASH-UPDATE-10_Displacement-from-Lebanon_8-October-2024.pdf
https://www.unognewsroom.org/story/en/2373/lebanon-displacement-crisis-unhcr-iom/7152
https://www.unhcr.org/sites/default/files/2024-10/UNHCR%20FLASH%20UPDATE%20%2311_Displacement%20from%20Lebanon_10%20October%202024.pdf
https://www.lbcgroup.tv/news/lebanon-news/820101/lbci-lebanon-articles/en
https://npasyria.com/en/118734/
https://www.lbcgroup.tv/news/lebanon-news/820682/public-works-minister-masnaa-border-crossing-road-fully-repaired/en
https://data.unhcr.org/en/documents/details/111660
https://www.un.org/sg/en/content/highlight/2024-10-10.html
https://www.reuters.com/world/middle-east/israeli-strike-closes-off-road-used-flee-lebanon-syria-lebanese-transport-2024-10-04/
https://today.lorientlejour.com/article/1429925/israel-claims-to-have-struck-hezbollah-tunnel-between-lebanon-and-syria.html
https://www.unhcr.org/sites/default/files/2024-10/UNHCR%20Syria%20Flash%20Update%20%237_Displacement%20from%20Lebanon_4%20October%202024.pdf
https://today.lorientlejour.com/article/1437645/hamieh-announces-completion-of-road-restoration-at-masnaa-border-crossing.html
https://www.aman-alliance.org/Home/ContentDetail/83162
https://syria.un.org/en/282108-statement-recent-attack-masnaa-border-crossing-between-lebanon-and-syria-un-resident
https://www.reutersconnect.com/item/people-cross-from-lebanon-into-syria-on-foot-at-the-masnaa-border-crossing/dGFnOnJldXRlcnMuY29tLDIwMjQ6bmV3c21sX1JDMjdLQUEyM01VSA
https://www.enabbaladi.net/725986/تأهيل-يابوس-إسرائيل-تعطّل-المعابر-بي/?noamp=mobile
https://www.hrw.org/news/2024/10/07/lebanon-israeli-strikes-impede-fleeing-civilians-aid
https://www.unognewsroom.org/story/en/2372/un-geneva-press-briefing-04-october-2024
https://www.unhcr.org/sy/sites/sy/files/legacy-pdf/UNHCR-FLASH-UPDATE-12_Displacement-from-Lebanon_12-October-2024.pdf</x:v>
      </x:c>
      <x:c r="O224" s="4" t="str">
        <x:v>Second full-register audit source access, 26 October 2026
https://www.unognewsroom.org/story/en/2372/un-geneva-press-briefing-04-october-2024: full text (fresh retrieval)
https://www.lbcgroup.tv/news/lebanon-news/820682/public-works-minister-masnaa-border-crossing-road-fully-repaired/en: full text (fresh retrieval)
https://today.lorientlejour.com/article/1429925/israel-claims-to-have-struck-hezbollah-tunnel-between-lebanon-and-syria.html: full text (fresh retrieval)
https://syria.un.org/en/282108-statement-recent-attack-masnaa-border-crossing-between-lebanon-and-syria-un-resident: full text (fresh retrieval)
Earlier URLs not separately inspected in this second assessment:
https://press.un.org/en/2024/db241010.doc.htm
https://www.unhcr.org/sy/sites/sy/files/legacy-pdf/UNHCR-FLASH-UPDATE-10_Displacement-from-Lebanon_8-October-2024.pdf
https://www.unognewsroom.org/story/en/2373/lebanon-displacement-crisis-unhcr-iom/7152
https://www.unhcr.org/sites/default/files/2024-10/UNHCR%20FLASH%20UPDATE%20%2311_Displacement%20from%20Lebanon_10%20October%202024.pdf
https://www.lbcgroup.tv/news/lebanon-news/820101/lbci-lebanon-articles/en
https://npasyria.com/en/118734/
https://data.unhcr.org/en/documents/details/111660
https://www.un.org/sg/en/content/highlight/2024-10-10.html
https://www.reuters.com/world/middle-east/israeli-strike-closes-off-road-used-flee-lebanon-syria-lebanese-transport-2024-10-04/
https://www.unhcr.org/sites/default/files/2024-10/UNHCR%20Syria%20Flash%20Update%20%237_Displacement%20from%20Lebanon_4%20October%202024.pdf
https://today.lorientlejour.com/article/1437645/hamieh-announces-completion-of-road-restoration-at-masnaa-border-crossing.html
https://www.aman-alliance.org/Home/ContentDetail/83162
https://www.reutersconnect.com/item/people-cross-from-lebanon-into-syria-on-foot-at-the-masnaa-border-crossing/dGFnOnJldXRlcnMuY29tLDIwMjQ6bmV3c21sX1JDMjdLQUEyM01VSA
https://www.enabbaladi.net/725986/تأهيل-يابوس-إسرائيل-تعطّل-المعابر-بي/?noamp=mobile
https://www.hrw.org/news/2024/10/07/lebanon-israeli-strikes-impede-fleeing-civilians-aid
https://www.unhcr.org/sy/sites/sy/files/legacy-pdf/UNHCR-FLASH-UPDATE-12_Displacement-from-Lebanon_12-October-2024.pdf
Prior audit access record
Full-register audit source access (evidence cutoff 25 October 2026)
https://www.unognewsroom.org/story/en/2373/lebanon-displacement-crisis-unhcr-iom/7152: full text
https://www.lbcgroup.tv/news/lebanon-news/820682/public-works-minister-masnaa-border-crossing-road-fully-repaired/en: full text
Earlier source URLs not separately listed in this audit’s retrieval log (historical access notes below are not fresh verification):
https://press.un.org/en/2024/db241010.doc.htm
https://www.unhcr.org/sy/sites/sy/files/legacy-pdf/UNHCR-FLASH-UPDATE-10_Displacement-from-Lebanon_8-October-2024.pdf
https://www.unhcr.org/sites/default/files/2024-10/UNHCR%20FLASH%20UPDATE%20%2311_Displacement%20from%20Lebanon_10%20October%202024.pdf
https://www.lbcgroup.tv/news/lebanon-news/820101/lbci-lebanon-articles/en
https://npasyria.com/en/118734/
https://data.unhcr.org/en/documents/details/111660
https://www.un.org/sg/en/content/highlight/2024-10-10.html
https://www.reuters.com/world/middle-east/israeli-strike-closes-off-road-used-flee-lebanon-syria-lebanese-transport-2024-10-04/
https://today.lorientlejour.com/article/1429925/israel-claims-to-have-struck-hezbollah-tunnel-between-lebanon-and-syria.html
https://www.unhcr.org/sites/default/files/2024-10/UNHCR%20Syria%20Flash%20Update%20%237_Displacement%20from%20Lebanon_4%20October%202024.pdf
https://today.lorientlejour.com/article/1437645/hamieh-announces-completion-of-road-restoration-at-masnaa-border-crossing.html
https://www.aman-alliance.org/Home/ContentDetail/83162
https://syria.un.org/en/282108-statement-recent-attack-masnaa-border-crossing-between-lebanon-and-syria-un-resident
https://www.reutersconnect.com/item/people-cross-from-lebanon-into-syria-on-foot-at-the-masnaa-border-crossing/dGFnOnJldXRlcnMuY29tLDIwMjQ6bmV3c21sX1JDMjdLQUEyM01VSA
https://www.enabbaladi.net/725986/تأهيل-يابوس-إسرائيل-تعطّل-المعابر-بي/?noamp=mobile
https://www.hrw.org/news/2024/10/07/lebanon-israeli-strikes-impede-fleeing-civilians-aid
https://www.unognewsroom.org/story/en/2372/un-geneva-press-briefing-04-october-2024
https://www.unhcr.org/sy/sites/sy/files/legacy-pdf/UNHCR-FLASH-UPDATE-12_Displacement-from-Lebanon_12-October-2024.pdf
Earlier recorded access
Source 1: indexed excerpt; failed
Source 2: indexed excerpt; failed
Source 3: access detail is retained in the source catalogue.</x:v>
      </x:c>
      <x:c r="P224" s="20" t="n">
        <x:v>1</x:v>
      </x:c>
      <x:c r="Q224" s="4" t="str">
        <x:v>Middle East</x:v>
      </x:c>
      <x:c r="R224" s="4" t="str">
        <x:v>Included</x:v>
      </x:c>
    </x:row>
    <x:row r="225" ht="409" hidden="0" customHeight="1">
      <x:c r="A225" s="16" t="str">
        <x:v>ME029</x:v>
      </x:c>
      <x:c r="B225" s="4" t="str">
        <x:v>Lebanon Syria Qaa road closure after strike</x:v>
      </x:c>
      <x:c r="C225" s="4" t="str">
        <x:v>Lebanon; Syria</x:v>
      </x:c>
      <x:c r="D225" s="4" t="str">
        <x:v>Qaa / Jousiyeh</x:v>
      </x:c>
      <x:c r="E225" s="4" t="str">
        <x:v>Vehicles and formal road access
Direction: Not established
Exceptions: Not established</x:v>
      </x:c>
      <x:c r="F225" s="4" t="str">
        <x:v>ME029-D1 — Observed operation
Qaa / Jousiyeh; Vehicles and formal road access; Not established
Start: 2024-10-25.
Observed scoped reopening: 2024-12-01.
Contested: dated evidence; numeric duration withheld; see qualification
Held evidence: excluded from numeric duration and animation displays.</x:v>
      </x:c>
      <x:c r="G225"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25" s="4" t="str">
        <x:v>ME029-D1: UNHCR’s December 2 update reports that pedestrians continued despite the November 30 strike and that vehicle movement resumed on December 1, with cars and buses carrying Lebanese returnees from Syria to Lebanon observed. This is direct evidence for that direction and category; equivalent first restoration for reverse-direction movements is not established. It does not prove uninterrupted October 25–December 1 vehicle closure through repeated strikes and emergency access. Numeric duration remains withheld; pedestrian access is excluded.
end/continuity: UNHCR strengthens the December 1 observed car/bus return endpoint from Syria to Lebanon, while November 27–30 vehicle continuity and reverse-direction first restoration remain unresolved. The complete interval remains contested.</x:v>
      </x:c>
      <x:c r="I225" s="4" t="str">
        <x:v>Second full-register audit, 26 October 2026: qualified. UNHCR directly supports December 1 cars/buses returning from Syria to Lebanon, with pedestrians still passing; the October-to-December interval correctly remains held.</x:v>
      </x:c>
      <x:c r="J225" s="18" t="d">
        <x:v>2026-10-26T00:00:00.000Z</x:v>
      </x:c>
      <x:c r="K225" s="21" t="str">
        <x:f>IFERROR(HYPERLINK("https://today.lorientlejour.com/article/1432882/lebanons-eastern-border-crossings-with-syria-shut-after-israeli-strike.html","L Orient Today"),"L Orient Today")</x:f>
        <x:v>L Orient Today</x:v>
      </x:c>
      <x:c r="L225" s="21" t="str">
        <x:f>IFERROR(HYPERLINK("https://today.lorientlejour.com/article/1437699/qaa-border-crossing-reopens-4000-people-expected-to-cross-on-sunday.html","L Orient Today"),"L Orient Today")</x:f>
        <x:v>L Orient Today</x:v>
      </x:c>
      <x:c r="M225" s="21" t="str">
        <x:f>IFERROR(HYPERLINK("https://www.lbcgroup.tv/news/lebanon-news/820049/qaa-jusiyah-land-border-crossing-between-lebanon-and-syria-reopens-say/en","lbcgroup.tv"),"lbcgroup.tv")</x:f>
        <x:v>lbcgroup.tv</x:v>
      </x:c>
      <x:c r="N225" s="4" t="str">
        <x:v>https://today.lorientlejour.com/article/1432882/lebanons-eastern-border-crossings-with-syria-shut-after-israeli-strike.html
https://today.lorientlejour.com/article/1437699/qaa-border-crossing-reopens-4000-people-expected-to-cross-on-sunday.html
https://www.lbcgroup.tv/news/lebanon-news/820049/qaa-jusiyah-land-border-crossing-between-lebanon-and-syria-reopens-say/en
https://www.mtv.com.lb/en/News/Local/1525527/jousieh-border-crossing-reopens-to-facilitate-return-of-displaced-lebanese
https://today.lorientlejour.com/article/1437739/qaa-crossing-reopens-as-4000-expected-to-cross-sunday.html
https://data.unhcr.org/fr/documents/download/112887
https://www.unhcr.org/sy/sites/sy/files/legacy-pdf/UNHCR-Emergency-Response-Brief_5-December-2024.pdf</x:v>
      </x:c>
      <x:c r="O225" s="4" t="str">
        <x:v>Second full-register audit source access, 26 October 2026
https://today.lorientlejour.com/article/1432882/lebanons-eastern-border-crossings-with-syria-shut-after-israeli-strike.html: full text (fresh retrieval)
https://data.unhcr.org/fr/documents/download/112887: full text (fresh retrieval)
Earlier URLs not separately inspected in this second assessment:
https://today.lorientlejour.com/article/1437699/qaa-border-crossing-reopens-4000-people-expected-to-cross-on-sunday.html
https://www.lbcgroup.tv/news/lebanon-news/820049/qaa-jusiyah-land-border-crossing-between-lebanon-and-syria-reopens-say/en
https://www.mtv.com.lb/en/News/Local/1525527/jousieh-border-crossing-reopens-to-facilitate-return-of-displaced-lebanese
https://today.lorientlejour.com/article/1437739/qaa-crossing-reopens-as-4000-expected-to-cross-sunday.html
https://www.unhcr.org/sy/sites/sy/files/legacy-pdf/UNHCR-Emergency-Response-Brief_5-December-2024.pdf
Prior audit access record
Full-register audit source access (evidence cutoff 25 October 2026)
https://today.lorientlejour.com/article/1432882/lebanons-eastern-border-crossings-with-syria-shut-after-israeli-strike.html: full text
https://data.unhcr.org/fr/documents/download/112887: full text
Earlier source URLs not separately listed in this audit’s retrieval log (historical access notes below are not fresh verification):
https://today.lorientlejour.com/article/1437699/qaa-border-crossing-reopens-4000-people-expected-to-cross-on-sunday.html
https://www.lbcgroup.tv/news/lebanon-news/820049/qaa-jusiyah-land-border-crossing-between-lebanon-and-syria-reopens-say/en
https://www.mtv.com.lb/en/News/Local/1525527/jousieh-border-crossing-reopens-to-facilitate-return-of-displaced-lebanese
https://today.lorientlejour.com/article/1437739/qaa-crossing-reopens-as-4000-expected-to-cross-sunday.html
https://www.unhcr.org/sy/sites/sy/files/legacy-pdf/UNHCR-Emergency-Response-Brief_5-December-2024.pdf
Earlier recorded access
Source 1: search extract
Source 2: full page
Source 3: access detail is retained in the source catalogue.</x:v>
      </x:c>
      <x:c r="P225" s="20" t="n">
        <x:v>1</x:v>
      </x:c>
      <x:c r="Q225" s="4" t="str">
        <x:v>Middle East</x:v>
      </x:c>
      <x:c r="R225" s="4" t="str">
        <x:v>Included</x:v>
      </x:c>
    </x:row>
    <x:row r="226" ht="409" hidden="0" customHeight="1">
      <x:c r="A226" s="16" t="str">
        <x:v>ME002</x:v>
      </x:c>
      <x:c r="B226" s="4" t="str">
        <x:v>Jordan Syria Jaber security closure during Assad collapse</x:v>
      </x:c>
      <x:c r="C226" s="4" t="str">
        <x:v>Jordan; Syria</x:v>
      </x:c>
      <x:c r="D226" s="4" t="str">
        <x:v>Jaber / Nassib</x:v>
      </x:c>
      <x:c r="E226" s="4" t="str">
        <x:v>Outbound passengers and goods from Jordan to Syria were restricted on 6 December 2024. Returning Jordanians and Jordanian trucks were excepted. The 18 December decision concerned freight. From 25 May 2025, Jordanians travelling to Syria through Jaber by public transport were permitted without prior approval, except those barred for security reasons. Private vehicles were outside this general waiver.</x:v>
      </x:c>
      <x:c r="F226" s="4" t="str">
        <x:v>ME002-NP1 — Formal policy
Jaber outbound restriction and later freight authorisation
Start: 2024-12-06.
Policy endpoint: 2024-12-18.
Formal policy: dated evidence; numeric duration withheld; see qualification
Later passenger-policy milestone: 2025-05-25, prior approval waived for Jordanians travelling through Jaber to Syria by public transport; security exclusions remained and the waiver did not cover private vehicles. This is not an observed first reopening or a continuous passenger-closure interval.</x:v>
      </x:c>
      <x:c r="G226"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Security / Public order and immediate safety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26" s="4" t="str">
        <x:v>ME002-NP1: The 6 and 18 December decisions concern different traffic scopes. Contemporary reporting describes some trucks moving earlier and conflicting accounts of direct passage versus free-zone exchanges. No 12-day operational closure is inferred. The later extension to 24-hour operation is not first reopening.
On 25 May 2025, prior approval was waived for Jordanians travelling to Syria by public transport through Jaber, subject to security exclusions. This establishes a later permission milestone, not the first actual passenger passage or continuous closure from December to May. Private vehicles were excluded from that general waiver. Numeric operational duration remains withheld.</x:v>
      </x:c>
      <x:c r="I226" s="4" t="str">
        <x:v>Second full-register audit, 26 October 2026: additional source-audited corrections incorporated. See the phase, scope and qualification columns for the accepted findings.</x:v>
      </x:c>
      <x:c r="J226" s="18" t="d">
        <x:v>2026-10-26T00:00:00.000Z</x:v>
      </x:c>
      <x:c r="K226" s="21" t="str">
        <x:f>IFERROR(HYPERLINK("https://jordantimes.com/news/local/jordan-closes-border-crossing-syria-%E2%80%93-interior-minister","jordantimes.com"),"jordantimes.com")</x:f>
        <x:v>jordantimes.com</x:v>
      </x:c>
      <x:c r="L226" s="21" t="str">
        <x:f>IFERROR(HYPERLINK("https://jordantimes.com/news/local/jordan-reopens-jaber-border-crossing-syria-truck-movement","Jordan Times"),"Jordan Times")</x:f>
        <x:v>Jordan Times</x:v>
      </x:c>
      <x:c r="M226" s="21" t="str">
        <x:f>IFERROR(HYPERLINK("https://petra.gov.jo/Include/InnerPage.jsp?ID=66644&amp;lang=en&amp;name=en_news","Petra"),"Petra")</x:f>
        <x:v>Petra</x:v>
      </x:c>
      <x:c r="N226" s="4" t="str">
        <x:v>https://jordantimes.com/news/local/jordan-closes-border-crossing-syria-%E2%80%93-interior-minister
https://jordantimes.com/news/local/jordan-reopens-jaber-border-crossing-syria-truck-movement
https://petra.gov.jo/Include/InnerPage.jsp?ID=66644&amp;lang=en&amp;name=en_news
https://english.enabbaladi.net/archives/2024/12/trade-movement-resumes-between-jordan-and-syria/?noamp=mobile
https://english.enabbaladi.net/archives/2024/12/jordan-seeks-to-enhance-border-traffic-with-syria/
https://www.reuters.com/ar/world/HFFD23KI2ZMRBO6RLUAFCYOPUQ-2024-12-06/
https://jordantimes.com/news/local/interior-ministry-allows-land-travel-syria-without-prior-permits
https://kwsn.com/2024/12/06/jordan-closes-border-crossing-into-syria-ministry-says/
https://www.aljazeera.net/ebusiness/2024/12/19/trade-between-syria-jordan-resumes
https://www.timesofisrael.com/liveblog_entry/jordan-closes-border-with-syria-as-insurgency-expands-to-countrys-south-approaches-israeli-border/
https://english.enabbaladi.net/archives/2024/12/jordan-closes-jaber-crossing-with-syria/?so=related
https://www.aa.com.tr/en/middle-east/jordan-to-reopen-jaber-border-crossing-with-syria-for-trucks/3427313
https://petra.gov.jo/dotclear/index.php/ar/news/نقابة-التخليص-تثمن-سرعة-استجابة-الحكومة-لفتح-معبر-جابر-أمام-الشاحنات-إعادة-للعنوان
https://www.ajlounnews.net/استئناف-عمل-مركز-جابر-ينعش-حركة-الشاح/
https://e.gov.kw/sites/kgoenglish/Pages/ApplicationPages/NewsDetail.aspx?nid=34658586
https://www.aa.com.tr/en/middle-east/jordan-closes-border-crossing-with-syria-over-security-concerns-report/3416467
https://petra.gov.jo/index.php/ar/news/الداخلية-السماح-للأردنيين-بالسفر-برا-إلى-سوريا-دون-موافقة-مسبقة
https://www.almamlakatv.com/news/169782-السماح-للأردنيين-بالسفر-برا-إلى-سوريا-عبر-مركز-حدود-جابر-بدون-موافقة-مسبقة</x:v>
      </x:c>
      <x:c r="O226" s="4" t="str">
        <x:v>Second full-register audit source access, 26 October 2026
https://www.aa.com.tr/en/middle-east/jordan-closes-border-crossing-with-syria-over-security-concerns-report/3416467: full text (fresh retrieval)
https://www.aa.com.tr/en/middle-east/jordan-to-reopen-jaber-border-crossing-with-syria-for-trucks/3427313: full text (fresh retrieval)
https://english.enabbaladi.net/archives/2024/12/trade-movement-resumes-between-jordan-and-syria/?noamp=mobile: full text (fresh retrieval)
https://petra.gov.jo/index.php/ar/news/الداخلية-السماح-للأردنيين-بالسفر-برا-إلى-سوريا-دون-موافقة-مسبقة: full text (fresh retrieval)
https://www.almamlakatv.com/news/169782-السماح-للأردنيين-بالسفر-برا-إلى-سوريا-عبر-مركز-حدود-جابر-بدون-موافقة-مسبقة: full text (fresh retrieval) — Same-day updated article; specifies public transport, excludes private vehicles from the general waiver.
Earlier URLs not separately inspected in this second assessment:
https://jordantimes.com/news/local/jordan-closes-border-crossing-syria-%E2%80%93-interior-minister
https://jordantimes.com/news/local/jordan-reopens-jaber-border-crossing-syria-truck-movement
https://petra.gov.jo/Include/InnerPage.jsp?ID=66644&amp;lang=en&amp;name=en_news
https://english.enabbaladi.net/archives/2024/12/jordan-seeks-to-enhance-border-traffic-with-syria/
https://www.reuters.com/ar/world/HFFD23KI2ZMRBO6RLUAFCYOPUQ-2024-12-06/
https://jordantimes.com/news/local/interior-ministry-allows-land-travel-syria-without-prior-permits
https://kwsn.com/2024/12/06/jordan-closes-border-crossing-into-syria-ministry-says/
https://www.aljazeera.net/ebusiness/2024/12/19/trade-between-syria-jordan-resumes
https://www.timesofisrael.com/liveblog_entry/jordan-closes-border-with-syria-as-insurgency-expands-to-countrys-south-approaches-israeli-border/
https://english.enabbaladi.net/archives/2024/12/jordan-closes-jaber-crossing-with-syria/?so=related
https://petra.gov.jo/dotclear/index.php/ar/news/نقابة-التخليص-تثمن-سرعة-استجابة-الحكومة-لفتح-معبر-جابر-أمام-الشاحنات-إعادة-للعنوان
https://www.ajlounnews.net/استئناف-عمل-مركز-جابر-ينعش-حركة-الشاح/
https://e.gov.kw/sites/kgoenglish/Pages/ApplicationPages/NewsDetail.aspx?nid=34658586
Prior audit access record
Full-register audit source access (evidence cutoff 25 October 2026)
https://www.aa.com.tr/en/middle-east/jordan-to-reopen-jaber-border-crossing-with-syria-for-trucks/3427313: full text
https://english.enabbaladi.net/archives/2024/12/trade-movement-resumes-between-jordan-and-syria/?noamp=mobile: full text — Does not establish universal observed endpoint
https://jordantimes.com/news/local/jordan-reopens-jaber-border-crossing-syria-truck-movement: inaccessible — 403
Earlier source URLs not separately listed in this audit’s retrieval log (historical access notes below are not fresh verification):
https://jordantimes.com/news/local/jordan-closes-border-crossing-syria-%E2%80%93-interior-minister
https://petra.gov.jo/Include/InnerPage.jsp?ID=66644&amp;lang=en&amp;name=en_news
https://english.enabbaladi.net/archives/2024/12/jordan-seeks-to-enhance-border-traffic-with-syria/
https://www.reuters.com/ar/world/HFFD23KI2ZMRBO6RLUAFCYOPUQ-2024-12-06/
https://jordantimes.com/news/local/interior-ministry-allows-land-travel-syria-without-prior-permits
https://kwsn.com/2024/12/06/jordan-closes-border-crossing-into-syria-ministry-says/
https://www.aljazeera.net/ebusiness/2024/12/19/trade-between-syria-jordan-resumes
https://www.timesofisrael.com/liveblog_entry/jordan-closes-border-with-syria-as-insurgency-expands-to-countrys-south-approaches-israeli-border/
https://english.enabbaladi.net/archives/2024/12/jordan-closes-jaber-crossing-with-syria/?so=related
https://petra.gov.jo/dotclear/index.php/ar/news/نقابة-التخليص-تثمن-سرعة-استجابة-الحكومة-لفتح-معبر-جابر-أمام-الشاحنات-إعادة-للعنوان
https://www.ajlounnews.net/استئناف-عمل-مركز-جابر-ينعش-حركة-الشاح/
https://e.gov.kw/sites/kgoenglish/Pages/ApplicationPages/NewsDetail.aspx?nid=34658586
Earlier recorded access
Source 1: access detail is retained in the source catalogue.
Source 2: indexed excerpt
Source 3: indexed excerpt</x:v>
      </x:c>
      <x:c r="P226" s="20" t="n">
        <x:v>1</x:v>
      </x:c>
      <x:c r="Q226" s="4" t="str">
        <x:v>Middle East</x:v>
      </x:c>
      <x:c r="R226" s="4" t="str">
        <x:v>Included</x:v>
      </x:c>
    </x:row>
    <x:row r="227" ht="409" hidden="0" customHeight="1">
      <x:c r="A227" s="16" t="str">
        <x:v>ME003</x:v>
      </x:c>
      <x:c r="B227" s="4" t="str">
        <x:v>Iraq Syria Qaim closure after Assad fall</x:v>
      </x:c>
      <x:c r="C227" s="4" t="str">
        <x:v>Iraq; Syria</x:v>
      </x:c>
      <x:c r="D227" s="4" t="str">
        <x:v>Al Qaim / Al Bukamal</x:v>
      </x:c>
      <x:c r="E227" s="4" t="str">
        <x:v>Passengers and goods
Direction: Not established
Exceptions: Humanitarian movements and stranded trucks; exceptional repatriations, including Syrian soldiers on 19 December, documented before June 2025.</x:v>
      </x:c>
      <x:c r="F227" s="4" t="str">
        <x:v>ME003-D1 — Observed operation
Regular ordinary commercial and unrestricted civilian operation at Al Qaim–Al Bukamal, excluding authorised humanitarian/repatriation movements and Iraqi nationals returning with valid identification from December 10.
Start: 2024-12-08.
Observed scoped reopening: 2025-06-14.
188 calendar-day difference; scoped endpoint only</x:v>
      </x:c>
      <x:c r="G227"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27" s="4" t="str">
        <x:v>ME003-D1: December 10 category-based Iraqi return access, stranded trucks, humanitarian movements and December 19 soldier repatriation are exceptions. June 14 is regular trade/passenger resumption, not first movement. No zero-traffic duration.
other exceptional traffic: Dates/extent of other exceptions not all reconfirmed by these two fresh texts.</x:v>
      </x:c>
      <x:c r="I227" s="4" t="str">
        <x:v>Second full-register audit, 26 October 2026: qualified. Fresh reporting supports December 8 closure and June 14 regular restoration, and now directly reconfirms humanitarian, stranded-truck and December 19 soldier exceptions already retained in the reader.</x:v>
      </x:c>
      <x:c r="J227" s="18" t="d">
        <x:v>2026-10-26T00:00:00.000Z</x:v>
      </x:c>
      <x:c r="K227" s="21" t="str">
        <x:f>IFERROR(HYPERLINK("https://www.aa.com.tr/en/middle-east/iraq-says-border-crossing-with-syria-closed-after-assad-s-fall/3418302","Anadolu"),"Anadolu")</x:f>
        <x:v>Anadolu</x:v>
      </x:c>
      <x:c r="L227" s="21" t="str">
        <x:f>IFERROR(HYPERLINK("https://www.thestar.com.my/news/world/2025/06/14/iraq-reopens-syria-crossing-for-trade-and-passenger-traffic","The Star"),"The Star")</x:f>
        <x:v>The Star</x:v>
      </x:c>
      <x:c r="M227" s="21" t="str">
        <x:f>IFERROR(HYPERLINK("https://www.unhcr.org/iq/wp-content/uploads/sites/165/2024/12/Iraq-Lebanese-Response-Update-24.pdf","UNHCR"),"UNHCR")</x:f>
        <x:v>UNHCR</x:v>
      </x:c>
      <x:c r="N227" s="4" t="str">
        <x:v>https://www.aa.com.tr/en/middle-east/iraq-says-border-crossing-with-syria-closed-after-assad-s-fall/3418302
https://www.thestar.com.my/news/world/2025/06/14/iraq-reopens-syria-crossing-for-trade-and-passenger-traffic
https://www.unhcr.org/iq/wp-content/uploads/sites/165/2024/12/Iraq-Lebanese-Response-Update-24.pdf
https://www.rudaw.net/english/categories/middleeast/842704
https://en.964media.com/28932/
https://qna.org.qa/en/news/news-details?date=14/06/2025&amp;id=iraq-announces-resumption-of-trade-through-al-qaim-border-crossing-with-syria
https://ina.iq/en/local/40476-bpa-announce-the-resumption-of-trade-exchange-movements-at-the-al-qaim-border-crossing.html
https://www.turkiyetoday.com/region/iraq-closes-al-qaim-border-crossing-after-assad-regime-falls-90152</x:v>
      </x:c>
      <x:c r="O227" s="4" t="str">
        <x:v>Second full-register audit source access, 26 October 2026
https://www.aa.com.tr/en/middle-east/iraq-says-border-crossing-with-syria-closed-after-assad-s-fall/3418302: full text (fresh retrieval)
https://www.thestar.com.my/news/world/2025/06/14/iraq-reopens-syria-crossing-for-trade-and-passenger-traffic: full text (fresh retrieval)
https://en.964media.com/28932/: full text (fresh retrieval)
https://www.rudaw.net/english/categories/middleeast/842704: full text (fresh retrieval)
https://www.unhcr.org/iq/wp-content/uploads/sites/165/2024/12/Iraq-Lebanese-Response-Update-24.pdf: inaccessible (fresh retrieval) — Fresh fetch returned HTTP 429; no verification credited to this retrieval.
Earlier URLs not separately inspected in this second assessment:
https://qna.org.qa/en/news/news-details?date=14/06/2025&amp;id=iraq-announces-resumption-of-trade-through-al-qaim-border-crossing-with-syria
https://ina.iq/en/local/40476-bpa-announce-the-resumption-of-trade-exchange-movements-at-the-al-qaim-border-crossing.html
https://www.turkiyetoday.com/region/iraq-closes-al-qaim-border-crossing-after-assad-regime-falls-90152
Prior audit access record
Full-register audit source access (evidence cutoff 25 October 2026)
https://www.aa.com.tr/en/middle-east/iraq-says-border-crossing-with-syria-closed-after-assad-s-fall/3418302: full text
https://www.thestar.com.my/news/world/2025/06/14/iraq-reopens-syria-crossing-for-trade-and-passenger-traffic: full text
https://en.964media.com/28932/: full text
Earlier source URLs not separately listed in this audit’s retrieval log (historical access notes below are not fresh verification):
https://www.unhcr.org/iq/wp-content/uploads/sites/165/2024/12/Iraq-Lebanese-Response-Update-24.pdf
https://www.rudaw.net/english/categories/middleeast/842704
https://qna.org.qa/en/news/news-details?date=14/06/2025&amp;id=iraq-announces-resumption-of-trade-through-al-qaim-border-crossing-with-syria
https://ina.iq/en/local/40476-bpa-announce-the-resumption-of-trade-exchange-movements-at-the-al-qaim-border-crossing.html
https://www.turkiyetoday.com/region/iraq-closes-al-qaim-border-crossing-after-assad-regime-falls-90152
Earlier recorded access
Source 1: full page
Source 2: full page
Source 3: search extract</x:v>
      </x:c>
      <x:c r="P227" s="20" t="n">
        <x:v>1</x:v>
      </x:c>
      <x:c r="Q227" s="4" t="str">
        <x:v>Middle East</x:v>
      </x:c>
      <x:c r="R227" s="4" t="str">
        <x:v>Included</x:v>
      </x:c>
    </x:row>
    <x:row r="228" ht="409" hidden="0" customHeight="1">
      <x:c r="A228" s="16" t="str">
        <x:v>ME027</x:v>
      </x:c>
      <x:c r="B228" s="4" t="str">
        <x:v>Gaza March 2025 Israeli-controlled aid and goods entry ban</x:v>
      </x:c>
      <x:c r="C228" s="4" t="str">
        <x:v>Israel; Palestine (Gaza)</x:v>
      </x:c>
      <x:c r="D228" s="4" t="str">
        <x:v>Israeli-controlled Gaza cargo crossings including Kerem Shalom Erez and Zikim</x:v>
      </x:c>
      <x:c r="E228" s="4" t="str">
        <x:v>Humanitarian and commercial imports
Direction: Into Gaza
Exceptions: Not established</x:v>
      </x:c>
      <x:c r="F228" s="4" t="str">
        <x:v>ME027-D1 — Observed operation
Gaza aid-entry ban to first limited entry on 19 May; permission and distribution are different milestones.
Start: 2025-03-02.
Observed scoped reopening: 2025-05-19.
78 calendar-day difference; scoped endpoint only</x:v>
      </x:c>
      <x:c r="G228" s="4" t="str">
        <x:v>Security / Armed conflict and military confrontation
Reported reason
Applies to: War and aid restriction context
Retained conflict/security context; the newly documented initial pressure purpose is coded separately.
Interstate disputes and pressure / Sanctions and coercive pressure
Reported reason attributed to Israeli government
Applies to: March 2 initiation
Documented inter-authority coercive purpose; no endorsement of the action or sovereignty inference.</x:v>
      </x:c>
      <x:c r="H228" s="4" t="str">
        <x:v>ME027-D1: May 19 is limited crossing-entry endpoint, not unrestricted imports or delivery to households. Egyptian Rafah component excluded to avoid duplicate Africa row; rationale attribution not causal adjudication. Not established</x:v>
      </x:c>
      <x:c r="I228" s="4" t="str">
        <x:v>Second full-register audit, 26 October 2026: qualified. March 2 onset and May 19 limited aid entry remain supported; May 18 permission and May 21 collection are different milestones.</x:v>
      </x:c>
      <x:c r="J228" s="18" t="d">
        <x:v>2026-10-26T00:00:00.000Z</x:v>
      </x:c>
      <x:c r="K228" s="21" t="str">
        <x:f>IFERROR(HYPERLINK("https://www.un.org/unispal/document/ocha-calls-for-reopening-of-gaza-crossings-to-cargo-and-aid/","United Nations OCHA"),"United Nations OCHA")</x:f>
        <x:v>United Nations OCHA</x:v>
      </x:c>
      <x:c r="L228" s="21" t="str">
        <x:f>IFERROR(HYPERLINK("https://www.un.org/unispal/document/wfp-state-of-palestine-emergency-response-external-situation-report-54/","World Food Programme; UNISPAL copy"),"World Food Programme; UNISPAL copy")</x:f>
        <x:v>World Food Programme; UNISPAL copy</x:v>
      </x:c>
      <x:c r="M228" s="21" t="str">
        <x:f>IFERROR(HYPERLINK("https://www.timesofisrael.com/liveblog_entry/un-says-it-has-received-permission-to-bring-100-trucks-of-aid-into-gaza-today/","Reuters via The Times of Israel"),"Reuters via The Times of Israel")</x:f>
        <x:v>Reuters via The Times of Israel</x:v>
      </x:c>
      <x:c r="N228" s="4" t="str">
        <x:v>https://www.un.org/unispal/document/ocha-calls-for-reopening-of-gaza-crossings-to-cargo-and-aid/
https://www.un.org/unispal/document/wfp-state-of-palestine-emergency-response-external-situation-report-54/
https://www.timesofisrael.com/liveblog_entry/un-says-it-has-received-permission-to-bring-100-trucks-of-aid-into-gaza-today/
https://www.reuters.com/business/healthcare-pharmaceuticals/malnutrition-gaza-could-rise-exponentially-unrwa-official-says-2025-05-20/
https://www.ochaopt.org/content/humanitarian-situation-update-290-gaza-strip
https://www.ochaopt.org/content/humanitarian-situation-update-292-gaza-strip
https://www.ap.org/news-highlights/spotlights/2025/israel-is-criticized-after-it-bars-gaza-aid-to-pressure-hamas-to-accept-a-new-ceasefire-proposal/
https://www.timesofisrael.com/five-trucks-of-humanitarian-aid-enter-gaza-says-israel-ending-two-month-blockade/amp/</x:v>
      </x:c>
      <x:c r="O228" s="4" t="str">
        <x:v>Second full-register audit source access, 26 October 2026
https://www.ap.org/news-highlights/spotlights/2025/israel-is-criticized-after-it-bars-gaza-aid-to-pressure-hamas-to-accept-a-new-ceasefire-proposal/: full text (fresh retrieval)
https://www.timesofisrael.com/five-trucks-of-humanitarian-aid-enter-gaza-says-israel-ending-two-month-blockade/amp/: full text (fresh retrieval)
https://www.ochaopt.org/content/humanitarian-situation-update-290-gaza-strip: full text (fresh retrieval)
https://www.ochaopt.org/content/humanitarian-situation-update-292-gaza-strip: full text (fresh retrieval)
Earlier URLs not separately inspected in this second assessment:
https://www.un.org/unispal/document/ocha-calls-for-reopening-of-gaza-crossings-to-cargo-and-aid/
https://www.un.org/unispal/document/wfp-state-of-palestine-emergency-response-external-situation-report-54/
https://www.timesofisrael.com/liveblog_entry/un-says-it-has-received-permission-to-bring-100-trucks-of-aid-into-gaza-today/
https://www.reuters.com/business/healthcare-pharmaceuticals/malnutrition-gaza-could-rise-exponentially-unrwa-official-says-2025-05-20/
Prior audit access record
Full-register audit source access (evidence cutoff 25 October 2026)
https://www.ochaopt.org/content/humanitarian-situation-update-290-gaza-strip: full text
https://www.timesofisrael.com/five-trucks-of-humanitarian-aid-enter-gaza-says-israel-ending-two-month-blockade/amp/: full text
https://www.ap.org/news-highlights/spotlights/2025/israel-is-criticized-after-it-bars-gaza-aid-to-pressure-hamas-to-accept-a-new-ceasefire-proposal/: full text
Earlier source URLs not separately listed in this audit’s retrieval log (historical access notes below are not fresh verification):
https://www.un.org/unispal/document/ocha-calls-for-reopening-of-gaza-crossings-to-cargo-and-aid/
https://www.un.org/unispal/document/wfp-state-of-palestine-emergency-response-external-situation-report-54/
https://www.timesofisrael.com/liveblog_entry/un-says-it-has-received-permission-to-bring-100-trucks-of-aid-into-gaza-today/
https://www.reuters.com/business/healthcare-pharmaceuticals/malnutrition-gaza-could-rise-exponentially-unrwa-official-says-2025-05-20/
https://www.ochaopt.org/content/humanitarian-situation-update-292-gaza-strip
Earlier recorded access
Source 1: search extract
Source 2: indexed extract
Source 3: full text</x:v>
      </x:c>
      <x:c r="P228" s="20" t="n">
        <x:v>1</x:v>
      </x:c>
      <x:c r="Q228" s="4" t="str">
        <x:v>Middle East</x:v>
      </x:c>
      <x:c r="R228" s="4" t="str">
        <x:v>Included</x:v>
      </x:c>
    </x:row>
    <x:row r="229" ht="409" hidden="0" customHeight="1">
      <x:c r="A229" s="16" t="str">
        <x:v>ME022</x:v>
      </x:c>
      <x:c r="B229" s="4" t="str">
        <x:v>Allenby crossing September 2025 attack closure</x:v>
      </x:c>
      <x:c r="C229" s="4" t="str">
        <x:v>Israel; Palestine (occupied West Bank); Jordan</x:v>
      </x:c>
      <x:c r="D229" s="4" t="str">
        <x:v>Allenby / King Hussein bridge</x:v>
      </x:c>
      <x:c r="E229" s="4" t="str">
        <x:v>Passengers, commercial goods and humanitarian convoys had different trajectories. The added aid phase concerns cargo from Jordan through Allenby / King Hussein destined for Gaza.
Direction: Passenger direction is not separately established; the aid phase is inbound from Jordan.
Exceptions: Back-to-back food convoys resumed on 10 December 2025; this does not establish restoration of government-to-government convoys or all commercial cargo.</x:v>
      </x:c>
      <x:c r="F229" s="4" t="str">
        <x:v>ME022-D1 — Observed operation
Allenby/King Hussein passenger restriction following the September attack, to reported passenger restoration.
Start: 2025-09-18 to 2025-09-19.
Observed scoped reopening: 2025-09-22.
Contested: dated evidence; numeric duration withheld; see qualification
Held evidence: excluded from numeric duration and animation displays.
ME022-R2P1 — Observed operation
Allenby / King Hussein interruption to humanitarian convoys from Jordan destined for Gaza; endpoint limited to back-to-back food convoys.
Start: 2025-09-18.
Observed scoped reopening: 2025-12-10.
83 calendar-day difference; scoped endpoint only. Government-to-government convoy access was still suspended in the 16 December report.</x:v>
      </x:c>
      <x:c r="G229" s="4" t="str">
        <x:v>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x:v>
      </x:c>
      <x:c r="H229" s="4" t="str">
        <x:v>ME022-D1: The retained dates describe a disputed window, not a verified continuous duration. Aid traffic remained restricted; an opening on one side alone does not prove completed cross-border journeys.
continuity: Retain contested continuity. Returned buses establish that the promised September 21 passage failed for some travellers, but not whether others completed journeys earlier.
ME022-R2P1: Logistics Cluster records date the humanitarian-route interruption to the 18 September attack. OCHA and Logistics Cluster separately confirm actual back-to-back convoy resumption on 10 December, initially limited to food. This is a scoped aid endpoint, distinct from the disputed passenger sequence and from commercial traffic. Government-to-government convoys remained suspended in the 16 December report. Later permission for non-food items is not backdated to 10 December. The 83-day figure is a calendar-date difference, not a claim that every form of traffic was stopped for that interval.</x:v>
      </x:c>
      <x:c r="I229" s="4" t="str">
        <x:v>Second full-register audit, 26 October 2026: additional source-audited corrections incorporated. See the phase, scope and qualification columns for the accepted findings.</x:v>
      </x:c>
      <x:c r="J229" s="18" t="d">
        <x:v>2026-10-26T00:00:00.000Z</x:v>
      </x:c>
      <x:c r="K229" s="21" t="str">
        <x:f>IFERROR(HYPERLINK("https://www.reuters.com/world/middle-east/israel-says-allenby-crossing-stay-closed-sunday-coordination-with-jordan-2025-09-21/","Reuters"),"Reuters")</x:f>
        <x:v>Reuters</x:v>
      </x:c>
      <x:c r="L229" s="21" t="str">
        <x:f>IFERROR(HYPERLINK("https://www.investing.com/news/world-news/israel-to-close-allenby-crossing-from-wednesday-until-further-notice-palestinian-border-authority-says-4251088","Investing.com"),"Investing.com")</x:f>
        <x:v>Investing.com</x:v>
      </x:c>
      <x:c r="M229" s="21" t="str">
        <x:f>IFERROR(HYPERLINK("https://www.investing.com/news/world-news/israel-to-reopen-jordan-border-crossing-for-passage-of-aid-and-goods-4398415","Investing.com"),"Investing.com")</x:f>
        <x:v>Investing.com</x:v>
      </x:c>
      <x:c r="N229" s="4" t="str">
        <x:v>https://www.reuters.com/world/middle-east/israel-says-allenby-crossing-stay-closed-sunday-coordination-with-jordan-2025-09-21/
https://www.investing.com/news/world-news/israel-to-close-allenby-crossing-from-wednesday-until-further-notice-palestinian-border-authority-says-4251088
https://www.investing.com/news/world-news/israel-to-reopen-jordan-border-crossing-for-passage-of-aid-and-goods-4398415
https://www.timesofisrael.com/liveblog_entry/israel-reopens-west-bank-crossing-to-car-traffic-four-days-after-deadly-attack/
https://www.klyoum.com/u/OC99BM
https://www.almamlakatv.com/news/179038-
https://north-africa-middle-east-gulf.ec.europa.eu/news/israelpalestine-statement-high-representative-behalf-european-union-closure-allenbyking-hussein-2025-09-29_en?prefLang=el
https://en.royanews.tv/news/63394/King-Hussein-Bridge-reopens-for-travelers-after-brief-closure
https://www.sadanews.ps/en/news/233353.html
https://logcluster.org/sites/default/files/public/2025-09/logistics-clusterpalestinemeeting-minutes_250918.pdf
https://www.ochaopt.org/content/gaza-humanitarian-response-situation-report-no-48
https://logcluster.org/sites/default/files/public/2026-01/logistics-clusterpalestinemeeting-minutes_251230.pdf</x:v>
      </x:c>
      <x:c r="O229" s="4" t="str">
        <x:v>Second full-register audit source access, 26 October 2026
https://en.royanews.tv/news/63394/King-Hussein-Bridge-reopens-for-travelers-after-brief-closure: full text (fresh retrieval)
https://www.timesofisrael.com/liveblog_entry/israel-reopens-west-bank-crossing-to-car-traffic-four-days-after-deadly-attack/: full text (fresh retrieval)
https://logcluster.org/sites/default/files/public/2025-09/logistics-clusterpalestinemeeting-minutes_250918.pdf: full text (fresh retrieval) — Contains explicitly post-factum updates; not every passage was available at the meeting time.
https://www.ochaopt.org/content/gaza-humanitarian-response-situation-report-no-48: full text (fresh retrieval)
https://logcluster.org/sites/default/files/public/2026-01/logistics-clusterpalestinemeeting-minutes_251230.pdf: full text (fresh retrieval) — December meeting report uploaded in January 2026; retrospective confirmation.
https://www.investing.com/news/world-news/israel-to-reopen-jordan-border-crossing-for-passage-of-aid-and-goods-4398415: full text (fresh retrieval)
Earlier URLs not separately inspected in this second assessment:
https://www.reuters.com/world/middle-east/israel-says-allenby-crossing-stay-closed-sunday-coordination-with-jordan-2025-09-21/
https://www.investing.com/news/world-news/israel-to-close-allenby-crossing-from-wednesday-until-further-notice-palestinian-border-authority-says-4251088
https://www.klyoum.com/u/OC99BM
https://www.almamlakatv.com/news/179038-
https://north-africa-middle-east-gulf.ec.europa.eu/news/israelpalestine-statement-high-representative-behalf-european-union-closure-allenbyking-hussein-2025-09-29_en?prefLang=el
https://www.sadanews.ps/en/news/233353.html
Prior audit access record
Full-register audit source access (evidence cutoff 25 October 2026)
https://en.royanews.tv/news/63394/King-Hussein-Bridge-reopens-for-travelers-after-brief-closure: full text
https://www.timesofisrael.com/liveblog_entry/israel-reopens-west-bank-crossing-to-car-traffic-four-days-after-deadly-attack/: full text
https://www.reuters.com/world/middle-east/israel-says-allenby-crossing-stay-closed-sunday-coordination-with-jordan-2025-09-21/: full text
Earlier source URLs not separately listed in this audit’s retrieval log (historical access notes below are not fresh verification):
https://www.investing.com/news/world-news/israel-to-close-allenby-crossing-from-wednesday-until-further-notice-palestinian-border-authority-says-4251088
https://www.investing.com/news/world-news/israel-to-reopen-jordan-border-crossing-for-passage-of-aid-and-goods-4398415
https://www.klyoum.com/u/OC99BM
https://www.almamlakatv.com/news/179038-
https://north-africa-middle-east-gulf.ec.europa.eu/news/israelpalestine-statement-high-representative-behalf-european-union-closure-allenbyking-hussein-2025-09-29_en?prefLang=el
https://www.sadanews.ps/en/news/233353.html
https://logcluster.org/sites/default/files/public/2025-09/logistics-clusterpalestinemeeting-minutes_250918.pdf
Earlier recorded access
Source 1: full text
Source 2: full page
Source 3: full page</x:v>
      </x:c>
      <x:c r="P229" s="20" t="n">
        <x:v>2</x:v>
      </x:c>
      <x:c r="Q229" s="4" t="str">
        <x:v>Middle East</x:v>
      </x:c>
      <x:c r="R229" s="4" t="str">
        <x:v>Included</x:v>
      </x:c>
    </x:row>
    <x:row r="230" ht="409" hidden="0" customHeight="1">
      <x:c r="A230" s="16" t="str">
        <x:v>ME023</x:v>
      </x:c>
      <x:c r="B230" s="4" t="str">
        <x:v>Allenby crossing renewed September 2025 political closure order</x:v>
      </x:c>
      <x:c r="C230" s="4" t="str">
        <x:v>Israel; Palestine (occupied West Bank); Jordan</x:v>
      </x:c>
      <x:c r="D230" s="4" t="str">
        <x:v>Allenby / King Hussein bridge</x:v>
      </x:c>
      <x:c r="E230" s="4" t="str">
        <x:v>Passengers; commercial restrictions already ongoing
Direction: Not established
Exceptions: Not established</x:v>
      </x:c>
      <x:c r="F230" s="4" t="str">
        <x:v>ME023-R1 — Formal policy
Allenby/King Hussein passenger closure order, ending at limited passenger opening
Start: 2025-09-24.
Policy endpoint: 2025-09-26.
Formal policy: 2 calendar-day difference; operational continuity not established
ME023-C7P1 — Observed operation
Renewed Allenby / King Hussein passenger closure after brief September 26 bus opening
Start: unknown.
Last confirmed closed: 2025-09-26. Partial passenger movement reported by 2025-09-28; first exact resumption and cargo status not established.
dated evidence; numeric duration withheld; see qualification</x:v>
      </x:c>
      <x:c r="G230" s="4" t="str">
        <x:v>Uncoded / Unresolved rationale
Not assigned
Applies to: Not assigned
No additional motive inferred</x:v>
      </x:c>
      <x:c r="H230" s="4" t="str">
        <x:v>ME023-R1: The September 24, 2025 passenger closure order ended at limited passenger permission on September 26, announced for 08:00 and corroborated by approximately 2.5 hours of bus operation. This does not establish unrestricted access or equal observed movement in both directions.
ME023-C7P1: The crossing closed again after that brief opening. The September 26 source only planned a Sunday restart. A newly recovered Jordanian report dated September 28 states that passenger movement began at 08:00 that Sunday, with tourist and private-vehicle services specified. Its substantive indexed text supports a qualified passenger-restoration bound of September 28; direct page access failed. A separate September 28 announcement of September 29 passenger hours is prospective. Exact first restoration and cargo reopening remain unresolved; no continuous interval is calculated.
Rationale: Retain the uncoded rationale. The preceding shooting and diplomatic-recognition context do not establish the motive of this later order.</x:v>
      </x:c>
      <x:c r="I230" s="4" t="str">
        <x:v>Second full-register audit, 26 October 2026: qualified. Fresh full-text Jordanian reporting corroborates the already-accepted September 28 passenger-restoration bound; no new dates or continuous-duration claim are warranted.</x:v>
      </x:c>
      <x:c r="J230" s="18" t="d">
        <x:v>2026-10-26T00:00:00.000Z</x:v>
      </x:c>
      <x:c r="K230" s="21" t="str">
        <x:f>IFERROR(HYPERLINK("https://www.investing.com/news/world-news/israel-to-close-allenby-crossing-from-wednesday-until-further-notice-palestinian-border-authority-says-4251088","Reuters via Investing"),"Reuters via Investing")</x:f>
        <x:v>Reuters via Investing</x:v>
      </x:c>
      <x:c r="L230" s="21" t="str">
        <x:f>IFERROR(HYPERLINK("https://www.aljazeera.net/amp/news/2025/9/26/%D8%B9%D8%A7%D9%84%D9%82%D9%88%D9%86-%D8%A8%D9%85%D8%B9%D8%A8%D8%B1-%D8%A7%D9%84%D9%83%D8%B1%D8%A7%D9%85%D8%A9-%D8%A5%D8%B3%D8%B1%D8%A7%D8%A6%D9%8A%D9%84-%D8%AA%D8%B9%D9%8A%D9%82","Al Jazeera Arabic"),"Al Jazeera Arabic")</x:f>
        <x:v>Al Jazeera Arabic</x:v>
      </x:c>
      <x:c r="M230" s="21" t="str">
        <x:f>IFERROR(HYPERLINK("https://www.timesofisrael.com/israel-to-reopen-west-bank-jordan-crossing-after-holiday-closure-attack/amp/","Times of Israel"),"Times of Israel")</x:f>
        <x:v>Times of Israel</x:v>
      </x:c>
      <x:c r="N230" s="4" t="str">
        <x:v>https://www.investing.com/news/world-news/israel-to-close-allenby-crossing-from-wednesday-until-further-notice-palestinian-border-authority-says-4251088
https://www.aljazeera.net/amp/news/2025/9/26/%D8%B9%D8%A7%D9%84%D9%82%D9%88%D9%86-%D8%A8%D9%85%D8%B9%D8%A8%D8%B1-%D8%A7%D9%84%D9%83%D8%B1%D8%A7%D9%85%D8%A9-%D8%A5%D8%B3%D8%B1%D8%A7%D8%A6%D9%8A%D9%84-%D8%AA%D8%B9%D9%8A%D9%82
https://www.timesofisrael.com/israel-to-reopen-west-bank-jordan-crossing-after-holiday-closure-attack/amp/
https://efe.com/mundo/2025-09-25/cruce-allenby-con-cisjordania-reabrira-manana/
https://www.timesofisrael.com/liveblog_entry/israel-reopens-west-bank-crossing-to-car-traffic-four-days-after-deadly-attack/
https://north-africa-middle-east-gulf.ec.europa.eu/news/israelpalestine-statement-high-representative-behalf-european-union-closure-allenbyking-hussein-2025-09-29_en?prefLang=el
https://www.consilium.europa.eu/en/press/press-releases/2025/09/27/israelpalestine-statement-by-the-high-representative-on-behalf-of-the-european-union-on-the-closure-of-the-allenbyking-hussein-bridge-crossing/pdf/
https://watananews.com/481666/
https://jordantimes.com/news/local/king-hussein-bridge-reopens-for-passenger-movement-monday-psd
https://www.aljazeera.net/amp/news/2025/9/26/عالقون-بمعبر-الكرامة-إسرائيل-تعيق
https://harmna.com/?p=164521</x:v>
      </x:c>
      <x:c r="O230" s="4" t="str">
        <x:v>Second full-register audit source access, 26 October 2026
https://www.investing.com/news/world-news/israel-to-close-allenby-crossing-from-wednesday-until-further-notice-palestinian-border-authority-says-4251088: full text (fresh retrieval)
https://www.aljazeera.net/amp/news/2025/9/26/عالقون-بمعبر-الكرامة-إسرائيل-تعيق: full text (fresh retrieval)
https://www.consilium.europa.eu/en/press/press-releases/2025/09/27/israelpalestine-statement-by-the-high-representative-on-behalf-of-the-european-union-on-the-closure-of-the-allenbyking-hussein-bridge-crossing/pdf/: full text (fresh retrieval)
https://harmna.com/?p=164521: full text (fresh retrieval)
Earlier URLs not separately inspected in this second assessment:
https://www.aljazeera.net/amp/news/2025/9/26/%D8%B9%D8%A7%D9%84%D9%82%D9%88%D9%86-%D8%A8%D9%85%D8%B9%D8%A8%D8%B1-%D8%A7%D9%84%D9%83%D8%B1%D8%A7%D9%85%D8%A9-%D8%A5%D8%B3%D8%B1%D8%A7%D8%A6%D9%8A%D9%84-%D8%AA%D8%B9%D9%8A%D9%82
https://www.timesofisrael.com/israel-to-reopen-west-bank-jordan-crossing-after-holiday-closure-attack/amp/
https://efe.com/mundo/2025-09-25/cruce-allenby-con-cisjordania-reabrira-manana/
https://www.timesofisrael.com/liveblog_entry/israel-reopens-west-bank-crossing-to-car-traffic-four-days-after-deadly-attack/
https://north-africa-middle-east-gulf.ec.europa.eu/news/israelpalestine-statement-high-representative-behalf-european-union-closure-allenbyking-hussein-2025-09-29_en?prefLang=el
https://watananews.com/481666/
https://jordantimes.com/news/local/king-hussein-bridge-reopens-for-passenger-movement-monday-psd
Prior audit access record
Full-register audit source access (evidence cutoff 25 October 2026)
https://www.investing.com/news/world-news/israel-to-close-allenby-crossing-from-wednesday-until-further-notice-palestinian-border-authority-says-4251088: full text
https://www.aljazeera.net/amp/news/2025/9/26/%D8%B9%D8%A7%D9%84%D9%82%D9%88%D9%86-%D8%A8%D9%85%D8%B9%D8%A8%D8%B1-%D8%A7%D9%84%D9%83%D8%B1%D8%A7%D9%85%D8%A9-%D8%A5%D8%B3%D8%B1%D8%A7%D8%A6%D9%8A%D9%84-%D8%AA%D8%B9%D9%8A%D9%82: full text
https://watananews.com/481666/: search extract — Directopen timedout; attribution issecuritydepartment
https://jordantimes.com/news/local/king-hussein-bridge-reopens-for-passenger-movement-monday-psd: search extract
Earlier source URLs not separately listed in this audit’s retrieval log (historical access notes below are not fresh verification):
https://www.timesofisrael.com/israel-to-reopen-west-bank-jordan-crossing-after-holiday-closure-attack/amp/
https://efe.com/mundo/2025-09-25/cruce-allenby-con-cisjordania-reabrira-manana/
https://www.timesofisrael.com/liveblog_entry/israel-reopens-west-bank-crossing-to-car-traffic-four-days-after-deadly-attack/
https://north-africa-middle-east-gulf.ec.europa.eu/news/israelpalestine-statement-high-representative-behalf-european-union-closure-allenbyking-hussein-2025-09-29_en?prefLang=el
https://www.consilium.europa.eu/en/press/press-releases/2025/09/27/israelpalestine-statement-by-the-high-representative-on-behalf-of-the-european-union-on-the-closure-of-the-allenbyking-hussein-bridge-crossing/pdf/
Earlier recorded access
Source 1: full
Source 2: full
Source 3: indexed excerpt</x:v>
      </x:c>
      <x:c r="P230" s="20" t="n">
        <x:v>2</x:v>
      </x:c>
      <x:c r="Q230" s="4" t="str">
        <x:v>Middle East</x:v>
      </x:c>
      <x:c r="R230" s="4" t="str">
        <x:v>Included</x:v>
      </x:c>
    </x:row>
    <x:row r="231" ht="378" hidden="0" customHeight="1">
      <x:c r="A231" s="16" t="str">
        <x:v>ME033</x:v>
      </x:c>
      <x:c r="B231" s="4" t="str">
        <x:v>Gaza February 2026 regional-war crossing closure</x:v>
      </x:c>
      <x:c r="C231" s="4" t="str">
        <x:v>Israel; Palestine (Gaza)</x:v>
      </x:c>
      <x:c r="D231" s="4" t="str">
        <x:v>Israeli-controlled Gaza crossings; endpoint at Kerem Shalom</x:v>
      </x:c>
      <x:c r="E231" s="4" t="str">
        <x:v>Cargo medical evacuations and humanitarian movements
Direction: Not established
Exceptions: Not established</x:v>
      </x:c>
      <x:c r="F231" s="4" t="str">
        <x:v>ME033-D1 — Observed operation
Affected Kerem Shalom fuel/aid movement, not all movement into Gaza.
Start: 2026-02-28.
Observed scoped reopening: 2026-03-03.
3 calendar-day difference; scoped endpoint only</x:v>
      </x:c>
      <x:c r="G231"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31" s="4" t="str">
        <x:v>ME033-D1: Rafah component excluded to avoid duplicate Africa coding. Other crossings remained closed; March 3 is limited Kerem Shalom endpoint. Saturday onset converted transparently from report-relative date. Not established</x:v>
      </x:c>
      <x:c r="I231" s="4" t="str">
        <x:v>Second full-register audit, 26 October 2026: qualified. Primary OCHA confirms February 28 closure and March 3 limited Kerem Shalom fuel/aid return; other origins and crossings remained restricted.</x:v>
      </x:c>
      <x:c r="J231" s="18" t="d">
        <x:v>2026-10-26T00:00:00.000Z</x:v>
      </x:c>
      <x:c r="K231" s="21" t="str">
        <x:f>IFERROR(HYPERLINK("https://www.un.org/unispal/document/karem-shalom-crossing-re-opens-for-aid-fuel-amid-stepped-up-regional-tensions/","UN OCHA / UNISPAL"),"UN OCHA / UNISPAL")</x:f>
        <x:v>UN OCHA / UNISPAL</x:v>
      </x:c>
      <x:c r="L231" s="21" t="str">
        <x:f>IFERROR(HYPERLINK("https://www.un.org/unispal/document/who-occupied-palestinian-territory-flash-update-4-march-2026/","WHO / UNISPAL"),"WHO / UNISPAL")</x:f>
        <x:v>WHO / UNISPAL</x:v>
      </x:c>
      <x:c r="M231" s="21" t="str">
        <x:f>IFERROR(HYPERLINK("https://www.ochaopt.org/content/humanitarian-situation-report-6-march-2026","OCHA"),"OCHA")</x:f>
        <x:v>OCHA</x:v>
      </x:c>
      <x:c r="N231" s="4" t="str">
        <x:v>https://www.un.org/unispal/document/karem-shalom-crossing-re-opens-for-aid-fuel-amid-stepped-up-regional-tensions/
https://www.un.org/unispal/document/who-occupied-palestinian-territory-flash-update-4-march-2026/
https://www.ochaopt.org/content/humanitarian-situation-report-6-march-2026
https://www.hrw.org/news/2026/05/19/gaza-israel-curbs-aid-kills-civilians-during-ceasefire</x:v>
      </x:c>
      <x:c r="O231" s="4" t="str">
        <x:v>Second full-register audit source access, 26 October 2026
https://www.ochaopt.org/content/humanitarian-situation-report-6-march-2026: full text (fresh retrieval)
https://www.un.org/unispal/document/karem-shalom-crossing-re-opens-for-aid-fuel-amid-stepped-up-regional-tensions/: inaccessible (fresh retrieval) — 403; use freshly opened OCHA report.
Earlier URLs not separately inspected in this second assessment:
https://www.un.org/unispal/document/who-occupied-palestinian-territory-flash-update-4-march-2026/
https://www.hrw.org/news/2026/05/19/gaza-israel-curbs-aid-kills-civilians-during-ceasefire
Prior audit access record
Full-register audit source access (evidence cutoff 25 October 2026)
https://www.ochaopt.org/content/humanitarian-situation-report-6-march-2026: full text
Earlier source URLs not separately listed in this audit’s retrieval log (historical access notes below are not fresh verification):
https://www.un.org/unispal/document/karem-shalom-crossing-re-opens-for-aid-fuel-amid-stepped-up-regional-tensions/
https://www.un.org/unispal/document/who-occupied-palestinian-territory-flash-update-4-march-2026/
https://www.hrw.org/news/2026/05/19/gaza-israel-curbs-aid-kills-civilians-during-ceasefire
Earlier recorded access
Source 1: search extract
Source 2: search extract
Source 3: body</x:v>
      </x:c>
      <x:c r="P231" s="20" t="n">
        <x:v>1</x:v>
      </x:c>
      <x:c r="Q231" s="4" t="str">
        <x:v>Middle East</x:v>
      </x:c>
      <x:c r="R231" s="4" t="str">
        <x:v>Included</x:v>
      </x:c>
    </x:row>
    <x:row r="232" ht="409" hidden="0" customHeight="1">
      <x:c r="A232" s="16" t="str">
        <x:v>ME034</x:v>
      </x:c>
      <x:c r="B232" s="4" t="str">
        <x:v>Iraq Iran September 2026 security review closures</x:v>
      </x:c>
      <x:c r="C232" s="4" t="str">
        <x:v>Iraq; Iran</x:v>
      </x:c>
      <x:c r="D232" s="4" t="str">
        <x:v>Sheeb / Chazabeh; Shalamcheh; Mandali</x:v>
      </x:c>
      <x:c r="E232" s="4" t="str">
        <x:v>Passengers and freight
Direction: Not established
Exceptions: Zurbatiyah and Munthiriya remained operational</x:v>
      </x:c>
      <x:c r="F232" s="4" t="str">
        <x:v>ME034-R1 — Observed operation
Ordinary passenger entry into Iraq at Sheeb/Chazabeh and Shalamcheh, excluding exceptional repatriation windows
Start: 2026-09-12.
Observed scoped reopening: 2026-09-13.
1 calendar-day difference; scoped endpoint only
ME034-R2 — Observed operation
Mandali/Sumar commercial truck movement
Start: 2026-09-12.
Observed scoped reopening: 2026-09-15.
3 calendar-day difference; scoped endpoint only
ME034-R3 — Observed operation
Sheeb/Chazabeh cargo entering Iraq
Start: 2026-09-12.
Last confirmed: 2026-09-16. Reopening is not established.
confirmed through 2026-09-16; at least 4 calendar-day difference; reopening unknown
ME034-R2P1 — Observed operation
Shalamcheh commercial truck movement into Iraq.
Start: 2026-09-12.
Observed scoped reopening: by 2026-09-16; exact first passage unknown.
The announced 2026-09-14 restart is prospective evidence; later reports confirm commercial operation by 16 September. Numeric duration is not assigned.</x:v>
      </x:c>
      <x:c r="G232" s="4" t="str">
        <x:v>Security / Unspecified security
Attributed official justification
Applies to: Recorded episode; exact overlap not separately established
The recorded rationale and claim assessment support the selected subcategories. All applicable broad categories are retained together; no primary rationale is imposed.</x:v>
      </x:c>
      <x:c r="H232" s="4" t="str">
        <x:v>ME034-R1: Official completed-action account of September 13 06:00 reopening, no independent throughput measurement. September 12 report describes planned three-hour Iraqi return permission; such exceptional repatriation is excluded. Other directions and cargo excluded.
ME034-R2: Reported commercial reopening, not passenger or all-border restoration.
ME034-R3: Observation endpoint only; announced September 17 reopening is not verified here.
ME034-R1 duration qualification: The border authority chief said on 16 September that the passenger interruption had not exceeded 24 hours. The one-calendar-day span is therefore not evidence of strict greater-than-24-hour eligibility.
ME034-R2P1: Independent Iranian trade reporting and the Iraqi border authority chief both describe Shalamcheh commercial traffic operating by 16 September. This adds the missing commercial restoration bound without treating the previously announced 14 September schedule as a measured first passage. The scope is commercial traffic into Iraq, not all directions or categories.</x:v>
      </x:c>
      <x:c r="I232" s="4" t="str">
        <x:v>Second full-register audit, 26 October 2026: additional source-audited corrections incorporated. See the phase, scope and qualification columns for the accepted findings.</x:v>
      </x:c>
      <x:c r="J232" s="18" t="d">
        <x:v>2026-10-26T00:00:00.000Z</x:v>
      </x:c>
      <x:c r="K232" s="21" t="str">
        <x:f>IFERROR(HYPERLINK("https://shafaq.com/en/society/Iraq-begins-phased-reopening-of-Iran-border-crossings","Shafaq News"),"Shafaq News")</x:f>
        <x:v>Shafaq News</x:v>
      </x:c>
      <x:c r="L232" s="21" t="str">
        <x:f>IFERROR(HYPERLINK("https://www.shafaq.com/en/society/Iran-Iraq-crossings-reopen-Al-Sheeb-remains-closed","Shafaq News"),"Shafaq News")</x:f>
        <x:v>Shafaq News</x:v>
      </x:c>
      <x:c r="M232" s="21" t="str">
        <x:f>IFERROR(HYPERLINK("https://www.shafaq.com/en/society/Al-Sheeb-crossing-with-Iran-to-shut-over-technical-issues","Shafaq"),"Shafaq")</x:f>
        <x:v>Shafaq</x:v>
      </x:c>
      <x:c r="N232" s="4" t="str">
        <x:v>https://shafaq.com/en/society/Iraq-begins-phased-reopening-of-Iran-border-crossings
https://www.shafaq.com/en/society/Iran-Iraq-crossings-reopen-Al-Sheeb-remains-closed
https://www.shafaq.com/en/society/Al-Sheeb-crossing-with-Iran-to-shut-over-technical-issues
https://www.video-agencyia.iq/EN/Detail/4249
https://video-agencyia.iq/EN/Detail/4313
https://www.shafaq.com/en/society/Iraq-begins-phased-reopening-of-Iran-border-crossings
https://www.alsumaria.tv/news/localnews/576247/رئيس-هيئة-المنافذ-يعلن-موعد-إعادة-فتح-منفذ-الشيب</x:v>
      </x:c>
      <x:c r="O232" s="4" t="str">
        <x:v>Second full-register audit source access, 26 October 2026
https://shafaq.com/en/society/Iraq-begins-phased-reopening-of-Iran-border-crossings: full text (fresh retrieval)
https://www.shafaq.com/en/society/Iran-Iraq-crossings-reopen-Al-Sheeb-remains-closed: full text (fresh retrieval)
https://www.alsumaria.tv/news/localnews/576247/رئيس-هيئة-المنافذ-يعلن-موعد-إعادة-فتح-منفذ-الشيب: full text (fresh retrieval)
Earlier URLs not separately inspected in this second assessment:
https://www.shafaq.com/en/society/Al-Sheeb-crossing-with-Iran-to-shut-over-technical-issues
https://www.video-agencyia.iq/EN/Detail/4249
https://video-agencyia.iq/EN/Detail/4313
https://www.shafaq.com/en/society/Iraq-begins-phased-reopening-of-Iran-border-crossings
Prior audit access record
Full-register audit source access (evidence cutoff 25 October 2026)
https://shafaq.com/en/society/Iraq-begins-phased-reopening-of-Iran-border-crossings: full text
https://www.shafaq.com/en/society/Iran-Iraq-crossings-reopen-Al-Sheeb-remains-closed: full text
Earlier source URLs not separately listed in this audit’s retrieval log (historical access notes below are not fresh verification):
https://www.shafaq.com/en/society/Al-Sheeb-crossing-with-Iran-to-shut-over-technical-issues
https://www.video-agencyia.iq/EN/Detail/4249
https://video-agencyia.iq/EN/Detail/4313
https://www.shafaq.com/en/society/Iraq-begins-phased-reopening-of-Iran-border-crossings
Earlier recorded access
Source 1: full; full text
Source 2: full; full text
Source 3: full</x:v>
      </x:c>
      <x:c r="P232" s="20" t="n">
        <x:v>4</x:v>
      </x:c>
      <x:c r="Q232" s="4" t="str">
        <x:v>Middle East</x:v>
      </x:c>
      <x:c r="R232" s="4" t="str">
        <x:v>Included</x:v>
      </x:c>
    </x:row>
    <x:row r="233" ht="409" hidden="0" customHeight="1">
      <x:c r="A233" s="16" t="str">
        <x:v>ME035</x:v>
      </x:c>
      <x:c r="B233" s="4" t="str">
        <x:v>Iraq Iran Sheeb October 2026 closure</x:v>
      </x:c>
      <x:c r="C233" s="4" t="str">
        <x:v>Iraq; Iran</x:v>
      </x:c>
      <x:c r="D233" s="4" t="str">
        <x:v>Sheeb / Chazabeh</x:v>
      </x:c>
      <x:c r="E233" s="4" t="str">
        <x:v>Passengers vehicles and commercial trucks
Direction: Not established
Exceptions: Not established</x:v>
      </x:c>
      <x:c r="F233" s="4" t="str">
        <x:v>ME035-FU1 — Formal policy
Al-Sheib / Chazabeh border crossing
Start: 2026-10-21.
Last confirmed: 2026-10-25. Reopening is not established.
Formal policy: dated evidence; numeric duration withheld; see qualification</x:v>
      </x:c>
      <x:c r="G233" s="4" t="str">
        <x:v>Security / Smuggling and illicit trafficking
Reported reason
Applies to: Recorded episode; exact overlap not separately established
The recorded rationale and claim assessment support the selected subcategories. All applicable broad categories are retained together; no primary rationale is imposed.</x:v>
      </x:c>
      <x:c r="H233" s="4" t="str">
        <x:v>The Sheeb suspension took effect on October 21, 2026. A dated October 25 report quotes Maysan Governor Habib Dhahir Al-Fartousi calling for reopening and describes trade and medical-access impacts. This supports continued reported closure through October 25; reopening remains unestablished. The government cited technical and logistical deficiencies. Security-review and anti-smuggling explanations remain separately attributed. The evidence does not establish zero traffic or exclude every exception. Other operating Iran–Iraq crossings do not end this gate-specific restriction.</x:v>
      </x:c>
      <x:c r="I233" s="4" t="str">
        <x:v>Second full-register audit, 26 October 2026: qualified. October 21 suspension remains reported closed October 25; technical/logistical explanation and anti-smuggling accounts are distinct attributions, and no reopening was found by cutoff.</x:v>
      </x:c>
      <x:c r="J233" s="18" t="d">
        <x:v>2026-10-26T00:00:00.000Z</x:v>
      </x:c>
      <x:c r="K233" s="21" t="str">
        <x:f>IFERROR(HYPERLINK("https://en.964media.com/54067/","964media"),"964media")</x:f>
        <x:v>964media</x:v>
      </x:c>
      <x:c r="L233" s="21" t="str">
        <x:f>IFERROR(HYPERLINK("https://www.swissinfo.ch/ara/مصادر:-العراق-يغلق-منفذ-الشيب-الحدودي-مع-إيران/92248901","swissinfo.ch"),"swissinfo.ch")</x:f>
        <x:v>swissinfo.ch</x:v>
      </x:c>
      <x:c r="M233" s="21" t="str">
        <x:f>IFERROR(HYPERLINK("https://www.reuters.com/world/middle-east/iraq-closes-sheeb-border-crossing-with-iran-urgent-security-reasons-sources-say-2026-10-21/","Reuters"),"Reuters")</x:f>
        <x:v>Reuters</x:v>
      </x:c>
      <x:c r="N233" s="4" t="str">
        <x:v>https://en.964media.com/54067/
https://www.swissinfo.ch/ara/مصادر:-العراق-يغلق-منفذ-الشيب-الحدودي-مع-إيران/92248901
https://www.reuters.com/world/middle-east/iraq-closes-sheeb-border-crossing-with-iran-urgent-security-reasons-sources-say-2026-10-21/
https://www.iraqinews.com/iraq/iraq-shuts-sheeb-border-crossing-with-iran-for-security-reasons/
https://www.internazionale.it/ultime-notizie-reuters/2026/10/21/iraq-closes-sheeb-border-crossing-with-iran-to-review-security-sources-say
https://www.thenationalnews.com/news/mena/2026/10/21/iraq-closes-major-border-crossing-with-iran-over-security-arrangements-says-official/
https://www.streetinsider.com/Reuters/Iraq%2Bcloses%2BSheeb%2Bborder%2Bcrossing%2Bwith%2BIran%2Bto%2Breview%2Bsecurity,%2Bsources%2Bsay/27212675.html
https://shafaq.com/en/society/Maysan-governor-urges-reopening-of-Iran-crossing</x:v>
      </x:c>
      <x:c r="O233" s="4" t="str">
        <x:v>Second full-register audit source access, 26 October 2026
https://en.964media.com/54067/: full text (fresh retrieval)
https://www.internazionale.it/ultime-notizie-reuters/2026/10/21/iraq-closes-sheeb-border-crossing-with-iran-to-review-security-sources-say: full text (fresh retrieval)
https://shafaq.com/en/society/Maysan-governor-urges-reopening-of-Iran-crossing: full text (fresh retrieval)
Earlier URLs not separately inspected in this second assessment:
https://www.swissinfo.ch/ara/مصادر:-العراق-يغلق-منفذ-الشيب-الحدودي-مع-إيران/92248901
https://www.reuters.com/world/middle-east/iraq-closes-sheeb-border-crossing-with-iran-urgent-security-reasons-sources-say-2026-10-21/
https://www.iraqinews.com/iraq/iraq-shuts-sheeb-border-crossing-with-iran-for-security-reasons/
https://www.thenationalnews.com/news/mena/2026/10/21/iraq-closes-major-border-crossing-with-iran-over-security-arrangements-says-official/
https://www.streetinsider.com/Reuters/Iraq%2Bcloses%2BSheeb%2Bborder%2Bcrossing%2Bwith%2BIran%2Bto%2Breview%2Bsecurity,%2Bsources%2Bsay/27212675.html
Prior audit access record
Full-register audit source access (evidence cutoff 25 October 2026)
https://en.964media.com/54067/: full text
https://shafaq.com/en/society/Maysan-governor-urges-reopening-of-Iran-crossing: full text
Earlier source URLs not separately listed in this audit’s retrieval log (historical access notes below are not fresh verification):
https://www.swissinfo.ch/ara/مصادر:-العراق-يغلق-منفذ-الشيب-الحدودي-مع-إيران/92248901
https://www.reuters.com/world/middle-east/iraq-closes-sheeb-border-crossing-with-iran-urgent-security-reasons-sources-say-2026-10-21/
https://www.iraqinews.com/iraq/iraq-shuts-sheeb-border-crossing-with-iran-for-security-reasons/
https://www.internazionale.it/ultime-notizie-reuters/2026/10/21/iraq-closes-sheeb-border-crossing-with-iran-to-review-security-sources-say
https://www.thenationalnews.com/news/mena/2026/10/21/iraq-closes-major-border-crossing-with-iran-over-security-arrangements-says-official/
https://www.streetinsider.com/Reuters/Iraq%2Bcloses%2BSheeb%2Bborder%2Bcrossing%2Bwith%2BIran%2Bto%2Breview%2Bsecurity,%2Bsources%2Bsay/27212675.html
Earlier recorded access
Source 1: indexed excerpt
Source 2: access detail is retained in the source catalogue.
Source 3: indexed excerpt</x:v>
      </x:c>
      <x:c r="P233" s="20" t="n">
        <x:v>1</x:v>
      </x:c>
      <x:c r="Q233" s="4" t="str">
        <x:v>Middle East</x:v>
      </x:c>
      <x:c r="R233" s="4" t="str">
        <x:v>Included</x:v>
      </x:c>
    </x:row>
    <x:row r="234" ht="409" hidden="0" customHeight="1">
      <x:c r="A234" s="16" t="str">
        <x:v>ME006</x:v>
      </x:c>
      <x:c r="B234" s="4" t="str">
        <x:v>Iraq Syria Qaim earlier conflict closure</x:v>
      </x:c>
      <x:c r="C234" s="4" t="str">
        <x:v>Iraq; Syria</x:v>
      </x:c>
      <x:c r="D234" s="4" t="str">
        <x:v>Al Qaim / Al Bukamal</x:v>
      </x:c>
      <x:c r="E234" s="4" t="str">
        <x:v>Not established
Direction: Not established
Exceptions: Government and military traffic reported as permitted during the earlier restriction; ordinary civilian and trade continuity not reconstructed.</x:v>
      </x:c>
      <x:c r="F234" s="4" t="str">
        <x:v>ME006-C7P1 — Formal policy
Endpoint-only official permission for civilian travellers and trade at Qaim–Albukamal
Start: unknown.
Policy endpoint: 2019-09-30.
Formal policy: dated evidence; numeric duration withheld; see qualification</x:v>
      </x:c>
      <x:c r="G234"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34" s="4" t="str">
        <x:v>ME006-C7P1: No exact onset or operational duration. Government/military traffic was previously excepted. Ceremony and permission are not a census of completed crossings; no 2011–2019 continuous closed span inferred.
start/continuity: Retain unknown effective onset and formal-permission endpoint. Do not back-calculate years or turn a ceremony into observed normal passenger/freight operation.
Current onset finding: Historical year-level restriction does not establish precise onset or continuity. A September 30, 2019 formal reopening marker is added without start date or computed duration.
duration: Retain unknown effective onset and formal-permission endpoint. Do not back-calculate years or turn a ceremony into observed normal passenger/freight operation.
Current onset finding: Historical year-level restriction does not establish precise onset or continuity. A September 30, 2019 formal reopening marker is added without start date or computed duration.</x:v>
      </x:c>
      <x:c r="I234" s="4" t="str">
        <x:v>Second full-register audit, 26 October 2026: qualified. The endpoint-only September 30 2019 permission remains appropriate. HRW’s detailed 2012–2013 refugee-access chronology further cautions against treating retrospective 2011/2012 closure labels as one uniform sealed interval.</x:v>
      </x:c>
      <x:c r="J234" s="18" t="d">
        <x:v>2026-10-26T00:00:00.000Z</x:v>
      </x:c>
      <x:c r="K234" s="21" t="str">
        <x:f>IFERROR(HYPERLINK("https://www.euronews.com/2019/09/30/iraq-reopens-syria-crossing-in-win-for-mutual-ally-iran","Euronews"),"Euronews")</x:f>
        <x:v>Euronews</x:v>
      </x:c>
      <x:c r="L234" s="21" t="str">
        <x:f>IFERROR(HYPERLINK("https://www.thenationalnews.com/world/mena/iraq-officially-reopens-border-with-syria-closed-since-2012-1.917065","The National"),"The National")</x:f>
        <x:v>The National</x:v>
      </x:c>
      <x:c r="M234" s="21" t="str">
        <x:f>IFERROR(HYPERLINK("https://carnegieendowment.org/research/2020/03/the-transformation-of-the-iraqi-syrian-border-from-a-national-to-a-regional-frontier?lang=en","Carnegie Endowment"),"Carnegie Endowment")</x:f>
        <x:v>Carnegie Endowment</x:v>
      </x:c>
      <x:c r="N234" s="4" t="str">
        <x:v>https://www.euronews.com/2019/09/30/iraq-reopens-syria-crossing-in-win-for-mutual-ally-iran
https://www.thenationalnews.com/world/mena/iraq-officially-reopens-border-with-syria-closed-since-2012-1.917065
https://carnegieendowment.org/research/2020/03/the-transformation-of-the-iraqi-syrian-border-from-a-national-to-a-regional-frontier?lang=en
https://www.xinhuanet.com/english/2019-10/01/c_138437614.htm
https://www.hrw.org/news/2013/07/01/iraq/jordan/turkey-syrians-blocked-fleeing-war
https://digitallibrary.un.org/record/738144/files/S_2012_848-EN.pdf
https://documents.un.org/api/symbol/access?l=en&amp;s=S%2F2012%2F848&amp;t=pdf
https://www.reutersconnect.com/item/iraq-reopens-border-crossing-with-syria/dGFnOnJldXRlcnMuY29tLDIwMTk6bmV3c21sX1ZBQVlVTzRTTg
https://www.xinhuanet.com/english/2019-09/30/c_138437518.htm
https://www.aa.com.tr/en/middle-east/iraq-says-border-crossing-with-syria-closed-after-assad-s-fall/3418302</x:v>
      </x:c>
      <x:c r="O234" s="4" t="str">
        <x:v>Second full-register audit source access, 26 October 2026
https://www.euronews.com/2019/09/30/iraq-reopens-syria-crossing-in-win-for-mutual-ally-iran: full text (fresh retrieval)
https://www.thenationalnews.com/world/mena/iraq-officially-reopens-border-with-syria-closed-since-2012-1.917065: full text (fresh retrieval)
https://www.hrw.org/news/2013/07/01/iraq/jordan/turkey-syrians-blocked-fleeing-war: full text (fresh retrieval)
Earlier URLs not separately inspected in this second assessment:
https://carnegieendowment.org/research/2020/03/the-transformation-of-the-iraqi-syrian-border-from-a-national-to-a-regional-frontier?lang=en
https://www.xinhuanet.com/english/2019-10/01/c_138437614.htm
https://digitallibrary.un.org/record/738144/files/S_2012_848-EN.pdf
https://documents.un.org/api/symbol/access?l=en&amp;s=S%2F2012%2F848&amp;t=pdf
https://www.reutersconnect.com/item/iraq-reopens-border-crossing-with-syria/dGFnOnJldXRlcnMuY29tLDIwMTk6bmV3c21sX1ZBQVlVTzRTTg
https://www.xinhuanet.com/english/2019-09/30/c_138437518.htm
https://www.aa.com.tr/en/middle-east/iraq-says-border-crossing-with-syria-closed-after-assad-s-fall/3418302
Prior audit access record
Full-register audit source access (evidence cutoff 25 October 2026)
https://www.euronews.com/2019/09/30/iraq-reopens-syria-crossing-in-win-for-mutual-ally-iran: full text — Onset retrospective 2011
https://www.thenationalnews.com/world/mena/iraq-officially-reopens-border-with-syria-closed-since-2012-1.917065: full text — Says 2012
Earlier source URLs not separately listed in this audit’s retrieval log (historical access notes below are not fresh verification):
https://carnegieendowment.org/research/2020/03/the-transformation-of-the-iraqi-syrian-border-from-a-national-to-a-regional-frontier?lang=en
https://www.xinhuanet.com/english/2019-10/01/c_138437614.htm
https://www.hrw.org/news/2013/07/01/iraq/jordan/turkey-syrians-blocked-fleeing-war
https://digitallibrary.un.org/record/738144/files/S_2012_848-EN.pdf
https://documents.un.org/api/symbol/access?l=en&amp;s=S%2F2012%2F848&amp;t=pdf
https://www.reutersconnect.com/item/iraq-reopens-border-crossing-with-syria/dGFnOnJldXRlcnMuY29tLDIwMTk6bmV3c21sX1ZBQVlVTzRTTg
https://www.xinhuanet.com/english/2019-09/30/c_138437518.htm
https://www.aa.com.tr/en/middle-east/iraq-says-border-crossing-with-syria-closed-after-assad-s-fall/3418302
Earlier recorded access
Source 1: search extract
Source 2: full
Source 3: indexed excerpt</x:v>
      </x:c>
      <x:c r="P234" s="20" t="n">
        <x:v>1</x:v>
      </x:c>
      <x:c r="Q234" s="4" t="str">
        <x:v>Middle East</x:v>
      </x:c>
      <x:c r="R234" s="4" t="str">
        <x:v>Included</x:v>
      </x:c>
    </x:row>
    <x:row r="235" ht="409" hidden="0" customHeight="1">
      <x:c r="A235" s="16" t="str">
        <x:v>NA001</x:v>
      </x:c>
      <x:c r="B235" s="4" t="str">
        <x:v>Algeria Morocco continuing land border closure</x:v>
      </x:c>
      <x:c r="C235" s="4" t="str">
        <x:v>Algeria; Morocco</x:v>
      </x:c>
      <x:c r="D235" s="4" t="str">
        <x:v>Includes Zouj Beghal / Colonel Lotfi
Bilateral land frontier</x:v>
      </x:c>
      <x:c r="E235" s="4" t="str">
        <x:v>Ordinary land travel; detailed goods regime unverified
Direction: Not fully established
Exceptions: Exceptional prisoner handover documented 1 August 2024</x:v>
      </x:c>
      <x:c r="F235" s="4" t="str">
        <x:v>NA001-D1 — Observed operation
Ordinary Algeria–Morocco land passage; dated closure description through 29 January 2026, with exceptional handovers excluded.
Start: 1994-08-27.
Last confirmed: 2026-01-29. Reopening is not established.
confirmed through 2026-01-29; at least 11478 calendar-day difference; reopening unknown
Current official travel-advice observation — 2026-10-26
FCDO advice current on October 26 states that ordinary land and sea border passage between Morocco and Algeria is closed. This dated advice observation does not extend the historical operational duration.</x:v>
      </x:c>
      <x:c r="G235" s="4" t="str">
        <x:v>Security / Armed attacks and terrorism
Reported reason
Applies to: Original attack context
The recorded rationale and claim assessment support the selected subcategories. All applicable broad categories are retained together; no primary rationale is imposed.
Interstate disputes and pressure / Diplomatic disputes and retaliation
Reported reason
Applies to: Initial visa retaliation and later diplomatic disputes
The recorded rationale and claim assessment support the selected subcategories. All applicable broad categories are retained together; no primary rationale is imposed.</x:v>
      </x:c>
      <x:c r="H235" s="4" t="str">
        <x:v>Contemporaneous AP reporting published on 28 August 1994 dates the closure to Saturday 27 August. This replaces the month-wide onset range; the first report did not establish the treatment of third-country nationals or every goods category. Later dated reporting describes continuing ordinary land closure, with exceptional authorised transfers such as the 1 August 2024 prisoner handover excluded. FCDO advice current on 26 October 2026 again states that land and sea borders are closed and unauthorised crossing is prohibited. This official travel-status observation is not a newly dated closure order or an observation at every gate, and does not extend the historical operational-duration calculation beyond 29 January 2026.</x:v>
      </x:c>
      <x:c r="I235" s="4" t="str">
        <x:v>Second full-register audit, 26 October 2026: additional source-audited corrections incorporated. See the phase, scope and qualification columns for the accepted findings.</x:v>
      </x:c>
      <x:c r="J235" s="18" t="d">
        <x:v>2026-10-26T00:00:00.000Z</x:v>
      </x:c>
      <x:c r="K235" s="21" t="str">
        <x:f>IFERROR(HYPERLINK("https://www.moroccoworldnews.com/2024/08/16366/morocco-receives-16-detained-citizens-from-algeria/","Morocco World News"),"Morocco World News")</x:f>
        <x:v>Morocco World News</x:v>
      </x:c>
      <x:c r="L235" s="21" t="str">
        <x:f>IFERROR(HYPERLINK("https://www.yahoo.com/news/morocco-wants-normal-ties-algeria-212213838.html","Yahoo News"),"Yahoo News")</x:f>
        <x:v>Yahoo News</x:v>
      </x:c>
      <x:c r="M235" s="21" t="str">
        <x:f>IFERROR(HYPERLINK("https://www.independent.co.uk/news/world/maghreb-row-over-visas-1386464.html","independent.co.uk"),"independent.co.uk")</x:f>
        <x:v>independent.co.uk</x:v>
      </x:c>
      <x:c r="N235" s="4" t="str">
        <x:v>https://www.moroccoworldnews.com/2024/08/16366/morocco-receives-16-detained-citizens-from-algeria/
https://www.yahoo.com/news/morocco-wants-normal-ties-algeria-212213838.html
https://www.independent.co.uk/news/world/maghreb-row-over-visas-1386464.html
https://www.deseret.com/1994/8/28/19127576/algeria-closes-its-border-with-morocco/
https://travel.gc.ca/destinations/algeria.html?wbdisable=true
https://www.lemonde.fr/archives/article/1994/08/31/fermeture-de-la-frontiere-algero-marocaine-des-crises-repetees-entre-les-deux-pays_3821869_1819218.html
https://www.reutersconnect.com/item/border-between-morocco-and-algeria-closed-since-1994/dGFnOnJldXRlcnMuY29tLDIwMjY6bmV3c21sX01UMUFOQURMMDAwMkRCWk1R
https://www.gov.uk/foreign-travel-advice/morocco/regional-risks
https://www.gov.uk/foreign-travel-advice/morocco</x:v>
      </x:c>
      <x:c r="O235" s="4" t="str">
        <x:v>Second full-register audit source access, 26 October 2026
https://www.deseret.com/1994/8/28/19127576/algeria-closes-its-border-with-morocco/: full text (fresh retrieval)
https://www.moroccoworldnews.com/2024/08/16366/morocco-receives-16-detained-citizens-from-algeria/: full text (fresh retrieval)
https://www.reutersconnect.com/item/border-between-morocco-and-algeria-closed-since-1994/dGFnOnJldXRlcnMuY29tLDIwMjY6bmV3c21sX01UMUFOQURMMDAwMkRCWk1R: full text (fresh retrieval) — Anadolu supplied caption; Reuters Connect explicitly does not independently endorse partner material.
https://www.gov.uk/foreign-travel-advice/morocco/regional-risks: full text (fresh retrieval)
https://www.gov.uk/foreign-travel-advice/morocco: full text (fresh retrieval)
Earlier URLs not separately inspected in this second assessment:
https://www.yahoo.com/news/morocco-wants-normal-ties-algeria-212213838.html
https://www.independent.co.uk/news/world/maghreb-row-over-visas-1386464.html
https://travel.gc.ca/destinations/algeria.html?wbdisable=true
https://www.lemonde.fr/archives/article/1994/08/31/fermeture-de-la-frontiere-algero-marocaine-des-crises-repetees-entre-les-deux-pays_3821869_1819218.html
Prior audit access record
Full-register audit source access (evidence cutoff 25 October 2026)
https://www.gov.uk/foreign-travel-advice/morocco/regional-risks: full text
https://www.gov.uk/foreign-travel-advice/morocco: full text
https://www.deseret.com/1994/8/28/19127576/algeria-closes-its-border-with-morocco/: full text
Earlier source URLs not separately listed in this audit’s retrieval log (historical access notes below are not fresh verification):
https://www.moroccoworldnews.com/2024/08/16366/morocco-receives-16-detained-citizens-from-algeria/
https://www.yahoo.com/news/morocco-wants-normal-ties-algeria-212213838.html
https://www.independent.co.uk/news/world/maghreb-row-over-visas-1386464.html
https://travel.gc.ca/destinations/algeria.html?wbdisable=true
https://www.lemonde.fr/archives/article/1994/08/31/fermeture-de-la-frontiere-algero-marocaine-des-crises-repetees-entre-les-deux-pays_3821869_1819218.html
https://www.reutersconnect.com/item/border-between-morocco-and-algeria-closed-since-1994/dGFnOnJldXRlcnMuY29tLDIwMjY6bmV3c21sX01UMUFOQURMMDAwMkRCWk1R
Earlier recorded access
Source 1: full; full text
Source 2: search extract
Source 3: full</x:v>
      </x:c>
      <x:c r="P235" s="20" t="n">
        <x:v>1</x:v>
      </x:c>
      <x:c r="Q235" s="4" t="str">
        <x:v>North Africa</x:v>
      </x:c>
      <x:c r="R235" s="4" t="str">
        <x:v>Included</x:v>
      </x:c>
    </x:row>
    <x:row r="236" ht="378" hidden="0" customHeight="1">
      <x:c r="A236" s="16" t="str">
        <x:v>NA019</x:v>
      </x:c>
      <x:c r="B236" s="4" t="str">
        <x:v>Rafah prolonged restricted opening regime 2014 to 2018</x:v>
      </x:c>
      <x:c r="C236" s="4" t="str">
        <x:v>Egypt; Palestine</x:v>
      </x:c>
      <x:c r="D236" s="4" t="str">
        <x:v>Rafah
External African boundary; restrictive passenger regime</x:v>
      </x:c>
      <x:c r="E236" s="4" t="str">
        <x:v>Passenger movement
Direction: Both directions
Exceptions: Exceptional opening days; registered patients, students and foreign visa holders among eligible groups</x:v>
      </x:c>
      <x:c r="F236" s="4" t="str">
        <x:v>NA019-R1 — Intermittent regime
Egyptian-controlled Rafah passenger access with exceptional opening days.
Start: 2014-10-24.
Scoped endpoint: 2018-05-12, beginning the sustained opening subsequently extended through Ramadan.
Intermittent regime envelope; total closed days unknown.</x:v>
      </x:c>
      <x:c r="G236" s="4" t="str">
        <x:v>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x:v>
      </x:c>
      <x:c r="H236" s="4" t="str">
        <x:v>NA019-R1: OCHA’s contemporary October 2014 report and its 2015 overview identify October 24 as the start of this largely closed regime after the Sinai attack. This more specific evidence takes priority over the October 2018 article’s broad September reference. OCHA’s July 2018 crossings report explicitly dates the sustained opening to May 12, corroborated by contemporary reporting that the May 17 Ramadan announcement extended an opening already underway. Exceptional opening days throughout the earlier regime interrupt any continuous-closure calculation. The later regular schedule still had holidays, closed days, registration and eligibility restrictions; the endpoint is a change in access regime, not unrestricted passage.</x:v>
      </x:c>
      <x:c r="I236" s="4" t="str">
        <x:v>Second full-register audit, 26 October 2026: additional source-audited corrections incorporated. See the phase, scope and qualification columns for the accepted findings.</x:v>
      </x:c>
      <x:c r="J236" s="18" t="d">
        <x:v>2026-10-26T00:00:00.000Z</x:v>
      </x:c>
      <x:c r="K236" s="21" t="str">
        <x:f>IFERROR(HYPERLINK("https://www.ochaopt.org/content/recent-trends-palestinian-access-gaza-erez-and-rafah-crossings","UN OCHA occupied Palestinian territory"),"UN OCHA occupied Palestinian territory")</x:f>
        <x:v>UN OCHA occupied Palestinian territory</x:v>
      </x:c>
      <x:c r="L236" s="21" t="str">
        <x:f>IFERROR(HYPERLINK("https://www.ochaopt.org/content/palestinian-access-gaza-strip-declined-sharply-2017","UN OCHA occupied Palestinian territory"),"UN OCHA occupied Palestinian territory")</x:f>
        <x:v>UN OCHA occupied Palestinian territory</x:v>
      </x:c>
      <x:c r="M236" s="21" t="str">
        <x:f>IFERROR(HYPERLINK("https://www.ochaopt.org/content/2015-overview-movement-and-access-restrictions","OCHA"),"OCHA")</x:f>
        <x:v>OCHA</x:v>
      </x:c>
      <x:c r="N236" s="4" t="str">
        <x:v>https://www.ochaopt.org/content/recent-trends-palestinian-access-gaza-erez-and-rafah-crossings
https://www.ochaopt.org/content/palestinian-access-gaza-strip-declined-sharply-2017
https://www.ochaopt.org/content/2015-overview-movement-and-access-restrictions
https://www.ochaopt.org/sites/default/files/gaza_crossings_operations_status_july_2018.pdf
https://www.un.org/unispal/document/auto-insert-196474/
https://www.hurriyetdailynews.com/egypt-opens-rafah-crossing-for-ramadan-132041</x:v>
      </x:c>
      <x:c r="O236" s="4" t="str">
        <x:v>Second full-register audit source access, 26 October 2026
https://www.ochaopt.org/content/2015-overview-movement-and-access-restrictions: full text (fresh retrieval)
https://www.ochaopt.org/sites/default/files/gaza_crossings_operations_status_july_2018.pdf: full text (fresh retrieval)
https://www.ochaopt.org/content/palestinian-access-gaza-strip-declined-sharply-2017: full text (fresh retrieval)
https://www.ochaopt.org/content/recent-trends-palestinian-access-gaza-erez-and-rafah-crossings: full text (fresh retrieval)
https://www.un.org/unispal/document/auto-insert-196474/: search extract (fresh retrieval) — UNISPAL direct request403; substantive indexed contemporary report.
https://www.hurriyetdailynews.com/egypt-opens-rafah-crossing-for-ramadan-132041: full text (fresh retrieval)
Prior audit access record
Full-register audit source access (evidence cutoff 25 October 2026)
https://www.ochaopt.org/content/recent-trends-palestinian-access-gaza-erez-and-rafah-crossings: full text
Earlier source URLs not separately listed in this audit’s retrieval log (historical access notes below are not fresh verification):
https://www.ochaopt.org/content/palestinian-access-gaza-strip-declined-sharply-2017
https://www.ochaopt.org/content/2015-overview-movement-and-access-restrictions
Earlier recorded access
Source 1: full; full text
Source 2: indexed excerpt; full text
Source 3: indexed excerpt</x:v>
      </x:c>
      <x:c r="P236" s="20" t="n">
        <x:v>1</x:v>
      </x:c>
      <x:c r="Q236" s="4" t="str">
        <x:v>North Africa</x:v>
      </x:c>
      <x:c r="R236" s="4" t="str">
        <x:v>Included</x:v>
      </x:c>
    </x:row>
    <x:row r="237" ht="366" hidden="0" customHeight="1">
      <x:c r="A237" s="16" t="str">
        <x:v>NA009</x:v>
      </x:c>
      <x:c r="B237" s="4" t="str">
        <x:v>Ras Jedir July September 2018 smuggling dispute closure</x:v>
      </x:c>
      <x:c r="C237" s="4" t="str">
        <x:v>Libya; Tunisia</x:v>
      </x:c>
      <x:c r="D237" s="4" t="str">
        <x:v>Ras Jedir and approach roads
Named land crossing</x:v>
      </x:c>
      <x:c r="E237" s="4" t="str">
        <x:v>Travellers and goods
Direction: Not fully established
Exceptions: Not established</x:v>
      </x:c>
      <x:c r="F237" s="4" t="str">
        <x:v>NA009-D1 — Observed operation
Ras Jedir checkpoint reclosure after the brief July 15 opening, to the September 1 checkpoint reopening.
Start: 2018-07-15.
Observed scoped reopening: 2018-09-01.
48 calendar-day difference; scoped endpoint only</x:v>
      </x:c>
      <x:c r="G237" s="4" t="str">
        <x:v>Trade and protectionism / Import, export and production controls
Reported reason
Applies to: Recorded episode; exact overlap not separately established
The recorded rationale and claim assessment support the selected subcategories. All applicable broad categories are retained together; no primary rationale is imposed.
Security / Smuggling and illicit trafficking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237" s="4" t="str">
        <x:v>Initial checkpoint closure began July 10 evening; brief July 15 opening interrupts it. Current quantified spell begins July 15 reclosure; September 1 gate opening did not restore complete route access.
NA009-D1: This selected reclosure spell excludes the earlier closure/opening on July 15. Approach-road protesters still impeded travel after the checkpoint reopened, so the endpoint is gate operation, not full route accessibility or unrestricted passage.</x:v>
      </x:c>
      <x:c r="I237" s="4" t="str">
        <x:v>Second full-register audit, 26 October 2026: qualified. Fresh sources confirm the July 15 reclosure after a brief opening and September 1 checkpoint restoration, while approach roads remained obstructed.</x:v>
      </x:c>
      <x:c r="J237" s="18" t="d">
        <x:v>2026-10-26T00:00:00.000Z</x:v>
      </x:c>
      <x:c r="K237" s="21" t="str">
        <x:f>IFERROR(HYPERLINK("https://saudigazette.com.sa/article/542514/World/Mena/Libya-re-opens-main-border-post-with-Tunisia","Saudi Gazette / AFP"),"Saudi Gazette / AFP")</x:f>
        <x:v>Saudi Gazette / AFP</x:v>
      </x:c>
      <x:c r="L237" s="21" t="str">
        <x:f>IFERROR(HYPERLINK("https://libyaobserver.ly/inbrief/libya-closes-ras-ajdir-border-again-amid-tense-situation-region","The Libya Observer"),"The Libya Observer")</x:f>
        <x:v>The Libya Observer</x:v>
      </x:c>
      <x:c r="M237" s="21" t="str">
        <x:f>IFERROR(HYPERLINK("https://libyaobserver.ly/news/libya-closes-ras-ajdir-border-tunisia","libyaobserver.ly"),"libyaobserver.ly")</x:f>
        <x:v>libyaobserver.ly</x:v>
      </x:c>
      <x:c r="N237" s="4" t="str">
        <x:v>https://saudigazette.com.sa/article/542514/World/Mena/Libya-re-opens-main-border-post-with-Tunisia
https://libyaobserver.ly/inbrief/libya-closes-ras-ajdir-border-again-amid-tense-situation-region
https://libyaobserver.ly/news/libya-closes-ras-ajdir-border-tunisia
https://www.newarab.com/analysis/tunisia-libya-border-reopening-sparks-hope-locals
https://www.arabnews.pk/node/1365721/middle-east</x:v>
      </x:c>
      <x:c r="O237" s="4" t="str">
        <x:v>Second full-register audit source access, 26 October 2026
https://libyaobserver.ly/inbrief/libya-closes-ras-ajdir-border-again-amid-tense-situation-region: full text (fresh retrieval)
https://www.arabnews.pk/node/1365721/middle-east: full text (fresh retrieval)
Earlier URLs not separately inspected in this second assessment:
https://saudigazette.com.sa/article/542514/World/Mena/Libya-re-opens-main-border-post-with-Tunisia
https://libyaobserver.ly/news/libya-closes-ras-ajdir-border-tunisia
https://www.newarab.com/analysis/tunisia-libya-border-reopening-sparks-hope-locals
Prior audit access record
Full-register audit source access (evidence cutoff 25 October 2026)
https://libyaobserver.ly/inbrief/libya-closes-ras-ajdir-border-again-amid-tense-situation-region: full text
https://www.arabnews.pk/node/1365721/middle-east: full text
Earlier source URLs not separately listed in this audit’s retrieval log (historical access notes below are not fresh verification):
https://saudigazette.com.sa/article/542514/World/Mena/Libya-re-opens-main-border-post-with-Tunisia
https://libyaobserver.ly/news/libya-closes-ras-ajdir-border-tunisia
https://www.newarab.com/analysis/tunisia-libya-border-reopening-sparks-hope-locals
Earlier recorded access
Source 1: full text
Source 2: full text
Source 3: access detail is retained in the source catalogue.</x:v>
      </x:c>
      <x:c r="P237" s="20" t="n">
        <x:v>1</x:v>
      </x:c>
      <x:c r="Q237" s="4" t="str">
        <x:v>North Africa</x:v>
      </x:c>
      <x:c r="R237" s="4" t="str">
        <x:v>Included</x:v>
      </x:c>
    </x:row>
    <x:row r="238" ht="409" hidden="0" customHeight="1">
      <x:c r="A238" s="16" t="str">
        <x:v>NA003</x:v>
      </x:c>
      <x:c r="B238" s="4" t="str">
        <x:v>Melilla commercial customs closure</x:v>
      </x:c>
      <x:c r="C238" s="4" t="str">
        <x:v>Morocco; Spain</x:v>
      </x:c>
      <x:c r="D238" s="4" t="str">
        <x:v>Beni Enzar Melilla
External African boundary; commercial customs</x:v>
      </x:c>
      <x:c r="E238" s="4" t="str">
        <x:v>Commercial consignments; not a claim of general passenger closure
Direction: Documented reopening shipment Melilla to Morocco
Exceptions: Not established</x:v>
      </x:c>
      <x:c r="F238" s="4" t="str">
        <x:v>NA003-R1 — Observed operation
Commercial customs consignments at Melilla/Beni Enzar until first documented trial export
Start: 2018-08-01.
Observed scoped reopening: 2023-01-27.
1640 calendar-day difference; scoped endpoint only</x:v>
      </x:c>
      <x:c r="G238" s="4" t="str">
        <x:v>Trade and protectionism / Customs and transport rules
Officially stated reason
Applies to: 2018 commercial customs closure; no claim that every later restriction had the same purpose
The spokesperson links the land-customs restriction to developing Nador port trade; contemporary reporting describes redirection to direct port unloading. No diplomatic or sovereignty-dispute purpose is inferred from the statement’s sovereignty wording.</x:v>
      </x:c>
      <x:c r="H238" s="4" t="str">
        <x:v>NA003-R1: The 1 August 2018 onset is retained with explicit source priority: a contemporary 14 August account of Melilla’s government declaration dates implementation to 1 August, and the Spanish government’s indexed parliamentary response says it learned of and sought confirmation of the measure that day. Later 30 August press-conference reports instead describe closure since 31 July; the one-day discrepancy remains recorded, without displacing the more directly documented implementation date or inventing a notice/effect distinction.
The Moroccan spokesperson attributed the measure to developing Nador port commerce; this does not establish every motive or justify an inferred sovereignty-dispute purpose. The first documented experimental export crossed from Melilla to Morocco at approximately 13:30 on 27 January 2023. This scoped endpoint does not establish unrestricted, full-day or bilateral commercial restoration. Passenger passage remains outside this phase. Reports based on the same government statement are not independent corroboration.</x:v>
      </x:c>
      <x:c r="I238" s="4" t="str">
        <x:v>Second full-register audit, 26 October 2026: additional source-audited corrections incorporated. See the phase, scope and qualification columns for the accepted findings.</x:v>
      </x:c>
      <x:c r="J238" s="18" t="d">
        <x:v>2026-10-26T00:00:00.000Z</x:v>
      </x:c>
      <x:c r="K238" s="21" t="str">
        <x:f>IFERROR(HYPERLINK("https://www.europapress.es/ceuta-y-melilla/noticia-melilla-reabre-fase-prueba-aduana-comercial-marruecos-cuatro-anos-medio-cerrada-20230127184110.html","Europa Press"),"Europa Press")</x:f>
        <x:v>Europa Press</x:v>
      </x:c>
      <x:c r="L238" s="21" t="str">
        <x:f>IFERROR(HYPERLINK("https://mptmd.gob.es/portal/delegaciones_gobierno/delegaciones/melilla/actualidad/2023/01/2023-01-27","Spanish government delegation"),"Spanish government delegation")</x:f>
        <x:v>Spanish government delegation</x:v>
      </x:c>
      <x:c r="M238" s="21" t="str">
        <x:f>IFERROR(HYPERLINK("https://exteriores.gob.es/es/Comunicacion/NotasPrensa/Paginas/2023_NOTAS_P/20230224_NOTA013.aspx","Spanish Foreign Ministry"),"Spanish Foreign Ministry")</x:f>
        <x:v>Spanish Foreign Ministry</x:v>
      </x:c>
      <x:c r="N238" s="4" t="str">
        <x:v>https://www.europapress.es/ceuta-y-melilla/noticia-melilla-reabre-fase-prueba-aduana-comercial-marruecos-cuatro-anos-medio-cerrada-20230127184110.html
https://mptmd.gob.es/portal/delegaciones_gobierno/delegaciones/melilla/actualidad/2023/01/2023-01-27
https://exteriores.gob.es/es/Comunicacion/NotasPrensa/Paginas/2023_NOTAS_P/20230224_NOTA013.aspx
https://elpais.com/espana/2025-01-15/la-aduana-comercial-de-melilla-con-marruecos-se-reabre-una-semana-despues-del-intento-frustrado.html
https://www.ansa.it/ansamed/it/notizie/rubriche/politica/2025/01/16/spagna-riaperta-la-dogana-fra-melilla-e-marocco-chiusa-dal-2018_33686a73-0ed0-4c67-a124-f38cdb0107f6.html
https://mptmd.gob.es/en/portal/delegaciones_gobierno/delegaciones/melilla/actualidad/2025/01/2025-01-16_3
https://www.exteriores.gob.es/en/Comunicacion/NotasPrensa/Paginas/2023_NOTAS_P/20230224_NOTA013.aspx
https://www.europapress.es/ceuta-y-melilla/noticia-moh-tres-meses-despues-reapertura-aduana-melilla-marruecos-estamos-proceso-normalizacion-20250425150629.html
https://elfarodemelilla.es/marruecos-cierre-aduana-melilla-decision-soberana/
https://www.finanzas.com/mercados/marruecos-dice-que-cierre-de-su-aduana-con-melilla-es-una-decision-soberana_13900655_102.html
https://www.europapress.es/ceuta-y-melilla/noticia-gobierno-melillense-aprueba-declaracion-institucional-denuncia-marruecos-cierre-aduana-melilla-20180814184406.html
https://www.congreso.es/l12p/e10/e_0105590_n_000.pdf</x:v>
      </x:c>
      <x:c r="O238" s="4" t="str">
        <x:v>Second full-register audit source access, 26 October 2026
https://www.europapress.es/ceuta-y-melilla/noticia-melilla-reabre-fase-prueba-aduana-comercial-marruecos-cuatro-anos-medio-cerrada-20230127184110.html: full text (fresh retrieval)
https://elfarodemelilla.es/marruecos-cierre-aduana-melilla-decision-soberana/: full text (fresh retrieval)
https://www.europapress.es/ceuta-y-melilla/noticia-gobierno-melillense-aprueba-declaracion-institucional-denuncia-marruecos-cierre-aduana-melilla-20180814184406.html: full text (fresh retrieval)
https://www.congreso.es/l12p/e10/e_0105590_n_000.pdf: search extract (fresh retrieval) — Indexed substantive PDF text; direct retrieval 403.
Earlier URLs not separately inspected in this second assessment:
https://mptmd.gob.es/portal/delegaciones_gobierno/delegaciones/melilla/actualidad/2023/01/2023-01-27
https://exteriores.gob.es/es/Comunicacion/NotasPrensa/Paginas/2023_NOTAS_P/20230224_NOTA013.aspx
https://elpais.com/espana/2025-01-15/la-aduana-comercial-de-melilla-con-marruecos-se-reabre-una-semana-despues-del-intento-frustrado.html
https://www.ansa.it/ansamed/it/notizie/rubriche/politica/2025/01/16/spagna-riaperta-la-dogana-fra-melilla-e-marocco-chiusa-dal-2018_33686a73-0ed0-4c67-a124-f38cdb0107f6.html
https://mptmd.gob.es/en/portal/delegaciones_gobierno/delegaciones/melilla/actualidad/2025/01/2025-01-16_3
https://www.exteriores.gob.es/en/Comunicacion/NotasPrensa/Paginas/2023_NOTAS_P/20230224_NOTA013.aspx
https://www.europapress.es/ceuta-y-melilla/noticia-moh-tres-meses-despues-reapertura-aduana-melilla-marruecos-estamos-proceso-normalizacion-20250425150629.html
https://www.finanzas.com/mercados/marruecos-dice-que-cierre-de-su-aduana-con-melilla-es-una-decision-soberana_13900655_102.html
Prior audit access record
Full-register audit source access (evidence cutoff 25 October 2026)
https://mptmd.gob.es/portal/delegaciones_gobierno/delegaciones/melilla/actualidad/2023/01/2023-01-27: full text
https://www.europapress.es/ceuta-y-melilla/noticia-melilla-reabre-fase-prueba-aduana-comercial-marruecos-cuatro-anos-medio-cerrada-20230127184110.html: full text
https://elfarodemelilla.es/marruecos-cierre-aduana-melilla-decision-soberana/: full text
Earlier source URLs not separately listed in this audit’s retrieval log (historical access notes below are not fresh verification):
https://exteriores.gob.es/es/Comunicacion/NotasPrensa/Paginas/2023_NOTAS_P/20230224_NOTA013.aspx
https://elpais.com/espana/2025-01-15/la-aduana-comercial-de-melilla-con-marruecos-se-reabre-una-semana-despues-del-intento-frustrado.html
https://www.ansa.it/ansamed/it/notizie/rubriche/politica/2025/01/16/spagna-riaperta-la-dogana-fra-melilla-e-marocco-chiusa-dal-2018_33686a73-0ed0-4c67-a124-f38cdb0107f6.html
https://mptmd.gob.es/en/portal/delegaciones_gobierno/delegaciones/melilla/actualidad/2025/01/2025-01-16_3
https://www.exteriores.gob.es/en/Comunicacion/NotasPrensa/Paginas/2023_NOTAS_P/20230224_NOTA013.aspx
https://www.europapress.es/ceuta-y-melilla/noticia-moh-tres-meses-despues-reapertura-aduana-melilla-marruecos-estamos-proceso-normalizacion-20250425150629.html
https://www.finanzas.com/mercados/marruecos-dice-que-cierre-de-su-aduana-con-melilla-es-una-decision-soberana_13900655_102.html
Earlier recorded access
Source 1: full; indexed excerpt
Source 2: full; indexed excerpt
Source 3: indexed excerpt</x:v>
      </x:c>
      <x:c r="P238" s="20" t="n">
        <x:v>1</x:v>
      </x:c>
      <x:c r="Q238" s="4" t="str">
        <x:v>North Africa</x:v>
      </x:c>
      <x:c r="R238" s="4" t="str">
        <x:v>Included</x:v>
      </x:c>
    </x:row>
    <x:row r="239" ht="390" hidden="0" customHeight="1">
      <x:c r="A239" s="16" t="str">
        <x:v>NA020</x:v>
      </x:c>
      <x:c r="B239" s="4" t="str">
        <x:v>Rafah outward passenger closure January 2019</x:v>
      </x:c>
      <x:c r="C239" s="4" t="str">
        <x:v>Egypt; Palestine</x:v>
      </x:c>
      <x:c r="D239" s="4" t="str">
        <x:v>Rafah
External African boundary Gaza Egypt</x:v>
      </x:c>
      <x:c r="E239" s="4" t="str">
        <x:v>Passenger movement
Direction: Gaza to Egypt closed; Egypt to Gaza continued five days a week
Exceptions: Urgent outward cases admitted exceptionally January 29</x:v>
      </x:c>
      <x:c r="F239" s="4" t="str">
        <x:v>NA020-D1 — Observed operation
Rafah to the first urgent outward passage; ordinary passenger and goods normalization are not inferred.
Start: 2019-01-07.
Observed scoped reopening: 2019-01-29.
22 calendar-day difference; scoped endpoint only</x:v>
      </x:c>
      <x:c r="G239" s="4" t="str">
        <x:v>Power and regime politics / Contested governing authority
Analytical interpretation of reported context
Applies to: Recorded episode; exact overlap not separately established
The PA–Hamas dispute is reported context for staffing/control, not an independently recovered Egyptian justification.</x:v>
      </x:c>
      <x:c r="H239" s="4" t="str">
        <x:v>NA020-D1: Endpoint is exceptional urgent-case reopening; date of unrestricted outward restoration unresolved. Urgent outward cases admitted exceptionally January 29</x:v>
      </x:c>
      <x:c r="I239" s="4" t="str">
        <x:v>Second full-register audit, 26 October 2026: qualified. Retain January 7–29 outward-passenger interval: January 29 was urgent-case access, while Egypt-to-Gaza traffic continued during the closure.</x:v>
      </x:c>
      <x:c r="J239" s="18" t="d">
        <x:v>2026-10-26T00:00:00.000Z</x:v>
      </x:c>
      <x:c r="K239" s="21" t="str">
        <x:f>IFERROR(HYPERLINK("https://www.ochaopt.org/content/protection-civilians-report-15-28-january-2019","UN OCHA oPt"),"UN OCHA oPt")</x:f>
        <x:v>UN OCHA oPt</x:v>
      </x:c>
      <x:c r="L239" s="21" t="str">
        <x:f>IFERROR(HYPERLINK("https://www.ecoi.net/en/file/local/2007651/Monthly_report_PAL_Jan_2019_en.pdf","ecoi.net"),"ecoi.net")</x:f>
        <x:v>ecoi.net</x:v>
      </x:c>
      <x:c r="M239" s="21" t="str">
        <x:f>IFERROR(HYPERLINK("https://www.aa.com.tr/en/middle-east/egypt-opens-gaza-border-crossing/1377848","aa.com.tr"),"aa.com.tr")</x:f>
        <x:v>aa.com.tr</x:v>
      </x:c>
      <x:c r="N239" s="4" t="str">
        <x:v>https://www.ochaopt.org/content/protection-civilians-report-15-28-january-2019
https://www.ecoi.net/en/file/local/2007651/Monthly_report_PAL_Jan_2019_en.pdf
https://www.aa.com.tr/en/middle-east/egypt-opens-gaza-border-crossing/1377848
https://www.newarab.com/news/rafah-crossing-fully-reopen-tuesday
https://www.ochaopt.org/content/overview-january-2019</x:v>
      </x:c>
      <x:c r="O239" s="4" t="str">
        <x:v>Second full-register audit source access, 26 October 2026
https://www.ochaopt.org/content/protection-civilians-report-15-28-january-2019: full text (fresh retrieval)
https://www.ochaopt.org/content/protection-civilians-report-15-28-january-2019: full text (fresh retrieval)
https://www.aa.com.tr/en/middle-east/egypt-opens-gaza-border-crossing/1377848: full text (fresh retrieval)
Earlier URLs not separately inspected in this second assessment:
https://www.ecoi.net/en/file/local/2007651/Monthly_report_PAL_Jan_2019_en.pdf
https://www.newarab.com/news/rafah-crossing-fully-reopen-tuesday
https://www.ochaopt.org/content/overview-january-2019
Prior audit access record
Full-register audit source access (evidence cutoff 25 October 2026)
https://www.ochaopt.org/content/overview-january-2019: full text
https://www.ochaopt.org/content/protection-civilians-report-15-28-january-2019: full text
https://www.aa.com.tr/en/middle-east/egypt-opens-gaza-border-crossing/1377848: full text
Earlier source URLs not separately listed in this audit’s retrieval log (historical access notes below are not fresh verification):
https://www.ecoi.net/en/file/local/2007651/Monthly_report_PAL_Jan_2019_en.pdf
https://www.newarab.com/news/rafah-crossing-fully-reopen-tuesday
Earlier recorded access
Source 1: full text
Source 2: access detail is retained in the source catalogue.
Source 3: access detail is retained in the source catalogue.</x:v>
      </x:c>
      <x:c r="P239" s="20" t="n">
        <x:v>1</x:v>
      </x:c>
      <x:c r="Q239" s="4" t="str">
        <x:v>North Africa</x:v>
      </x:c>
      <x:c r="R239" s="4" t="str">
        <x:v>Included</x:v>
      </x:c>
    </x:row>
    <x:row r="240" ht="409" hidden="0" customHeight="1">
      <x:c r="A240" s="16" t="str">
        <x:v>NA010</x:v>
      </x:c>
      <x:c r="B240" s="4" t="str">
        <x:v>Ras Jedir October November 2019 closure</x:v>
      </x:c>
      <x:c r="C240" s="4" t="str">
        <x:v>Libya; Tunisia</x:v>
      </x:c>
      <x:c r="D240" s="4" t="str">
        <x:v>Ras Jedir
Named land crossing</x:v>
      </x:c>
      <x:c r="E240" s="4" t="str">
        <x:v>Passengers and goods except returning nationals
Direction: Not fully established
Exceptions: Return of citizens from either country</x:v>
      </x:c>
      <x:c r="F240" s="4" t="str">
        <x:v>NA010-D1 — Observed operation
Libyan-side ordinary non-returnee passage restriction at Ras Jedir during the October–November episode.
Start: 2019-10-23 to 2019-10-24.
Observed scoped reopening: 2019-11-07.
14–15 calendar-day difference; scoped endpoint only</x:v>
      </x:c>
      <x:c r="G240" s="4" t="str">
        <x:v>Interstate disputes and pressure / Diplomatic disputes and retaliation
Reported reason
Applies to: October–November 2019 Libyan-side closure
Indexed Webdo reporting describes Libyan-side closure as protest against long waits experienced by Libyan travellers entering Tunisia. Code the reported bilateral pressure/retaliation only; an original Libyan order and reciprocal mistreatment allegations are not verified. The reopening passage attributes its information to TAP; no independent source family is claimed.</x:v>
      </x:c>
      <x:c r="H240" s="4" t="str">
        <x:v>NA010-D1: October 23–24 overnight onset bounds and returning-citizen/ambulance exceptions remain. A newly recovered full LANA report published November 7 quotes Libya’s Interior Ministry confirming reopening to travellers at midday and normal movement inside the checkpoint. This supplies a Libyan official source lineage in addition to the indexed Webdo/TAP security-source account of Tunisian and Libyan passengers resuming in both directions. The November 1 reopening claim was expressly denied by the ministry in a November 2 LANA report. Webdo direct retrieval and the full Tunisie Numerique body remain unavailable. Exact onset hours, independently counted throughput and reciprocal mistreatment allegations remain unverified; the rounded three-week duration is not used.</x:v>
      </x:c>
      <x:c r="I240" s="4" t="str">
        <x:v>Second full-register audit, 26 October 2026: additional source-audited corrections incorporated. See the phase, scope and qualification columns for the accepted findings.</x:v>
      </x:c>
      <x:c r="J240" s="18" t="d">
        <x:v>2026-10-26T00:00:00.000Z</x:v>
      </x:c>
      <x:c r="K240" s="21" t="str">
        <x:f>IFERROR(HYPERLINK("https://www.xinhuanet.com/english/2019-10/24/c_138499853.htm","Xinhua"),"Xinhua")</x:f>
        <x:v>Xinhua</x:v>
      </x:c>
      <x:c r="L240" s="21" t="str">
        <x:f>IFERROR(HYPERLINK("https://www.tap.info.tn/en/Portal-Regions/12008843-medenine-border","TAP"),"TAP")</x:f>
        <x:v>TAP</x:v>
      </x:c>
      <x:c r="M240" s="21" t="str">
        <x:f>IFERROR(HYPERLINK("https://directinfo.webmanagercenter.com/2019/10/29/tunisie-ras-jedir-reouverture-du-passage-frontalier-reportee-de-2-jours/","directinfo.webmanagercenter.com"),"directinfo.webmanagercenter.com")</x:f>
        <x:v>directinfo.webmanagercenter.com</x:v>
      </x:c>
      <x:c r="N240" s="4" t="str">
        <x:v>https://www.xinhuanet.com/english/2019-10/24/c_138499853.htm
https://www.tap.info.tn/en/Portal-Regions/12008843-medenine-border
https://directinfo.webmanagercenter.com/2019/10/29/tunisie-ras-jedir-reouverture-du-passage-frontalier-reportee-de-2-jours/
https://lana.gov.ly/post.php?id=157595&amp;lang=en
https://www.webdo.tn/fr/?p=147414
https://www.tunisienumerique.com/tunisie-reouverture-du-poste-frontalier-de-ras-jedir-avec-la-libye-apres-trois-semaines-de-fermeture/
https://www.mosaiquefm.net/amp/fr/national-tunisie/627669/la-libye-ferme-le-passage-de-ras-jedir
https://lana.gov.ly/post.php?id=157984&amp;lang=ar</x:v>
      </x:c>
      <x:c r="O240" s="4" t="str">
        <x:v>Second full-register audit source access, 26 October 2026
https://www.xinhuanet.com/english/2019-10/24/c_138499853.htm: full text (fresh retrieval)
https://lana.gov.ly/post.php?id=157984&amp;lang=ar: full text (fresh retrieval)
https://lana.gov.ly/post.php?id=157595&amp;lang=en: full text (fresh retrieval)
https://www.webdo.tn/fr/?p=147414: search extract (fresh retrieval) — Full indexed account; direct retrieval still fails.
Earlier URLs not separately inspected in this second assessment:
https://www.tap.info.tn/en/Portal-Regions/12008843-medenine-border
https://directinfo.webmanagercenter.com/2019/10/29/tunisie-ras-jedir-reouverture-du-passage-frontalier-reportee-de-2-jours/
https://www.tunisienumerique.com/tunisie-reouverture-du-poste-frontalier-de-ras-jedir-avec-la-libye-apres-trois-semaines-de-fermeture/
https://www.mosaiquefm.net/amp/fr/national-tunisie/627669/la-libye-ferme-le-passage-de-ras-jedir
Prior audit access record
Full-register audit source access (evidence cutoff 25 October 2026)
https://www.xinhuanet.com/english/2019-10/24/c_138499853.htm: full text
https://www.webdo.tn/fr/?p=147414: search extract — Direct page failed; shared TAP origin, not independent corroboration.
https://lana.gov.ly/post.php?id=157595&amp;lang=en: full text
Earlier source URLs not separately listed in this audit’s retrieval log (historical access notes below are not fresh verification):
https://www.tap.info.tn/en/Portal-Regions/12008843-medenine-border
https://directinfo.webmanagercenter.com/2019/10/29/tunisie-ras-jedir-reouverture-du-passage-frontalier-reportee-de-2-jours/
https://www.tunisienumerique.com/tunisie-reouverture-du-poste-frontalier-de-ras-jedir-avec-la-libye-apres-trois-semaines-de-fermeture/
https://www.mosaiquefm.net/amp/fr/national-tunisie/627669/la-libye-ferme-le-passage-de-ras-jedir
Earlier recorded access
Source 1: full page
Source 2: search extract
Source 3: access detail is retained in the source catalogue.</x:v>
      </x:c>
      <x:c r="P240" s="20" t="n">
        <x:v>1</x:v>
      </x:c>
      <x:c r="Q240" s="4" t="str">
        <x:v>North Africa</x:v>
      </x:c>
      <x:c r="R240" s="4" t="str">
        <x:v>Included</x:v>
      </x:c>
    </x:row>
    <x:row r="241" ht="409" hidden="0" customHeight="1">
      <x:c r="A241" s="16" t="str">
        <x:v>NA002</x:v>
      </x:c>
      <x:c r="B241" s="4" t="str">
        <x:v>Ceuta and Melilla pandemic border closure and phased reopening</x:v>
      </x:c>
      <x:c r="C241" s="4" t="str">
        <x:v>Morocco; Spain</x:v>
      </x:c>
      <x:c r="D241" s="4" t="str">
        <x:v>El Tarajal and Beni Enzar
External African boundaries of Spanish enclaves</x:v>
      </x:c>
      <x:c r="E241" s="4" t="str">
        <x:v>Ordinary passenger traffic; commercial customs separate
Direction: Both directions reopened for permitted categories
Exceptions: From May 17 EU residents and Schengen-authorised travellers; cross-border workers planned from May 31</x:v>
      </x:c>
      <x:c r="F241" s="4" t="str">
        <x:v>NA002-D1 — Observed operation
Ordinary authorised passenger passage at Ceuta and Melilla, to initial EU-resident/Schengen-authorised traveller restoration.
Start: 2020-03-13.
Observed scoped reopening: 2022-05-17.
795 calendar-day difference; scoped endpoint only</x:v>
      </x:c>
      <x:c r="G241" s="4" t="str">
        <x:v>Health and biosecurity / Human disease control
Reported reason
Applies to: Initial pandemic closure
The recorded rationale and claim assessment support the selected subcategories. All applicable broad categories are retained together; no primary rationale is imposed.
Interstate disputes and pressure / Diplomatic disputes and retaliation
Analytical interpretation of reported context
Applies to: Later continuation
The recorded rationale and claim assessment support the selected subcategories. All applicable broad categories are retained together; no primary rationale is imposed.</x:v>
      </x:c>
      <x:c r="H241" s="4" t="str">
        <x:v>NA002-D1: Contemporary reporting places the Moroccan land-border closure overnight March 12–13, 2020, with Tarajal closed at 06:00 on March 13. Spanish citizens leaving Morocco through Tarajal remained an initial exception. The March 13 calendar onset concerns ordinary passage and does not assert that every exception stopped simultaneously. May 17, 2022 is the first staged EU-resident/Schengen-authorised passenger restoration, observed by AP; commercial customs and the later cross-border-worker stage remain separate. Spanish local May 17 corresponds to late May 16 in Morocco. The 795-day figure is a calendar-date difference, not measured hours or unrestricted all-category closure.</x:v>
      </x:c>
      <x:c r="I241" s="4" t="str">
        <x:v>Second full-register audit, 26 October 2026: qualified. March 13 actual closure and May 17 staged passenger restoration are corroborated; initial Spanish departure exception and customs/worker distinctions remain essential.</x:v>
      </x:c>
      <x:c r="J241" s="18" t="d">
        <x:v>2026-10-26T00:00:00.000Z</x:v>
      </x:c>
      <x:c r="K241" s="21" t="str">
        <x:f>IFERROR(HYPERLINK("https://www.lamoncloa.gob.es/lang/en/gobierno/news/paginas/2022/20220512_morocco-borders.aspx","La Moncloa"),"La Moncloa")</x:f>
        <x:v>La Moncloa</x:v>
      </x:c>
      <x:c r="L241" s="21" t="str">
        <x:f>IFERROR(HYPERLINK("https://toronto.citynews.ca/2022/05/17/spain-morocco-reopen-land-border-crossings-as-ties-improve/","CityNews Toronto"),"CityNews Toronto")</x:f>
        <x:v>CityNews Toronto</x:v>
      </x:c>
      <x:c r="M241" s="21" t="str">
        <x:f>IFERROR(HYPERLINK("https://www.thelocal.es/20220517/spain-and-morocco-reopen-land-borders-after-two-year-closure","The Local Spain"),"The Local Spain")</x:f>
        <x:v>The Local Spain</x:v>
      </x:c>
      <x:c r="N241" s="4" t="str">
        <x:v>https://www.lamoncloa.gob.es/lang/en/gobierno/news/paginas/2022/20220512_morocco-borders.aspx
https://toronto.citynews.ca/2022/05/17/spain-morocco-reopen-land-border-crossings-as-ties-improve/
https://www.thelocal.es/20220517/spain-and-morocco-reopen-land-borders-after-two-year-closure
https://www.aa.com.tr/en/world/spain-morocco-reopen-borders-for-1st-time-since-pandemic/2590270
https://www.rtve.es/noticias/20220511/albares-fronteras-ceuta-melilla/2347777.shtml
https://www.europapress.es/ceuta-y-melilla/noticia-frontera-ceuta-sigue-cerrada-fecha-concreta-reapertura-20220413184256.html
https://www.boe.es/diario_boe/txt.php?id=BOE-A-2022-7846
https://www.europapress.es/ceuta-y-melilla/noticia-marruecos-niega-entrar-cien-subditos-llegados-ceuta-cerrar-frontera-permite-salir-espanoles-20200313142835.html
https://www.rtve.es/noticias/20200312/marruecos-cierra-frontera-con-ceuta-melilla/2009780.shtml
https://www.elconfidencial.com/mundo/2020-03-13/marruecos-cierra-fronteras-con-ceuta-melilla-aisla-espana_2495836/
https://baynews9.com/fl/tampa/ap-top-news/2022/05/17/spain-morocco-reopen-land-border-crossings-as-ties-improve
https://newsinfo.inquirer.net/1598834/spain-morocco-reopen-land-borders-after-two-year-closure</x:v>
      </x:c>
      <x:c r="O241" s="4" t="str">
        <x:v>Second full-register audit source access, 26 October 2026
https://www.europapress.es/ceuta-y-melilla/noticia-marruecos-niega-entrar-cien-subditos-llegados-ceuta-cerrar-frontera-permite-salir-espanoles-20200313142835.html: full text (fresh retrieval)
https://www.rtve.es/noticias/20200312/marruecos-cierra-frontera-con-ceuta-melilla/2009780.shtml: full text (fresh retrieval) — Display timestamp precedes body account of 06:00 closure; contemporary March 13 Europa Press resolves chronology.
https://www.lamoncloa.gob.es/lang/en/gobierno/news/paginas/2022/20220512_morocco-borders.aspx: full text (fresh retrieval)
https://baynews9.com/fl/tampa/ap-top-news/2022/05/17/spain-morocco-reopen-land-border-crossings-as-ties-improve: full text (fresh retrieval)
https://newsinfo.inquirer.net/1598834/spain-morocco-reopen-land-borders-after-two-year-closure: search extract (fresh retrieval) — Direct page returned 403; indexed passage describes both-direction movement and local clock.
Earlier URLs not separately inspected in this second assessment:
https://toronto.citynews.ca/2022/05/17/spain-morocco-reopen-land-border-crossings-as-ties-improve/
https://www.thelocal.es/20220517/spain-and-morocco-reopen-land-borders-after-two-year-closure
https://www.aa.com.tr/en/world/spain-morocco-reopen-borders-for-1st-time-since-pandemic/2590270
https://www.rtve.es/noticias/20220511/albares-fronteras-ceuta-melilla/2347777.shtml
https://www.europapress.es/ceuta-y-melilla/noticia-frontera-ceuta-sigue-cerrada-fecha-concreta-reapertura-20220413184256.html
https://www.boe.es/diario_boe/txt.php?id=BOE-A-2022-7846
https://www.elconfidencial.com/mundo/2020-03-13/marruecos-cierra-fronteras-con-ceuta-melilla-aisla-espana_2495836/
Prior audit access record
Full-register audit source access (evidence cutoff 25 October 2026)
https://www.europapress.es/ceuta-y-melilla/noticia-marruecos-niega-entrar-cien-subditos-llegados-ceuta-cerrar-frontera-permite-salir-espanoles-20200313142835.html: full text
https://www.rtve.es/noticias/20200312/marruecos-cierra-frontera-con-ceuta-melilla/2009780.shtml: full text
https://www.elconfidencial.com/mundo/2020-03-13/marruecos-cierra-fronteras-con-ceuta-melilla-aisla-espana_2495836/: search extract — Direct retrieval restricted.
https://www.lamoncloa.gob.es/lang/en/gobierno/news/paginas/2022/20220512_morocco-borders.aspx: full text
https://toronto.citynews.ca/2022/05/17/spain-morocco-reopen-land-border-crossings-as-ties-improve/: full text
Earlier source URLs not separately listed in this audit’s retrieval log (historical access notes below are not fresh verification):
https://www.thelocal.es/20220517/spain-and-morocco-reopen-land-borders-after-two-year-closure
https://www.aa.com.tr/en/world/spain-morocco-reopen-borders-for-1st-time-since-pandemic/2590270
https://www.rtve.es/noticias/20220511/albares-fronteras-ceuta-melilla/2347777.shtml
https://www.europapress.es/ceuta-y-melilla/noticia-frontera-ceuta-sigue-cerrada-fecha-concreta-reapertura-20220413184256.html
https://www.boe.es/diario_boe/txt.php?id=BOE-A-2022-7846
Earlier recorded access
Source 1: full page
Source 2: full page
Source 3: full page</x:v>
      </x:c>
      <x:c r="P241" s="20" t="n">
        <x:v>1</x:v>
      </x:c>
      <x:c r="Q241" s="4" t="str">
        <x:v>North Africa</x:v>
      </x:c>
      <x:c r="R241" s="4" t="str">
        <x:v>Included</x:v>
      </x:c>
    </x:row>
    <x:row r="242" ht="409" hidden="0" customHeight="1">
      <x:c r="A242" s="16" t="str">
        <x:v>NA005</x:v>
      </x:c>
      <x:c r="B242" s="4" t="str">
        <x:v>Algeria Tunisia Covid passenger frontier closure</x:v>
      </x:c>
      <x:c r="C242" s="4" t="str">
        <x:v>Algeria; Tunisia</x:v>
      </x:c>
      <x:c r="D242" s="4" t="str">
        <x:v>Nine crossings including Melloula Tabarka
Bilateral land passenger crossings</x:v>
      </x:c>
      <x:c r="E242" s="4" t="str">
        <x:v>Passengers and private cars
Direction: Passenger movement both directions
Exceptions: Goods remained permitted; emergency passenger passage continued. A July 2022 ministerial account reports a 75 percent reduction in passengers, not total cessation.</x:v>
      </x:c>
      <x:c r="F242" s="4" t="str">
        <x:v>NA005-D1 — Observed operation
Ordinary non-emergency passenger travel across the Algeria–Tunisia land frontier.
Start: 2020-03-17.
Observed scoped reopening: 2022-07-15.
850 calendar-day difference; scoped endpoint only</x:v>
      </x:c>
      <x:c r="G24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42" s="4" t="str">
        <x:v>NA005-D1: Goods and emergency passenger passage continued. Archived ministerial reporting describes a 75% passenger reduction, not zero movement. Continuity concerns the ordinary-travel restriction, not an impermeable border.</x:v>
      </x:c>
      <x:c r="I242" s="4" t="str">
        <x:v>Second full-register audit, 26 October 2026: qualified. The ordinary passenger interval is supported. Goods continued with transshipment before direct truck permission; the 75% figure is an attributed ministerial account, not zero passage.</x:v>
      </x:c>
      <x:c r="J242" s="18" t="d">
        <x:v>2026-10-26T00:00:00.000Z</x:v>
      </x:c>
      <x:c r="K242" s="21" t="str">
        <x:f>IFERROR(HYPERLINK("https://www.lorientlejour.com/article/1305784/flux-constant-a-la-reouverture-des-frontieres-algerie-tunisie.html","L’Orient-Le Jour / AFP"),"L’Orient-Le Jour / AFP")</x:f>
        <x:v>L’Orient-Le Jour / AFP</x:v>
      </x:c>
      <x:c r="L242" s="21" t="str">
        <x:f>IFERROR(HYPERLINK("https://news.radioalgerie.dz/ar/node/11790","Algerian Radio"),"Algerian Radio")</x:f>
        <x:v>Algerian Radio</x:v>
      </x:c>
      <x:c r="M242" s="21" t="str">
        <x:f>IFERROR(HYPERLINK("https://news.radioalgerie.dz/ar/node/11995","Algerian Radio"),"Algerian Radio")</x:f>
        <x:v>Algerian Radio</x:v>
      </x:c>
      <x:c r="N242" s="4" t="str">
        <x:v>https://www.lorientlejour.com/article/1305784/flux-constant-a-la-reouverture-des-frontieres-algerie-tunisie.html
https://news.radioalgerie.dz/ar/node/11790
https://news.radioalgerie.dz/ar/node/11995
https://news.radioalgerie.dz/ar/node/12165
https://radioalgerie.dz/news/fr/article/20200317/191133.html
https://www.aa.com.tr/fr/afrique/alg%C3%A9rie-tunisie-supervision-des-pr%C3%A9paratifs-en-pr%C3%A9vision-de-la-r%C3%A9ouverture-des-fronti%C3%A8res-terrestres/2635035
https://www.tsa-algerie.com/algerie-tunisie-la-frontiere-terrestre-rouverte-pour-les-marchandises/
https://www.arabnews.com/middle-east/algeria-tunisia-border-crossings-reopen-after-2-years-of-closure-2123221
https://news.radioalgerie.dz/fr/node/11792
https://www.transport.tn/fr/article/373/twns-ljzy-r-wd-lnsht-l-lm-br
https://www.africanews.com/2022/07/15/tunisia-and-algeria-reopen-land-border-after-two-years-closure/
https://www.tsa-algerie.com/lalgerie-ferme-ses-frontieres-terrestres-avec-la-tunisie/
https://www.algerie-focus.com/ouverture-de-9-postes-frontaliers-entre-lalgerie-et-la-tunisie-a-partir-de-vendredi/</x:v>
      </x:c>
      <x:c r="O242" s="4" t="str">
        <x:v>Second full-register audit source access, 26 October 2026
https://www.tsa-algerie.com/lalgerie-ferme-ses-frontieres-terrestres-avec-la-tunisie/: full text (fresh retrieval)
https://www.africanews.com/2022/07/15/tunisia-and-algeria-reopen-land-border-after-two-years-closure/: full text (fresh retrieval)
https://www.algerie-focus.com/ouverture-de-9-postes-frontaliers-entre-lalgerie-et-la-tunisie-a-partir-de-vendredi/: full text (fresh retrieval) — Later republication of July 2022 narrative; not a new 2024 closure or reopening.
https://www.tsa-algerie.com/algerie-tunisie-la-frontiere-terrestre-rouverte-pour-les-marchandises/: full text (fresh retrieval)
Earlier URLs not separately inspected in this second assessment:
https://www.lorientlejour.com/article/1305784/flux-constant-a-la-reouverture-des-frontieres-algerie-tunisie.html
https://news.radioalgerie.dz/ar/node/11790
https://news.radioalgerie.dz/ar/node/11995
https://news.radioalgerie.dz/ar/node/12165
https://radioalgerie.dz/news/fr/article/20200317/191133.html
https://www.aa.com.tr/fr/afrique/alg%C3%A9rie-tunisie-supervision-des-pr%C3%A9paratifs-en-pr%C3%A9vision-de-la-r%C3%A9ouverture-des-fronti%C3%A8res-terrestres/2635035
https://www.arabnews.com/middle-east/algeria-tunisia-border-crossings-reopen-after-2-years-of-closure-2123221
https://news.radioalgerie.dz/fr/node/11792
https://www.transport.tn/fr/article/373/twns-ljzy-r-wd-lnsht-l-lm-br
Prior audit access record
Full-register audit source access (evidence cutoff 25 October 2026)
https://www.lorientlejour.com/article/1305784/flux-constant-a-la-reouverture-des-frontieres-algerie-tunisie.html: full text
https://www.tsa-algerie.com/lalgerie-ferme-ses-frontieres-terrestres-avec-la-tunisie/: search extract
https://radioalgerie.dz/news/fr/article/20200317/191133.html: inaccessible
Earlier source URLs not separately listed in this audit’s retrieval log (historical access notes below are not fresh verification):
https://news.radioalgerie.dz/ar/node/11790
https://news.radioalgerie.dz/ar/node/11995
https://news.radioalgerie.dz/ar/node/12165
https://www.aa.com.tr/fr/afrique/alg%C3%A9rie-tunisie-supervision-des-pr%C3%A9paratifs-en-pr%C3%A9vision-de-la-r%C3%A9ouverture-des-fronti%C3%A8res-terrestres/2635035
https://www.tsa-algerie.com/algerie-tunisie-la-frontiere-terrestre-rouverte-pour-les-marchandises/
https://www.arabnews.com/middle-east/algeria-tunisia-border-crossings-reopen-after-2-years-of-closure-2123221
https://news.radioalgerie.dz/fr/node/11792
https://www.transport.tn/fr/article/373/twns-ljzy-r-wd-lnsht-l-lm-br
https://www.africanews.com/2022/07/15/tunisia-and-algeria-reopen-land-border-after-two-years-closure/
Earlier recorded access
Source 1: full text
Source 2: search extract
Source 3: full text</x:v>
      </x:c>
      <x:c r="P242" s="20" t="n">
        <x:v>1</x:v>
      </x:c>
      <x:c r="Q242" s="4" t="str">
        <x:v>North Africa</x:v>
      </x:c>
      <x:c r="R242" s="4" t="str">
        <x:v>Included</x:v>
      </x:c>
    </x:row>
    <x:row r="243" ht="270" hidden="0" customHeight="1">
      <x:c r="A243" s="16" t="str">
        <x:v>NA021</x:v>
      </x:c>
      <x:c r="B243" s="4" t="str">
        <x:v>Rafah May August 2020 Covid passenger closure</x:v>
      </x:c>
      <x:c r="C243" s="4" t="str">
        <x:v>Egypt; Palestine</x:v>
      </x:c>
      <x:c r="D243" s="4" t="str">
        <x:v>Rafah
External African boundary Gaza Egypt</x:v>
      </x:c>
      <x:c r="E243" s="4" t="str">
        <x:v>Passenger movement; freight continued through Rafah commercial arrangements
Direction: Both directions
Exceptions: Goods traffic not closed</x:v>
      </x:c>
      <x:c r="F243" s="4" t="str">
        <x:v>NA021-D1 — Observed operation
Rafah passenger restriction to the first temporary passenger window; goods movement followed a different chronology.
Start: 2020-05-15.
Observed scoped reopening: 2020-08-11.
88 calendar-day difference; scoped endpoint only</x:v>
      </x:c>
      <x:c r="G24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43" s="4" t="str">
        <x:v>NA021-D1: End denotes temporary opening only. Two OCHA reports share one institutional origin but provide direct closure and actual movement evidence. Goods traffic not closed</x:v>
      </x:c>
      <x:c r="I243" s="4" t="str">
        <x:v>Second full-register audit, 26 October 2026: qualified. OCHA directly supports May 15 closure, August 11 temporary passenger restoration and continuing goods imports; no new correction required.</x:v>
      </x:c>
      <x:c r="J243" s="18" t="d">
        <x:v>2026-10-26T00:00:00.000Z</x:v>
      </x:c>
      <x:c r="K243" s="21" t="str">
        <x:f>IFERROR(HYPERLINK("https://www.ochaopt.org/content/gaza-strip-snapshot-july-2020","UN OCHA"),"UN OCHA")</x:f>
        <x:v>UN OCHA</x:v>
      </x:c>
      <x:c r="L243" s="21" t="str">
        <x:f>IFERROR(HYPERLINK("https://www.ochaopt.org/content/gaza-strip-snapshot-august-2020","UN OCHA"),"UN OCHA")</x:f>
        <x:v>UN OCHA</x:v>
      </x:c>
      <x:c r="M243" s="21" t="str">
        <x:f>IFERROR(HYPERLINK("https://www.ochaopt.org/content/covid-19-emergency-situation-report-15","UN OCHA"),"UN OCHA")</x:f>
        <x:v>UN OCHA</x:v>
      </x:c>
      <x:c r="N243" s="4" t="str">
        <x:v>https://www.ochaopt.org/content/gaza-strip-snapshot-july-2020
https://www.ochaopt.org/content/gaza-strip-snapshot-august-2020
https://www.ochaopt.org/content/covid-19-emergency-situation-report-15</x:v>
      </x:c>
      <x:c r="O243" s="4" t="str">
        <x:v>Second full-register audit source access, 26 October 2026
https://www.ochaopt.org/content/gaza-strip-snapshot-july-2020: full text (fresh retrieval)
https://www.ochaopt.org/content/gaza-strip-snapshot-august-2020: full text (fresh retrieval)
Earlier URLs not separately inspected in this second assessment:
https://www.ochaopt.org/content/covid-19-emergency-situation-report-15
Prior audit access record
Full-register audit source access (evidence cutoff 25 October 2026)
https://www.ochaopt.org/content/gaza-strip-snapshot-july-2020: full text
https://www.ochaopt.org/content/gaza-strip-snapshot-august-2020: full text
Earlier source URLs not separately listed in this audit’s retrieval log (historical access notes below are not fresh verification):
https://www.ochaopt.org/content/covid-19-emergency-situation-report-15
Earlier recorded access
Source 1: full text
Source 2: full text
Source 3: full text</x:v>
      </x:c>
      <x:c r="P243" s="20" t="n">
        <x:v>1</x:v>
      </x:c>
      <x:c r="Q243" s="4" t="str">
        <x:v>North Africa</x:v>
      </x:c>
      <x:c r="R243" s="4" t="str">
        <x:v>Included</x:v>
      </x:c>
    </x:row>
    <x:row r="244" ht="409" hidden="0" customHeight="1">
      <x:c r="A244" s="16" t="str">
        <x:v>NA004</x:v>
      </x:c>
      <x:c r="B244" s="4" t="str">
        <x:v>Guerguerat road blockade</x:v>
      </x:c>
      <x:c r="C244" s="4" t="str">
        <x:v>Western Sahara; Mauritania; Morocco</x:v>
      </x:c>
      <x:c r="D244" s="4" t="str">
        <x:v>Guerguerat
Road through disputed Western Sahara buffer strip to Mauritania</x:v>
      </x:c>
      <x:c r="E244" s="4" t="str">
        <x:v>Passenger and freight road traffic
Direction: Both directions
Exceptions: Not established</x:v>
      </x:c>
      <x:c r="F244" s="4" t="str">
        <x:v>NA004-D1 — Observed operation
Road through the disputed Western Sahara buffer strip to Mauritania; civilian and commercial traffic was obstructed, with the endpoint specifically supported by restored truck traffic in both directions.
Start: 2020-10-21.
Observed scoped reopening: 2020-11-14 for trucks.
24 calendar-day difference; scoped endpoint only</x:v>
      </x:c>
      <x:c r="G244" s="4" t="str">
        <x:v>Interstate disputes and pressure / Territorial and frontier disputes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44" s="4" t="str">
        <x:v>NA004-D1: UN/MINURSO independently reported civilian obstruction on October 21. AFP and EFE report truck traffic restored on November 14, with EFE specifying both directions. A separately observed first passenger movement is not established. Polisario’s own contemporary position is documented in its letter circulated as UN document S/2020/1048; circulation does not make that party’s legal and political claims UN findings. Attribution does not establish every protester’s affiliation or motivation.</x:v>
      </x:c>
      <x:c r="I244" s="4" t="str">
        <x:v>Second full-register audit, 26 October 2026: qualified. Fresh UN reporting confirms October 21 obstruction; EFE confirms November 14 truck restoration. Preserve the truck-specific endpoint and separate party attribution.</x:v>
      </x:c>
      <x:c r="J244" s="18" t="d">
        <x:v>2026-10-26T00:00:00.000Z</x:v>
      </x:c>
      <x:c r="K244" s="21" t="str">
        <x:f>IFERROR(HYPERLINK("https://www.lavanguardia.com/internacional/20201114/49465098707/se-retoma-el-trafico-de-camiones-entre-el-sahara-occidental-y-mauritania.html?facet=amp","La Vanguardia"),"La Vanguardia")</x:f>
        <x:v>La Vanguardia</x:v>
      </x:c>
      <x:c r="L244" s="21" t="str">
        <x:f>IFERROR(HYPERLINK("https://www.moroccoworldnews.com/2020/11/64252/traffic-resumes-in-guerguerat-after-moroccos-military-intervention/","Morocco World News"),"Morocco World News")</x:f>
        <x:v>Morocco World News</x:v>
      </x:c>
      <x:c r="M244" s="21" t="str">
        <x:f>IFERROR(HYPERLINK("https://www.un.org/sg/en/content/highlight/2020-10-21.html","UN Secretary-General / MINURSO"),"UN Secretary-General / MINURSO")</x:f>
        <x:v>UN Secretary-General / MINURSO</x:v>
      </x:c>
      <x:c r="N244" s="4" t="str">
        <x:v>https://www.lavanguardia.com/internacional/20201114/49465098707/se-retoma-el-trafico-de-camiones-entre-el-sahara-occidental-y-mauritania.html?facet=amp
https://www.moroccoworldnews.com/2020/11/64252/traffic-resumes-in-guerguerat-after-moroccos-military-intervention/
https://www.un.org/sg/en/content/highlight/2020-10-21.html
https://digitallibrary.un.org/record/3889244/files/S_2020_1048-FR.pdf
https://documents.un.org/doc/undoc/gen/n21/277/70/pdf/n2127770.pdf
https://digitallibrary.un.org/record/3964655/files/A_AC.109_2022_17-EN.pdf
https://www.ibtimes.com/traffic-resumes-truck-stop-sparked-wsahara-tensions-3082424
https://documents.un.org/api/symbol/access?l=en&amp;s=S%2F2020%2F1048&amp;t=pdf</x:v>
      </x:c>
      <x:c r="O244" s="4" t="str">
        <x:v>Second full-register audit source access, 26 October 2026
https://documents.un.org/doc/undoc/gen/n21/277/70/pdf/n2127770.pdf: full text (fresh retrieval)
https://www.lavanguardia.com/internacional/20201114/49465098707/se-retoma-el-trafico-de-camiones-entre-el-sahara-occidental-y-mauritania.html?facet=amp: full text (fresh retrieval)
https://documents.un.org/api/symbol/access?l=en&amp;s=S%2F2020%2F1048&amp;t=pdf: full text (fresh retrieval)
Earlier URLs not separately inspected in this second assessment:
https://www.moroccoworldnews.com/2020/11/64252/traffic-resumes-in-guerguerat-after-moroccos-military-intervention/
https://www.un.org/sg/en/content/highlight/2020-10-21.html
https://digitallibrary.un.org/record/3889244/files/S_2020_1048-FR.pdf
https://digitallibrary.un.org/record/3964655/files/A_AC.109_2022_17-EN.pdf
https://www.ibtimes.com/traffic-resumes-truck-stop-sparked-wsahara-tensions-3082424
Prior audit access record
Full-register audit source access (evidence cutoff 25 October 2026)
https://www.un.org/sg/en/content/highlight/2020-10-21.html: search extract — Direct UN page returned bot challenge; same text indexed at UN mission sites.
https://www.ibtimes.com/traffic-resumes-truck-stop-sparked-wsahara-tensions-3082424: full text
https://www.lavanguardia.com/internacional/20201114/49465098707/se-retoma-el-trafico-de-camiones-entre-el-sahara-occidental-y-mauritania.html?facet=amp: full text
https://documents.un.org/api/symbol/access?l=en&amp;s=S%2F2020%2F1048&amp;t=pdf: full text
Earlier source URLs not separately listed in this audit’s retrieval log (historical access notes below are not fresh verification):
https://www.moroccoworldnews.com/2020/11/64252/traffic-resumes-in-guerguerat-after-moroccos-military-intervention/
https://digitallibrary.un.org/record/3889244/files/S_2020_1048-FR.pdf
https://documents.un.org/doc/undoc/gen/n21/277/70/pdf/n2127770.pdf
https://digitallibrary.un.org/record/3964655/files/A_AC.109_2022_17-EN.pdf
Earlier recorded access
Source 1: full page
Source 2: search extract
Source 3: search extract</x:v>
      </x:c>
      <x:c r="P244" s="20" t="n">
        <x:v>1</x:v>
      </x:c>
      <x:c r="Q244" s="4" t="str">
        <x:v>North Africa</x:v>
      </x:c>
      <x:c r="R244" s="4" t="str">
        <x:v>Included</x:v>
      </x:c>
    </x:row>
    <x:row r="245" ht="409" hidden="0" customHeight="1">
      <x:c r="A245" s="16" t="str">
        <x:v>NA007</x:v>
      </x:c>
      <x:c r="B245" s="4" t="str">
        <x:v>Libya Tunisia Delta wave closure</x:v>
      </x:c>
      <x:c r="C245" s="4" t="str">
        <x:v>Libya; Tunisia</x:v>
      </x:c>
      <x:c r="D245" s="4" t="str">
        <x:v>Ras Jedir and Dhehiba Wazen
Bilateral land crossings</x:v>
      </x:c>
      <x:c r="E245" s="4" t="str">
        <x:v>Ordinary passengers and commercial vehicles restricted; category and directional exceptions documented
Direction: Both directions
Exceptions: July24: stranded Libyans permitted inbound; strictly humanitarian departures; commercial vehicles officially suspended. September17 reopening subject to health protocols.</x:v>
      </x:c>
      <x:c r="F245" s="4" t="str">
        <x:v>NA007-D1 — Observed operation
Ordinary non-humanitarian passenger passage at Ras Jedir during the Delta-wave restriction.
Start: 2021-07-08 to 2021-07-09.
Observed scoped reopening: 2021-09-17.
70–71 calendar-day difference; scoped endpoint only</x:v>
      </x:c>
      <x:c r="G24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45" s="4" t="str">
        <x:v>NA007-D1: Stranded-Libyan return and humanitarian departures were exceptions. The August announcement was not implemented. Dhehiba's formal availability is not observed traveller flow and is excluded from this endpoint; goods have a separate scope.</x:v>
      </x:c>
      <x:c r="I245" s="4" t="str">
        <x:v>Second full-register audit, 26 October 2026: qualified. The retained July 8–9 to September 17 ordinary-passenger interval remains supported; September 12 authority reporting confirms that an earlier reopening announcement was not the implemented endpoint.</x:v>
      </x:c>
      <x:c r="J245" s="18" t="d">
        <x:v>2026-10-26T00:00:00.000Z</x:v>
      </x:c>
      <x:c r="K245" s="21" t="str">
        <x:f>IFERROR(HYPERLINK("https://www.tap.info.tn/en/Portal-Top-News-EN/14387949-tunisian-libyan","TAP"),"TAP")</x:f>
        <x:v>TAP</x:v>
      </x:c>
      <x:c r="L245" s="21" t="str">
        <x:f>IFERROR(HYPERLINK("https://www.lefigaro.fr/flash-actu/covid-19-reouverture-des-frontieres-entre-la-tunisie-et-la-libye-20210917","Le Figaro"),"Le Figaro")</x:f>
        <x:v>Le Figaro</x:v>
      </x:c>
      <x:c r="M245" s="21" t="str">
        <x:f>IFERROR(HYPERLINK("https://www.aa.com.tr/fr/sante/covid-19-r%C3%A9ouverture-des-postes-fronti%C3%A8res-entre-la-tunisie-et-la-libye/2367432","Anadolu"),"Anadolu")</x:f>
        <x:v>Anadolu</x:v>
      </x:c>
      <x:c r="N245" s="4" t="str">
        <x:v>https://www.tap.info.tn/en/Portal-Top-News-EN/14387949-tunisian-libyan
https://www.lefigaro.fr/flash-actu/covid-19-reouverture-des-frontieres-entre-la-tunisie-et-la-libye-20210917
https://www.aa.com.tr/fr/sante/covid-19-r%C3%A9ouverture-des-postes-fronti%C3%A8res-entre-la-tunisie-et-la-libye/2367432
https://www.alaraby.co.uk/society/ليبيا-تغلق-الحدود-مع-تونس-وسط-موجة-ثالثة-من-كورونا
https://libyaobserver.ly/inbrief/movement-ceased-ras-ajdir-crossing-allowing-only-emergency-humanitarian-cases-move
https://lana.gov.ly/post.php?id=213348&amp;lang=en
https://mobil.aa.com.tr/ar/الدول-العربية/كورونا-فتح-المعابر-الحدودية-بين-تونس-وليبيا/2367371
https://english.aawsat.com/home/article/3194751/libya-tunisia-border-reopens-after-covid-closure
https://newscentraltv.com/libya-closes-border-with-tunisia-as-covid-19-cases-surge/</x:v>
      </x:c>
      <x:c r="O245" s="4" t="str">
        <x:v>Second full-register audit source access, 26 October 2026
https://www.alaraby.co.uk/society/ليبيا-تغلق-الحدود-مع-تونس-وسط-موجة-ثالثة-من-كورونا: full text (fresh retrieval)
https://libyaobserver.ly/inbrief/movement-ceased-ras-ajdir-crossing-allowing-only-emergency-humanitarian-cases-move: full text (fresh retrieval)
https://lana.gov.ly/post.php?id=213348&amp;lang=en: full text (fresh retrieval)
https://english.aawsat.com/home/article/3194751/libya-tunisia-border-reopens-after-covid-closure: full text (fresh retrieval)
Earlier URLs not separately inspected in this second assessment:
https://www.tap.info.tn/en/Portal-Top-News-EN/14387949-tunisian-libyan
https://www.lefigaro.fr/flash-actu/covid-19-reouverture-des-frontieres-entre-la-tunisie-et-la-libye-20210917
https://www.aa.com.tr/fr/sante/covid-19-r%C3%A9ouverture-des-postes-fronti%C3%A8res-entre-la-tunisie-et-la-libye/2367432
https://mobil.aa.com.tr/ar/الدول-العربية/كورونا-فتح-المعابر-الحدودية-بين-تونس-وليبيا/2367371
https://newscentraltv.com/libya-closes-border-with-tunisia-as-covid-19-cases-surge/
Prior audit access record
Full-register audit source access (evidence cutoff 25 October 2026)
https://libyaobserver.ly/inbrief/movement-ceased-ras-ajdir-crossing-allowing-only-emergency-humanitarian-cases-move: full text
https://english.aawsat.com/home/article/3194751/libya-tunisia-border-reopens-after-covid-closure: full text
https://newscentraltv.com/libya-closes-border-with-tunisia-as-covid-19-cases-surge/: search extract
Earlier source URLs not separately listed in this audit’s retrieval log (historical access notes below are not fresh verification):
https://www.tap.info.tn/en/Portal-Top-News-EN/14387949-tunisian-libyan
https://www.lefigaro.fr/flash-actu/covid-19-reouverture-des-frontieres-entre-la-tunisie-et-la-libye-20210917
https://www.aa.com.tr/fr/sante/covid-19-r%C3%A9ouverture-des-postes-fronti%C3%A8res-entre-la-tunisie-et-la-libye/2367432
https://www.alaraby.co.uk/society/ليبيا-تغلق-الحدود-مع-تونس-وسط-موجة-ثالثة-من-كورونا
https://lana.gov.ly/post.php?id=213348&amp;lang=en
https://mobil.aa.com.tr/ar/الدول-العربية/كورونا-فتح-المعابر-الحدودية-بين-تونس-وليبيا/2367371
Earlier recorded access
Source 1: search extract
Source 2: search extract
Source 3: full page</x:v>
      </x:c>
      <x:c r="P245" s="20" t="n">
        <x:v>1</x:v>
      </x:c>
      <x:c r="Q245" s="4" t="str">
        <x:v>North Africa</x:v>
      </x:c>
      <x:c r="R245" s="4" t="str">
        <x:v>Included</x:v>
      </x:c>
    </x:row>
    <x:row r="246" ht="409" hidden="0" customHeight="1">
      <x:c r="A246" s="16" t="str">
        <x:v>NA013</x:v>
      </x:c>
      <x:c r="B246" s="4" t="str">
        <x:v>Rafah October 2023 wartime closure before limited aid entry</x:v>
      </x:c>
      <x:c r="C246" s="4" t="str">
        <x:v>Egypt; Palestine</x:v>
      </x:c>
      <x:c r="D246" s="4" t="str">
        <x:v>Rafah
External African boundary Gaza Egypt</x:v>
      </x:c>
      <x:c r="E246" s="4" t="str">
        <x:v>Passenger exit and aid access through Rafah have separate endpoints
Direction: Selected wounded Palestinians and foreign-passport holders left Gaza for Egypt on November 1; aid entered from Egypt on October 21.
Exceptions: November 1 was limited evacuation, not ordinary passenger normalization. The quantified phase concerns passenger exit only.</x:v>
      </x:c>
      <x:c r="F246" s="4" t="str">
        <x:v>NA013-C1 — Observed operation
Rafah passenger exit from Gaza to Egypt after October 10 strikes, until first limited wounded/foreign-passport evacuation.
Start: 2023-10-10.
Observed scoped reopening: 2023-11-01.
22 calendar-day difference; scoped endpoint only</x:v>
      </x:c>
      <x:c r="G246"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46" s="4" t="str">
        <x:v>NA013-C1: Excludes earlier brief interruption and any same-day prior passage. November 1 is selected evacuation only, not ordinary passenger normalization. Aid had separate October 21 endpoint. Calendar-date difference, not full-day or hourly total.</x:v>
      </x:c>
      <x:c r="I246" s="4" t="str">
        <x:v>Second full-register audit, 26 October 2026: additional source-audited corrections incorporated. See the phase, scope and qualification columns for the accepted findings.</x:v>
      </x:c>
      <x:c r="J246" s="18" t="d">
        <x:v>2026-10-26T00:00:00.000Z</x:v>
      </x:c>
      <x:c r="K246" s="21" t="str">
        <x:f>IFERROR(HYPERLINK("https://www.ochaopt.org/content/hostilities-gaza-strip-and-israel-flash-update-5","ochaopt.org"),"ochaopt.org")</x:f>
        <x:v>ochaopt.org</x:v>
      </x:c>
      <x:c r="L246" s="21" t="str">
        <x:f>IFERROR(HYPERLINK("https://www.ochaopt.org/content/hostilities-gaza-strip-and-israel-flash-update-26","ochaopt.org"),"ochaopt.org")</x:f>
        <x:v>ochaopt.org</x:v>
      </x:c>
      <x:c r="M246" s="21" t="str">
        <x:f>IFERROR(HYPERLINK("https://www.ochaopt.org/content/hostilities-gaza-strip-and-israel-flash-update-4","OCHA"),"OCHA")</x:f>
        <x:v>OCHA</x:v>
      </x:c>
      <x:c r="N246" s="4" t="str">
        <x:v>https://www.ochaopt.org/content/hostilities-gaza-strip-and-israel-flash-update-5
https://www.ochaopt.org/content/hostilities-gaza-strip-and-israel-flash-update-26
https://www.ochaopt.org/content/hostilities-gaza-strip-and-israel-flash-update-4
https://www.ochaopt.org/content/hostilities-gaza-strip-and-israel-flash-update-15
https://admin.diakonia.se/app/uploads/sites/2/2023/12/Legal-Brief-2023-Hostilities-in-Israel-and-Gaza.pdf</x:v>
      </x:c>
      <x:c r="O246" s="4" t="str">
        <x:v>Second full-register audit source access, 26 October 2026
https://www.ochaopt.org/content/hostilities-gaza-strip-and-israel-flash-update-5: full text (fresh retrieval)
https://www.ochaopt.org/content/hostilities-gaza-strip-and-israel-flash-update-26: full text (fresh retrieval)
Earlier URLs not separately inspected in this second assessment:
https://www.ochaopt.org/content/hostilities-gaza-strip-and-israel-flash-update-4
https://www.ochaopt.org/content/hostilities-gaza-strip-and-israel-flash-update-15
https://admin.diakonia.se/app/uploads/sites/2/2023/12/Legal-Brief-2023-Hostilities-in-Israel-and-Gaza.pdf
Prior audit access record
Full-register audit source access (evidence cutoff 25 October 2026)
https://www.ochaopt.org/content/hostilities-gaza-strip-and-israel-flash-update-5: full text
https://www.ochaopt.org/content/hostilities-gaza-strip-and-israel-flash-update-26: full text
Earlier source URLs not separately listed in this audit’s retrieval log (historical access notes below are not fresh verification):
https://www.ochaopt.org/content/hostilities-gaza-strip-and-israel-flash-update-4
https://www.ochaopt.org/content/hostilities-gaza-strip-and-israel-flash-update-15
https://admin.diakonia.se/app/uploads/sites/2/2023/12/Legal-Brief-2023-Hostilities-in-Israel-and-Gaza.pdf
Earlier recorded access
Source 1: access detail is retained in the source catalogue.
Source 2: access detail is retained in the source catalogue.
Source 3: indexed excerpt; full</x:v>
      </x:c>
      <x:c r="P246" s="20" t="n">
        <x:v>1</x:v>
      </x:c>
      <x:c r="Q246" s="4" t="str">
        <x:v>North Africa</x:v>
      </x:c>
      <x:c r="R246" s="4" t="str">
        <x:v>Included</x:v>
      </x:c>
    </x:row>
    <x:row r="247" ht="409" hidden="0" customHeight="1">
      <x:c r="A247" s="16" t="str">
        <x:v>NA011</x:v>
      </x:c>
      <x:c r="B247" s="4" t="str">
        <x:v>Ras Jedir March July 2024 conflict closure</x:v>
      </x:c>
      <x:c r="C247" s="4" t="str">
        <x:v>Libya; Tunisia</x:v>
      </x:c>
      <x:c r="D247" s="4" t="str">
        <x:v>Ras Jedir
Named land crossing</x:v>
      </x:c>
      <x:c r="E247" s="4" t="str">
        <x:v>Passengers and goods; other crossing at Dhehiba Wazen remained a possible route
Direction: Both directions at reopened checkpoint
Exceptions: Mid-June humanitarian/diplomatic exceptions; some Tunisia-to-Libya ambulance departures reported June 13 despite technical nonoperation. Full two-way implementation is not established.</x:v>
      </x:c>
      <x:c r="F247" s="4" t="str">
        <x:v>NA011-D1 — Formal policy
Ras Jedir ordinary public passenger/goods restriction, to formal public checkpoint reopening.
Start: 2024-03-18 to 2024-03-19.
Policy endpoint: 2024-07-01.
Formal policy: 104–105 calendar-day difference; operational continuity not established</x:v>
      </x:c>
      <x:c r="G247"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Security / Smuggling and illicit trafficking
Reported reason
Applies to: Recorded episode; exact overlap not separately established
The recorded rationale and claim assessment support the selected subcategories. All applicable broad categories are retained together; no primary rationale is imposed.
Security / Crime and law enforcement
Reported reason
Applies to: Recorded episode; exact overlap not separately established
The recorded rationale and claim assessment support the selected subcategories. All applicable broad categories are retained together; no primary rationale is imposed.
Power and regime politics / Contested governing authority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47" s="4" t="str">
        <x:v>NA011-D1: Mid-June medical, humanitarian and diplomatic exceptions are reported. A June 13 contemporary indexed report describes technical nonoperation and no entries, while some ambulances departed Tunisia for Libya. June 13 therefore does not establish uniform two-way exceptional access. July 1 is formal public restoration, not measured unrestricted throughput; March 18–19 onset remains bounded.
mid-June exception scope: The direction and breadth of humanitarian/diplomatic access beyond the reported ambulance departures remain uncertain.</x:v>
      </x:c>
      <x:c r="I247" s="4" t="str">
        <x:v>Second full-register audit, 26 October 2026: qualified. Retain the March 18–19 to July 1 formal ordinary-public restriction and directional mid-June exceptions; contemporary reporting does not establish unrestricted throughput.</x:v>
      </x:c>
      <x:c r="J247" s="18" t="d">
        <x:v>2026-10-26T00:00:00.000Z</x:v>
      </x:c>
      <x:c r="K247" s="21" t="str">
        <x:f>IFERROR(HYPERLINK("https://www.aa.com.tr/en/africa/libya-reopens-ras-ijdir-border-crossing-with-tunisia-after-3-month-closure/3263192","Anadolu"),"Anadolu")</x:f>
        <x:v>Anadolu</x:v>
      </x:c>
      <x:c r="L247" s="21" t="str">
        <x:f>IFERROR(HYPERLINK("https://www.agenzianova.com/en/news/libia-tunisia-riapre-il-valico-di-ras-jedir-dopo-tre-mesi-di-stop-per-motivi-di-sicurezza/","Agenzia Nova"),"Agenzia Nova")</x:f>
        <x:v>Agenzia Nova</x:v>
      </x:c>
      <x:c r="M247" s="21" t="str">
        <x:f>IFERROR(HYPERLINK("https://www.gettyimages.ae/detail/news-photo/tunisias-inerior-minister-khaled-nouri-and-emad-trabelsi-news-photo/2159574125","Getty Images"),"Getty Images")</x:f>
        <x:v>Getty Images</x:v>
      </x:c>
      <x:c r="N247" s="4" t="str">
        <x:v>https://www.aa.com.tr/en/africa/libya-reopens-ras-ijdir-border-crossing-with-tunisia-after-3-month-closure/3263192
https://www.agenzianova.com/en/news/libia-tunisia-riapre-il-valico-di-ras-jedir-dopo-tre-mesi-di-stop-per-motivi-di-sicurezza/
https://www.gettyimages.ae/detail/news-photo/tunisias-inerior-minister-khaled-nouri-and-emad-trabelsi-news-photo/2159574125
https://www.reuters.com/world/africa/tunisia-libya-border-crossing-closed-due-clashes-2024-03-19/
https://www.tap.info.tn/en/Portal-Top-News-EN/17634712-tunisia-libya
https://libyaobserver.ly/news/libya-tunisia-reopen-ras-ajdair-border-after-100-days-closure
https://directinfo.webmanagercenter.com/2024/06/13/probleme-technique-au-poste-frontalier-de-ras-jedir-empeche-louverture-cote-libyen/
https://digitallibrary.un.org/record/4073810/files/S_2024_914-EN.pdf
https://www.ecoi.net/en/file/local/2110410/n2408061.pdf
https://digitallibrary.un.org/record/4073810/files/S_2024_914-ES.pdf
https://libyaobserver.ly/news/ras-ajdair-border-reopening-put-third-time</x:v>
      </x:c>
      <x:c r="O247" s="4" t="str">
        <x:v>Second full-register audit source access, 26 October 2026
https://www.reuters.com/world/africa/tunisia-libya-border-crossing-closed-due-clashes-2024-03-19/: full text (fresh retrieval)
https://www.aa.com.tr/en/africa/libya-reopens-ras-ijdir-border-crossing-with-tunisia-after-3-month-closure/3263192: full text (fresh retrieval)
https://directinfo.webmanagercenter.com/2024/06/13/probleme-technique-au-poste-frontalier-de-ras-jedir-empeche-louverture-cote-libyen/: search extract (fresh retrieval) — Direct retrieval returned 403.
https://libyaobserver.ly/news/ras-ajdair-border-reopening-put-third-time: full text (fresh retrieval)
Earlier URLs not separately inspected in this second assessment:
https://www.agenzianova.com/en/news/libia-tunisia-riapre-il-valico-di-ras-jedir-dopo-tre-mesi-di-stop-per-motivi-di-sicurezza/
https://www.gettyimages.ae/detail/news-photo/tunisias-inerior-minister-khaled-nouri-and-emad-trabelsi-news-photo/2159574125
https://www.tap.info.tn/en/Portal-Top-News-EN/17634712-tunisia-libya
https://libyaobserver.ly/news/libya-tunisia-reopen-ras-ajdair-border-after-100-days-closure
https://digitallibrary.un.org/record/4073810/files/S_2024_914-EN.pdf
https://www.ecoi.net/en/file/local/2110410/n2408061.pdf
https://digitallibrary.un.org/record/4073810/files/S_2024_914-ES.pdf
Prior audit access record
Full-register audit source access (evidence cutoff 25 October 2026)
https://www.aa.com.tr/en/africa/libya-reopens-ras-ijdir-border-crossing-with-tunisia-after-3-month-closure/3263192: full text
https://libyaobserver.ly/news/ras-ajdair-border-reopening-put-third-time: search extract
Earlier source URLs not separately listed in this audit’s retrieval log (historical access notes below are not fresh verification):
https://www.agenzianova.com/en/news/libia-tunisia-riapre-il-valico-di-ras-jedir-dopo-tre-mesi-di-stop-per-motivi-di-sicurezza/
https://www.gettyimages.ae/detail/news-photo/tunisias-inerior-minister-khaled-nouri-and-emad-trabelsi-news-photo/2159574125
https://www.reuters.com/world/africa/tunisia-libya-border-crossing-closed-due-clashes-2024-03-19/
https://www.tap.info.tn/en/Portal-Top-News-EN/17634712-tunisia-libya
https://libyaobserver.ly/news/libya-tunisia-reopen-ras-ajdair-border-after-100-days-closure
https://directinfo.webmanagercenter.com/2024/06/13/probleme-technique-au-poste-frontalier-de-ras-jedir-empeche-louverture-cote-libyen/
https://digitallibrary.un.org/record/4073810/files/S_2024_914-EN.pdf
https://www.ecoi.net/en/file/local/2110410/n2408061.pdf
https://digitallibrary.un.org/record/4073810/files/S_2024_914-ES.pdf
Earlier recorded access
Source 1: full page
Source 2: full page
Source 3: full page</x:v>
      </x:c>
      <x:c r="P247" s="20" t="n">
        <x:v>1</x:v>
      </x:c>
      <x:c r="Q247" s="4" t="str">
        <x:v>North Africa</x:v>
      </x:c>
      <x:c r="R247" s="4" t="str">
        <x:v>Included</x:v>
      </x:c>
    </x:row>
    <x:row r="248" ht="409" hidden="0" customHeight="1">
      <x:c r="A248" s="16" t="str">
        <x:v>NA014</x:v>
      </x:c>
      <x:c r="B248" s="4" t="str">
        <x:v>Rafah May 2024 closure until medical reopening</x:v>
      </x:c>
      <x:c r="C248" s="4" t="str">
        <x:v>Egypt; Palestine; Israel</x:v>
      </x:c>
      <x:c r="D248" s="4" t="str">
        <x:v>Rafah
External African boundary Gaza Egypt</x:v>
      </x:c>
      <x:c r="E248" s="4" t="str">
        <x:v>Passengers, aid and medical evacuation through Rafah
Direction: Medical passengers from Gaza to Egypt
Exceptions: Not established</x:v>
      </x:c>
      <x:c r="F248" s="4" t="str">
        <x:v>NA014-D1 — Observed operation
Medical evacuation from Gaza to Egypt through Rafah, to the first resumed medical departures.
Start: 2024-05-07.
Observed scoped reopening: 2025-02-01.
270 calendar-day difference; scoped endpoint only</x:v>
      </x:c>
      <x:c r="G248" s="4" t="str">
        <x:v>Security / Armed conflict and military confrontation
Analytical interpretation of reported context
Applies to: Recorded episode; exact overlap not separately established
Armed-operation context and AP's attribution of Egyptian protest over Israeli control are recorded separately; no single motive is assigned to all actors.
Interstate disputes and pressure / Diplomatic disputes and retaliation
Reported reason
Applies to: Recorded episode; exact overlap not separately established
Armed-operation context and AP's attribution of Egyptian protest over Israeli control are recorded separately; no single motive is assigned to all actors.</x:v>
      </x:c>
      <x:c r="H248" s="4" t="str">
        <x:v>NA014-D1: Medical evacuation through Kerem Shalom is a different route. The endpoint does not establish unrestricted passengers, goods, or aid access through Rafah. WHO evidence was newly recovered as indexed text in this tranche; older claim annotations remain unchanged.</x:v>
      </x:c>
      <x:c r="I248" s="4" t="str">
        <x:v>Second full-register audit, 26 October 2026: qualified. OCHA and AP confirm May 7, 2024 closure and February 1, 2025 first resumed medical exits through Rafah. Preserve the limited medical endpoint, distinct from ordinary passenger or aid opening.</x:v>
      </x:c>
      <x:c r="J248" s="18" t="d">
        <x:v>2026-10-26T00:00:00.000Z</x:v>
      </x:c>
      <x:c r="K248" s="21" t="str">
        <x:f>IFERROR(HYPERLINK("https://www.ochaopt.org/content/hostilities-gaza-strip-and-israel-flash-update-164","UN OCHA occupied Palestinian territory"),"UN OCHA occupied Palestinian territory")</x:f>
        <x:v>UN OCHA occupied Palestinian territory</x:v>
      </x:c>
      <x:c r="L248" s="21" t="str">
        <x:f>IFERROR(HYPERLINK("https://www.emro.who.int/images/stories/palestine/Sitrep_54n.pdf","WHO Eastern Mediterranean Regional Office"),"WHO Eastern Mediterranean Regional Office")</x:f>
        <x:v>WHO Eastern Mediterranean Regional Office</x:v>
      </x:c>
      <x:c r="M248" s="21" t="str">
        <x:f>IFERROR(HYPERLINK("https://www.clickondetroit.com/news/world/2025/02/01/sick-and-wounded-children-begin-crossing-from-gaza-to-egypt-in-first-opening-in-months/","Associated Press via ClickOnDetroit"),"Associated Press via ClickOnDetroit")</x:f>
        <x:v>Associated Press via ClickOnDetroit</x:v>
      </x:c>
      <x:c r="N248" s="4" t="str">
        <x:v>https://www.ochaopt.org/content/hostilities-gaza-strip-and-israel-flash-update-164
https://www.emro.who.int/images/stories/palestine/Sitrep_54n.pdf
https://www.clickondetroit.com/news/world/2025/02/01/sick-and-wounded-children-begin-crossing-from-gaza-to-egypt-in-first-opening-in-months/
https://www.eeas.europa.eu/eubam-rafah/eu-specialised-teams-honoured-service-rafah-crossing-point_en
https://www.ochaopt.org/content/humanitarian-situation-update-357-gaza-strip
https://joomla.emro.who.int/images/stories/palestine/Sitrep_54n.pdf</x:v>
      </x:c>
      <x:c r="O248" s="4" t="str">
        <x:v>Second full-register audit source access, 26 October 2026
https://www.ochaopt.org/content/hostilities-gaza-strip-and-israel-flash-update-164: full text (fresh retrieval)
https://www.clickondetroit.com/news/world/2025/02/01/sick-and-wounded-children-begin-crossing-from-gaza-to-egypt-in-first-opening-in-months/: full text (fresh retrieval)
https://www.eeas.europa.eu/eubam-rafah/eu-specialised-teams-honoured-service-rafah-crossing-point_en: search extract (fresh retrieval) — Substantive indexed institutional text; direct retrieval blocked.
Earlier URLs not separately inspected in this second assessment:
https://www.emro.who.int/images/stories/palestine/Sitrep_54n.pdf
https://www.ochaopt.org/content/humanitarian-situation-update-357-gaza-strip
https://joomla.emro.who.int/images/stories/palestine/Sitrep_54n.pdf
Prior audit access record
Full-register audit source access (evidence cutoff 25 October 2026)
https://www.ochaopt.org/content/hostilities-gaza-strip-and-israel-flash-update-164: full text
https://www.clickondetroit.com/news/world/2025/02/01/sick-and-wounded-children-begin-crossing-from-gaza-to-egypt-in-first-opening-in-months/: full text
https://www.eeas.europa.eu/eubam-rafah/eu-specialised-teams-honoured-service-rafah-crossing-point_en: full text
Earlier source URLs not separately listed in this audit’s retrieval log (historical access notes below are not fresh verification):
https://www.emro.who.int/images/stories/palestine/Sitrep_54n.pdf
https://www.ochaopt.org/content/humanitarian-situation-update-357-gaza-strip
https://joomla.emro.who.int/images/stories/palestine/Sitrep_54n.pdf
Earlier recorded access
Source 1: full text
Source 2: unavailable
Source 3: full text</x:v>
      </x:c>
      <x:c r="P248" s="20" t="n">
        <x:v>1</x:v>
      </x:c>
      <x:c r="Q248" s="4" t="str">
        <x:v>North Africa</x:v>
      </x:c>
      <x:c r="R248" s="4" t="str">
        <x:v>Included</x:v>
      </x:c>
    </x:row>
    <x:row r="249" ht="366" hidden="0" customHeight="1">
      <x:c r="A249" s="16" t="str">
        <x:v>NA015</x:v>
      </x:c>
      <x:c r="B249" s="4" t="str">
        <x:v>Rafah March 2025 closure after renewed hostilities</x:v>
      </x:c>
      <x:c r="C249" s="4" t="str">
        <x:v>Egypt; Palestine; Israel</x:v>
      </x:c>
      <x:c r="D249" s="4" t="str">
        <x:v>Rafah
External African boundary Gaza Egypt</x:v>
      </x:c>
      <x:c r="E249" s="4" t="str">
        <x:v>Passenger movement through Rafah
Direction: Controlled numbers in both directions on reopening
Exceptions: Not established</x:v>
      </x:c>
      <x:c r="F249" s="4" t="str">
        <x:v>NA015-D1 — Observed operation
Medical evacuation from Gaza to Egypt through Rafah after the March 2025 closure.
Start: 2025-03-18.
Observed scoped reopening: 2026-02-02.
321 calendar-day difference; scoped endpoint only</x:v>
      </x:c>
      <x:c r="G249"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49" s="4" t="str">
        <x:v>NA015-D1: Controlled medical passage is the endpoint. Other routes, passenger classes and goods are not inferred to share this period; return movements have a different chronology.</x:v>
      </x:c>
      <x:c r="I249" s="4" t="str">
        <x:v>Second full-register audit, 26 October 2026: qualified. The March 18, 2025–February 2, 2026 Rafah medical interruption remains supported. OCHA expressly distinguishes medical resumption from the much longer interruption of returnee entry.</x:v>
      </x:c>
      <x:c r="J249" s="18" t="d">
        <x:v>2026-10-26T00:00:00.000Z</x:v>
      </x:c>
      <x:c r="K249" s="21" t="str">
        <x:f>IFERROR(HYPERLINK("https://www.eeas.europa.eu/eubam-rafah/eu-specialised-teams-honoured-service-rafah-crossing-point_en","EU Border Assistance Mission Rafah / EEAS"),"EU Border Assistance Mission Rafah / EEAS")</x:f>
        <x:v>EU Border Assistance Mission Rafah / EEAS</x:v>
      </x:c>
      <x:c r="L249" s="21" t="str">
        <x:f>IFERROR(HYPERLINK("https://www.eeas.europa.eu/eu-border-assistance-mission-rafah-crossing-point/rafah-crossing-reopens-eu-support_en","EU Border Assistance Mission Rafah / EEAS"),"EU Border Assistance Mission Rafah / EEAS")</x:f>
        <x:v>EU Border Assistance Mission Rafah / EEAS</x:v>
      </x:c>
      <x:c r="M249" s="21" t="str">
        <x:f>IFERROR(HYPERLINK("https://www.ochaopt.org/content/humanitarian-situation-update-357-gaza-strip","UN OCHA occupied Palestinian territory"),"UN OCHA occupied Palestinian territory")</x:f>
        <x:v>UN OCHA occupied Palestinian territory</x:v>
      </x:c>
      <x:c r="N249" s="4" t="str">
        <x:v>https://www.eeas.europa.eu/eubam-rafah/eu-specialised-teams-honoured-service-rafah-crossing-point_en
https://www.eeas.europa.eu/eu-border-assistance-mission-rafah-crossing-point/rafah-crossing-reopens-eu-support_en
https://www.ochaopt.org/content/humanitarian-situation-update-357-gaza-strip
https://www.emro.who.int/images/stories/palestine/Medevac_23_Feb2026.pdf</x:v>
      </x:c>
      <x:c r="O249" s="4" t="str">
        <x:v>Second full-register audit source access, 26 October 2026
https://www.eeas.europa.eu/eubam-rafah/eu-specialised-teams-honoured-service-rafah-crossing-point_en: search extract (fresh retrieval) — Substantive institutional extract; direct retrieval blocked.
https://www.ochaopt.org/content/humanitarian-situation-update-357-gaza-strip: full text (fresh retrieval)
https://www.eeas.europa.eu/eu-border-assistance-mission-rafah-crossing-point/rafah-crossing-reopens-eu-support_en: search extract (fresh retrieval) — Full substantive indexed article; direct request rate-limited.
Earlier URLs not separately inspected in this second assessment:
https://www.emro.who.int/images/stories/palestine/Medevac_23_Feb2026.pdf
Prior audit access record
Full-register audit source access (evidence cutoff 25 October 2026)
https://www.eeas.europa.eu/eubam-rafah/eu-specialised-teams-honoured-service-rafah-crossing-point_en: full text
https://www.eeas.europa.eu/eu-border-assistance-mission-rafah-crossing-point/rafah-crossing-reopens-eu-support_en: full text
https://www.ochaopt.org/content/humanitarian-situation-update-357-gaza-strip: full text
Earlier source URLs not separately listed in this audit’s retrieval log (historical access notes below are not fresh verification):
https://www.emro.who.int/images/stories/palestine/Medevac_23_Feb2026.pdf
Earlier recorded access
Source 1: indexed excerpt; indexed extract
Source 2: failed; full text
Source 3: full; full text</x:v>
      </x:c>
      <x:c r="P249" s="20" t="n">
        <x:v>1</x:v>
      </x:c>
      <x:c r="Q249" s="4" t="str">
        <x:v>North Africa</x:v>
      </x:c>
      <x:c r="R249" s="4" t="str">
        <x:v>Included</x:v>
      </x:c>
    </x:row>
    <x:row r="250" ht="409" hidden="0" customHeight="1">
      <x:c r="A250" s="16" t="str">
        <x:v>NA016</x:v>
      </x:c>
      <x:c r="B250" s="4" t="str">
        <x:v>Rafah February March 2026 regional escalation closure</x:v>
      </x:c>
      <x:c r="C250" s="4" t="str">
        <x:v>Egypt; Palestine; Israel</x:v>
      </x:c>
      <x:c r="D250" s="4" t="str">
        <x:v>Rafah
External African boundary Gaza Egypt</x:v>
      </x:c>
      <x:c r="E250" s="4" t="str">
        <x:v>Passenger movements under limited border framework
Direction: Both directions
Exceptions: Not established</x:v>
      </x:c>
      <x:c r="F250" s="4" t="str">
        <x:v>NA016-D1 — Observed operation
Pause in Rafah medical evacuations and controlled returnee movements, alongside the border mission’s suspension.
Start: 2026-02-28.
Observed scoped reopening: 2026-03-19 for limited medical exits and returnee entry.
19 calendar-day difference; scoped endpoint only</x:v>
      </x:c>
      <x:c r="G250"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x:v>
      </x:c>
      <x:c r="H250" s="4" t="str">
        <x:v>NA016-D1: EUBAM directly dates its operational suspension to February 28 and resumed operations to March 19, reporting medical exits and returnee entries on that day. OCHA independently identifies the same pause and resumption for these passenger movements. The interval is therefore supported for controlled medical evacuation and returnee passage, not merely the mission’s staffing; it does not establish closure of every possible movement or a cargo endpoint. The exact authority issuing the shutdown order is not specified. EUBAM’s cumulative totals are internally inconsistent and are not used.</x:v>
      </x:c>
      <x:c r="I250" s="4" t="str">
        <x:v>Second full-register audit, 26 October 2026: additional source-audited corrections incorporated. See the phase, scope and qualification columns for the accepted findings.</x:v>
      </x:c>
      <x:c r="J250" s="18" t="d">
        <x:v>2026-10-26T00:00:00.000Z</x:v>
      </x:c>
      <x:c r="K250" s="21" t="str">
        <x:f>IFERROR(HYPERLINK("https://www.eeas.europa.eu/eu-border-assistance-mission-rafah/eubam-rafah-redeployed-rafah-border-crossing_en","EEAS"),"EEAS")</x:f>
        <x:v>EEAS</x:v>
      </x:c>
      <x:c r="L250" s="21" t="str">
        <x:f>IFERROR(HYPERLINK("https://www.eeas.europa.eu/eu-border-assistance-mission-rafah/rafah-crossing-reopens-eu-border-mission-resumes-operations_en","EEAS / EUBAM Rafah"),"EEAS / EUBAM Rafah")</x:f>
        <x:v>EEAS / EUBAM Rafah</x:v>
      </x:c>
      <x:c r="M250" s="21" t="str">
        <x:f>IFERROR(HYPERLINK("https://www.un.org/unispal/document/ocha-rafah-crossing-reopens-today-medical-evacuations-possible/","un.org"),"un.org")</x:f>
        <x:v>un.org</x:v>
      </x:c>
      <x:c r="N250" s="4" t="str">
        <x:v>https://www.eeas.europa.eu/eu-border-assistance-mission-rafah/eubam-rafah-redeployed-rafah-border-crossing_en
https://www.eeas.europa.eu/eu-border-assistance-mission-rafah/rafah-crossing-reopens-eu-border-mission-resumes-operations_en
https://www.un.org/unispal/document/ocha-rafah-crossing-reopens-today-medical-evacuations-possible/
https://www.emro.who.int/images/stories/palestine/hip_pics/Flash_Update_26_Mar_26.pdf
https://www.ochaopt.org/content/humanitarian-situation-report-19-march-2026</x:v>
      </x:c>
      <x:c r="O250" s="4" t="str">
        <x:v>Second full-register audit source access, 26 October 2026
https://www.eeas.europa.eu/eu-border-assistance-mission-rafah/rafah-crossing-reopens-eu-border-mission-resumes-operations_en: full text (fresh retrieval)
https://www.ochaopt.org/content/humanitarian-situation-report-19-march-2026: full text (fresh retrieval)
Earlier URLs not separately inspected in this second assessment:
https://www.eeas.europa.eu/eu-border-assistance-mission-rafah/eubam-rafah-redeployed-rafah-border-crossing_en
https://www.un.org/unispal/document/ocha-rafah-crossing-reopens-today-medical-evacuations-possible/
https://www.emro.who.int/images/stories/palestine/hip_pics/Flash_Update_26_Mar_26.pdf
Prior audit access record
Full-register audit source access (evidence cutoff 25 October 2026)
https://www.eeas.europa.eu/eu-border-assistance-mission-rafah/eubam-rafah-redeployed-rafah-border-crossing_en: full text
https://www.emro.who.int/images/stories/palestine/hip_pics/Flash_Update_26_Mar_26.pdf: search extract — Full PDF not independently retrieved in this batch; used as corroboration only.
https://www.ochaopt.org/content/humanitarian-situation-report-19-march-2026: search extract
Earlier source URLs not separately listed in this audit’s retrieval log (historical access notes below are not fresh verification):
https://www.eeas.europa.eu/eu-border-assistance-mission-rafah/rafah-crossing-reopens-eu-border-mission-resumes-operations_en
https://www.un.org/unispal/document/ocha-rafah-crossing-reopens-today-medical-evacuations-possible/
Earlier recorded access
Source 1: full page
Source 2: search extract
Source 3: access detail is retained in the source catalogue.</x:v>
      </x:c>
      <x:c r="P250" s="20" t="n">
        <x:v>1</x:v>
      </x:c>
      <x:c r="Q250" s="4" t="str">
        <x:v>North Africa</x:v>
      </x:c>
      <x:c r="R250" s="4" t="str">
        <x:v>Included</x:v>
      </x:c>
    </x:row>
    <x:row r="251" ht="378" hidden="0" customHeight="1">
      <x:c r="A251" s="16" t="str">
        <x:v>NA018</x:v>
      </x:c>
      <x:c r="B251" s="4" t="str">
        <x:v>Ras Jedir approach road protest blockade March 2026</x:v>
      </x:c>
      <x:c r="C251" s="4" t="str">
        <x:v>Tunisia; Libya</x:v>
      </x:c>
      <x:c r="D251" s="4" t="str">
        <x:v>El Kaitoun approach to Ras Jedir
De facto blockade of road to official crossing</x:v>
      </x:c>
      <x:c r="E251" s="4" t="str">
        <x:v>Travellers, traders and ambulances
Direction: Both directions
Exceptions: Not established</x:v>
      </x:c>
      <x:c r="F251" s="4" t="str">
        <x:v>NA018-D1 — Observed operation
De facto blockade of road to official crossing; Travellers, traders and ambulances; Both directions
Start: 2026-03-14.
Observed scoped reopening: 2026-03-15.
1 calendar-day difference; scoped endpoint only</x:v>
      </x:c>
      <x:c r="G251" s="4" t="str">
        <x:v>Policy and socioeconomic demands / Rights and other policy grievances
Reported reason
Applies to: Recorded episode; exact overlap not separately established
The grievance concerning alleged mistreatment and detention of traders now fits the policy/rights subtype. The allegation is not independently established.</x:v>
      </x:c>
      <x:c r="H251" s="4" t="str">
        <x:v>NA018-D1: One TAP origin relayed by Mosaique; date interval spans overnight, not two full days. Actor allegations remain attributed. Not established</x:v>
      </x:c>
      <x:c r="I251" s="4" t="str">
        <x:v>Second full-register audit, 26 October 2026: qualified. The TAP account confirms an overnight approach-road protest blockade, ending at dawn March 15; maintain the rights-grievance attribution and exclude it from &gt;24h.</x:v>
      </x:c>
      <x:c r="J251" s="18" t="d">
        <x:v>2026-10-26T00:00:00.000Z</x:v>
      </x:c>
      <x:c r="K251" s="21" t="str">
        <x:f>IFERROR(HYPERLINK("https://www.mosaiquefm.net/mobile/fr/actualite-regional-tunisie/1509041/retour-a-la-normale-de-la-circulation-a-ras-jedir","mosaiquefm.net"),"mosaiquefm.net")</x:f>
        <x:v>mosaiquefm.net</x:v>
      </x:c>
      <x:c r="L251" s="21" t="str">
        <x:f>IFERROR(HYPERLINK("https://www.tunisienumerique.com/ras-jedir-reprise-de-la-circulation-apres-une-nuit-de-protestations-liees-a-larrestation-de-commercants-tunisiens/","tunisienumerique.com"),"tunisienumerique.com")</x:f>
        <x:v>tunisienumerique.com</x:v>
      </x:c>
      <x:c r="M251" s="21" t="str">
        <x:f>IFERROR(HYPERLINK("https://news-tunisia.tunisienumerique.com/ras-jedir-traffic-resumes-after-a-night-of-protests-over-the-arrest-of-tunisian-traders/","news-tunisia.tunisienumerique.com"),"news-tunisia.tunisienumerique.com")</x:f>
        <x:v>news-tunisia.tunisienumerique.com</x:v>
      </x:c>
      <x:c r="N251" s="4" t="str">
        <x:v>https://www.mosaiquefm.net/mobile/fr/actualite-regional-tunisie/1509041/retour-a-la-normale-de-la-circulation-a-ras-jedir
https://www.tunisienumerique.com/ras-jedir-reprise-de-la-circulation-apres-une-nuit-de-protestations-liees-a-larrestation-de-commercants-tunisiens/
https://news-tunisia.tunisienumerique.com/ras-jedir-traffic-resumes-after-a-night-of-protests-over-the-arrest-of-tunisian-traders/
https://www.lapresse.tn/2026/03/15/tunisiens-bloques-a-ras-jedir-et-commercants-arretes-que-se-passe-t-il-a-la-frontiere-tuniso-libyenne/</x:v>
      </x:c>
      <x:c r="O251" s="4" t="str">
        <x:v>Second full-register audit source access, 26 October 2026
https://www.mosaiquefm.net/mobile/fr/actualite-regional-tunisie/1509041/retour-a-la-normale-de-la-circulation-a-ras-jedir: full text (fresh retrieval)
https://www.lapresse.tn/2026/03/15/tunisiens-bloques-a-ras-jedir-et-commercants-arretes-que-se-passe-t-il-a-la-frontiere-tuniso-libyenne/: full text (fresh retrieval) — Matching narrative; no independent reporting lineage asserted.
Earlier URLs not separately inspected in this second assessment:
https://www.tunisienumerique.com/ras-jedir-reprise-de-la-circulation-apres-une-nuit-de-protestations-liees-a-larrestation-de-commercants-tunisiens/
https://news-tunisia.tunisienumerique.com/ras-jedir-traffic-resumes-after-a-night-of-protests-over-the-arrest-of-tunisian-traders/
Prior audit access record
Full-register audit source access (evidence cutoff 25 October 2026)
https://www.mosaiquefm.net/mobile/fr/actualite-regional-tunisie/1509041/retour-a-la-normale-de-la-circulation-a-ras-jedir: full text
https://www.lapresse.tn/2026/03/15/tunisiens-bloques-a-ras-jedir-et-commercants-arretes-que-se-passe-t-il-a-la-frontiere-tuniso-libyenne/: full text
Earlier source URLs not separately listed in this audit’s retrieval log (historical access notes below are not fresh verification):
https://www.tunisienumerique.com/ras-jedir-reprise-de-la-circulation-apres-une-nuit-de-protestations-liees-a-larrestation-de-commercants-tunisiens/
https://news-tunisia.tunisienumerique.com/ras-jedir-traffic-resumes-after-a-night-of-protests-over-the-arrest-of-tunisian-traders/
Earlier recorded access
Source 1: failed
Source 2: full
Source 3: access detail is retained in the source catalogue.</x:v>
      </x:c>
      <x:c r="P251" s="20" t="n">
        <x:v>1</x:v>
      </x:c>
      <x:c r="Q251" s="4" t="str">
        <x:v>North Africa</x:v>
      </x:c>
      <x:c r="R251" s="4" t="str">
        <x:v>Included</x:v>
      </x:c>
    </x:row>
    <x:row r="252" ht="409" hidden="0" customHeight="1">
      <x:c r="A252" s="16" t="str">
        <x:v>NA006</x:v>
      </x:c>
      <x:c r="B252" s="4" t="str">
        <x:v>Libya Tunisia initial Covid land closure</x:v>
      </x:c>
      <x:c r="C252" s="4" t="str">
        <x:v>Libya; Tunisia</x:v>
      </x:c>
      <x:c r="D252" s="4" t="str">
        <x:v>Ras Ajdir and Dehiba Wazen
Bilateral main land crossings</x:v>
      </x:c>
      <x:c r="E252" s="4" t="str">
        <x:v>Ordinary passenger movement restricted
Direction: Both directions at the November 14 Ras Jedir restoration; the initial restrictions were implemented separately on each side.
Exceptions: Libya expressly continued admission of stranded Libyan citizens through Ras Jedir and Wazin, subject to medical screening; the complete history of exceptional permissions is not reconstructed.</x:v>
      </x:c>
      <x:c r="F252" s="4" t="str">
        <x:v>NA006-D1 — Observed operation
Ordinary passenger passage at Ras Jedir under the initial COVID restriction, excluding exceptional repatriation.
Start: 2020-03-15, according to contemporary Tunisian ministerial reporting; Libya’s general land-closure order took effect March 16.
Observed scoped reopening: 2020-11-14.
244 calendar-day difference; scoped endpoint only</x:v>
      </x:c>
      <x:c r="G25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52" s="4" t="str">
        <x:v>NA006-D1: Contemporary March 16 Anadolu and Xinhua reports quote Tunisia’s transport minister confirming closure since March 15; Xinhua specifies the previous evening. This evidence takes priority over AFP’s rounded retrospective reference to the end of March. Libya’s March 16 ministerial announcement separately dates its general land-closure order and preserves screened entry for stranded Libyan citizens. LANA’s November report also recalls a March 15 Ras Jedir announcement. November 14 actual Ras Jedir passenger resumption is supported by AFP’s correspondent. LANA reports formal restoration at both Ras Jedir and Wazin that morning, but independently observed Wazin passenger throughput remains unestablished. The calendar interval concerns ordinary passage, not total impermeability or measured elapsed closed hours.</x:v>
      </x:c>
      <x:c r="I252" s="4" t="str">
        <x:v>Second full-register audit, 26 October 2026: additional source-audited corrections incorporated. See the phase, scope and qualification columns for the accepted findings.</x:v>
      </x:c>
      <x:c r="J252" s="18" t="d">
        <x:v>2026-10-26T00:00:00.000Z</x:v>
      </x:c>
      <x:c r="K252" s="21" t="str">
        <x:f>IFERROR(HYPERLINK("https://www.aa.com.tr/en/africa/libya-tunisia-border-crossings-reopen/2043900","Anadolu Agency"),"Anadolu Agency")</x:f>
        <x:v>Anadolu Agency</x:v>
      </x:c>
      <x:c r="L252" s="21" t="str">
        <x:f>IFERROR(HYPERLINK("https://www.arabnews.com/middle-east/tunisia-libya-border-reopens-after-seven-months-1763061","AFP via Arab News"),"AFP via Arab News")</x:f>
        <x:v>AFP via Arab News</x:v>
      </x:c>
      <x:c r="M252" s="21" t="str">
        <x:f>IFERROR(HYPERLINK("https://www.xinhuanet.com/english/2020-03/17/c_138884719.htm","xinhuanet.com"),"xinhuanet.com")</x:f>
        <x:v>xinhuanet.com</x:v>
      </x:c>
      <x:c r="N252" s="4" t="str">
        <x:v>https://www.aa.com.tr/en/africa/libya-tunisia-border-crossings-reopen/2043900
https://www.arabnews.com/middle-east/tunisia-libya-border-reopens-after-seven-months-1763061
https://www.xinhuanet.com/english/2020-03/17/c_138884719.htm
https://libyaobserver.ly/news/libya-closes-land-and-air-ports-takes-measures-prevent-coronavirus
https://www.aa.com.tr/fr/afrique/r%C3%A9ouverture-des-passages-frontaliers-entre-la-tunisie-et-la-libye/2043981
https://www.aa.com.tr/ar/الدول-العربية/كورونا-تونس-تغلق-حدودها-البرية-مع-ليبيا/1768123
https://lana.gov.ly/post.php?id=166065&amp;lang=ar
https://lana.gov.ly/post.php?id=183512&amp;lang=ar</x:v>
      </x:c>
      <x:c r="O252" s="4" t="str">
        <x:v>Second full-register audit source access, 26 October 2026
https://www.aa.com.tr/ar/الدول-العربية/كورونا-تونس-تغلق-حدودها-البرية-مع-ليبيا/1768123: full text (fresh retrieval)
https://www.xinhuanet.com/english/2020-03/17/c_138884719.htm: full text (fresh retrieval)
https://lana.gov.ly/post.php?id=166065&amp;lang=ar: full text (fresh retrieval)
https://www.arabnews.com/middle-east/tunisia-libya-border-reopens-after-seven-months-1763061: full text (fresh retrieval)
https://lana.gov.ly/post.php?id=183512&amp;lang=ar: full text (fresh retrieval)
Earlier URLs not separately inspected in this second assessment:
https://www.aa.com.tr/en/africa/libya-tunisia-border-crossings-reopen/2043900
https://libyaobserver.ly/news/libya-closes-land-and-air-ports-takes-measures-prevent-coronavirus
https://www.aa.com.tr/fr/afrique/r%C3%A9ouverture-des-passages-frontaliers-entre-la-tunisie-et-la-libye/2043981
Prior audit access record
Full-register audit source access (evidence cutoff 25 October 2026)
https://www.aa.com.tr/en/africa/libya-tunisia-border-crossings-reopen/2043900: full text
https://www.arabnews.com/middle-east/tunisia-libya-border-reopens-after-seven-months-1763061: full text
https://www.xinhuanet.com/english/2020-03/17/c_138884719.htm: full text
Earlier source URLs not separately listed in this audit’s retrieval log (historical access notes below are not fresh verification):
https://libyaobserver.ly/news/libya-closes-land-and-air-ports-takes-measures-prevent-coronavirus
https://www.aa.com.tr/fr/afrique/r%C3%A9ouverture-des-passages-frontaliers-entre-la-tunisie-et-la-libye/2043981
Earlier recorded access
Source 1: full text
Source 2: full text
Source 3: access detail is retained in the source catalogue.</x:v>
      </x:c>
      <x:c r="P252" s="20" t="n">
        <x:v>1</x:v>
      </x:c>
      <x:c r="Q252" s="4" t="str">
        <x:v>North Africa</x:v>
      </x:c>
      <x:c r="R252" s="4" t="str">
        <x:v>Included</x:v>
      </x:c>
    </x:row>
    <x:row r="253" ht="366" hidden="0" customHeight="1">
      <x:c r="A253" s="16" t="str">
        <x:v>NA008</x:v>
      </x:c>
      <x:c r="B253" s="4" t="str">
        <x:v>Ras Jedir September 2017 temporary closure</x:v>
      </x:c>
      <x:c r="C253" s="4" t="str">
        <x:v>Libya; Tunisia</x:v>
      </x:c>
      <x:c r="D253" s="4" t="str">
        <x:v>Ras Jedir
Named land crossing</x:v>
      </x:c>
      <x:c r="E253" s="4" t="str">
        <x:v>Not fully established
Direction: Not fully established
Exceptions: Ambulances and travellers returning home, according to border-post statement</x:v>
      </x:c>
      <x:c r="F253" s="4" t="str">
        <x:v>NA008-D1 — Observed operation
Ordinary non-exempt passage at Ras Jedir during the September 2017 interruption.
Start: 2017-09-17 to 2017-09-18.
Observed scoped reopening: 2017-09-25.
7–8 calendar-day difference; scoped endpoint only</x:v>
      </x:c>
      <x:c r="G253" s="4" t="str">
        <x:v>Security / Smuggling and illicit trafficking
Analytical interpretation of reported context
Applies to: Recorded episode; exact overlap not established
The organisational explanation and the protest/smuggling account remain distinct. The trade subtype identifies the reported commercial protest context rather than a proven protectionist state purpose.
Trade and protectionism / Trade and transport protests
Analytical interpretation of reported context
Applies to: Recorded episode; exact overlap not established
The organisational explanation and the protest/smuggling account remain distinct. The trade subtype identifies the reported commercial protest context rather than a proven protectionist state purpose.
Power and regime politics / Contested governing authority
Reported explanation attributed to border sources
Applies to: September 23 account of continued closure
Overlapping border-agency powers disputed; no exclusive motive asserted.</x:v>
      </x:c>
      <x:c r="H253" s="4" t="str">
        <x:v>NA008-D1: Ambulances and return-home travelers remained exceptions. Fresh full Webdo text confirms vehicle traffic resumed September 25 and retrospectively dates the interruption to September 17. Libya Observer’s September 23 sixth-day description implies September 18, so the September 17–18 onset bounds remain. Official organisational language, reported protest/smuggling context and the dispute over border-agency powers remain separately attributed. These calendar boundaries do not measure exact elapsed hours.</x:v>
      </x:c>
      <x:c r="I253" s="4" t="str">
        <x:v>Second full-register audit, 26 October 2026: qualified. The September 17–18 onset bounds and September 25 resumed vehicle traffic remain sound. Freshly recovered Libya Herald text supports the separately attributed protest/smuggling explanation and exceptions.</x:v>
      </x:c>
      <x:c r="J253" s="18" t="d">
        <x:v>2026-10-26T00:00:00.000Z</x:v>
      </x:c>
      <x:c r="K253" s="21" t="str">
        <x:f>IFERROR(HYPERLINK("https://www.mosaiquefm.net/fr/actualite-regional-tunisie/207406/reprise-du-trafic-au-passage-de-ras-jedir","Mosaïque FM"),"Mosaïque FM")</x:f>
        <x:v>Mosaïque FM</x:v>
      </x:c>
      <x:c r="L253" s="21" t="str">
        <x:f>IFERROR(HYPERLINK("https://staging2.libyaherald.com/2017/09/ras-jedir-border-crossing-fremainslibya-closed","Libya Herald"),"Libya Herald")</x:f>
        <x:v>Libya Herald</x:v>
      </x:c>
      <x:c r="M253" s="21" t="str">
        <x:f>IFERROR(HYPERLINK("https://libyaobserver.ly/inbrief/libya-tunisia-border-crossing-closed-sixth-consecutive-day","The Libya Observer"),"The Libya Observer")</x:f>
        <x:v>The Libya Observer</x:v>
      </x:c>
      <x:c r="N253" s="4" t="str">
        <x:v>https://www.mosaiquefm.net/fr/actualite-regional-tunisie/207406/reprise-du-trafic-au-passage-de-ras-jedir
https://staging2.libyaherald.com/2017/09/ras-jedir-border-crossing-fremainslibya-closed
https://libyaobserver.ly/inbrief/libya-tunisia-border-crossing-closed-sixth-consecutive-day
https://www.webdo.tn/fr/actualite/national/le-poste-frontalier-de-ras-jedir-de-nouveau-ouvert/157938/</x:v>
      </x:c>
      <x:c r="O253" s="4" t="str">
        <x:v>Second full-register audit source access, 26 October 2026
https://www.webdo.tn/fr/actualite/national/le-poste-frontalier-de-ras-jedir-de-nouveau-ouvert/157938/: full text (fresh retrieval)
https://libyaobserver.ly/inbrief/libya-tunisia-border-crossing-closed-sixth-consecutive-day: full text (fresh retrieval)
https://staging2.libyaherald.com/2017/09/ras-jedir-border-crossing-fremainslibya-closed: full text (fresh retrieval)
Earlier URLs not separately inspected in this second assessment:
https://www.mosaiquefm.net/fr/actualite-regional-tunisie/207406/reprise-du-trafic-au-passage-de-ras-jedir
Prior audit access record
Full-register audit source access (evidence cutoff 25 October 2026)
https://www.webdo.tn/fr/actualite/national/le-poste-frontalier-de-ras-jedir-de-nouveau-ouvert/157938/: full text
https://libyaobserver.ly/inbrief/libya-tunisia-border-crossing-closed-sixth-consecutive-day: full text
Earlier source URLs not separately listed in this audit’s retrieval log (historical access notes below are not fresh verification):
https://www.mosaiquefm.net/fr/actualite-regional-tunisie/207406/reprise-du-trafic-au-passage-de-ras-jedir
https://staging2.libyaherald.com/2017/09/ras-jedir-border-crossing-fremainslibya-closed
Earlier recorded access
Source 1: indexed extract
Source 2: full text
Source 3: full text</x:v>
      </x:c>
      <x:c r="P253" s="20" t="n">
        <x:v>1</x:v>
      </x:c>
      <x:c r="Q253" s="4" t="str">
        <x:v>North Africa</x:v>
      </x:c>
      <x:c r="R253" s="4" t="str">
        <x:v>Included</x:v>
      </x:c>
    </x:row>
    <x:row r="254" ht="409" hidden="0" customHeight="1">
      <x:c r="A254" s="16" t="str">
        <x:v>NA012</x:v>
      </x:c>
      <x:c r="B254" s="4" t="str">
        <x:v>Algeria Libya Ghadames Debdeb prolonged restrictions</x:v>
      </x:c>
      <x:c r="C254" s="4" t="str">
        <x:v>Algeria; Libya</x:v>
      </x:c>
      <x:c r="D254" s="4" t="str">
        <x:v>Debdeb Ghadames
Named land crossing</x:v>
      </x:c>
      <x:c r="E254" s="4" t="str">
        <x:v>Ordinary passenger movement restricted; commercial access has a separate chronology
Direction: Not fully established
Exceptions: Ghadames–Debdeb was open for commercial traffic by August 2023 following a reported May 2022 permission. LANA’s broad reference to 2015 local medical/trade exceptions does not identify each gate; Anadolu specifically assigns those exceptions to Tin Al Koum and Tarat, so they are not established as Ghadames–Debdeb permissions.</x:v>
      </x:c>
      <x:c r="F254" s="4" t="str">
        <x:v>NA012-C7P1 — Observed operation
Ordinary non-exempt passenger restriction at Ghadames–Debdeb, observed August 5, 2024 and documented in preceding reopening preparations.
Start: unknown for the present spell.
Last confirmed: 2024-08-05. Reopening is not established.
Greater than 24 hours is supported for the ordinary passenger restriction; an exact continuous duration is not established.</x:v>
      </x:c>
      <x:c r="G254" s="4" t="str">
        <x:v>Security / Unspecified security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54" s="4" t="str">
        <x:v>NA012-C7P1 records an August 5, 2024 observation that Ghadames–Debdeb remained closed to citizen travel for security reasons on the Libyan side. LANA’s August 3, 2023 report also distinguishes passenger reopening preparations from existing commercial traffic. Anadolu identifies May 2014 as Ghadames–Debdeb’s historical closure, while its 2011 closure and 2015 local exceptions concern Tin Al Koum and Tarat; LANA’s broad frontier summary is less gate-specific. These historical accounts do not establish one continuous Ghadames passenger interval: a June 2020 contemporary report describes limited exceptional departures and stranded Libyans awaiting further permission. The planned December 12, 2023 reopening was expressly postponed. Indexed regional reporting dated August 5, 2026 still describes preparations with no announced reopening date, not observed gate-level passage. The repeated descriptions of an ordinary passenger restriction pending reopening in August and December 2023 and still closed in August 2024 support a restriction longer than 24 hours, independently of the unknown exact onset. Authorized exceptional departures do not contradict the non-exempt passenger restriction. First ordinary passenger restoration, exact onset of the present spell and continuous numeric duration remain unresolved.</x:v>
      </x:c>
      <x:c r="I254" s="4" t="str">
        <x:v>Second full-register audit, 26 October 2026: additional source-audited corrections incorporated. See the phase, scope and qualification columns for the accepted findings.</x:v>
      </x:c>
      <x:c r="J254" s="18" t="d">
        <x:v>2026-10-26T00:00:00.000Z</x:v>
      </x:c>
      <x:c r="K254" s="21" t="str">
        <x:f>IFERROR(HYPERLINK("https://alwasat.ly/news/libya/447295","Al Wasat"),"Al Wasat")</x:f>
        <x:v>Al Wasat</x:v>
      </x:c>
      <x:c r="L254" s="21" t="str">
        <x:f>IFERROR(HYPERLINK("https://lana.gov.ly/post.php?id=284805&amp;lang=en","LANA"),"LANA")</x:f>
        <x:v>LANA</x:v>
      </x:c>
      <x:c r="M254" s="21" t="str">
        <x:f>IFERROR(HYPERLINK("https://en.alwasat.ly/news/libya/422341","Al Wasat"),"Al Wasat")</x:f>
        <x:v>Al Wasat</x:v>
      </x:c>
      <x:c r="N254" s="4" t="str">
        <x:v>https://alwasat.ly/news/libya/447295
https://lana.gov.ly/post.php?id=284805&amp;lang=en
https://en.alwasat.ly/news/libya/422341
https://lana.gov.ly/post.php?id=296534&amp;lang=en
https://lana.gov.ly/post.php?id=296966&amp;lang=en
https://www.middleeastmonitor.com/20230406-algeria-libya-talks-on-obstacles-to-reopening-the-border/
https://libyaalahrar.tv/2023/12/11/تأجيل-فتح-معبر-الدبداب-غدامس-حتى-إشعار/
https://lana.gov.ly/post.php?id=296955&amp;lang=ar
https://eldjanoubelkabir.dz/%D9%85%D8%A4%D8%B4%D8%B1%D8%A7%D8%AA-%D9%85%D8%AA%D8%B2%D8%A7%D9%8A%D8%AF%D8%A9-%D8%AA%D9%88%D8%AD%D9%8A-%D8%A8%D9%82%D8%B1%D8%A8-%D9%81%D8%AA%D8%AD-%D8%A7%D9%84%D9%85%D8%B9%D8%A8%D8%B1-%D8%A7%D9%84/
https://mobil.aa.com.tr/ar/الدول-العربية/الدبيبة-يدعو-لإعادة-فتح-منفذ-حدودي-بين-ليبيا-والجزائر-للمسافرين/2962468
https://eldjanoubelkabir.dz/مؤشرات-متزايدة-توحي-بقرب-فتح-المعبر-ال/
https://www.echoroukonline.com/ليبيون-بمعبر-الدبداب-ينتظرون-الترخيص/amp</x:v>
      </x:c>
      <x:c r="O254" s="4" t="str">
        <x:v>Second full-register audit source access, 26 October 2026
https://alwasat.ly/news/libya/447295: full text (fresh retrieval)
https://lana.gov.ly/post.php?id=284805&amp;lang=en: full text (fresh retrieval)
https://mobil.aa.com.tr/ar/الدول-العربية/الدبيبة-يدعو-لإعادة-فتح-منفذ-حدودي-بين-ليبيا-والجزائر-للمسافرين/2962468: full text (fresh retrieval)
https://lana.gov.ly/post.php?id=296966&amp;lang=en: full text (fresh retrieval)
https://eldjanoubelkabir.dz/مؤشرات-متزايدة-توحي-بقرب-فتح-المعبر-ال/: search extract (fresh retrieval) — Direct retrieval timed out. Preparations only, no observed reopening.
https://www.echoroukonline.com/ليبيون-بمعبر-الدبداب-ينتظرون-الترخيص/amp: search extract (fresh retrieval) — Contemporary indexed report of limited exceptional departures; not a complete operational chronology.
Earlier URLs not separately inspected in this second assessment:
https://en.alwasat.ly/news/libya/422341
https://lana.gov.ly/post.php?id=296534&amp;lang=en
https://www.middleeastmonitor.com/20230406-algeria-libya-talks-on-obstacles-to-reopening-the-border/
https://libyaalahrar.tv/2023/12/11/تأجيل-فتح-معبر-الدبداب-غدامس-حتى-إشعار/
https://lana.gov.ly/post.php?id=296955&amp;lang=ar
https://eldjanoubelkabir.dz/%D9%85%D8%A4%D8%B4%D8%B1%D8%A7%D8%AA-%D9%85%D8%AA%D8%B2%D8%A7%D9%8A%D8%AF%D8%A9-%D8%AA%D9%88%D8%AD%D9%8A-%D8%A8%D9%82%D8%B1%D8%A8-%D9%81%D8%AA%D8%AD-%D8%A7%D9%84%D9%85%D8%B9%D8%A8%D8%B1-%D8%A7%D9%84/
Prior audit access record
Full-register audit source access (evidence cutoff 25 October 2026)
https://alwasat.ly/news/libya/447295: full text
https://libyaalahrar.tv/2023/12/11/تأجيل-فتح-معبر-الدبداب-غدامس-حتى-إشعار/: full text
https://eldjanoubelkabir.dz/%D9%85%D8%A4%D8%B4%D8%B1%D8%A7%D8%AA-%D9%85%D8%AA%D8%B2%D8%A7%D9%8A%D8%AF%D8%A9-%D8%AA%D9%88%D8%AD%D9%8A-%D8%A8%D9%82%D8%B1%D8%A8-%D9%81%D8%AA%D8%AD-%D8%A7%D9%84%D9%85%D8%B9%D8%A8%D8%B1-%D8%A7%D9%84/: search extract — Direct fetch timed out; no observed traffic
Earlier source URLs not separately listed in this audit’s retrieval log (historical access notes below are not fresh verification):
https://lana.gov.ly/post.php?id=284805&amp;lang=en
https://en.alwasat.ly/news/libya/422341
https://lana.gov.ly/post.php?id=296534&amp;lang=en
https://lana.gov.ly/post.php?id=296966&amp;lang=en
https://www.middleeastmonitor.com/20230406-algeria-libya-talks-on-obstacles-to-reopening-the-border/
https://lana.gov.ly/post.php?id=296955&amp;lang=ar
Earlier recorded access
Source 1: full
Source 2: full; indexed excerpt
Source 3: indexed excerpt</x:v>
      </x:c>
      <x:c r="P254" s="20" t="n">
        <x:v>1</x:v>
      </x:c>
      <x:c r="Q254" s="4" t="str">
        <x:v>North Africa</x:v>
      </x:c>
      <x:c r="R254" s="4" t="str">
        <x:v>Included</x:v>
      </x:c>
    </x:row>
    <x:row r="255" ht="282" hidden="0" customHeight="1">
      <x:c r="A255" s="16" t="str">
        <x:v>NA017</x:v>
      </x:c>
      <x:c r="B255" s="4" t="str">
        <x:v>Libya Tunisia brief closure during May 2025 Tripoli fighting</x:v>
      </x:c>
      <x:c r="C255" s="4" t="str">
        <x:v>Libya; Tunisia</x:v>
      </x:c>
      <x:c r="D255" s="4" t="str">
        <x:v>Ras Jedir and Dhehiba Wazen
Two main land crossings</x:v>
      </x:c>
      <x:c r="E255" s="4" t="str">
        <x:v>Not fully established
Direction: Entry and exit closed; both directions reopened
Exceptions: Not established</x:v>
      </x:c>
      <x:c r="F255" s="4" t="str">
        <x:v>NA017-D1 — Observed operation
Two main land crossings; Not fully established; Entry and exit closed; both directions reopened
Start: 2025-05-12.
Observed scoped reopening: 2025-05-13.
1 calendar-day difference; scoped endpoint only</x:v>
      </x:c>
      <x:c r="G255"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55" s="4" t="str">
        <x:v>NA017-D1: Webdo reports closure since night of 12 May; Tunisian Radio correspondent via Tunisie Numerique reports traffic at 11:00 on 13 May. Exact beginning hour and official closure rationale remain unknown. Not established</x:v>
      </x:c>
      <x:c r="I255" s="4" t="str">
        <x:v>Second full-register audit, 26 October 2026: qualified. Fresh full texts support overnight May 12 closure and May 13 at 11:00 resumed traffic at both Ras Jedir and Dhehiba; this is not a &gt;24-hour episode.</x:v>
      </x:c>
      <x:c r="J255" s="18" t="d">
        <x:v>2026-10-26T00:00:00.000Z</x:v>
      </x:c>
      <x:c r="K255" s="21" t="str">
        <x:f>IFERROR(HYPERLINK("https://news-tunisia.tunisienumerique.com/tunisian-libyan-border-ras-jedir-crossing-reopens/","Tunisie Numerique"),"Tunisie Numerique")</x:f>
        <x:v>Tunisie Numerique</x:v>
      </x:c>
      <x:c r="L255" s="21" t="str">
        <x:f>IFERROR(HYPERLINK("https://www.webdo.tn/fr/actualite/national/fermeture-des-postes-frontaliers-entre-la-tunisie-et-la-libye/221933/","Webdo"),"Webdo")</x:f>
        <x:v>Webdo</x:v>
      </x:c>
      <x:c r="M255" s="21" t="str">
        <x:f>IFERROR(HYPERLINK("https://directinfo.webmanagercenter.com/2025/05/13/reouverture-du-poste-frontiere-de-ras-jedir-du-cote-libyen/","directinfo.webmanagercenter.com"),"directinfo.webmanagercenter.com")</x:f>
        <x:v>directinfo.webmanagercenter.com</x:v>
      </x:c>
      <x:c r="N255" s="4" t="str">
        <x:v>https://news-tunisia.tunisienumerique.com/tunisian-libyan-border-ras-jedir-crossing-reopens/
https://www.webdo.tn/fr/actualite/national/fermeture-des-postes-frontaliers-entre-la-tunisie-et-la-libye/221933/
https://directinfo.webmanagercenter.com/2025/05/13/reouverture-du-poste-frontiere-de-ras-jedir-du-cote-libyen/</x:v>
      </x:c>
      <x:c r="O255" s="4" t="str">
        <x:v>Second full-register audit source access, 26 October 2026
https://www.webdo.tn/fr/actualite/national/fermeture-des-postes-frontaliers-entre-la-tunisie-et-la-libye/221933/: full text (fresh retrieval)
https://news-tunisia.tunisienumerique.com/tunisian-libyan-border-ras-jedir-crossing-reopens/: full text (fresh retrieval)
Earlier URLs not separately inspected in this second assessment:
https://directinfo.webmanagercenter.com/2025/05/13/reouverture-du-poste-frontiere-de-ras-jedir-du-cote-libyen/
Prior audit access record
Full-register audit source access (evidence cutoff 25 October 2026)
https://www.webdo.tn/fr/actualite/national/fermeture-des-postes-frontaliers-entre-la-tunisie-et-la-libye/221933/: full text
https://news-tunisia.tunisienumerique.com/tunisian-libyan-border-ras-jedir-crossing-reopens/: full text
https://directinfo.webmanagercenter.com/2025/05/13/reouverture-du-poste-frontiere-de-ras-jedir-du-cote-libyen/: full text
Earlier recorded access
Source 1: search extract
Source 2: full page
Source 3: access detail is retained in the source catalogue.</x:v>
      </x:c>
      <x:c r="P255" s="20" t="n">
        <x:v>1</x:v>
      </x:c>
      <x:c r="Q255" s="4" t="str">
        <x:v>North Africa</x:v>
      </x:c>
      <x:c r="R255" s="4" t="str">
        <x:v>Included</x:v>
      </x:c>
    </x:row>
    <x:row r="256" ht="409" hidden="0" customHeight="1">
      <x:c r="A256" s="16" t="str">
        <x:v>NA022</x:v>
      </x:c>
      <x:c r="B256" s="4" t="str">
        <x:v>Rafah late 2020 passenger closure before February 2021 opening</x:v>
      </x:c>
      <x:c r="C256" s="4" t="str">
        <x:v>Egypt; Palestine</x:v>
      </x:c>
      <x:c r="D256" s="4" t="str">
        <x:v>Rafah
External African boundary Gaza Egypt</x:v>
      </x:c>
      <x:c r="E256" s="4" t="str">
        <x:v>Ordinary passenger movement
Direction: Both directions
Exceptions: Goods imports continued. OCHA records 15 exceptional entries into Gaza in December 2020 and nine in January 2021; these are excluded from the ordinary-passenger phase.</x:v>
      </x:c>
      <x:c r="F256" s="4" t="str">
        <x:v>NA022-R1 — Observed operation
Ordinary Rafah passenger processing, excluding continued goods imports and exceptional authorised inbound entries
Start: 2020-11-26.
Observed scoped reopening: 2021-02-01.
67 calendar-day difference; scoped endpoint only</x:v>
      </x:c>
      <x:c r="G256" s="4" t="str">
        <x:v>Uncoded / Unresolved rationale
Not assigned
Applies to: Not assigned
No additional motive inferred</x:v>
      </x:c>
      <x:c r="H256" s="4" t="str">
        <x:v>NA022-R1: The November 26 closure followed passenger movement earlier that civil day; its precise hour is unknown. Exceptional inbound entries—15 in December and nine in January—are excluded from the ordinary-passenger restriction. February 1 temporary reopening ends this phase; the later regular five-day schedule began February 9. The episode remains uncoded because the specific reclosure purpose is not established. Pandemic background alone does not prove the order’s motive, and the November 4 security explanation concerns a separate interruption.</x:v>
      </x:c>
      <x:c r="I256" s="4" t="str">
        <x:v>Second full-register audit, 26 October 2026: additional source-audited corrections incorporated. See the phase, scope and qualification columns for the accepted findings.</x:v>
      </x:c>
      <x:c r="J256" s="18" t="d">
        <x:v>2026-10-26T00:00:00.000Z</x:v>
      </x:c>
      <x:c r="K256" s="21" t="str">
        <x:f>IFERROR(HYPERLINK("https://www.ochaopt.org/content/covid-19-emergency-situation-report-23","OCHA"),"OCHA")</x:f>
        <x:v>OCHA</x:v>
      </x:c>
      <x:c r="L256" s="21" t="str">
        <x:f>IFERROR(HYPERLINK("https://www.ochaopt.org/content/covid-19-emergency-situation-report-27","OCHA"),"OCHA")</x:f>
        <x:v>OCHA</x:v>
      </x:c>
      <x:c r="M256" s="21" t="str">
        <x:f>IFERROR(HYPERLINK("https://www.ochaopt.org/content/gaza-strip-snapshot-february-2021","OCHA"),"OCHA")</x:f>
        <x:v>OCHA</x:v>
      </x:c>
      <x:c r="N256" s="4" t="str">
        <x:v>https://www.ochaopt.org/content/covid-19-emergency-situation-report-23
https://www.ochaopt.org/content/covid-19-emergency-situation-report-27
https://www.ochaopt.org/content/gaza-strip-snapshot-february-2021
https://www.ochaopt.org/content/gaza-strip-snapshot-december-2020
https://www.ochaopt.org/content/gaza-strip-snapshot-january-2021
https://www.aa.com.tr/en/middle-east/egypt-reopens-gaza-crossing-after-closure/2349650
https://www.ochaopt.org/content/response-escalation-opt-situation-report-no-9-august-2021
https://www.aa.com.tr/en/middle-east/egypt-opens-rafah-crossing-with-gaza-for-3-days/2054047
https://english.wafa.ps/Pages/Details/122069
https://www.arabnews.com/middle-east/egypt-closes-rafah-crossing-after-monitoring-violations-by-hamas-1758561</x:v>
      </x:c>
      <x:c r="O256" s="4" t="str">
        <x:v>Second full-register audit source access, 26 October 2026
https://www.ochaopt.org/content/covid-19-emergency-situation-report-23: full text (fresh retrieval)
https://www.ochaopt.org/content/gaza-strip-snapshot-december-2020: full text (fresh retrieval)
https://www.ochaopt.org/content/gaza-strip-snapshot-january-2021: full text (fresh retrieval)
https://www.ochaopt.org/content/gaza-strip-snapshot-february-2021: full text (fresh retrieval)
Earlier URLs not separately inspected in this second assessment:
https://www.ochaopt.org/content/covid-19-emergency-situation-report-27
https://www.aa.com.tr/en/middle-east/egypt-reopens-gaza-crossing-after-closure/2349650
https://www.ochaopt.org/content/response-escalation-opt-situation-report-no-9-august-2021
https://www.aa.com.tr/en/middle-east/egypt-opens-rafah-crossing-with-gaza-for-3-days/2054047
https://english.wafa.ps/Pages/Details/122069
https://www.arabnews.com/middle-east/egypt-closes-rafah-crossing-after-monitoring-violations-by-hamas-1758561
Prior audit access record
Full-register audit source access (evidence cutoff 25 October 2026)
https://www.ochaopt.org/content/covid-19-emergency-situation-report-23: full text
https://www.ochaopt.org/content/covid-19-emergency-situation-report-27: full text
https://www.ochaopt.org/content/gaza-strip-snapshot-december-2020: full text
https://www.ochaopt.org/content/gaza-strip-snapshot-january-2021: full text
https://www.ochaopt.org/content/gaza-strip-snapshot-february-2021: full text
Earlier source URLs not separately listed in this audit’s retrieval log (historical access notes below are not fresh verification):
https://www.aa.com.tr/en/middle-east/egypt-reopens-gaza-crossing-after-closure/2349650
https://www.ochaopt.org/content/response-escalation-opt-situation-report-no-9-august-2021
https://www.aa.com.tr/en/middle-east/egypt-opens-rafah-crossing-with-gaza-for-3-days/2054047
https://english.wafa.ps/Pages/Details/122069
https://www.arabnews.com/middle-east/egypt-closes-rafah-crossing-after-monitoring-violations-by-hamas-1758561
Earlier recorded access
Source 1: indexed excerpt; full
Source 2: indexed excerpt
Source 3: full</x:v>
      </x:c>
      <x:c r="P256" s="20" t="n">
        <x:v>1</x:v>
      </x:c>
      <x:c r="Q256" s="4" t="str">
        <x:v>North Africa</x:v>
      </x:c>
      <x:c r="R256" s="4" t="str">
        <x:v>Included</x:v>
      </x:c>
    </x:row>
    <x:row r="257" ht="402" hidden="0" customHeight="1">
      <x:c r="A257" s="16" t="str">
        <x:v>SA001</x:v>
      </x:c>
      <x:c r="B257" s="4" t="str">
        <x:v>Pakistan closes Afghan crossings after militant attacks</x:v>
      </x:c>
      <x:c r="C257" s="4" t="str">
        <x:v>Pakistan; Afghanistan</x:v>
      </x:c>
      <x:c r="D257" s="4" t="str">
        <x:v>Torkham; Chaman
Trade and passenger crossing</x:v>
      </x:c>
      <x:c r="E257" s="4" t="str">
        <x:v>Trade and passenger crossing
Direction: Both directions
Exceptions: Temporary Afghan return movement at Torkham and Chaman on 7–8 March; trade remained restricted during that window.</x:v>
      </x:c>
      <x:c r="F257" s="4" t="str">
        <x:v>SA001-D1 — Observed operation
Commercial freight through Torkham during the February–March security closure.
Start: 2017-02-16.
Observed scoped reopening: 2017-03-21.
33 calendar-day difference; scoped endpoint only</x:v>
      </x:c>
      <x:c r="G257" s="4" t="str">
        <x:v>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x:v>
      </x:c>
      <x:c r="H257" s="4" t="str">
        <x:v>SA001-D1: The prime minister's March 20 order precedes actual March 21 operation. Chaman is not assigned Torkham's endpoint. Pedestrian return exceptions, continuing student/handcart limits and other categories are excluded.</x:v>
      </x:c>
      <x:c r="I257" s="4" t="str">
        <x:v>Second full-register audit, 26 October 2026: qualified. Fresh operational reporting confirms the freight endpoint on 21 March, while the 7–8 March returnee exception left trade stopped.</x:v>
      </x:c>
      <x:c r="J257" s="18" t="d">
        <x:v>2026-10-26T00:00:00.000Z</x:v>
      </x:c>
      <x:c r="K257" s="21" t="str">
        <x:f>IFERROR(HYPERLINK("https://www.rferl.org/a/pakistan-reopens-border-afghanistan/28381623.html","RFE/RL"),"RFE/RL")</x:f>
        <x:v>RFE/RL</x:v>
      </x:c>
      <x:c r="L257" s="21" t="str">
        <x:f>IFERROR(HYPERLINK("https://www.brecorder.com/news/4487934","Business Recorder"),"Business Recorder")</x:f>
        <x:v>Business Recorder</x:v>
      </x:c>
      <x:c r="M257" s="21" t="str">
        <x:f>IFERROR(HYPERLINK("https://www.rferl.org/a/pakistan-afghanistan-border-crossings-opened-temporarily/28356128.html","RFE/RL"),"RFE/RL")</x:f>
        <x:v>RFE/RL</x:v>
      </x:c>
      <x:c r="N257" s="4" t="str">
        <x:v>https://www.rferl.org/a/pakistan-reopens-border-afghanistan/28381623.html
https://www.brecorder.com/news/4487934
https://www.rferl.org/a/pakistan-afghanistan-border-crossings-opened-temporarily/28356128.html
https://www.geo.tv/amp/135032-Pak-Afghan-border-reopens-at-PMs-behest
https://mofa.gov.pk/press-releases/press-release-59
https://www.geo.tv/latest/133429-Pakistan-opens-border-with-Afghanistan-for-two-days</x:v>
      </x:c>
      <x:c r="O257" s="4" t="str">
        <x:v>Second full-register audit source access, 26 October 2026
https://www.rferl.org/a/pakistan-reopens-border-afghanistan/28381623.html: full text (fresh retrieval)
https://www.brecorder.com/news/4487934: full text (fresh retrieval)
https://www.geo.tv/amp/135032-Pak-Afghan-border-reopens-at-PMs-behest: full text (fresh retrieval)
https://www.geo.tv/latest/133429-Pakistan-opens-border-with-Afghanistan-for-two-days: full text (fresh retrieval)
Earlier URLs not separately inspected in this second assessment:
https://www.rferl.org/a/pakistan-afghanistan-border-crossings-opened-temporarily/28356128.html
https://mofa.gov.pk/press-releases/press-release-59
Prior audit access record
Full-register audit source access (evidence cutoff 25 October 2026)
https://www.rferl.org/a/pakistan-reopens-border-afghanistan/28381623.html: full text
https://www.brecorder.com/news/4487934: full text
https://www.rferl.org/a/pakistan-afghanistan-border-crossings-opened-temporarily/28356128.html: full text
Earlier source URLs not separately listed in this audit’s retrieval log (historical access notes below are not fresh verification):
https://www.geo.tv/amp/135032-Pak-Afghan-border-reopens-at-PMs-behest
https://mofa.gov.pk/press-releases/press-release-59
https://www.geo.tv/latest/133429-Pakistan-opens-border-with-Afghanistan-for-two-days
Earlier recorded access
Source 1: full page
Source 2: full page
Source 3: full page</x:v>
      </x:c>
      <x:c r="P257" s="20" t="n">
        <x:v>1</x:v>
      </x:c>
      <x:c r="Q257" s="4" t="str">
        <x:v>South Asia</x:v>
      </x:c>
      <x:c r="R257" s="4" t="str">
        <x:v>Included</x:v>
      </x:c>
    </x:row>
    <x:row r="258" ht="318" hidden="0" customHeight="1">
      <x:c r="A258" s="16" t="str">
        <x:v>SA002</x:v>
      </x:c>
      <x:c r="B258" s="4" t="str">
        <x:v>Chaman closure after census-related border clashes</x:v>
      </x:c>
      <x:c r="C258" s="4" t="str">
        <x:v>Pakistan; Afghanistan</x:v>
      </x:c>
      <x:c r="D258" s="4" t="str">
        <x:v>Chaman / Spin Boldak / Bab-e-Dosti
People and goods</x:v>
      </x:c>
      <x:c r="E258" s="4" t="str">
        <x:v>People and goods
Direction: Both directions
Exceptions: Before the May 27 general reopening, Afghan passport/visa holders and people requiring urgent medical treatment had been allowed through.</x:v>
      </x:c>
      <x:c r="F258" s="4" t="str">
        <x:v>SA002-D1 — Observed operation
Commercial freight through the Chaman Friendship Gate, to the reported resumption of trade.
Start: 2017-05-05.
Observed scoped reopening: 2017-05-27.
22 calendar-day difference; scoped endpoint only</x:v>
      </x:c>
      <x:c r="G258"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Territorial and frontier disputes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58" s="4" t="str">
        <x:v>SA002-D1: Passport/visa holders and urgent medical passengers had earlier exceptions. This period is therefore limited to commercial freight; it is not an all-passenger closure.</x:v>
      </x:c>
      <x:c r="I258" s="4" t="str">
        <x:v>Second full-register audit, 26 October 2026: qualified. Fresh trade-return and official-attribution reports confirm the 5–27 May Chaman freight interval while preserving earlier passenger exceptions.</x:v>
      </x:c>
      <x:c r="J258" s="18" t="d">
        <x:v>2026-10-26T00:00:00.000Z</x:v>
      </x:c>
      <x:c r="K258" s="21" t="str">
        <x:f>IFERROR(HYPERLINK("https://www.geo.tv/latest/143545-chaman-border-reopens-after-over-three-weeks","Geo News"),"Geo News")</x:f>
        <x:v>Geo News</x:v>
      </x:c>
      <x:c r="L258" s="21" t="str">
        <x:f>IFERROR(HYPERLINK("https://www.voanews.com/a/pakistan-reopens-afghan-border/3873686.html","Voice of America"),"Voice of America")</x:f>
        <x:v>Voice of America</x:v>
      </x:c>
      <x:c r="M258" s="21" t="str">
        <x:f>IFERROR(HYPERLINK("https://www.app.com.pk/national/pakistan-opens-friendship-gate-with-afghanistan-at-chaman-on-humanitarian-grounds-ispr/","app.com.pk"),"app.com.pk")</x:f>
        <x:v>app.com.pk</x:v>
      </x:c>
      <x:c r="N258" s="4" t="str">
        <x:v>https://www.geo.tv/latest/143545-chaman-border-reopens-after-over-three-weeks
https://www.voanews.com/a/pakistan-reopens-afghan-border/3873686.html
https://www.app.com.pk/national/pakistan-opens-friendship-gate-with-afghanistan-at-chaman-on-humanitarian-grounds-ispr/</x:v>
      </x:c>
      <x:c r="O258" s="4" t="str">
        <x:v>Second full-register audit source access, 26 October 2026
https://www.geo.tv/latest/143545-chaman-border-reopens-after-over-three-weeks: full text (fresh retrieval)
https://www.voanews.com/a/pakistan-reopens-afghan-border/3873686.html: full text (fresh retrieval)
https://www.app.com.pk/national/pakistan-opens-friendship-gate-with-afghanistan-at-chaman-on-humanitarian-grounds-ispr/: full text (fresh retrieval)
Prior audit access record
Full-register audit source access (evidence cutoff 25 October 2026)
https://www.geo.tv/latest/143545-chaman-border-reopens-after-over-three-weeks: full text — Passenger-exception tail recovered in turn858search3
https://www.voanews.com/a/pakistan-reopens-afghan-border/3873686.html: full text
https://www.geo.tv/latest/143545-chaman-border-reopens-after-over-three-weeks: search extract — Tail not in direct extract
Earlier source URLs not separately listed in this audit’s retrieval log (historical access notes below are not fresh verification):
https://www.app.com.pk/national/pakistan-opens-friendship-gate-with-afghanistan-at-chaman-on-humanitarian-grounds-ispr/
Earlier recorded access
Source 1: full page
Source 2: full page
Source 3: access detail is retained in the source catalogue.</x:v>
      </x:c>
      <x:c r="P258" s="20" t="n">
        <x:v>1</x:v>
      </x:c>
      <x:c r="Q258" s="4" t="str">
        <x:v>South Asia</x:v>
      </x:c>
      <x:c r="R258" s="4" t="str">
        <x:v>Included</x:v>
      </x:c>
    </x:row>
    <x:row r="259" ht="409" hidden="0" customHeight="1">
      <x:c r="A259" s="16" t="str">
        <x:v>SA016</x:v>
      </x:c>
      <x:c r="B259" s="4" t="str">
        <x:v>India suspends cross-LoC barter trade</x:v>
      </x:c>
      <x:c r="C259" s="4" t="str">
        <x:v>India; Pakistan</x:v>
      </x:c>
      <x:c r="D259" s="4" t="str">
        <x:v>Salamabad–Uri; Chakkan-da-Bagh–Poonch
Barter goods through two crossing centres; Line of Control in disputed Kashmir</x:v>
      </x:c>
      <x:c r="E259" s="4" t="str">
        <x:v>Barter goods through two crossing centres; Line of Control in disputed Kashmir
Direction: Both directions
Exceptions: Not established</x:v>
      </x:c>
      <x:c r="F259" s="4" t="str">
        <x:v>SA016-R1 — Observed operation
Salamabad/Uri cross-LoC barter trade facility only
Start: 2019-04-19.
Last confirmed: 2026-09-18. Reopening is not established.
confirmed through 2026-09-18; at least 2709 calendar-day difference; reopening unknown</x:v>
      </x:c>
      <x:c r="G259" s="4" t="str">
        <x:v>Security / Smuggling and illicit trafficking
Attributed official justification
Applies to: Recorded episode; exact overlap not separately established
The recorded rationale and claim assessment support the selected subcategories. All applicable broad categories are retained together; no primary rationale is imposed.
Security / Armed attacks and terrorism
Attributed official justification
Applies to: Recorded episode; exact overlap not separately established
The recorded rationale and claim assessment support the selected subcategories. All applicable broad categories are retained together; no primary rationale is imposed.
Trade and protectionism / Import, export and production controls
Attributed official justification
Applies to: Recorded episode; exact overlap not separately established
The recorded rationale and claim assessment support the selected subcategories. All applicable broad categories are retained together; no primary rationale is imposed.</x:v>
      </x:c>
      <x:c r="H259" s="4" t="str">
        <x:v>SA016-R1: LoC is a disputed/de facto boundary. September 18 is the report date, not reopening; later status and Chakkan-da-Bagh need separate confirmation.</x:v>
      </x:c>
      <x:c r="I259" s="4" t="str">
        <x:v>Second full-register audit, 26 October 2026: qualified. Government onset notice and September 2026 Salamabad site-conversion report corroborate the existing scoped continued suspension.</x:v>
      </x:c>
      <x:c r="J259" s="18" t="d">
        <x:v>2026-10-26T00:00:00.000Z</x:v>
      </x:c>
      <x:c r="K259" s="21" t="str">
        <x:f>IFERROR(HYPERLINK("https://www.pib.gov.in/newsite/PrintRelease.aspx?lang=2&amp;reg=48&amp;relid=189799","India MHA / PIB"),"India MHA / PIB")</x:f>
        <x:v>India MHA / PIB</x:v>
      </x:c>
      <x:c r="L259" s="21" t="str">
        <x:f>IFERROR(HYPERLINK("https://kashmirlife.net/cross-loc-trade-chapter-closes-as-salamabad-centre-turns-to-border-tourism-452309/","Kashmir Life"),"Kashmir Life")</x:f>
        <x:v>Kashmir Life</x:v>
      </x:c>
      <x:c r="M259" s="21" t="str">
        <x:f>IFERROR(HYPERLINK("https://kashmirlife.net/cross-loc-trade-suspension-mha-issues-a-statement-207807/","kashmirlife.net"),"kashmirlife.net")</x:f>
        <x:v>kashmirlife.net</x:v>
      </x:c>
      <x:c r="N259" s="4" t="str">
        <x:v>https://www.pib.gov.in/newsite/PrintRelease.aspx?lang=2&amp;reg=48&amp;relid=189799
https://kashmirlife.net/cross-loc-trade-chapter-closes-as-salamabad-centre-turns-to-border-tourism-452309/
https://kashmirlife.net/cross-loc-trade-suspension-mha-issues-a-statement-207807/
https://timesofindia.indiatimes.com/india/cross-loc-trade-indefinitely-suspended-via-salamabad-chakan-da-bagh-in-jk/articleshow/68945778.cms
https://www.ndtv.com/india-news/cross-loc-trade-uri-jammu-and-kashmir-trade-out-tourism-in-old-chapter-ends-at-cross-loc-facility-new-one-set-to-begin-12063189/amp/1
https://www.pib.gov.in/PressReleasePage.aspx?PRID=1570898&amp;lang=2&amp;reg=48</x:v>
      </x:c>
      <x:c r="O259" s="4" t="str">
        <x:v>Second full-register audit source access, 26 October 2026
https://www.pib.gov.in/PressReleasePage.aspx?PRID=1570898&amp;lang=2&amp;reg=48: full text (fresh retrieval)
https://kashmirlife.net/cross-loc-trade-chapter-closes-as-salamabad-centre-turns-to-border-tourism-452309/: full text (fresh retrieval)
Earlier URLs not separately inspected in this second assessment:
https://www.pib.gov.in/newsite/PrintRelease.aspx?lang=2&amp;reg=48&amp;relid=189799
https://kashmirlife.net/cross-loc-trade-suspension-mha-issues-a-statement-207807/
https://timesofindia.indiatimes.com/india/cross-loc-trade-indefinitely-suspended-via-salamabad-chakan-da-bagh-in-jk/articleshow/68945778.cms
https://www.ndtv.com/india-news/cross-loc-trade-uri-jammu-and-kashmir-trade-out-tourism-in-old-chapter-ends-at-cross-loc-facility-new-one-set-to-begin-12063189/amp/1
Prior audit access record
Full-register audit source access (evidence cutoff 25 October 2026)
https://www.pib.gov.in/PressReleasePage.aspx?PRID=1570898&amp;lang=2&amp;reg=48: full text — Applies to identified time and movement scope only.
https://kashmirlife.net/cross-loc-trade-chapter-closes-as-salamabad-centre-turns-to-border-tourism-452309/: full text — Applies to identified time and movement scope only.
Earlier source URLs not separately listed in this audit’s retrieval log (historical access notes below are not fresh verification):
https://www.pib.gov.in/newsite/PrintRelease.aspx?lang=2&amp;reg=48&amp;relid=189799
https://kashmirlife.net/cross-loc-trade-suspension-mha-issues-a-statement-207807/
https://timesofindia.indiatimes.com/india/cross-loc-trade-indefinitely-suspended-via-salamabad-chakan-da-bagh-in-jk/articleshow/68945778.cms
https://www.ndtv.com/india-news/cross-loc-trade-uri-jammu-and-kashmir-trade-out-tourism-in-old-chapter-ends-at-cross-loc-facility-new-one-set-to-begin-12063189/amp/1
Earlier recorded access
Source 1: full
Source 2: full
Source 3: access detail is retained in the source catalogue.</x:v>
      </x:c>
      <x:c r="P259" s="20" t="n">
        <x:v>1</x:v>
      </x:c>
      <x:c r="Q259" s="4" t="str">
        <x:v>South Asia</x:v>
      </x:c>
      <x:c r="R259" s="4" t="str">
        <x:v>Included</x:v>
      </x:c>
    </x:row>
    <x:row r="260" ht="409" hidden="0" customHeight="1">
      <x:c r="A260" s="16" t="str">
        <x:v>SA017</x:v>
      </x:c>
      <x:c r="B260" s="4" t="str">
        <x:v>Pakistan suspends bilateral goods trade with India</x:v>
      </x:c>
      <x:c r="C260" s="4" t="str">
        <x:v>Pakistan; India</x:v>
      </x:c>
      <x:c r="D260" s="4" t="str">
        <x:v>Wagah / Attari and other bilateral goods channels
Bilateral imports and exports; land-trade component recorded</x:v>
      </x:c>
      <x:c r="E260" s="4" t="str">
        <x:v>Bilateral imports and exports; land-trade component recorded
Direction: Both directions
Exceptions: Therapeutic products exempted September 2; Afghan exports to India remained a distinct transit regime</x:v>
      </x:c>
      <x:c r="F260" s="4" t="str">
        <x:v>SA017-R1 — Formal policy
Pakistan’s restriction on bilateral non-therapeutic goods trade with India, including its land-route effect.
Start: 2019-08-09.
Therapeutic-product exemption introduced: 2019-09-02; this did not restart the restriction on other goods.
Last confirmed: 2026-02-09. Reopening is not established.
Formal policy confirmed over 2,376 calendar days; strict greater-than-24-hour eligibility supported. This is not a count of days with zero physical traffic.</x:v>
      </x:c>
      <x:c r="G260" s="4" t="str">
        <x:v>Interstate disputes and pressure / Territorial and frontier disputes
Reported reason
Applies to: Recorded episode; exact overlap not separately established
The recorded rationale and claim assessment support the selected subcategories. All applicable broad categories are retained together; no primary rationale is imposed.
Interstate disputes and pressure / Diplomatic disputes and retaliation
Reported reason
Applies to: Recorded episode; exact overlap not separately established
The recorded rationale and claim assessment support the selected subcategories. All applicable broad categories are retained together; no primary rationale is imposed.
Trade and protectionism / Import, export and production controls
Reported reason
Applies to: Recorded episode; exact overlap not separately established
The recorded rationale and claim assessment support the selected subcategories. All applicable broad categories are retained together; no primary rationale is imposed.
Interstate disputes and pressure / Sanctions and coercive pressure
Attributed official justification
Applies to: April 2021 continuation; overlap at other dates not established
Foreign minister conditions trade restoration on reversal of India’s August 5 Kashmir measures; applies to April 2021 continuation, with overlap at other dates unestablished.</x:v>
      </x:c>
      <x:c r="H260" s="4" t="str">
        <x:v>SA017-R1: Pakistan’s parliamentary reply identifies the original import/export suspension orders as issued on 9 August 2019 and the therapeutic exemptions as 2 September 2019. The latter date is an easing for a separate goods category, not the onset of the non-therapeutic restriction. The 9 February 2026 parliamentary reply confirms continuing trade suspension with pharmaceutical exceptions. The 2021 cotton/sugar proposal was not approved and is not a reopening. Separate Afghan transit and pedestrian movement are not assigned this policy interval; no operational no-traffic claim is made.</x:v>
      </x:c>
      <x:c r="I260" s="4" t="str">
        <x:v>Second full-register audit, 26 October 2026: additional source-audited corrections incorporated. See the phase, scope and qualification columns for the accepted findings.</x:v>
      </x:c>
      <x:c r="J260" s="18" t="d">
        <x:v>2026-10-26T00:00:00.000Z</x:v>
      </x:c>
      <x:c r="K260" s="21" t="str">
        <x:f>IFERROR(HYPERLINK("https://www.na.gov.pk/uploads/documents/questions/1591619888_551.pdf","Pakistan National Assembly"),"Pakistan National Assembly")</x:f>
        <x:v>Pakistan National Assembly</x:v>
      </x:c>
      <x:c r="L260" s="21" t="str">
        <x:f>IFERROR(HYPERLINK("https://sansad.in/getFile/loksabhaquestions/annex/1715/AS61.pdf?source=pqals","Indian Commerce Ministry"),"Indian Commerce Ministry")</x:f>
        <x:v>Indian Commerce Ministry</x:v>
      </x:c>
      <x:c r="M260" s="21" t="str">
        <x:f>IFERROR(HYPERLINK("https://www.commerce.gov.pk/sros/","Pakistan Ministry of Commerce"),"Pakistan Ministry of Commerce")</x:f>
        <x:v>Pakistan Ministry of Commerce</x:v>
      </x:c>
      <x:c r="N260" s="4" t="str">
        <x:v>https://www.na.gov.pk/uploads/documents/questions/1591619888_551.pdf
https://sansad.in/getFile/loksabhaquestions/annex/1715/AS61.pdf?source=pqals
https://www.commerce.gov.pk/sros/
https://www.radio.gov.pk/02-04-2021/federal-cabinet-defers-eccs-proposal-for-cotton-sugar-import-from-india
https://www.radio.gov.pk/10-08-2019/govt-suspends-bilateral-trade-with-india-with-immediate-effect
https://mofa.gov.pk/transcript-of-the-press-briefing-by-spokesperson-on-thursday-16-july-2020
https://www.thenews.com.pk/print/1309130-india-trade-curbs-do-not-apply-to-drap-regulated-therapeutic-products
https://mofa.gov.pk/press-releases/transcript-of-the-press-briefing-by-spokesperson-on-thursday-16-july-2020?mission=media-briefings
https://www.tipp.gov.pk/site/display/219
https://www.tipp.gov.pk/ur-pk/site/display/706
https://www.na.gov.pk/uploads/documents/questions/6989f7e786245_144.pdf</x:v>
      </x:c>
      <x:c r="O260" s="4" t="str">
        <x:v>Second full-register audit source access, 26 October 2026
https://www.na.gov.pk/uploads/documents/questions/1591619888_551.pdf: full text (fresh retrieval) — Later vegetable-answer typo says April 2020; specific order-number account and contemporary notice take priority.
https://sansad.in/getFile/loksabhaquestions/annex/1715/AS61.pdf?source=pqals: full text (fresh retrieval)
https://www.na.gov.pk/uploads/documents/questions/6989f7e786245_144.pdf: full text (fresh retrieval) — Web renderer rejected 32 MB PDF; full PDF downloaded freshly with urllib and pages 1/12 read locally; original saved na_2026.pdf.
https://www.radio.gov.pk/10-08-2019/govt-suspends-bilateral-trade-with-india-with-immediate-effect: full text (fresh retrieval) — URL date August 10 differs from displayed August 9; parliamentary orders settle start.
https://www.radio.gov.pk/02-04-2021/federal-cabinet-defers-eccs-proposal-for-cotton-sugar-import-from-india: full text (fresh retrieval)
Earlier URLs not separately inspected in this second assessment:
https://www.commerce.gov.pk/sros/
https://mofa.gov.pk/transcript-of-the-press-briefing-by-spokesperson-on-thursday-16-july-2020
https://www.thenews.com.pk/print/1309130-india-trade-curbs-do-not-apply-to-drap-regulated-therapeutic-products
https://mofa.gov.pk/press-releases/transcript-of-the-press-briefing-by-spokesperson-on-thursday-16-july-2020?mission=media-briefings
https://www.tipp.gov.pk/site/display/219
https://www.tipp.gov.pk/ur-pk/site/display/706
Prior audit access record
Full-register audit source access (evidence cutoff 25 October 2026)
https://www.na.gov.pk/uploads/documents/questions/1591619888_551.pdf: full text — Applies to identified time and movement scope only.
https://sansad.in/getFile/loksabhaquestions/annex/1715/AS61.pdf?source=pqals: full text — Applies to identified time and movement scope only.
https://www.radio.gov.pk/02-04-2021/federal-cabinet-defers-eccs-proposal-for-cotton-sugar-import-from-india: full text — Applies to identified time and movement scope only.
https://mofa.gov.pk/press-releases/transcript-of-the-press-briefing-by-spokesperson-on-thursday-16-july-2020?mission=media-briefings: full text — Applies to identified time and movement scope only.
https://www.thenews.com.pk/print/1309130-india-trade-curbs-do-not-apply-to-drap-regulated-therapeutic-products: full text — Applies to identified time and movement scope only.
https://www.tipp.gov.pk/site/display/219: search extract — Applies to identified time and movement scope only.
https://www.tipp.gov.pk/ur-pk/site/display/706: search extract — Applies to identified time and movement scope only.
Earlier source URLs not separately listed in this audit’s retrieval log (historical access notes below are not fresh verification):
https://www.commerce.gov.pk/sros/
https://www.radio.gov.pk/10-08-2019/govt-suspends-bilateral-trade-with-india-with-immediate-effect
https://mofa.gov.pk/transcript-of-the-press-briefing-by-spokesperson-on-thursday-16-july-2020
Earlier recorded access
Source 1: full
Source 2: full
Source 3: indexed excerpt</x:v>
      </x:c>
      <x:c r="P260" s="20" t="n">
        <x:v>1</x:v>
      </x:c>
      <x:c r="Q260" s="4" t="str">
        <x:v>South Asia</x:v>
      </x:c>
      <x:c r="R260" s="4" t="str">
        <x:v>Included</x:v>
      </x:c>
    </x:row>
    <x:row r="261" ht="409" hidden="0" customHeight="1">
      <x:c r="A261" s="16" t="str">
        <x:v>SA027</x:v>
      </x:c>
      <x:c r="B261" s="4" t="str">
        <x:v>India–China Himalayan border-trade suspension during COVID</x:v>
      </x:c>
      <x:c r="C261" s="4" t="str">
        <x:v>India; China</x:v>
      </x:c>
      <x:c r="D261" s="4" t="str">
        <x:v>Nathu La; Shipki La; Lipulekh
Local approved-goods trade at three designated passes</x:v>
      </x:c>
      <x:c r="E261" s="4" t="str">
        <x:v>Local approved-goods trade at three designated passes
Direction: Both directions
Exceptions: Not established</x:v>
      </x:c>
      <x:c r="F261" s="4" t="str">
        <x:v>SA027-REV1 — Formal policy
Nathu La/Sherethang trade-suspension phase from the affected May 2020 trading season to the formal opening of the 2026 season
Start: 2020-05-01 to 2020-05-31.
Policy endpoint: 2026-08-01.
Formal policy: 2253–2283 calendar-day difference; operational continuity not established
Later confirmation: the September 11, 2026 PIB customs briefing describes trade as resumed; exact first commercial crossing remains unverified.</x:v>
      </x:c>
      <x:c r="G26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61" s="4" t="str">
        <x:v>SA027-REV1: The May 2020 bounds represent the affected Nathu La/Sherethang trading season, not the March policy announcement or an exact first lost trading day. August 1, 2026 is the formal reopening; the August 1 EastMojo report scheduled first trade for August 3. A September 11 PIB report quotes the customs commissioner confirming resumed trade and describes the regulated Monday–Thursday, registered-trader regime. This strengthens confirmation that reopening proceeded, but does not independently establish the exact first commercial crossing. The policy span includes routine winter and weekly closures and cannot be read as operational closure-days. It applies only to Nathu La/Sherethang. Separately, the August 2 Times of India report records 16 traders and four staff crossing Lipulekh on August 1 without goods. Shipki La traders were flagged off on August 1; independently observed arrival or first transaction is not established by that report. These distinct movements do not establish general passenger access at all three passes.</x:v>
      </x:c>
      <x:c r="I261" s="4" t="str">
        <x:v>Second full-register audit, 26 October 2026: additional source-audited corrections incorporated. See the phase, scope and qualification columns for the accepted findings.</x:v>
      </x:c>
      <x:c r="J261" s="18" t="d">
        <x:v>2026-10-26T00:00:00.000Z</x:v>
      </x:c>
      <x:c r="K261" s="21" t="str">
        <x:f>IFERROR(HYPERLINK("https://sansad.in/getFile/annex/268/AU2124_IPerlE.pdf?source=pqars","Rajya Sabha / Government of India"),"Rajya Sabha / Government of India")</x:f>
        <x:v>Rajya Sabha / Government of India</x:v>
      </x:c>
      <x:c r="L261" s="21" t="str">
        <x:f>IFERROR(HYPERLINK("https://www.sikkim.gov.in/media/news-announcement/news-info?name=Indo-China+Border+Trade+via+Nathula+Reopens+After+Six+Years","Government of Sikkim"),"Government of Sikkim")</x:f>
        <x:v>Government of Sikkim</x:v>
      </x:c>
      <x:c r="M261" s="21" t="str">
        <x:f>IFERROR(HYPERLINK("https://www.sikkim.gov.in/uploads/SikkimHerald/March_13_0_20200313.pdf","Government of Sikkim"),"Government of Sikkim")</x:f>
        <x:v>Government of Sikkim</x:v>
      </x:c>
      <x:c r="N261" s="4" t="str">
        <x:v>https://sansad.in/getFile/annex/268/AU2124_IPerlE.pdf?source=pqars
https://www.sikkim.gov.in/media/news-announcement/news-info?name=Indo-China+Border+Trade+via+Nathula+Reopens+After+Six+Years
https://www.sikkim.gov.in/uploads/SikkimHerald/March_13_0_20200313.pdf
https://www.indiatodayne.in/amp/breaking-news/story/coronavirus-foreign-nationals-banned-attending-bhumchu-festival-sikkim-406937-2020-03-07
https://eastmojo.com/sikkim/2026/08/01/indo-china-border-trade-from-nathula-reopens-traders-demand-more-items/
https://www.sikkim.gov.in/media/news-announcement/news-info?name=DG-cum-Secretary%2C+Health+Deptt+convened+a+press+conference+to+share+the+measures+taken+by+the+State+Government+to+prevent+the+outbreak+of+COVID-19+in+the+State
https://snu.edu.in/centres/centre-of-excellence-for-himalayan-studies/research/beyond-confidence-building-measures-cbms-nathula-cross-border-trade-from-the-perspective-of-the-border-traders/en/
https://newsonair.gov.in/india-china-border-trade-through-nathu-la-resumes-after-six-years/
https://www.business-standard.com/economy/news/india-china-border-trade-via-shipki-la-resumes-after-six-year-hiatus-126080100990_1.html
https://www.isas.nus.edu.sg/papers/reopening-china-india-border-trade-new-delhis-conundrum-on-the-border/
https://timesofindia.indiatimes.com/india/india-china-border-trade-resumes-after-6-years/articleshow/132796671.cms
https://www.ndtv.com/india-news/brics-summit-2026-delhi-xi-jinping-returns-india-and-china-build-on-ties-momentum-brics-by-brics-12032274?pfrom=home-ndtv_topscroll_Imagetopscroll
https://www.pib.gov.in/PressReleasepage.aspx?PRID=2309225&amp;lang=2&amp;reg=48</x:v>
      </x:c>
      <x:c r="O261" s="4" t="str">
        <x:v>Second full-register audit source access, 26 October 2026
https://sansad.in/getFile/annex/268/AU2124_IPerlE.pdf?source=pqars: full text (fresh retrieval)
https://www.sikkim.gov.in/uploads/SikkimHerald/March_13_0_20200313.pdf: full text (fresh retrieval) — May is the scheduled affected season, not an exact first lost trading day.
https://www.sikkim.gov.in/media/news-announcement/news-info?name=Indo-China+Border+Trade+via+Nathula+Reopens+After+Six+Years: full text (fresh retrieval)
https://eastmojo.com/sikkim/2026/08/01/indo-china-border-trade-from-nathula-reopens-traders-demand-more-items/: search extract (fresh retrieval) — Direct retrieval returned 429 in b176; indexed substantive text inspected. August 3 is prospective in this report.
https://www.business-standard.com/economy/news/india-china-border-trade-via-shipki-la-resumes-after-six-year-hiatus-126080100990_1.html: full text (fresh retrieval)
https://timesofindia.indiatimes.com/india/india-china-border-trade-resumes-after-6-years/articleshow/132796671.cms: full text (fresh retrieval)
https://www.pib.gov.in/PressReleasepage.aspx?PRID=2309225&amp;lang=2&amp;reg=48: full text (fresh retrieval)
Earlier URLs not separately inspected in this second assessment:
https://www.indiatodayne.in/amp/breaking-news/story/coronavirus-foreign-nationals-banned-attending-bhumchu-festival-sikkim-406937-2020-03-07
https://www.sikkim.gov.in/media/news-announcement/news-info?name=DG-cum-Secretary%2C+Health+Deptt+convened+a+press+conference+to+share+the+measures+taken+by+the+State+Government+to+prevent+the+outbreak+of+COVID-19+in+the+State
https://snu.edu.in/centres/centre-of-excellence-for-himalayan-studies/research/beyond-confidence-building-measures-cbms-nathula-cross-border-trade-from-the-perspective-of-the-border-traders/en/
https://newsonair.gov.in/india-china-border-trade-through-nathu-la-resumes-after-six-years/
https://www.isas.nus.edu.sg/papers/reopening-china-india-border-trade-new-delhis-conundrum-on-the-border/
https://www.ndtv.com/india-news/brics-summit-2026-delhi-xi-jinping-returns-india-and-china-build-on-ties-momentum-brics-by-brics-12032274?pfrom=home-ndtv_topscroll_Imagetopscroll
Prior audit access record
Full-register audit source access (evidence cutoff 25 October 2026)
https://www.sikkim.gov.in/uploads/SikkimHerald/March_13_0_20200313.pdf: full text — Does not establish all-person continuous closure.
https://sansad.in/getFile/annex/268/AU2124_IPerlE.pdf?source=pqars: full text — Does not establish all-person continuous closure.
https://www.sikkim.gov.in/media/news-announcement/news-info?name=Indo-China+Border+Trade+via+Nathula+Reopens+After+Six+Years: full text — Does not establish all-person continuous closure.
https://eastmojo.com/sikkim/2026/08/01/indo-china-border-trade-from-nathula-reopens-traders-demand-more-items/: full text — Does not establish all-person continuous closure.
https://www.business-standard.com/economy/news/india-china-border-trade-via-shipki-la-resumes-after-six-year-hiatus-126080100990_1.html: full text — Does not establish all-person continuous closure.
https://www.ndtv.com/india-news/brics-summit-2026-delhi-xi-jinping-returns-india-and-china-build-on-ties-momentum-brics-by-brics-12032274?pfrom=home-ndtv_topscroll_Imagetopscroll: search extract — Publication date not independently established in returned text; not used to set a new phase.
Earlier source URLs not separately listed in this audit’s retrieval log (historical access notes below are not fresh verification):
https://www.indiatodayne.in/amp/breaking-news/story/coronavirus-foreign-nationals-banned-attending-bhumchu-festival-sikkim-406937-2020-03-07
https://www.sikkim.gov.in/media/news-announcement/news-info?name=DG-cum-Secretary%2C+Health+Deptt+convened+a+press+conference+to+share+the+measures+taken+by+the+State+Government+to+prevent+the+outbreak+of+COVID-19+in+the+State
https://snu.edu.in/centres/centre-of-excellence-for-himalayan-studies/research/beyond-confidence-building-measures-cbms-nathula-cross-border-trade-from-the-perspective-of-the-border-traders/en/
https://newsonair.gov.in/india-china-border-trade-through-nathu-la-resumes-after-six-years/
https://www.isas.nus.edu.sg/papers/reopening-china-india-border-trade-new-delhis-conundrum-on-the-border/
https://timesofindia.indiatimes.com/india/india-china-border-trade-resumes-after-6-years/articleshow/132796671.cms
Earlier recorded access
Source 1: indexed excerpt; full; full text
Source 2: indexed excerpt
Source 3: indexed excerpt; failed</x:v>
      </x:c>
      <x:c r="P261" s="20" t="n">
        <x:v>1</x:v>
      </x:c>
      <x:c r="Q261" s="4" t="str">
        <x:v>South Asia</x:v>
      </x:c>
      <x:c r="R261" s="4" t="str">
        <x:v>Included</x:v>
      </x:c>
    </x:row>
    <x:row r="262" ht="409" hidden="0" customHeight="1">
      <x:c r="A262" s="16" t="str">
        <x:v>SA028</x:v>
      </x:c>
      <x:c r="B262" s="4" t="str">
        <x:v>Khunjerab COVID closure extending beyond seasonal shutdown</x:v>
      </x:c>
      <x:c r="C262" s="4" t="str">
        <x:v>Pakistan; China</x:v>
      </x:c>
      <x:c r="D262" s="4" t="str">
        <x:v>Khunjerab, between Xinjiang and Pakistan-administered Gilgit-Baltistan
Ordinary passengers and two-way trade</x:v>
      </x:c>
      <x:c r="E262" s="4" t="str">
        <x:v>Ordinary passengers and two-way trade
Direction: Both directions
Exceptions: Temporary emergency personnel and goods openings; Chinese ministry reports two-way cargo resumed 1 April 2022 while ordinary passenger clearance resumed 3 April 2023.</x:v>
      </x:c>
      <x:c r="F262" s="4" t="str">
        <x:v>SA028-FU1 — Formal policy
Ordinary passenger entry/exit at Khunjerab Pass
Start: unknown for a single uninterrupted phase. The missed 2020 seasonal reopening and later pandemic restrictions are documented, but their complete sequence is not established.
Policy endpoint: 2023-04-03. Subsequent APP reporting confirms resumed passenger clearance.
The pandemic restriction episode exceeds 24 hours; exact continuous duration is withheld. Do not join the unknown onset to this endpoint as an uninterrupted three-year closure.</x:v>
      </x:c>
      <x:c r="G26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62" s="4" t="str">
        <x:v>SA028-FU1: China MFA distinguishes cargo resumption on April 1, 2022 from ordinary passenger permission on April 3, 2023 and records temporary emergency passage. APP on April 5 confirms restored passenger clearance; its November 8 report counts over 40,000 passenger movements since April 3. Thus reopening is supported beyond a future announcement, although an independently observed first traveller is not identified. Profit's March and May 2021 reports describe the missed April 1, 2020 seasonal reopening and a May 31, 2021 opening for trade and travel based on ministry correspondence. The latter lacks a first ordinary passenger observation and prevents treating all 2020–2023 travel as unquestionably prohibited. The contemporary 2020 accounts and prolonged pandemic restriction support &gt;24-hour eligibility, while onset, intervening permissions and the full continuous duration remain unresolved. Routine winter shutdowns, restricted cargo openings and emergency personnel passage must remain distinct. The April 3 passenger endpoint is retained without creating an uninterrupted whole-border interval.</x:v>
      </x:c>
      <x:c r="I262" s="4" t="str">
        <x:v>Second full-register audit, 26 October 2026: additional source-audited corrections incorporated. See the phase, scope and qualification columns for the accepted findings.</x:v>
      </x:c>
      <x:c r="J262" s="18" t="d">
        <x:v>2026-10-26T00:00:00.000Z</x:v>
      </x:c>
      <x:c r="K262" s="21" t="str">
        <x:f>IFERROR(HYPERLINK("https://www.fmprc.gov.cn/nanhai/eng/fyrbt_1/202304/t20230403_11053729.htm","Ministry of Foreign Affairs of China"),"Ministry of Foreign Affairs of China")</x:f>
        <x:v>Ministry of Foreign Affairs of China</x:v>
      </x:c>
      <x:c r="L262" s="21" t="str">
        <x:f>IFERROR(HYPERLINK("https://tt.china-embassy.gov.cn/eng/zt/fyrth/202304/t20230403_11053729.htm","Chinese Ministry of Foreign Affairs"),"Chinese Ministry of Foreign Affairs")</x:f>
        <x:v>Chinese Ministry of Foreign Affairs</x:v>
      </x:c>
      <x:c r="M262" s="21" t="str">
        <x:f>IFERROR(HYPERLINK("https://www.app.com.pk/global/khunjerab-pass-opened-for-pak-china-trade-after-three-years/","APP"),"APP")</x:f>
        <x:v>APP</x:v>
      </x:c>
      <x:c r="N262" s="4" t="str">
        <x:v>https://www.fmprc.gov.cn/nanhai/eng/fyrbt_1/202304/t20230403_11053729.htm
https://tt.china-embassy.gov.cn/eng/zt/fyrth/202304/t20230403_11053729.htm
https://www.app.com.pk/global/khunjerab-pass-opened-for-pak-china-trade-after-three-years/
https://www.dawn.com/news/1571583
https://profit.pakistantoday.com.pk/2020/09/18/pak-china-khunjerab-border-reopened-till-30th/
https://www.radio.gov.pk/01-04-2023/khunjerab-pass-corridor-opens-today
https://www.app.com.pk/global/china-pakistan-border-post-in-xinjiang-resumes-passenger-clearance/
https://www.app.com.pk/global/khunjerab-pass-to-reopen-for-commercial-activities-from-april-01/
https://www.app.com.pk/global/khunjerab-pass-officially-resumes-passenger-crossing-by-monday-mao-ning/
https://profit.pakistantoday.com.pk/2021/03/30/khunjerab-pass-to-reopen-for-trade-on-april-1/
https://profit.pakistantoday.com.pk/2021/05/31/khunjerab-pass-opened-for-trade-travel
https://www.app.com.pk/global/40000-inbound-outbound-passengers-recorded-at-khunjrab-pass/</x:v>
      </x:c>
      <x:c r="O262" s="4" t="str">
        <x:v>Second full-register audit source access, 26 October 2026
https://www.fmprc.gov.cn/nanhai/eng/fyrbt_1/202304/t20230403_11053729.htm: full text (fresh retrieval)
https://www.app.com.pk/global/china-pakistan-border-post-in-xinjiang-resumes-passenger-clearance/: full text (fresh retrieval)
https://profit.pakistantoday.com.pk/2021/03/30/khunjerab-pass-to-reopen-for-trade-on-april-1/: full text (fresh retrieval)
https://profit.pakistantoday.com.pk/2021/05/31/khunjerab-pass-opened-for-trade-travel: full text (fresh retrieval) — Reports a ministry letter and opening for trade/travel, without a documented first ordinary passenger crossing.
https://www.dawn.com/news/1571583: full text (fresh retrieval) — Contemporary report; seasonal onset conflicts.
https://profit.pakistantoday.com.pk/2020/09/18/pak-china-khunjerab-border-reopened-till-30th/: full text (fresh retrieval)
https://www.app.com.pk/global/40000-inbound-outbound-passengers-recorded-at-khunjrab-pass/: full text (fresh retrieval) — Article body gives November 8 and refers to April 3, 2023 and the third Belt and Road Forum; indexed publication timing corroborates 2023.
Earlier URLs not separately inspected in this second assessment:
https://tt.china-embassy.gov.cn/eng/zt/fyrth/202304/t20230403_11053729.htm
https://www.app.com.pk/global/khunjerab-pass-opened-for-pak-china-trade-after-three-years/
https://www.radio.gov.pk/01-04-2023/khunjerab-pass-corridor-opens-today
https://www.app.com.pk/global/khunjerab-pass-to-reopen-for-commercial-activities-from-april-01/
https://www.app.com.pk/global/khunjerab-pass-officially-resumes-passenger-crossing-by-monday-mao-ning/
Prior audit access record
Full-register audit source access (evidence cutoff 25 October 2026)
https://www.fmprc.gov.cn/nanhai/eng/fyrbt_1/202304/t20230403_11053729.htm: full text — No onset date or day-by-day operations.
Earlier source URLs not separately listed in this audit’s retrieval log (historical access notes below are not fresh verification):
https://tt.china-embassy.gov.cn/eng/zt/fyrth/202304/t20230403_11053729.htm
https://www.app.com.pk/global/khunjerab-pass-opened-for-pak-china-trade-after-three-years/
https://www.dawn.com/news/1571583
https://profit.pakistantoday.com.pk/2020/09/18/pak-china-khunjerab-border-reopened-till-30th/
https://www.radio.gov.pk/01-04-2023/khunjerab-pass-corridor-opens-today
https://www.app.com.pk/global/china-pakistan-border-post-in-xinjiang-resumes-passenger-clearance/
https://www.app.com.pk/global/khunjerab-pass-to-reopen-for-commercial-activities-from-april-01/
https://www.app.com.pk/global/khunjerab-pass-officially-resumes-passenger-crossing-by-monday-mao-ning/
Earlier recorded access
Source 1: full text
Source 2: full
Source 3: indexed excerpt</x:v>
      </x:c>
      <x:c r="P262" s="20" t="n">
        <x:v>1</x:v>
      </x:c>
      <x:c r="Q262" s="4" t="str">
        <x:v>South Asia</x:v>
      </x:c>
      <x:c r="R262" s="4" t="str">
        <x:v>Included</x:v>
      </x:c>
    </x:row>
    <x:row r="263" ht="409" hidden="0" customHeight="1">
      <x:c r="A263" s="16" t="str">
        <x:v>SA029</x:v>
      </x:c>
      <x:c r="B263" s="4" t="str">
        <x:v>China-side restrictions on Nepal-to-China exports at Rasuwagadhi</x:v>
      </x:c>
      <x:c r="C263" s="4" t="str">
        <x:v>China; Nepal</x:v>
      </x:c>
      <x:c r="D263" s="4" t="str">
        <x:v>Rasuwagadhi / Kerung
Nepal-to-China goods; China-to-Nepal flows resumed intermittently earlier</x:v>
      </x:c>
      <x:c r="E263" s="4" t="str">
        <x:v>Nepal-to-China goods; China-to-Nepal flows resumed intermittently earlier
Direction: Nepal to China
Exceptions: One-way Chinese exports to Nepal permitted during portions of interval</x:v>
      </x:c>
      <x:c r="F263" s="4" t="str">
        <x:v>SA029-D1 — Observed operation
Nepal-to-China export goods through Rasuwagadhi, to the documented December 27 export trucks.
Start: 2020-01-29.
Observed scoped reopening: 2022-12-27.
1063 calendar-day difference; scoped endpoint only</x:v>
      </x:c>
      <x:c r="G26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63" s="4" t="str">
        <x:v>SA029-D1: Intentional COVID restriction only; earlier snow disruption excluded. Direction is Nepal-to-China exports; reverse imports and later passenger resumption are different scopes.</x:v>
      </x:c>
      <x:c r="I263" s="4" t="str">
        <x:v>Second full-register audit, 26 October 2026: qualified. Freshly inspected reports sustain the existing directional export interval and distinguish actual trucks on 27 December from the formal ceremony on 28 December.</x:v>
      </x:c>
      <x:c r="J263" s="18" t="d">
        <x:v>2026-10-26T00:00:00.000Z</x:v>
      </x:c>
      <x:c r="K263" s="21" t="str">
        <x:f>IFERROR(HYPERLINK("https://kathmandupost.com/national/2022/12/28/trade-through-the-kerung-rasuwagadhi-border-port-formally-resumes","Kathmandu Post"),"Kathmandu Post")</x:f>
        <x:v>Kathmandu Post</x:v>
      </x:c>
      <x:c r="L263" s="21" t="str">
        <x:f>IFERROR(HYPERLINK("https://kathmandupost.com/money/2022/09/15/china-to-release-all-stranded-cargo-trucks-by-sept-27","Kathmandu Post"),"Kathmandu Post")</x:f>
        <x:v>Kathmandu Post</x:v>
      </x:c>
      <x:c r="M263" s="21" t="str">
        <x:f>IFERROR(HYPERLINK("https://kathmandupost.com/money/2022/09/11/eight-containers-roll-into-nepal-as-china-opens-the-border-a-crack","Kathmandu Post"),"Kathmandu Post")</x:f>
        <x:v>Kathmandu Post</x:v>
      </x:c>
      <x:c r="N263" s="4" t="str">
        <x:v>https://kathmandupost.com/national/2022/12/28/trade-through-the-kerung-rasuwagadhi-border-port-formally-resumes
https://kathmandupost.com/money/2022/09/15/china-to-release-all-stranded-cargo-trucks-by-sept-27
https://kathmandupost.com/money/2022/09/11/eight-containers-roll-into-nepal-as-china-opens-the-border-a-crack
https://kathmandupost.com/money/2022/12/27/nepal-exports-through-rasuwagadhi-border-about-after-35-months
https://english.ratopati.com/story/13718
https://kathmandupost.com/2/2020/07/06/rasuwagadhi-kerung-border-opens-for-cargo-trucks
https://radionepalonline.com/en/2023/03/30/350306.html
https://radionepalonline.com/en/2023/04/01/350548.html</x:v>
      </x:c>
      <x:c r="O263" s="4" t="str">
        <x:v>Second full-register audit source access, 26 October 2026
https://kathmandupost.com/money/2022/12/27/nepal-exports-through-rasuwagadhi-border-about-after-35-months: full text (fresh retrieval)
https://kathmandupost.com/national/2022/12/28/trade-through-the-kerung-rasuwagadhi-border-port-formally-resumes: full text (fresh retrieval) — Same newsroom, not independent corroboration.
https://kathmandupost.com/2/2020/07/06/rasuwagadhi-kerung-border-opens-for-cargo-trucks: full text (fresh retrieval)
https://radionepalonline.com/en/2023/04/01/350548.html: search extract (fresh retrieval) — Direct opening timed out. Broad headline does not override the specific December export-truck evidence.
Earlier URLs not separately inspected in this second assessment:
https://kathmandupost.com/money/2022/09/15/china-to-release-all-stranded-cargo-trucks-by-sept-27
https://kathmandupost.com/money/2022/09/11/eight-containers-roll-into-nepal-as-china-opens-the-border-a-crack
https://english.ratopati.com/story/13718
https://radionepalonline.com/en/2023/03/30/350306.html
Prior audit access record
Full-register audit source access (evidence cutoff 25 October 2026)
https://kathmandupost.com/money/2022/12/27/nepal-exports-through-rasuwagadhi-border-about-after-35-months: full text
https://kathmandupost.com/national/2022/12/28/trade-through-the-kerung-rasuwagadhi-border-port-formally-resumes: full text — Same newsroom as the earlier account, not independent confirmation.
https://kathmandupost.com/2/2020/07/06/rasuwagadhi-kerung-border-opens-for-cargo-trucks: full text
https://english.ratopati.com/story/13718: search extract — Direct page returned 403; indexed article extract inspected. Agreement is not treated as observed first passage.
Earlier source URLs not separately listed in this audit’s retrieval log (historical access notes below are not fresh verification):
https://kathmandupost.com/money/2022/09/15/china-to-release-all-stranded-cargo-trucks-by-sept-27
https://kathmandupost.com/money/2022/09/11/eight-containers-roll-into-nepal-as-china-opens-the-border-a-crack
https://radionepalonline.com/en/2023/03/30/350306.html
https://radionepalonline.com/en/2023/04/01/350548.html
Earlier recorded access
Source 1: full page
Source 2: full page
Source 3: full page</x:v>
      </x:c>
      <x:c r="P263" s="20" t="n">
        <x:v>1</x:v>
      </x:c>
      <x:c r="Q263" s="4" t="str">
        <x:v>South Asia</x:v>
      </x:c>
      <x:c r="R263" s="4" t="str">
        <x:v>Included</x:v>
      </x:c>
    </x:row>
    <x:row r="264" ht="409" hidden="0" customHeight="1">
      <x:c r="A264" s="16" t="str">
        <x:v>SA003</x:v>
      </x:c>
      <x:c r="B264" s="4" t="str">
        <x:v>Chaman initial COVID closure</x:v>
      </x:c>
      <x:c r="C264" s="4" t="str">
        <x:v>Pakistan; Afghanistan</x:v>
      </x:c>
      <x:c r="D264" s="4" t="str">
        <x:v>Chaman / Spin Boldak
All traffic initially halted</x:v>
      </x:c>
      <x:c r="E264" s="4" t="str">
        <x:v>All traffic initially halted
Direction: Both directions
Exceptions: Passenger return windows and Saturday access differ from freight arrangements. May16 passage is observed in reporting; June20/22 later schedule is policy evidence. August21 local-access easing is separate.</x:v>
      </x:c>
      <x:c r="F264" s="4" t="str">
        <x:v>SA003-D1 — Observed operation
Food/essential-goods truck passage from Pakistan into Afghanistan through Chaman, to the first reported restored convoy.
Start: 2020-03-01 to 2020-03-02.
Observed scoped reopening: 2020-03-21.
19–20 calendar-day difference; scoped endpoint only
SA003-C7P1 — Intermittent regime
Chaman pedestrian eligibility restricted to scheduled Saturday access, with health conditions
Start: unknown.
Last observed Saturday access: 2020-05-16. The Saturday-only restriction had ended by 2020-08-21; its exact first easing is not established.
Intermittent regime envelope; total closed days unknown
SA003-C7P2 — Reported operational restoration
Chaman passenger movement resumed under the seven-day access arrangement, as confirmed by officials on 21 August 2020.
Start of preceding restriction: unknown.
Observed later access bound: by 2020-08-21.
Exact first restoration and preceding closed-day total remain unknown.</x:v>
      </x:c>
      <x:c r="G26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64" s="4" t="str">
        <x:v>No uninterrupted March–August all-traffic closure is established. The existing March21 endpoint remains food/essential-goods freight only.
SA003-D1: The contemporary March 2 notice is preferred but the contrary day is not erased. Passenger return windows and later cargo schedules are separate; the initial planned March 9 expiry is not used.
SA003-C7P1: First start of this recurring arrangement is unknown. June20 announcement reiterates Saturday access but does not supply a later observed passenger-crossing day. Freight and exceptional returns are separate; do not infer continuous sealing.
SA003-C7P2: Anadolu reports officials confirming that passenger movement resumed on 21 August, alongside the seven-day operating agreement. This is evidence of restored operation by that date, although no individual first crossing or exact earlier easing is timed. Prior Saturday and exceptional openings preclude an uninterrupted March–August closure; the headline’s six-month shorthand does not override those documented openings.</x:v>
      </x:c>
      <x:c r="I264" s="4" t="str">
        <x:v>Second full-register audit, 26 October 2026: additional source-audited corrections incorporated. See the phase, scope and qualification columns for the accepted findings.</x:v>
      </x:c>
      <x:c r="J264" s="18" t="d">
        <x:v>2026-10-26T00:00:00.000Z</x:v>
      </x:c>
      <x:c r="K264" s="21" t="str">
        <x:f>IFERROR(HYPERLINK("https://www.geo.tv/latest/275184-coronavirus-pakistan-closes-afghan-border-crossing-at-chaman-for-one-week","Geo News"),"Geo News")</x:f>
        <x:v>Geo News</x:v>
      </x:c>
      <x:c r="L264" s="21" t="str">
        <x:f>IFERROR(HYPERLINK("https://www.thenews.com.pk/latest/632420-amid-coronavirus-outbreak-pakistan-opens-border-with-afghanistan-to-permit-flow-of-goods","The News International"),"The News International")</x:f>
        <x:v>The News International</x:v>
      </x:c>
      <x:c r="M264" s="21" t="str">
        <x:f>IFERROR(HYPERLINK("https://www.radio.gov.pk/16-05-2020/govt-announces-opening-of-pak-afghan-border-at-torkham-chaman-posts","Radio Pakistan"),"Radio Pakistan")</x:f>
        <x:v>Radio Pakistan</x:v>
      </x:c>
      <x:c r="N264" s="4" t="str">
        <x:v>https://www.geo.tv/latest/275184-coronavirus-pakistan-closes-afghan-border-crossing-at-chaman-for-one-week
https://www.thenews.com.pk/latest/632420-amid-coronavirus-outbreak-pakistan-opens-border-with-afghanistan-to-permit-flow-of-goods
https://www.radio.gov.pk/16-05-2020/govt-announces-opening-of-pak-afghan-border-at-torkham-chaman-posts
https://tribune.com.pk/story/2223223/pakistan-reopens-chaman-torkham-border-trade
https://pid.gov.pk/site/press_detail/13953
https://wiki.unece.org/pages/viewpage.action?navigatingVersions=true&amp;pageId=177242625
https://www.rferl.org/a/pakistan-reopens-key-border-crossing-with-afghanistan/30796088.html
https://mofa.gov.pk/press-release-260
https://www.euaa.europa.eu/sites/default/files/publications/05_2020_EASO_COI_Report_Pakistan_Situation_of_Afghan_Refugees.pdf
https://www.brecorder.com/news/582378/chaman-border-reopened
https://www.mofa.gov.pk/press-release-260
https://mofa.gov.pk/press-releases/press-release-263
https://www.dawn.com/news/amp/1575955
https://www.geo.tv/latest/278438-pakistan-opens-border-with-afghanistan-despite-coronavirus-fears
https://www.radio.gov.pk/21-03-2020/pak-afghan-border-opened-for-transportation-of-food-items
https://tarziresearch.org/publications/attachment/1625908456attachment.pdf
https://wiki.unece.org/spaces/CTRBSBC/pages/101548494/Pakistan
https://www.aa.com.tr/en/asia-pacific/afghanistan-pakistan-reopen-key-border-crossing/1949410</x:v>
      </x:c>
      <x:c r="O264" s="4" t="str">
        <x:v>Second full-register audit source access, 26 October 2026
https://www.geo.tv/latest/275184-coronavirus-pakistan-closes-afghan-border-crossing-at-chaman-for-one-week: full text (fresh retrieval)
https://www.radio.gov.pk/21-03-2020/pak-afghan-border-opened-for-transportation-of-food-items: full text (fresh retrieval)
https://tribune.com.pk/story/2223223/pakistan-reopens-chaman-torkham-border-trade: search extract (fresh retrieval) — Direct URL returned 403; indexed article text inspected.
https://pid.gov.pk/site/press_detail/13953: full text (fresh retrieval)
https://www.aa.com.tr/en/asia-pacific/afghanistan-pakistan-reopen-key-border-crossing/1949410: full text (fresh retrieval) — Six-month headline overgeneralizes intermediate openings.
Earlier URLs not separately inspected in this second assessment:
https://www.thenews.com.pk/latest/632420-amid-coronavirus-outbreak-pakistan-opens-border-with-afghanistan-to-permit-flow-of-goods
https://www.radio.gov.pk/16-05-2020/govt-announces-opening-of-pak-afghan-border-at-torkham-chaman-posts
https://wiki.unece.org/pages/viewpage.action?navigatingVersions=true&amp;pageId=177242625
https://www.rferl.org/a/pakistan-reopens-key-border-crossing-with-afghanistan/30796088.html
https://mofa.gov.pk/press-release-260
https://www.euaa.europa.eu/sites/default/files/publications/05_2020_EASO_COI_Report_Pakistan_Situation_of_Afghan_Refugees.pdf
https://www.brecorder.com/news/582378/chaman-border-reopened
https://www.mofa.gov.pk/press-release-260
https://mofa.gov.pk/press-releases/press-release-263
https://www.dawn.com/news/amp/1575955
https://www.geo.tv/latest/278438-pakistan-opens-border-with-afghanistan-despite-coronavirus-fears
https://tarziresearch.org/publications/attachment/1625908456attachment.pdf
https://wiki.unece.org/spaces/CTRBSBC/pages/101548494/Pakistan
Prior audit access record
Full-register audit source access (evidence cutoff 25 October 2026)
https://www.geo.tv/latest/275184-coronavirus-pakistan-closes-afghan-border-crossing-at-chaman-for-one-week: full text — Does not establish all-person continuous closure.
https://www.radio.gov.pk/21-03-2020/pak-afghan-border-opened-for-transportation-of-food-items: full text — Does not establish all-person continuous closure.
https://tribune.com.pk/story/2223223/pakistan-reopens-chaman-torkham-border-trade: search extract — Direct page returned 403.
https://pid.gov.pk/site/press_detail/13953: full text — Does not establish all-person continuous closure.
https://www.aa.com.tr/en/asia-pacific/afghanistan-pakistan-reopen-key-border-crossing/1949410: full text — Does not establish all-person continuous closure.
Earlier source URLs not separately listed in this audit’s retrieval log (historical access notes below are not fresh verification):
https://www.thenews.com.pk/latest/632420-amid-coronavirus-outbreak-pakistan-opens-border-with-afghanistan-to-permit-flow-of-goods
https://www.radio.gov.pk/16-05-2020/govt-announces-opening-of-pak-afghan-border-at-torkham-chaman-posts
https://wiki.unece.org/pages/viewpage.action?navigatingVersions=true&amp;pageId=177242625
https://www.rferl.org/a/pakistan-reopens-key-border-crossing-with-afghanistan/30796088.html
https://mofa.gov.pk/press-release-260
https://www.euaa.europa.eu/sites/default/files/publications/05_2020_EASO_COI_Report_Pakistan_Situation_of_Afghan_Refugees.pdf
https://www.brecorder.com/news/582378/chaman-border-reopened
https://www.mofa.gov.pk/press-release-260
https://mofa.gov.pk/press-releases/press-release-263
https://www.dawn.com/news/amp/1575955
https://www.geo.tv/latest/278438-pakistan-opens-border-with-afghanistan-despite-coronavirus-fears
https://tarziresearch.org/publications/attachment/1625908456attachment.pdf
https://wiki.unece.org/spaces/CTRBSBC/pages/101548494/Pakistan
Earlier recorded access
Source 1: full page
Source 2: full page
Source 3: full page</x:v>
      </x:c>
      <x:c r="P264" s="20" t="n">
        <x:v>3</x:v>
      </x:c>
      <x:c r="Q264" s="4" t="str">
        <x:v>South Asia</x:v>
      </x:c>
      <x:c r="R264" s="4" t="str">
        <x:v>Included</x:v>
      </x:c>
    </x:row>
    <x:row r="265" ht="409" hidden="0" customHeight="1">
      <x:c r="A265" s="16" t="str">
        <x:v>SA019</x:v>
      </x:c>
      <x:c r="B265" s="4" t="str">
        <x:v>India national COVID land-passenger restrictions</x:v>
      </x:c>
      <x:c r="C265" s="4" t="str">
        <x:v>India; Bangladesh; Nepal; Bhutan; Pakistan; Myanmar</x:v>
      </x:c>
      <x:c r="D265" s="4" t="str">
        <x:v>Land immigration check posts within the national all-mode restriction
Incoming passenger traffic at the land subset of India's 107 immigration check posts</x:v>
      </x:c>
      <x:c r="E265" s="4" t="str">
        <x:v>Incoming passenger traffic at the land subset of India's 107 immigration check posts
Direction: Entry into India
Exceptions: Goods and supply vehicles with their crews, drivers and helpers were exempt subject to health screening. The 7 May continuation also exempted repatriation transport and authorised outward travel. The earlier selected-post exception list does not describe this retained March 23 phase.</x:v>
      </x:c>
      <x:c r="F265" s="4" t="str">
        <x:v>SA019-FU1 — Formal policy
Land immigration posts within the March 23 all-107-post incoming-passenger policy; non-land posts excluded from this phase
Start: 2020-03-23.
Last confirmed: 2020-05-07. Reopening is not established.
Formal policy: confirmed for at least 45 calendar days through 2020-05-07; strict greater-than-24-hour eligibility: yes. Complete operational duration and final policy endpoint remain unknown.</x:v>
      </x:c>
      <x:c r="G26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65" s="4" t="str">
        <x:v>SA019-FU1: Censored formal policy phase, not continuous all-passenger operational closure. It is a later phase of the national policy, not the March 15/16 selected-post rule. No matched land reopening date inferred from eventual air resumption.
end: No matched repeal of the original selected-land-post restriction was found. Air and visa relaxations do not establish all-land reopening.
duration: A distinct subsequent March 23 incoming-passenger formal phase is evidenced through May 7, with exceptions; complete operational duration remains unavailable.
The 16 March 2022 tourist-visa restoration still excluded land entry on tourist visas. The Ministry of Home Affairs 2022–23 annual-report extract subsequently records 20 land immigration posts reopened, distributed across the Bangladesh, Bhutan, Nepal and Pakistan borders. It supplies neither a common reopening date nor a repeal for every land post, and does not include Myanmar in that reopened subset. These later, differently scoped measures must not be used to project the original all-land restriction indefinitely or to invent a single national endpoint.</x:v>
      </x:c>
      <x:c r="I265" s="4" t="str">
        <x:v>Second full-register audit, 26 October 2026: additional source-audited corrections incorporated. See the phase, scope and qualification columns for the accepted findings.</x:v>
      </x:c>
      <x:c r="J265" s="18" t="d">
        <x:v>2026-10-26T00:00:00.000Z</x:v>
      </x:c>
      <x:c r="K265" s="21" t="str">
        <x:f>IFERROR(HYPERLINK("https://www.pib.gov.in/PressReleasePage.aspx?PRID=1609215&amp;lang=2&amp;reg=48","pib.gov.in"),"pib.gov.in")</x:f>
        <x:v>pib.gov.in</x:v>
      </x:c>
      <x:c r="L265" s="21" t="str">
        <x:f>IFERROR(HYPERLINK("https://www.pib.gov.in/Pressreleaseshare.aspx?PRID=1626100&amp;lang=2&amp;reg=48","pib.gov.in"),"pib.gov.in")</x:f>
        <x:v>pib.gov.in</x:v>
      </x:c>
      <x:c r="M265" s="21" t="str">
        <x:f>IFERROR(HYPERLINK("https://www.pib.gov.in/PressReleasePage.aspx?PRID=1609253&amp;lang=2&amp;reg=48","India PIB"),"India PIB")</x:f>
        <x:v>India PIB</x:v>
      </x:c>
      <x:c r="N265" s="4" t="str">
        <x:v>https://www.pib.gov.in/PressReleasePage.aspx?PRID=1609215&amp;lang=2&amp;reg=48
https://www.pib.gov.in/Pressreleaseshare.aspx?PRID=1626100&amp;lang=2&amp;reg=48
https://www.pib.gov.in/PressReleasePage.aspx?PRID=1609253&amp;lang=2&amp;reg=48
https://static.pib.gov.in/WriteReadData/userfiles/LCPs%20closed.pdf
https://indembkathmandu.gov.in/data-detail/642
https://www.asdma.gov.in/covid/GoI%20Circular/GUIDELINES/64.NewinstructionsDt14032020Restirctiononinternationalpassengertraffic.pdf
https://timesofindia.indiatimes.com/india/people-will-be-allowed-through-19-of-37-land-immigration-checkposts-govt/articleshow/74616311.cms
https://static.pib.gov.in/WriteReadData/userfiles/Closing%20of%20ICPs.jpg
https://www.pib.gov.in/PressReleasePage.aspx?PRID=1626100&amp;lang=2&amp;reg=48
https://www.indianembassydublin.gov.in/page/updated-advisory-on-visa-and-travel-guidelines/
https://www.pib.gov.in/PressReleasePage.aspx?PRID=1845440&amp;lang=2&amp;reg=48
https://www.mha.gov.in/sites/default/files/AnnualreportEnglish_04102023.pdf</x:v>
      </x:c>
      <x:c r="O265" s="4" t="str">
        <x:v>Second full-register audit source access, 26 October 2026
https://static.pib.gov.in/WriteReadData/userfiles/Closing%20of%20ICPs.jpg: full text (fresh retrieval) — Fresh shell download and visual image inspection after web retrieval failed
https://www.pib.gov.in/PressReleasePage.aspx?PRID=1626100&amp;lang=2&amp;reg=48: full text (fresh retrieval)
https://www.indianembassydublin.gov.in/page/updated-advisory-on-visa-and-travel-guidelines/: search extract (fresh retrieval) — Direct open returned 403
https://www.mha.gov.in/sites/default/files/AnnualreportEnglish_04102023.pdf: search extract (fresh retrieval) — Only indexed passage; current direct PDF returns 404, no exact common date
Earlier URLs not separately inspected in this second assessment:
https://www.pib.gov.in/PressReleasePage.aspx?PRID=1609215&amp;lang=2&amp;reg=48
https://www.pib.gov.in/Pressreleaseshare.aspx?PRID=1626100&amp;lang=2&amp;reg=48
https://www.pib.gov.in/PressReleasePage.aspx?PRID=1609253&amp;lang=2&amp;reg=48
https://static.pib.gov.in/WriteReadData/userfiles/LCPs%20closed.pdf
https://indembkathmandu.gov.in/data-detail/642
https://www.asdma.gov.in/covid/GoI%20Circular/GUIDELINES/64.NewinstructionsDt14032020Restirctiononinternationalpassengertraffic.pdf
https://timesofindia.indiatimes.com/india/people-will-be-allowed-through-19-of-37-land-immigration-checkposts-govt/articleshow/74616311.cms
https://www.pib.gov.in/PressReleasePage.aspx?PRID=1845440&amp;lang=2&amp;reg=48
Prior audit access record
Full-register audit source access (evidence cutoff 25 October 2026)
https://www.pib.gov.in/PressReleasePage.aspx?PRID=1609215&amp;lang=2&amp;reg=48: full text — Does not establish all-person continuous closure.
https://www.pib.gov.in/Pressreleaseshare.aspx?PRID=1626100&amp;lang=2&amp;reg=48: full text — Does not establish all-person continuous closure.
https://www.indianembassydublin.gov.in/page/updated-advisory-on-visa-and-travel-guidelines/: search extract — Direct page returned 403; do not assign August 2022 as this notice's publication date.
https://www.pib.gov.in/PressReleasePage.aspx?PRID=1845440&amp;lang=2&amp;reg=48: full text — Infrastructure inventory, not general passenger-policy repeal.
Earlier source URLs not separately listed in this audit’s retrieval log (historical access notes below are not fresh verification):
https://www.pib.gov.in/PressReleasePage.aspx?PRID=1609253&amp;lang=2&amp;reg=48
https://static.pib.gov.in/WriteReadData/userfiles/LCPs%20closed.pdf
https://indembkathmandu.gov.in/data-detail/642
https://www.asdma.gov.in/covid/GoI%20Circular/GUIDELINES/64.NewinstructionsDt14032020Restirctiononinternationalpassengertraffic.pdf
https://timesofindia.indiatimes.com/india/people-will-be-allowed-through-19-of-37-land-immigration-checkposts-govt/articleshow/74616311.cms
https://static.pib.gov.in/WriteReadData/userfiles/Closing%20of%20ICPs.jpg
https://www.pib.gov.in/PressReleasePage.aspx?PRID=1626100&amp;lang=2&amp;reg=48
Earlier recorded access
Source 1: access detail is retained in the source catalogue.
Source 2: access detail is retained in the source catalogue.
Source 3: indexed excerpt; full</x:v>
      </x:c>
      <x:c r="P265" s="20" t="n">
        <x:v>1</x:v>
      </x:c>
      <x:c r="Q265" s="4" t="str">
        <x:v>South Asia</x:v>
      </x:c>
      <x:c r="R265" s="4" t="str">
        <x:v>Included</x:v>
      </x:c>
    </x:row>
    <x:row r="266" ht="409" hidden="0" customHeight="1">
      <x:c r="A266" s="16" t="str">
        <x:v>SA004</x:v>
      </x:c>
      <x:c r="B266" s="4" t="str">
        <x:v>Torkham COVID closure and phased exceptions</x:v>
      </x:c>
      <x:c r="C266" s="4" t="str">
        <x:v>Pakistan; Afghanistan</x:v>
      </x:c>
      <x:c r="D266" s="4" t="str">
        <x:v>Torkham
Passenger and trade movement initially restricted</x:v>
      </x:c>
      <x:c r="E266" s="4" t="str">
        <x:v>Passenger and trade movement initially restricted
Direction: Both directions
Exceptions: Afghan returnees from Pakistan on 6–9 April; subsequent scheduled Pakistan-to-Afghanistan cargo. Later May schedule retained from baseline.</x:v>
      </x:c>
      <x:c r="F266" s="4" t="str">
        <x:v>SA004-D1 — Observed operation
Afghan nationals returning on foot from Pakistan through Torkham, to observed April 6 admission.
Start: 2020-03-16.
Observed scoped reopening: 2020-04-06.
21 calendar-day difference; scoped endpoint only</x:v>
      </x:c>
      <x:c r="G26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66" s="4" t="str">
        <x:v>SA004-D1: The planned two-week expiry is not used. Vehicles and ordinary unrestricted passenger travel were not restored; cargo resumed later on its own schedule. The imposing policy was Pakistani, not an Afghan closure order.</x:v>
      </x:c>
      <x:c r="I266" s="4" t="str">
        <x:v>Second full-register audit, 26 October 2026: qualified. Fresh official closure notice and Xinhua operational account corroborate the 16 March–6 April Afghan returnee interval.</x:v>
      </x:c>
      <x:c r="J266" s="18" t="d">
        <x:v>2026-10-26T00:00:00.000Z</x:v>
      </x:c>
      <x:c r="K266" s="21" t="str">
        <x:f>IFERROR(HYPERLINK("https://www.euaa.europa.eu/sites/default/files/publications/05_2020_EASO_COI_Report_Pakistan_Situation_of_Afghan_Refugees.pdf","EUAA / EASO"),"EUAA / EASO")</x:f>
        <x:v>EUAA / EASO</x:v>
      </x:c>
      <x:c r="L266" s="21" t="str">
        <x:f>IFERROR(HYPERLINK("https://mofa.gov.pk/press-release-260","Pakistan Ministry of Foreign Affairs"),"Pakistan Ministry of Foreign Affairs")</x:f>
        <x:v>Pakistan Ministry of Foreign Affairs</x:v>
      </x:c>
      <x:c r="M266" s="21" t="str">
        <x:f>IFERROR(HYPERLINK("https://www.radio.gov.pk/16-03-2020/pak-afghan-border-at-torkham-closed-for-two-weeks-as-preventive-measure-against-coronavirus","Radio Pakistan"),"Radio Pakistan")</x:f>
        <x:v>Radio Pakistan</x:v>
      </x:c>
      <x:c r="N266" s="4" t="str">
        <x:v>https://www.euaa.europa.eu/sites/default/files/publications/05_2020_EASO_COI_Report_Pakistan_Situation_of_Afghan_Refugees.pdf
https://mofa.gov.pk/press-release-260
https://www.radio.gov.pk/16-03-2020/pak-afghan-border-at-torkham-closed-for-two-weeks-as-preventive-measure-against-coronavirus
https://pajhwok.com/2020/04/06/thousands-flock-torkham-durand-line-reopens/
https://www.xinhuanet.com/english/2020-04/06/c_138951408.htm
https://www.arabnews.com/node/1656666/pakistan
https://www.radio.gov.pk/16-05-2020/govt-announces-opening-of-pak-afghan-border-at-torkham-chaman-posts
https://pid.gov.pk/site/press_detail/13953
https://data.unhcr.org/en/documents/download/76964
https://www.dawn.com/news/1582369/pedestrians-allowed-cross-border-movement-at-torkham
https://www.arabnews.pk/pakistan/pak-afghan-border-to-open-thrice-a-week-for-cargo-trucks-officials-1656666</x:v>
      </x:c>
      <x:c r="O266" s="4" t="str">
        <x:v>Second full-register audit source access, 26 October 2026
https://www.radio.gov.pk/16-03-2020/pak-afghan-border-at-torkham-closed-for-two-weeks-as-preventive-measure-against-coronavirus: full text (fresh retrieval)
https://www.xinhuanet.com/english/2020-04/06/c_138951408.htm: full text (fresh retrieval)
Earlier URLs not separately inspected in this second assessment:
https://www.euaa.europa.eu/sites/default/files/publications/05_2020_EASO_COI_Report_Pakistan_Situation_of_Afghan_Refugees.pdf
https://mofa.gov.pk/press-release-260
https://pajhwok.com/2020/04/06/thousands-flock-torkham-durand-line-reopens/
https://www.arabnews.com/node/1656666/pakistan
https://www.radio.gov.pk/16-05-2020/govt-announces-opening-of-pak-afghan-border-at-torkham-chaman-posts
https://pid.gov.pk/site/press_detail/13953
https://data.unhcr.org/en/documents/download/76964
https://www.dawn.com/news/1582369/pedestrians-allowed-cross-border-movement-at-torkham
https://www.arabnews.pk/pakistan/pak-afghan-border-to-open-thrice-a-week-for-cargo-trucks-officials-1656666
Prior audit access record
Full-register audit source access (evidence cutoff 25 October 2026)
https://www.radio.gov.pk/16-03-2020/pak-afghan-border-at-torkham-closed-for-two-weeks-as-preventive-measure-against-coronavirus: full text — Use only for described time and movement scope.
https://www.xinhuanet.com/english/2020-04/06/c_138951408.htm: full text — Use only for described time and movement scope.
https://www.arabnews.pk/pakistan/pak-afghan-border-to-open-thrice-a-week-for-cargo-trucks-officials-1656666: full text — Use only for described time and movement scope.
https://www.radio.gov.pk/16-05-2020/govt-announces-opening-of-pak-afghan-border-at-torkham-chaman-posts: full text — Use only for described time and movement scope.
Earlier source URLs not separately listed in this audit’s retrieval log (historical access notes below are not fresh verification):
https://www.euaa.europa.eu/sites/default/files/publications/05_2020_EASO_COI_Report_Pakistan_Situation_of_Afghan_Refugees.pdf
https://mofa.gov.pk/press-release-260
https://pajhwok.com/2020/04/06/thousands-flock-torkham-durand-line-reopens/
https://www.arabnews.com/node/1656666/pakistan
https://pid.gov.pk/site/press_detail/13953
https://data.unhcr.org/en/documents/download/76964
https://www.dawn.com/news/1582369/pedestrians-allowed-cross-border-movement-at-torkham
Earlier recorded access
Source 1: full PDF text
Source 2: search extract
Source 3: full page</x:v>
      </x:c>
      <x:c r="P266" s="20" t="n">
        <x:v>1</x:v>
      </x:c>
      <x:c r="Q266" s="4" t="str">
        <x:v>South Asia</x:v>
      </x:c>
      <x:c r="R266" s="4" t="str">
        <x:v>Included</x:v>
      </x:c>
    </x:row>
    <x:row r="267" ht="409" hidden="0" customHeight="1">
      <x:c r="A267" s="16" t="str">
        <x:v>SA020</x:v>
      </x:c>
      <x:c r="B267" s="4" t="str">
        <x:v>Bhutan COVID international land-crossing closure</x:v>
      </x:c>
      <x:c r="C267" s="4" t="str">
        <x:v>Bhutan; India</x:v>
      </x:c>
      <x:c r="D267" s="4" t="str">
        <x:v>International land gates to India
Ordinary cross-border travel</x:v>
      </x:c>
      <x:c r="E267" s="4" t="str">
        <x:v>Ordinary cross-border travel
Direction: Both directions
Exceptions: Bhutanese could enter with screening and two-week quarantine; foreigners could exit. Goods were outside this ordinary-travel record.</x:v>
      </x:c>
      <x:c r="F267" s="4" t="str">
        <x:v>SA020-D1 — Formal policy
National formal suspension/restoration framework for ordinary daily Indian border-town worker approvals, subject to local gate rollout.
Start: 2020-03-23.
Policy endpoint: 2022-09-23.
Formal policy: 914 calendar-day difference; operational continuity not established</x:v>
      </x:c>
      <x:c r="G26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67" s="4" t="str">
        <x:v>September 23, 2022 worker approvals are a national formal-policy endpoint, not every locality's reopening; Jomotshangkha dayworker access separately restored July 1, 2023.
SA020-D1: September 23, 2022 is national approval restoration, not every town's physical or legal reopening. Jomotshangkha dayworkers separately opened July 1, 2023. Earlier quarantined Bhutanese returns, foreign departures and imported resident-worker schemes are excluded.</x:v>
      </x:c>
      <x:c r="I267" s="4" t="str">
        <x:v>Second full-register audit, 26 October 2026: qualified. The qualified national worker-approval endpoint remains defensible; local dayworker rollout must stay separate and is already disclosed.</x:v>
      </x:c>
      <x:c r="J267" s="18" t="d">
        <x:v>2026-10-26T00:00:00.000Z</x:v>
      </x:c>
      <x:c r="K267" s="21" t="str">
        <x:f>IFERROR(HYPERLINK("https://www.moha.gov.bt/?p=3199","moha.gov.bt"),"moha.gov.bt")</x:f>
        <x:v>moha.gov.bt</x:v>
      </x:c>
      <x:c r="L267" s="21" t="str">
        <x:f>IFERROR(HYPERLINK("https://www.moice.gov.bt/?p=260755","moice.gov.bt"),"moice.gov.bt")</x:f>
        <x:v>moice.gov.bt</x:v>
      </x:c>
      <x:c r="M267" s="21" t="str">
        <x:f>IFERROR(HYPERLINK("https://www.doi.gov.bt/?lang=en&amp;p=1732","doi.gov.bt"),"doi.gov.bt")</x:f>
        <x:v>doi.gov.bt</x:v>
      </x:c>
      <x:c r="N267" s="4" t="str">
        <x:v>https://www.moha.gov.bt/?p=3199
https://www.moice.gov.bt/?p=260755
https://www.doi.gov.bt/?lang=en&amp;p=1732
https://www.buddhistdoor.net/news/bhutan-announces-closure-of-border-crossings/
https://www.doi.gov.bt/?lang=en&amp;p=2085
https://www.moice.gov.bt/?et_blog=&amp;page_id=244011&amp;paged=7
https://www.moice.gov.bt/?p=266713
https://www.mfa.gov.bt/his-majestys-address-to-the-nation-on-22-march-2020/
https://www.doi.gov.bt/?lang=en&amp;p=1771
https://parliament.bt/uploads/topics/16920957308460.pdf
https://bhutan.travel/journal/news/bhutan-reopening
https://www.moice.gov.bt/?p=260761
https://www.moha.gov.bt/?p=4580</x:v>
      </x:c>
      <x:c r="O267" s="4" t="str">
        <x:v>Second full-register audit source access, 26 October 2026
https://www.buddhistdoor.net/news/bhutan-announces-closure-of-border-crossings/: full text (fresh retrieval)
https://www.moice.gov.bt/?p=260761: search extract (fresh retrieval) — Direct Bhutan pages timeout; inspected indexed official body and dated archive
https://www.moice.gov.bt/?p=266713: search extract (fresh retrieval) — Direct page timeout; indexed body inspected
Earlier URLs not separately inspected in this second assessment:
https://www.moha.gov.bt/?p=3199
https://www.moice.gov.bt/?p=260755
https://www.doi.gov.bt/?lang=en&amp;p=1732
https://www.doi.gov.bt/?lang=en&amp;p=2085
https://www.moice.gov.bt/?et_blog=&amp;page_id=244011&amp;paged=7
https://www.mfa.gov.bt/his-majestys-address-to-the-nation-on-22-march-2020/
https://www.doi.gov.bt/?lang=en&amp;p=1771
https://parliament.bt/uploads/topics/16920957308460.pdf
https://bhutan.travel/journal/news/bhutan-reopening
https://www.moha.gov.bt/?p=4580
Prior audit access record
Full-register audit source access (evidence cutoff 25 October 2026)
https://www.moha.gov.bt/?p=3199: search extract — Direct access failed; exception attachment not inspected.
https://www.moice.gov.bt/?p=260755: search extract — Direct access failed.
https://www.moice.gov.bt/?p=266713: search extract — Direct access failed.
https://www.buddhistdoor.net/news/bhutan-announces-closure-of-border-crossings/: full text — Does not establish all-person continuous closure.
https://www.moha.gov.bt/?p=4580: search extract — Does not establish all-person continuous closure.
Earlier source URLs not separately listed in this audit’s retrieval log (historical access notes below are not fresh verification):
https://www.doi.gov.bt/?lang=en&amp;p=1732
https://www.doi.gov.bt/?lang=en&amp;p=2085
https://www.moice.gov.bt/?et_blog=&amp;page_id=244011&amp;paged=7
https://www.mfa.gov.bt/his-majestys-address-to-the-nation-on-22-march-2020/
https://www.doi.gov.bt/?lang=en&amp;p=1771
https://parliament.bt/uploads/topics/16920957308460.pdf
https://bhutan.travel/journal/news/bhutan-reopening
https://www.moice.gov.bt/?p=260761
Earlier recorded access
Source 1: indexed excerpt
Source 2: indexed excerpt
Source 3: failed</x:v>
      </x:c>
      <x:c r="P267" s="20" t="n">
        <x:v>1</x:v>
      </x:c>
      <x:c r="Q267" s="4" t="str">
        <x:v>South Asia</x:v>
      </x:c>
      <x:c r="R267" s="4" t="str">
        <x:v>Included</x:v>
      </x:c>
    </x:row>
    <x:row r="268" ht="409" hidden="0" customHeight="1">
      <x:c r="A268" s="16" t="str">
        <x:v>SA021</x:v>
      </x:c>
      <x:c r="B268" s="4" t="str">
        <x:v>Nepal national COVID land-border closure</x:v>
      </x:c>
      <x:c r="C268" s="4" t="str">
        <x:v>Nepal; India; China</x:v>
      </x:c>
      <x:c r="D268" s="4" t="str">
        <x:v>All national land-border points
Cross-border passenger movement</x:v>
      </x:c>
      <x:c r="E268" s="4" t="str">
        <x:v>Cross-border passenger movement
Direction: Both directions
Exceptions: Emergency crossings and Nepalese Indian-Army pensioner windows occurred during closure. January 2021 easing retained foreign-entry permission requirements.
The operational phase is narrower: Indian tourist passenger vehicles entering Nepal at Raxaul–Birgunj; essential supplies and authorised returnees are excluded.</x:v>
      </x:c>
      <x:c r="F268" s="4" t="str">
        <x:v>SA021-R1 — Announced window
Initial cabinet schedule as announced for Nepal-side human movement across India and China land borders; essential goods excepted
Start: 2020-03-23.
Scheduled endpoint: 2020-03-30.
Ordered window: 7 calendar-day difference; actual end not established
SA021-C1 — Announced window
March 29 cabinet extension of Nepal-side ordinary passenger border seal, with stranded Nepalese return authorization and essential-goods exception
Start: 2020-03-29.
Scheduled endpoint: 2020-04-07.
Ordered window: 9 calendar-day difference; actual end not established
SA021-AUDIT20261026-1 — Observed operation
Indian tourist passenger vehicles entering Nepal at Raxaul–Birgunj.
Start bound: 2020-03-01 to 2020-03-31 (source states March 2020; exact day unknown).
Observed scoped reopening: 2021-10-01.
549–579 calendar-day difference; strict greater-than-24-hour eligibility: yes.</x:v>
      </x:c>
      <x:c r="G268" s="4" t="str">
        <x:v>Health and biosecurity / Human disease control
Attributed government COVID-19 explanation in contemporary OnlineKhabar and Kathmandu Post reporting
Applies to: the two national announced windows and the Raxaul–Birgunj Indian tourist-vehicle phase
The restriction was imposed to limit pandemic transmission.</x:v>
      </x:c>
      <x:c r="H268" s="4" t="str">
        <x:v>SA021-R1: Original one-week schedule from March 23 at 10:00 implies March 30 at 10:00; no actual opening or final policy expiry. March 29 cabinet report extends border seal to April 7 and authorizes stranded Nepalese returnees. This later amendment supersedes the initial schedule and must be shown as a linked phase; do not count initial schedule as observed closure.
SA021-C1: Amendment announcement window, overlapping and superseding SA021-R1; not observed closure-days, no actual April 7 reopening inferred, and authorized returns not assumed implemented everywhere.
SA021-AUDIT20261026-1: The Kathmandu Post explicitly places the closure in March 2020 and describes the first overland Indian tourists in one and a half years, arriving at Raxaul–Birgunj on 1 October 2021. This supports a sustained restriction for Indian tourist vehicles, with month-level onset. It is not a calculation back from the approximate phrase alone, and does not establish 23 March as this gate’s exact operational start. Air tourism, essential supplies, authorised returnees and other crossings are outside this phase. The September cabinet decision preceded actual local restoration.</x:v>
      </x:c>
      <x:c r="I268" s="4" t="str">
        <x:v>Second full-register audit, 26 October 2026: additional source-audited corrections incorporated. See the phase, scope and qualification columns for the accepted findings.</x:v>
      </x:c>
      <x:c r="J268" s="18" t="d">
        <x:v>2026-10-26T00:00:00.000Z</x:v>
      </x:c>
      <x:c r="K268" s="21" t="str">
        <x:f>IFERROR(HYPERLINK("https://kathmandupost.com/2/2020/03/22/government-to-close-down-border-with-india-and-china-for-a-week","Kathmandu Post"),"Kathmandu Post")</x:f>
        <x:v>Kathmandu Post</x:v>
      </x:c>
      <x:c r="L268" s="21" t="str">
        <x:f>IFERROR(HYPERLINK("https://english.onlinekhabar.com/nepal-seals-all-border-points-for-one-week.html","OnlineKhabar"),"OnlineKhabar")</x:f>
        <x:v>OnlineKhabar</x:v>
      </x:c>
      <x:c r="M268" s="21" t="str">
        <x:f>IFERROR(HYPERLINK("https://english.onlinekhabar.com/nepal-extends-lockdown-until-april-7-international-flight-suspension-until-april-15.html","OnlineKhabar"),"OnlineKhabar")</x:f>
        <x:v>OnlineKhabar</x:v>
      </x:c>
      <x:c r="N268" s="4" t="str">
        <x:v>https://kathmandupost.com/2/2020/03/22/government-to-close-down-border-with-india-and-china-for-a-week
https://english.onlinekhabar.com/nepal-seals-all-border-points-for-one-week.html
https://english.onlinekhabar.com/nepal-extends-lockdown-until-april-7-international-flight-suspension-until-april-15.html
https://english.nepalpress.com/2021/01/30/nepal-india-border-reopened-with-restrictions/
https://thehimalayantimes.com/nepal/kakadbhitta-border-point-yet-to-open
https://timesofindia.indiatimes.com/city/dehradun/movement-across-india-nepal-border-along-ukhand-resumes-after-10-months-as-india-also-opens-its-side-of-suspension-bridges-at-border/articleshow/80712529.cms
https://pmc.ncbi.nlm.nih.gov/articles/PMC9321054/
https://kathmandupost.com/money/2021/10/01/nepal-reopens-border-to-overland-visitors-from-india</x:v>
      </x:c>
      <x:c r="O268" s="4" t="str">
        <x:v>Second full-register audit source access, 26 October 2026
https://english.onlinekhabar.com/nepal-seals-all-border-points-for-one-week.html: full text (fresh retrieval)
https://english.onlinekhabar.com/nepal-extends-lockdown-until-april-7-international-flight-suspension-until-april-15.html: full text (fresh retrieval)
https://kathmandupost.com/money/2021/10/01/nepal-reopens-border-to-overland-visitors-from-india: full text (fresh retrieval) — Updated October 2; no exact March day or all-gate endpoint
Earlier URLs not separately inspected in this second assessment:
https://kathmandupost.com/2/2020/03/22/government-to-close-down-border-with-india-and-china-for-a-week
https://english.nepalpress.com/2021/01/30/nepal-india-border-reopened-with-restrictions/
https://thehimalayantimes.com/nepal/kakadbhitta-border-point-yet-to-open
https://timesofindia.indiatimes.com/city/dehradun/movement-across-india-nepal-border-along-ukhand-resumes-after-10-months-as-india-also-opens-its-side-of-suspension-bridges-at-border/articleshow/80712529.cms
https://pmc.ncbi.nlm.nih.gov/articles/PMC9321054/
Prior audit access record
Full-register audit source access (evidence cutoff 25 October 2026)
https://kathmandupost.com/2/2020/03/22/government-to-close-down-border-with-india-and-china-for-a-week: full text — Announced window, not measured operations.
https://kathmandupost.com/money/2021/10/01/nepal-reopens-border-to-overland-visitors-from-india: full text — Does not establish all gates reopened.
https://english.onlinekhabar.com/nepal-extends-lockdown-until-april-7-international-flight-suspension-until-april-15.html: full text — Announcement, not observed nationwide implementation or April 7 reopening.
Earlier source URLs not separately listed in this audit’s retrieval log (historical access notes below are not fresh verification):
https://english.onlinekhabar.com/nepal-seals-all-border-points-for-one-week.html
https://english.nepalpress.com/2021/01/30/nepal-india-border-reopened-with-restrictions/
https://thehimalayantimes.com/nepal/kakadbhitta-border-point-yet-to-open
https://timesofindia.indiatimes.com/city/dehradun/movement-across-india-nepal-border-along-ukhand-resumes-after-10-months-as-india-also-opens-its-side-of-suspension-bridges-at-border/articleshow/80712529.cms
https://pmc.ncbi.nlm.nih.gov/articles/PMC9321054/
Earlier recorded access
Source 1: indexed excerpt; full
Source 2: indexed excerpt; full; full text
Source 3: full; full text</x:v>
      </x:c>
      <x:c r="P268" s="20" t="n">
        <x:v>3</x:v>
      </x:c>
      <x:c r="Q268" s="4" t="str">
        <x:v>South Asia</x:v>
      </x:c>
      <x:c r="R268" s="4" t="str">
        <x:v>Included</x:v>
      </x:c>
    </x:row>
    <x:row r="269" ht="409" hidden="0" customHeight="1">
      <x:c r="A269" s="16" t="str">
        <x:v>SA024</x:v>
      </x:c>
      <x:c r="B269" s="4" t="str">
        <x:v>Bangladesh restricts land passengers from India during COVID surge</x:v>
      </x:c>
      <x:c r="C269" s="4" t="str">
        <x:v>Bangladesh; India</x:v>
      </x:c>
      <x:c r="D269" s="4" t="str">
        <x:v>India-facing land ports
Passengers, especially entry from India</x:v>
      </x:c>
      <x:c r="E269" s="4" t="str">
        <x:v>Passengers, especially entry from India
Direction: Both directions
Exceptions: Goods continued; approved Bangladeshi returnees through designated ports with tests/quarantine</x:v>
      </x:c>
      <x:c r="F269" s="4" t="str">
        <x:v>SA024-D1 — Formal policy
Bangladesh's special-authorisation restriction on land-passenger admission at the six already-operating ports covered by the September 16 statement.
Start: 2021-04-26.
Policy endpoint: 2021-09-16.
Formal policy: 143 calendar-day difference; operational continuity not established</x:v>
      </x:c>
      <x:c r="G26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69" s="4" t="str">
        <x:v>SA024-D1: This measures an admission-permission regime, not physically sealed gates: authorised returnees and cargo already crossed. Five other ports had a later scheduled phase and are excluded; first ordinary traffic is not independently observed.</x:v>
      </x:c>
      <x:c r="I269" s="4" t="str">
        <x:v>Second full-register audit, 26 October 2026: qualified. April 26–September 16 special-authorisation regime matches contemporary reports; later ports, cargo and authorised returnees remain correctly separated.</x:v>
      </x:c>
      <x:c r="J269" s="18" t="d">
        <x:v>2026-10-26T00:00:00.000Z</x:v>
      </x:c>
      <x:c r="K269" s="21" t="str">
        <x:f>IFERROR(HYPERLINK("https://www.thedailystar.net/frontpage/news/border-india-shut-14-days-2083717","Daily Star"),"Daily Star")</x:f>
        <x:v>Daily Star</x:v>
      </x:c>
      <x:c r="L269" s="21" t="str">
        <x:f>IFERROR(HYPERLINK("https://www.thedailystar.net/nrb/departure-arrival/travel-advisory/news/bangladesh-lifts-restrictions-cross-border-travel-and-india-2177566","Daily Star"),"Daily Star")</x:f>
        <x:v>Daily Star</x:v>
      </x:c>
      <x:c r="M269" s="21" t="str">
        <x:f>IFERROR(HYPERLINK("https://www.aa.com.tr/en/asia-pacific/bangladesh-extends-border-lockdown-with-india/2251062","Anadolu"),"Anadolu")</x:f>
        <x:v>Anadolu</x:v>
      </x:c>
      <x:c r="N269" s="4" t="str">
        <x:v>https://www.thedailystar.net/frontpage/news/border-india-shut-14-days-2083717
https://www.thedailystar.net/nrb/departure-arrival/travel-advisory/news/bangladesh-lifts-restrictions-cross-border-travel-and-india-2177566
https://www.aa.com.tr/en/asia-pacific/bangladesh-extends-border-lockdown-with-india/2251062
https://www.unb.com.bd/category/Bangladesh/border-with-india-to-remain-shut-for-14-days-fm/68086</x:v>
      </x:c>
      <x:c r="O269" s="4" t="str">
        <x:v>Second full-register audit source access, 26 October 2026
https://www.thedailystar.net/frontpage/news/border-india-shut-14-days-2083717: full text (fresh retrieval) — Updated April 26; today refers to updated operative date
https://www.thedailystar.net/nrb/departure-arrival/travel-advisory/news/bangladesh-lifts-restrictions-cross-border-travel-and-india-2177566: full text (fresh retrieval) — Five additional ports only scheduled September 19
Earlier URLs not separately inspected in this second assessment:
https://www.aa.com.tr/en/asia-pacific/bangladesh-extends-border-lockdown-with-india/2251062
https://www.unb.com.bd/category/Bangladesh/border-with-india-to-remain-shut-for-14-days-fm/68086
Prior audit access record
Full-register audit source access (evidence cutoff 25 October 2026)
https://www.thedailystar.net/frontpage/news/border-india-shut-14-days-2083717: full text — Page publication 25 April/update 26 April; operative today reference follows 26 April update.
https://www.thedailystar.net/nrb/departure-arrival/travel-advisory/news/bangladesh-lifts-restrictions-cross-border-travel-and-india-2177566: full text — First actual passenger not individually observed.
Earlier source URLs not separately listed in this audit’s retrieval log (historical access notes below are not fresh verification):
https://www.aa.com.tr/en/asia-pacific/bangladesh-extends-border-lockdown-with-india/2251062
https://www.unb.com.bd/category/Bangladesh/border-with-india-to-remain-shut-for-14-days-fm/68086
Earlier recorded access
Source 1: full page
Source 2: full page
Source 3: search extract</x:v>
      </x:c>
      <x:c r="P269" s="20" t="n">
        <x:v>1</x:v>
      </x:c>
      <x:c r="Q269" s="4" t="str">
        <x:v>South Asia</x:v>
      </x:c>
      <x:c r="R269" s="4" t="str">
        <x:v>Included</x:v>
      </x:c>
    </x:row>
    <x:row r="270" ht="409" hidden="0" customHeight="1">
      <x:c r="A270" s="16" t="str">
        <x:v>SA005</x:v>
      </x:c>
      <x:c r="B270" s="4" t="str">
        <x:v>Torkham renewed COVID passenger suspension</x:v>
      </x:c>
      <x:c r="C270" s="4" t="str">
        <x:v>Pakistan; Afghanistan</x:v>
      </x:c>
      <x:c r="D270" s="4" t="str">
        <x:v>Torkham
Immigration departures and arrivals</x:v>
      </x:c>
      <x:c r="E270" s="4" t="str">
        <x:v>Immigration departures and arrivals
Direction: Both directions
Exceptions: Cargo continued; student and specially permitted travel occurred during the broader restriction.</x:v>
      </x:c>
      <x:c r="F270" s="4" t="str">
        <x:v>SA005-D1 — Observed operation
Pakistani-side ordinary non-exempt Afghan passenger admission at Torkham during the renewed July restriction.
Start: 2021-07-06.
Observed scoped reopening: 2021-10-21.
107 calendar-day difference; scoped endpoint only</x:v>
      </x:c>
      <x:c r="G27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70" s="4" t="str">
        <x:v>SA005-D1: This selected tightening is not the original pandemic onset. Cargo, students, medical/specially authorised travellers and return-home movements are excluded. The Taliban's separate September pedestrian closure is not added to these overlapping policy days.</x:v>
      </x:c>
      <x:c r="I270" s="4" t="str">
        <x:v>Second full-register audit, 26 October 2026: qualified. July tightening and October visa-holder restoration remain supported; cargo and authorized returnees prevent interpreting this as a total frontier closure.</x:v>
      </x:c>
      <x:c r="J270" s="18" t="d">
        <x:v>2026-10-26T00:00:00.000Z</x:v>
      </x:c>
      <x:c r="K270" s="21" t="str">
        <x:f>IFERROR(HYPERLINK("https://tribune.com.pk/story/2309069/torkham-border-shut-to-stem-covid-spread","Express Tribune"),"Express Tribune")</x:f>
        <x:v>Express Tribune</x:v>
      </x:c>
      <x:c r="L270" s="21" t="str">
        <x:f>IFERROR(HYPERLINK("https://www.dawn.com/news/1653248","Dawn"),"Dawn")</x:f>
        <x:v>Dawn</x:v>
      </x:c>
      <x:c r="M270" s="21" t="str">
        <x:f>IFERROR(HYPERLINK("https://www.pakistantoday.com.pk/2021/10/23/torkham-border-crossing-reopens","Pakistan Today"),"Pakistan Today")</x:f>
        <x:v>Pakistan Today</x:v>
      </x:c>
      <x:c r="N270" s="4" t="str">
        <x:v>https://tribune.com.pk/story/2309069/torkham-border-shut-to-stem-covid-spread
https://www.dawn.com/news/1653248
https://www.pakistantoday.com.pk/2021/10/23/torkham-border-crossing-reopens
https://www.khaama.com/torkham-border-closed-for-all-types-of-immigration-687678/
https://www.app.com.pk/national/pakistan-closes-torkham-border-due-to-covid-19-pandemic/
https://www.brecorder.com/news/40105592/torkham-border-sealed
https://u.aa.com.tr/en/asia-pacific/taliban-closes-afghanistans-main-crossing-point-with-pakistan-for-pedestrians/2363241
https://www.radio.gov.pk/13-10-2021/afghan-students-with-valid-visas-admissions-can-arrive-in-pakistan-via-torkham
https://pajhwok.com/2021/10/21/torkham-gate-reopens-for-visa-holders-after-long-closure/
https://pajhwok.com/2021/07/06/pakistan-closes-torkham-border-crossing/
https://www.dawn.com/news/1653248/pedestrian-movement-resumes-at-torkham-border
https://www.aa.com.tr/en/asia-pacific/pakistan-reopens-border-with-afghanistan-for-pedestrians/2364348</x:v>
      </x:c>
      <x:c r="O270" s="4" t="str">
        <x:v>Second full-register audit source access, 26 October 2026
https://www.app.com.pk/national/pakistan-closes-torkham-border-due-to-covid-19-pandemic/: full text (fresh retrieval)
https://www.brecorder.com/news/40105592/torkham-border-sealed: full text (fresh retrieval)
https://pajhwok.com/2021/10/21/torkham-gate-reopens-for-visa-holders-after-long-closure/: search extract (fresh retrieval) — Only public lead visible; full article paywalled.
https://www.aa.com.tr/en/asia-pacific/pakistan-reopens-border-with-afghanistan-for-pedestrians/2364348: full text (fresh retrieval)
https://www.dawn.com/news/1653248/pedestrian-movement-resumes-at-torkham-border: full text (fresh retrieval)
Earlier URLs not separately inspected in this second assessment:
https://tribune.com.pk/story/2309069/torkham-border-shut-to-stem-covid-spread
https://www.dawn.com/news/1653248
https://www.pakistantoday.com.pk/2021/10/23/torkham-border-crossing-reopens
https://www.khaama.com/torkham-border-closed-for-all-types-of-immigration-687678/
https://u.aa.com.tr/en/asia-pacific/taliban-closes-afghanistans-main-crossing-point-with-pakistan-for-pedestrians/2363241
https://www.radio.gov.pk/13-10-2021/afghan-students-with-valid-visas-admissions-can-arrive-in-pakistan-via-torkham
https://pajhwok.com/2021/07/06/pakistan-closes-torkham-border-crossing/
Prior audit access record
Full-register audit source access (evidence cutoff 25 October 2026)
https://www.app.com.pk/national/pakistan-closes-torkham-border-due-to-covid-19-pandemic/: full text — Use only for described time and movement scope.
https://pajhwok.com/2021/10/21/torkham-gate-reopens-for-visa-holders-after-long-closure/: search extract — Visible lead only; full article paywalled.
https://www.dawn.com/news/1653248/pedestrian-movement-resumes-at-torkham-border: full text — Use only for described time and movement scope.
https://www.brecorder.com/news/40105592/torkham-border-sealed: search extract — Use only for described time and movement scope.
https://www.radio.gov.pk/13-10-2021/afghan-students-with-valid-visas-admissions-can-arrive-in-pakistan-via-torkham: full text — Use only for described time and movement scope.
https://www.khaama.com/torkham-border-closed-for-all-types-of-immigration-687678/: search extract — Use only for described time and movement scope.
Earlier source URLs not separately listed in this audit’s retrieval log (historical access notes below are not fresh verification):
https://tribune.com.pk/story/2309069/torkham-border-shut-to-stem-covid-spread
https://www.dawn.com/news/1653248
https://www.pakistantoday.com.pk/2021/10/23/torkham-border-crossing-reopens
https://u.aa.com.tr/en/asia-pacific/taliban-closes-afghanistans-main-crossing-point-with-pakistan-for-pedestrians/2363241
https://pajhwok.com/2021/07/06/pakistan-closes-torkham-border-crossing/
Earlier recorded access
Source 1: search-indexed full article; page blocked
Source 2: full page
Source 3: full page</x:v>
      </x:c>
      <x:c r="P270" s="20" t="n">
        <x:v>1</x:v>
      </x:c>
      <x:c r="Q270" s="4" t="str">
        <x:v>South Asia</x:v>
      </x:c>
      <x:c r="R270" s="4" t="str">
        <x:v>Included</x:v>
      </x:c>
    </x:row>
    <x:row r="271" ht="409" hidden="0" customHeight="1">
      <x:c r="A271" s="16" t="str">
        <x:v>SA007</x:v>
      </x:c>
      <x:c r="B271" s="4" t="str">
        <x:v>Taliban Chaman closure over entry-document dispute, August 2021</x:v>
      </x:c>
      <x:c r="C271" s="4" t="str">
        <x:v>Pakistan; Afghanistan</x:v>
      </x:c>
      <x:c r="D271" s="4" t="str">
        <x:v>Chaman / Spin Boldak
People and goods</x:v>
      </x:c>
      <x:c r="E271" s="4" t="str">
        <x:v>People and goods
Direction: Both directions
Exceptions: Not established</x:v>
      </x:c>
      <x:c r="F271" s="4" t="str">
        <x:v>SA007-D1 — Observed operation
Ordinary Afghan/Pakistani returnee pedestrian passage at Chaman during the Taliban document-dispute closure.
Start: 2021-08-06.
Observed scoped reopening: 2021-08-11 to 2021-08-13.
5–7 calendar-day difference; scoped endpoint only</x:v>
      </x:c>
      <x:c r="G271" s="4" t="str">
        <x:v>Migration / Admission and document disputes
Reported reason
Applies to: August 2021 Taliban closure
The recorded rationale and claim assessment support the selected subcategories. All applicable broad categories are retained together; no primary rationale is imposed.
Interstate disputes and pressure / Sanctions and coercive pressure
Attributed Taliban justification
Applies to: August 6 closure demand</x:v>
      </x:c>
      <x:c r="H271" s="4" t="str">
        <x:v>August 13 observed returnee resumption supported, but full August 11 report claims earlier actual reopening; retain conflict and bound first restoration August 11–13. Fresh Tribune also reports trucks crossing August 13.
SA007-D1: Reuters’s August 13 shot list/transcript supports returnee movement; its licensed footage was not independently viewed in this round. Geo explicitly reports August 11 actual pedestrian and trade restoration, while Dawn’s August 14 account describes an earlier reopening decision that was not implemented before Friday. The contradiction is preserved: first restoration remains bounded August 11–13, with no assertion of uninterrupted closure through August 13. Goods and unrestricted visitors remain outside this selected phase. The Tribune URL was inaccessible in the current request; earlier successful access is retained only as historical provenance.
end: Whether August 11 movement occurred or report prematurely described decision remains disputed.</x:v>
      </x:c>
      <x:c r="I271" s="4" t="str">
        <x:v>Second full-register audit, 26 October 2026: qualified. The conflicting 11 versus 13 August restoration reports remain genuine; no fresh evidence justifies collapsing the existing bound.</x:v>
      </x:c>
      <x:c r="J271" s="18" t="d">
        <x:v>2026-10-26T00:00:00.000Z</x:v>
      </x:c>
      <x:c r="K271" s="21" t="str">
        <x:f>IFERROR(HYPERLINK("https://www.geo.tv/latest/363861-taliban-close-border-with-pakistan-demand-pakistan-to-scrap-visa-requirements-for-afghans","Geo News"),"Geo News")</x:f>
        <x:v>Geo News</x:v>
      </x:c>
      <x:c r="L271" s="21" t="str">
        <x:f>IFERROR(HYPERLINK("https://www.reutersconnect.com/item/afghans-stranded-in-pakistan-cross-border-after-it-reopens/dGFnOnJldXRlcnMuY29tLDIwMjE6bmV3c21sX1ZBRVE0MzZNRg","Reuters Connect"),"Reuters Connect")</x:f>
        <x:v>Reuters Connect</x:v>
      </x:c>
      <x:c r="M271" s="21" t="str">
        <x:f>IFERROR(HYPERLINK("https://tribune.com.pk/story/2315543/chaman-border-reopens","The Express Tribune"),"The Express Tribune")</x:f>
        <x:v>The Express Tribune</x:v>
      </x:c>
      <x:c r="N271" s="4" t="str">
        <x:v>https://www.geo.tv/latest/363861-taliban-close-border-with-pakistan-demand-pakistan-to-scrap-visa-requirements-for-afghans
https://www.reutersconnect.com/item/afghans-stranded-in-pakistan-cross-border-after-it-reopens/dGFnOnJldXRlcnMuY29tLDIwMjE6bmV3c21sX1ZBRVE0MzZNRg
https://tribune.com.pk/story/2315543/chaman-border-reopens
https://www.geo.tv/latest/364655-pak-afghan-border-at-chaman-reopened-for-pedestrian-trade
https://www.dawn.com/news/amp/1640568
https://www.dawn.com/news/1640568/chaman-border-reopens-after-talks-with-taliban
https://www.thenews.com.pk/print/874273-pakistan-shuts-its-border-at-chaman</x:v>
      </x:c>
      <x:c r="O271" s="4" t="str">
        <x:v>Second full-register audit source access, 26 October 2026
https://www.geo.tv/latest/363861-taliban-close-border-with-pakistan-demand-pakistan-to-scrap-visa-requirements-for-afghans: full text (fresh retrieval)
https://www.geo.tv/latest/364655-pak-afghan-border-at-chaman-reopened-for-pedestrian-trade: full text (fresh retrieval) — Capture chronology in deck is inconsistent; not used for capture date.
https://www.reutersconnect.com/item/afghans-stranded-in-pakistan-cross-border-after-it-reopens/dGFnOnJldXRlcnMuY29tLDIwMjE6bmV3c21sX1ZBRVE0MzZNRg: full text (fresh retrieval) — Text inspected; licensed footage not played.
https://www.dawn.com/news/amp/1640568: full text (fresh retrieval)
Earlier URLs not separately inspected in this second assessment:
https://tribune.com.pk/story/2315543/chaman-border-reopens
https://www.dawn.com/news/1640568/chaman-border-reopens-after-talks-with-taliban
https://www.thenews.com.pk/print/874273-pakistan-shuts-its-border-at-chaman
Prior audit access record
Full-register audit source access (evidence cutoff 25 October 2026)
https://www.geo.tv/latest/363861-taliban-close-border-with-pakistan-demand-pakistan-to-scrap-visa-requirements-for-afghans: full text
https://www.geo.tv/latest/364655-pak-afghan-border-at-chaman-reopened-for-pedestrian-trade: full text
https://www.reutersconnect.com/item/afghans-stranded-in-pakistan-cross-border-after-it-reopens/dGFnOnJldXRlcnMuY29tLDIwMjE6bmV3c21sX1ZBRVE0MzZNRg: full text — Text inspected; footage not independently viewed
https://www.dawn.com/news/1640568/chaman-border-reopens-after-talks-with-taliban: full text
https://tribune.com.pk/story/2315543/chaman-border-reopens: inaccessible — 403
Earlier source URLs not separately listed in this audit’s retrieval log (historical access notes below are not fresh verification):
https://www.dawn.com/news/amp/1640568
https://www.thenews.com.pk/print/874273-pakistan-shuts-its-border-at-chaman
Earlier recorded access
Source 1: full page
Source 2: full text
Source 3: unavailable</x:v>
      </x:c>
      <x:c r="P271" s="20" t="n">
        <x:v>1</x:v>
      </x:c>
      <x:c r="Q271" s="4" t="str">
        <x:v>South Asia</x:v>
      </x:c>
      <x:c r="R271" s="4" t="str">
        <x:v>Included</x:v>
      </x:c>
    </x:row>
    <x:row r="272" ht="409" hidden="0" customHeight="1">
      <x:c r="A272" s="16" t="str">
        <x:v>SA006</x:v>
      </x:c>
      <x:c r="B272" s="4" t="str">
        <x:v>Taliban pedestrian closure at Torkham in September 2021</x:v>
      </x:c>
      <x:c r="C272" s="4" t="str">
        <x:v>Pakistan; Afghanistan</x:v>
      </x:c>
      <x:c r="D272" s="4" t="str">
        <x:v>Torkham
Separate Taliban pedestrian interruptions on 13–14 and 23 September 2021</x:v>
      </x:c>
      <x:c r="E272" s="4" t="str">
        <x:v>13–14 September: pedestrian interruption; trade continued. Medical patients and onward evacuees were admitted, and the 14 September restoration covered stranded nationals returning home.
23 September: a separate interruption included Pakistanis entering Afghanistan and a reported trade backlog. Ordinary Afghan admission to Pakistan remained restricted under the separate COVID policy; no blanket goods exemption is asserted for this episode.</x:v>
      </x:c>
      <x:c r="F272" s="4" t="str">
        <x:v>SA006-D1 — Observed operation
Stranded nationals' return-home pedestrian passage at Torkham during the brief Taliban interruption.
Start: 2021-09-13.
Observed scoped reopening: 2021-09-14.
1 calendar-day difference; scoped endpoint only
SA006-AUDIT20261026-1 — Observed operation
Separate Taliban interruption at Torkham, including Pakistani pedestrians entering Afghanistan and a reported trade backlog.
Start: 2021-09-23.
Observed scoped reopening: 2021-09-23.
Same-day interruption; strict greater-than-24-hour eligibility: no. Exact elapsed hours and restoration clock are unresolved.</x:v>
      </x:c>
      <x:c r="G272" s="4" t="str">
        <x:v>Migration / Admission and document disputes
Interstate disputes and pressure / Sanctions and coercive pressure
Attributed explanation from Pakistani officials in Anadolu and the Express Tribune
Applies to: Taliban interruptions on 13–14 and 23 September 2021
Officials described the Taliban interruptions as pressure on Pakistan to permit wider Afghan admission. Pakistan’s continuing COVID entry restrictions explain the dispute; they are separate from the Taliban-imposed short interruptions.</x:v>
      </x:c>
      <x:c r="H272" s="4" t="str">
        <x:v>SA006-D1: Trade, medical and evacuation exceptions are excluded. This one-calendar-date difference is not a measured 24 hours; unrestricted Afghan admission to Pakistan was not restored.
SA006-AUDIT20261026-1: The cited Tribune report dated 24 September concerns the preceding Thursday, 23 September, not the 13–14 September episode. It describes restoration that evening; Dawn places reopening around midday. Both support a separate same-day episode, with no continuous closure bridging the two dates. Ordinary Afghan admission to Pakistan remained restricted by the separate COVID policy.</x:v>
      </x:c>
      <x:c r="I272" s="4" t="str">
        <x:v>Second full-register audit, 26 October 2026: additional source-audited corrections incorporated. See the phase, scope and qualification columns for the accepted findings.</x:v>
      </x:c>
      <x:c r="J272" s="18" t="d">
        <x:v>2026-10-26T00:00:00.000Z</x:v>
      </x:c>
      <x:c r="K272" s="21" t="str">
        <x:f>IFERROR(HYPERLINK("https://www.aa.com.tr/en/asia-pacific/pakistan-reopens-border-with-afghanistan-for-pedestrians/2364348","Anadolu Agency"),"Anadolu Agency")</x:f>
        <x:v>Anadolu Agency</x:v>
      </x:c>
      <x:c r="L272" s="21" t="str">
        <x:f>IFERROR(HYPERLINK("https://u.aa.com.tr/en/asia-pacific/taliban-closes-afghanistans-main-crossing-point-with-pakistan-for-pedestrians/2363241","Anadolu Agency"),"Anadolu Agency")</x:f>
        <x:v>Anadolu Agency</x:v>
      </x:c>
      <x:c r="M272" s="21" t="str">
        <x:f>IFERROR(HYPERLINK("https://tribune.com.pk/story/2321659/taliban-reopen-torkham-border-after-brief-closure","The Express Tribune"),"The Express Tribune")</x:f>
        <x:v>The Express Tribune</x:v>
      </x:c>
      <x:c r="N272" s="4" t="str">
        <x:v>https://www.aa.com.tr/en/asia-pacific/pakistan-reopens-border-with-afghanistan-for-pedestrians/2364348
https://u.aa.com.tr/en/asia-pacific/taliban-closes-afghanistans-main-crossing-point-with-pakistan-for-pedestrians/2363241
https://tribune.com.pk/story/2321659/taliban-reopen-torkham-border-after-brief-closure
https://www.dawn.com/news/amp/1648029
https://www.anews.com.tr/middle-east/2021/09/14/pakistan-reopens-border-with-afghanistan-for-pedestrians
https://www.dawn.com/news/amp/1646234</x:v>
      </x:c>
      <x:c r="O272" s="4" t="str">
        <x:v>Second full-register audit source access, 26 October 2026
https://u.aa.com.tr/en/asia-pacific/taliban-closes-afghanistans-main-crossing-point-with-pakistan-for-pedestrians/2363241: full text (fresh retrieval)
https://www.aa.com.tr/en/asia-pacific/pakistan-reopens-border-with-afghanistan-for-pedestrians/2364348: full text (fresh retrieval)
https://tribune.com.pk/story/2321659/taliban-reopen-torkham-border-after-brief-closure: search extract (fresh retrieval) — Direct page 403; full indexed article inspected.
https://www.dawn.com/news/amp/1648029: search extract (fresh retrieval)
Earlier URLs not separately inspected in this second assessment:
https://www.anews.com.tr/middle-east/2021/09/14/pakistan-reopens-border-with-afghanistan-for-pedestrians
https://www.dawn.com/news/amp/1646234
Prior audit access record
Full-register audit source access (evidence cutoff 25 October 2026)
https://www.aa.com.tr/en/asia-pacific/pakistan-reopens-border-with-afghanistan-for-pedestrians/2364348: full text
https://u.aa.com.tr/en/asia-pacific/taliban-closes-afghanistans-main-crossing-point-with-pakistan-for-pedestrians/2363241: full text
https://tribune.com.pk/story/2321659/taliban-reopen-torkham-border-after-brief-closure: inaccessible — 403; no verification attributed to failed fetch
Earlier source URLs not separately listed in this audit’s retrieval log (historical access notes below are not fresh verification):
https://www.dawn.com/news/amp/1648029
https://www.anews.com.tr/middle-east/2021/09/14/pakistan-reopens-border-with-afghanistan-for-pedestrians
https://www.dawn.com/news/amp/1646234
Earlier recorded access
Source 1: full text
Source 2: full text
Source 3: unavailable</x:v>
      </x:c>
      <x:c r="P272" s="20" t="n">
        <x:v>2</x:v>
      </x:c>
      <x:c r="Q272" s="4" t="str">
        <x:v>South Asia</x:v>
      </x:c>
      <x:c r="R272" s="4" t="str">
        <x:v>Included</x:v>
      </x:c>
    </x:row>
    <x:row r="273" ht="282" hidden="0" customHeight="1">
      <x:c r="A273" s="16" t="str">
        <x:v>SA008</x:v>
      </x:c>
      <x:c r="B273" s="4" t="str">
        <x:v>Chaman October–November 2021 document-dispute closure</x:v>
      </x:c>
      <x:c r="C273" s="4" t="str">
        <x:v>Pakistan; Afghanistan</x:v>
      </x:c>
      <x:c r="D273" s="4" t="str">
        <x:v>Chaman / Spin Boldak
People and goods</x:v>
      </x:c>
      <x:c r="E273" s="4" t="str">
        <x:v>People and goods
Direction: Both directions
Exceptions: Brief medical-patient opening on October 24, followed by renewed closure.</x:v>
      </x:c>
      <x:c r="F273" s="4" t="str">
        <x:v>SA008-D1 — Observed operation
Commercial goods movement through Chaman during the October–November document dispute.
Start: 2021-10-05.
Observed scoped reopening: 2021-11-02.
28 calendar-day difference; scoped endpoint only</x:v>
      </x:c>
      <x:c r="G273" s="4" t="str">
        <x:v>Migration / Admission and document disputes
Reported reason
Applies to: Recorded episode; exact overlap not separately established
The existing rationale assessment also records Pakistani security and COVID concerns. These are retained alongside the admission-document dispute rather than suppressed by a single Migration label.
Security / Unspecified security
Reported reason
Applies to: Recorded episode; exact overlap not separately established
The existing rationale assessment also records Pakistani security and COVID concerns. These are retained alongside the admission-document dispute rather than suppressed by a single Migration label.
Health and biosecurity / Human disease control
Reported reason
Applies to: Recorded episode; exact overlap not separately established
The existing rationale assessment also records Pakistani security and COVID concerns. These are retained alongside the admission-document dispute rather than suppressed by a single Migration label.</x:v>
      </x:c>
      <x:c r="H273" s="4" t="str">
        <x:v>SA008-D1: The medical exception is not ignored but does not constitute commercial freight reopening. Initial imposing-side attribution remains contested. This is not an uninterrupted all-person closure or an adjudication of responsibility.</x:v>
      </x:c>
      <x:c r="I273" s="4" t="str">
        <x:v>Second full-register audit, 26 October 2026: qualified. Fresh sources support October 5–November 2 commercial closure, while medical passage and contested initiating responsibility remain qualified.</x:v>
      </x:c>
      <x:c r="J273" s="18" t="d">
        <x:v>2026-10-26T00:00:00.000Z</x:v>
      </x:c>
      <x:c r="K273" s="21" t="str">
        <x:f>IFERROR(HYPERLINK("https://www.aa.com.tr/en/asia-pacific/key-pak-afghan-border-crossing-reopens/2409499","Anadolu Agency"),"Anadolu Agency")</x:f>
        <x:v>Anadolu Agency</x:v>
      </x:c>
      <x:c r="L273" s="21" t="str">
        <x:f>IFERROR(HYPERLINK("https://www.euronews.com/2021/10/26/us-afghanistan-conflict-pakistan-border","Euronews / Reuters"),"Euronews / Reuters")</x:f>
        <x:v>Euronews / Reuters</x:v>
      </x:c>
      <x:c r="M273" s="21" t="str">
        <x:f>IFERROR(HYPERLINK("https://www.rferl.org/a/afghanistan-pakistan-border-chaman-reopens/31541629.html","rferl.org"),"rferl.org")</x:f>
        <x:v>rferl.org</x:v>
      </x:c>
      <x:c r="N273" s="4" t="str">
        <x:v>https://www.aa.com.tr/en/asia-pacific/key-pak-afghan-border-crossing-reopens/2409499
https://www.euronews.com/2021/10/26/us-afghanistan-conflict-pakistan-border
https://www.rferl.org/a/afghanistan-pakistan-border-chaman-reopens/31541629.html</x:v>
      </x:c>
      <x:c r="O273" s="4" t="str">
        <x:v>Second full-register audit source access, 26 October 2026
https://www.aa.com.tr/en/asia-pacific/key-pak-afghan-border-crossing-reopens/2409499: full text (fresh retrieval)
https://www.euronews.com/2021/10/26/us-afghanistan-conflict-pakistan-border: full text (fresh retrieval)
https://www.rferl.org/a/afghanistan-pakistan-border-chaman-reopens/31541629.html: full text (fresh retrieval)
Prior audit access record
Full-register audit source access (evidence cutoff 25 October 2026)
https://www.aa.com.tr/en/asia-pacific/key-pak-afghan-border-crossing-reopens/2409499: full text
https://www.euronews.com/2021/10/26/us-afghanistan-conflict-pakistan-border: full text
https://www.rferl.org/a/afghanistan-pakistan-border-chaman-reopens/31541629.html: full text
Earlier recorded access
Source 1: full text
Source 2: full text
Source 3: access detail is retained in the source catalogue.</x:v>
      </x:c>
      <x:c r="P273" s="20" t="n">
        <x:v>1</x:v>
      </x:c>
      <x:c r="Q273" s="4" t="str">
        <x:v>South Asia</x:v>
      </x:c>
      <x:c r="R273" s="4" t="str">
        <x:v>Included</x:v>
      </x:c>
    </x:row>
    <x:row r="274" ht="409" hidden="0" customHeight="1">
      <x:c r="A274" s="16" t="str">
        <x:v>SA022</x:v>
      </x:c>
      <x:c r="B274" s="4" t="str">
        <x:v>Nepal May 2022 election border-sealing order</x:v>
      </x:c>
      <x:c r="C274" s="4" t="str">
        <x:v>Nepal; India; China</x:v>
      </x:c>
      <x:c r="D274" s="4" t="str">
        <x:v>International border points
Cross-border movements</x:v>
      </x:c>
      <x:c r="E274" s="4" t="str">
        <x:v>National directive: cross-border movements, with emergency and government-authorised passage.
Sonauli–Belahiya operational phase: ordinary Indian visitor vehicles and tourist buses entering Nepal. Nepalese citizen returns, travel towards India and ambulances were treated differently. Pedestrian restrictions tightened separately on polling day. Freight restoration is separately reported on May 14 at 10:00.</x:v>
      </x:c>
      <x:c r="F274" s="4" t="str">
        <x:v>SA022-R1 — Announced window
Nepal-side international land border points covered by election directive
Start: 2022-05-10 to 2022-05-11.
Scheduled endpoint: 2022-05-13 to 2022-05-14.
Ordered window: 2–4 calendar-day difference; actual end not established
SA022-C7P1 — Observed operation
Sonauli–Belahiya ordinary Indian visitor vehicles and tourist buses entering Nepal during the May 2022 local elections
Start: 2022-05-10 to 2022-05-11.
Observed scoped reopening: 2022-05-13 to 2022-05-14.
2–4 calendar-day outer bounds; strict greater-than-24-hour eligibility: yes for the multi-day visitor-vehicle interruption. Exact elapsed hours and restoration clock remain disputed.</x:v>
      </x:c>
      <x:c r="G274"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274" s="4" t="str">
        <x:v>SA022-R1: Start/end bounds are correlated interpretations of the same 72-hour schedule, not independent uncertainty or an observed nationwide reopening. Emergency and authorised passage are excluded.
SA022-C7P1: Both local reports describe a multi-day closure and resumed traffic. Amar Ujala dates passenger restoration to Friday, May 13 at 19:00; Hindustan describes Saturday, May 14 morning restoration, stranded tourist buses waiting three days, and freight entry from 10:00. The clock disagreement is retained within the May 13–14 endpoint bound. It does not negate the greater-than-24-hour restriction on ordinary visitor vehicles. Foot travellers, Nepalese returnees and India-bound passage cannot be assigned the same interval. No nationwide actual endpoint is inferred.</x:v>
      </x:c>
      <x:c r="I274" s="4" t="str">
        <x:v>Second full-register audit, 26 October 2026: additional source-audited corrections incorporated. See the phase, scope and qualification columns for the accepted findings.</x:v>
      </x:c>
      <x:c r="J274" s="18" t="d">
        <x:v>2026-10-26T00:00:00.000Z</x:v>
      </x:c>
      <x:c r="K274" s="21" t="str">
        <x:f>IFERROR(HYPERLINK("https://kathmandupost.com/national/2022/05/09/borders-to-be-sealed-for-72-hours-before-elections","The Kathmandu Post"),"The Kathmandu Post")</x:f>
        <x:v>The Kathmandu Post</x:v>
      </x:c>
      <x:c r="L274" s="21" t="str">
        <x:f>IFERROR(HYPERLINK("https://www.livehindustan.com/uttar-pradesh/maharajganj/story-indo-nepal-border-opened-after-72-hours-jammed-since-morning-6488257.html","Hindustan"),"Hindustan")</x:f>
        <x:v>Hindustan</x:v>
      </x:c>
      <x:c r="M274" s="21" t="str">
        <x:f>IFERROR(HYPERLINK("https://www.amarujala.com/gorakhpur/nepal-border-opened-after-three-days-movement-started-was-sealed-on-tuesday-due-to-elections?src=story-related-auto-amp","Amar Ujala"),"Amar Ujala")</x:f>
        <x:v>Amar Ujala</x:v>
      </x:c>
      <x:c r="N274" s="4" t="str">
        <x:v>https://kathmandupost.com/national/2022/05/09/borders-to-be-sealed-for-72-hours-before-elections
https://www.livehindustan.com/uttar-pradesh/maharajganj/story-indo-nepal-border-opened-after-72-hours-jammed-since-morning-6488257.html
https://www.amarujala.com/gorakhpur/nepal-border-opened-after-three-days-movement-started-was-sealed-on-tuesday-due-to-elections?src=story-related-auto-amp
https://english.ratopati.com/story/24472
https://english.nepalnews.com/s/nation/all-international-borders-checkpoints-closed/</x:v>
      </x:c>
      <x:c r="O274" s="4" t="str">
        <x:v>Second full-register audit source access, 26 October 2026
https://kathmandupost.com/national/2022/05/09/borders-to-be-sealed-for-72-hours-before-elections: full text (fresh retrieval)
https://www.livehindustan.com/uttar-pradesh/maharajganj/story-indo-nepal-border-opened-after-72-hours-jammed-since-morning-6488257.html: full text (fresh retrieval)
https://www.amarujala.com/gorakhpur/nepal-border-opened-after-three-days-movement-started-was-sealed-on-tuesday-due-to-elections?src=story-related-auto-amp: full text (fresh retrieval)
Earlier URLs not separately inspected in this second assessment:
https://english.ratopati.com/story/24472
https://english.nepalnews.com/s/nation/all-international-borders-checkpoints-closed/
Prior audit access record
Full-register audit source access (evidence cutoff 25 October 2026)
https://kathmandupost.com/national/2022/05/09/borders-to-be-sealed-for-72-hours-before-elections: full text
https://www.livehindustan.com/uttar-pradesh/maharajganj/story-indo-nepal-border-opened-after-72-hours-jammed-since-morning-6488257.html: full text — Different timing from Amar Ujala
https://www.amarujala.com/gorakhpur/nepal-border-opened-after-three-days-movement-started-was-sealed-on-tuesday-due-to-elections?src=story-related-auto-amp: search extract — Conflicts with Hindustan
Earlier source URLs not separately listed in this audit’s retrieval log (historical access notes below are not fresh verification):
https://english.ratopati.com/story/24472
https://english.nepalnews.com/s/nation/all-international-borders-checkpoints-closed/
Earlier recorded access
Source 1: indexed excerpt; full; full text
Source 2: full text
Source 3: full text</x:v>
      </x:c>
      <x:c r="P274" s="20" t="n">
        <x:v>2</x:v>
      </x:c>
      <x:c r="Q274" s="4" t="str">
        <x:v>South Asia</x:v>
      </x:c>
      <x:c r="R274" s="4" t="str">
        <x:v>Included</x:v>
      </x:c>
    </x:row>
    <x:row r="275" ht="306" hidden="0" customHeight="1">
      <x:c r="A275" s="16" t="str">
        <x:v>SA031</x:v>
      </x:c>
      <x:c r="B275" s="4" t="str">
        <x:v>Rasuwagadhi renewed China-side COVID cargo closure</x:v>
      </x:c>
      <x:c r="C275" s="4" t="str">
        <x:v>China; Nepal</x:v>
      </x:c>
      <x:c r="D275" s="4" t="str">
        <x:v>Rasuwagadhi / Kerung
Cargo from China to Nepal</x:v>
      </x:c>
      <x:c r="E275" s="4" t="str">
        <x:v>Cargo from China to Nepal
Direction: China to Nepal
Exceptions: Limited festival backlog shipments released September 15</x:v>
      </x:c>
      <x:c r="F275" s="4" t="str">
        <x:v>SA031-D1 — Observed operation
China-to-Nepal cargo at Rasuwagadhi during the renewed August COVID interruption, to first limited backlog release.
Start: 2022-08-06 to 2022-08-07, prioritising the contemporary August 12 report that closure began the previous weekend.
Observed scoped reopening: 2022-09-15.
39–40 calendar-day difference; scoped endpoint only. The restriction exceeds 24 hours; exact onset and operational hours are not established.</x:v>
      </x:c>
      <x:c r="G27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75" s="4" t="str">
        <x:v>SA031-D1: Source priority is given to the August 12 OnlineKhabar report describing an existing closure since the previous weekend, bounded as August 6–7. The Kathmandu Post September 15 retrospective date of August 14 is retained as a conflicting account, but cannot describe the first onset of a closure already reported on August 12. Nepal News also describes an early-August shutdown. This does not prove an exact hour or exclude an unreported intervening change. The September 15 endpoint is initial inbound festival cargo restoration, not unrestricted two-way trade or passenger normalisation. Nepal-to-China exports remain a separate directional phase in SA029.</x:v>
      </x:c>
      <x:c r="I275" s="4" t="str">
        <x:v>Second full-register audit, 26 October 2026: additional source-audited corrections incorporated. See the phase, scope and qualification columns for the accepted findings.</x:v>
      </x:c>
      <x:c r="J275" s="18" t="d">
        <x:v>2026-10-26T00:00:00.000Z</x:v>
      </x:c>
      <x:c r="K275" s="21" t="str">
        <x:f>IFERROR(HYPERLINK("https://english.onlinekhabar.com/tatopani-rasuwagadhi-border-closed.html","OnlineKhabar"),"OnlineKhabar")</x:f>
        <x:v>OnlineKhabar</x:v>
      </x:c>
      <x:c r="L275" s="21" t="str">
        <x:f>IFERROR(HYPERLINK("https://kathmandupost.com/money/2022/09/15/china-to-release-all-stranded-cargo-trucks-by-sept-27","Kathmandu Post"),"Kathmandu Post")</x:f>
        <x:v>Kathmandu Post</x:v>
      </x:c>
      <x:c r="M275" s="21" t="str">
        <x:f>IFERROR(HYPERLINK("https://english.onlinekhabar.com/tatopani-rasuwagadi-border-point-open.html","english.onlinekhabar.com"),"english.onlinekhabar.com")</x:f>
        <x:v>english.onlinekhabar.com</x:v>
      </x:c>
      <x:c r="N275" s="4" t="str">
        <x:v>https://english.onlinekhabar.com/tatopani-rasuwagadhi-border-closed.html
https://kathmandupost.com/money/2022/09/15/china-to-release-all-stranded-cargo-trucks-by-sept-27
https://english.onlinekhabar.com/tatopani-rasuwagadi-border-point-open.html
https://english.nepalnews.com/s/nation/rasuwagadhi-transit-sees-the-arrival-of-imports-from-china/</x:v>
      </x:c>
      <x:c r="O275" s="4" t="str">
        <x:v>Second full-register audit source access, 26 October 2026
https://english.onlinekhabar.com/tatopani-rasuwagadhi-border-closed.html: full text (fresh retrieval)
https://kathmandupost.com/money/2022/09/15/china-to-release-all-stranded-cargo-trucks-by-sept-27: full text (fresh retrieval) — The retrospective August 14 onset conflicts with an already-published August 12 closure report.
https://english.onlinekhabar.com/tatopani-rasuwagadi-border-point-open.html: full text (fresh retrieval) — Rounded headline does not establish an exact onset or supersede earlier gate-specific arrivals.
https://english.nepalnews.com/s/nation/rasuwagadhi-transit-sees-the-arrival-of-imports-from-china/: full text (fresh retrieval)
Prior audit access record
Full-register audit source access (evidence cutoff 25 October 2026)
https://english.onlinekhabar.com/tatopani-rasuwagadhi-border-closed.html: full text
https://kathmandupost.com/money/2022/09/15/china-to-release-all-stranded-cargo-trucks-by-sept-27: full text
https://english.onlinekhabar.com/tatopani-rasuwagadi-border-point-open.html: full text
Earlier recorded access
Source 1: full page
Source 2: full page
Source 3: access detail is retained in the source catalogue.</x:v>
      </x:c>
      <x:c r="P275" s="20" t="n">
        <x:v>1</x:v>
      </x:c>
      <x:c r="Q275" s="4" t="str">
        <x:v>South Asia</x:v>
      </x:c>
      <x:c r="R275" s="4" t="str">
        <x:v>Included</x:v>
      </x:c>
    </x:row>
    <x:row r="276" ht="282" hidden="0" customHeight="1">
      <x:c r="A276" s="16" t="str">
        <x:v>SA030</x:v>
      </x:c>
      <x:c r="B276" s="4" t="str">
        <x:v>Tatopani renewed China-side COVID cargo closure</x:v>
      </x:c>
      <x:c r="C276" s="4" t="str">
        <x:v>China; Nepal</x:v>
      </x:c>
      <x:c r="D276" s="4" t="str">
        <x:v>Tatopani / Zhangmu
Cargo from China to Nepal</x:v>
      </x:c>
      <x:c r="E276" s="4" t="str">
        <x:v>Cargo from China to Nepal
Direction: China to Nepal
Exceptions: Stranded festival consignments released from September 10</x:v>
      </x:c>
      <x:c r="F276" s="4" t="str">
        <x:v>SA030-D1 — Observed operation
Admission of stranded China-to-Nepal festival cargo at Tatopani, to the first limited backlog release.
Start: 2022-08-10.
Observed scoped reopening: 2022-09-10.
31 calendar-day difference; scoped endpoint only</x:v>
      </x:c>
      <x:c r="G27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76" s="4" t="str">
        <x:v>SA030-D1: Officials explicitly denied general reopening. The endpoint concerns the first limited backlog consignments only, not new unrestricted trade, passengers or the opposite direction.</x:v>
      </x:c>
      <x:c r="I276" s="4" t="str">
        <x:v>Second full-register audit, 26 October 2026: qualified. The existing Tatopani interval is supported. September 10 records the initial release of stranded cargo, not unrestricted reopening.</x:v>
      </x:c>
      <x:c r="J276" s="18" t="d">
        <x:v>2026-10-26T00:00:00.000Z</x:v>
      </x:c>
      <x:c r="K276" s="21" t="str">
        <x:f>IFERROR(HYPERLINK("https://english.onlinekhabar.com/tatopani-rasuwagadhi-border-closed.html","OnlineKhabar"),"OnlineKhabar")</x:f>
        <x:v>OnlineKhabar</x:v>
      </x:c>
      <x:c r="L276" s="21" t="str">
        <x:f>IFERROR(HYPERLINK("https://kathmandupost.com/money/2022/09/11/eight-containers-roll-into-nepal-as-china-opens-the-border-a-crack","Kathmandu Post"),"Kathmandu Post")</x:f>
        <x:v>Kathmandu Post</x:v>
      </x:c>
      <x:c r="M276" s="21" t="str">
        <x:f>IFERROR(HYPERLINK("https://english.onlinekhabar.com/tatopani-rasuwagadi-border-point-open.html","english.onlinekhabar.com"),"english.onlinekhabar.com")</x:f>
        <x:v>english.onlinekhabar.com</x:v>
      </x:c>
      <x:c r="N276" s="4" t="str">
        <x:v>https://english.onlinekhabar.com/tatopani-rasuwagadhi-border-closed.html
https://kathmandupost.com/money/2022/09/11/eight-containers-roll-into-nepal-as-china-opens-the-border-a-crack
https://english.onlinekhabar.com/tatopani-rasuwagadi-border-point-open.html</x:v>
      </x:c>
      <x:c r="O276" s="4" t="str">
        <x:v>Second full-register audit source access, 26 October 2026
https://english.onlinekhabar.com/tatopani-rasuwagadhi-border-closed.html: full text (fresh retrieval)
https://kathmandupost.com/money/2022/09/11/eight-containers-roll-into-nepal-as-china-opens-the-border-a-crack: full text (fresh retrieval)
https://english.onlinekhabar.com/tatopani-rasuwagadi-border-point-open.html: full text (fresh retrieval) — Rounded headline does not establish an exact onset or supersede earlier gate-specific arrivals.
Prior audit access record
Full-register audit source access (evidence cutoff 25 October 2026)
https://english.onlinekhabar.com/tatopani-rasuwagadhi-border-closed.html: full text — Use only for described time and movement scope.
https://kathmandupost.com/money/2022/09/11/eight-containers-roll-into-nepal-as-china-opens-the-border-a-crack: full text — Use only for described time and movement scope.
https://english.onlinekhabar.com/tatopani-rasuwagadi-border-point-open.html: full text — Use only for described time and movement scope.
Earlier recorded access
Source 1: full page
Source 2: full page
Source 3: access detail is retained in the source catalogue.</x:v>
      </x:c>
      <x:c r="P276" s="20" t="n">
        <x:v>1</x:v>
      </x:c>
      <x:c r="Q276" s="4" t="str">
        <x:v>South Asia</x:v>
      </x:c>
      <x:c r="R276" s="4" t="str">
        <x:v>Included</x:v>
      </x:c>
    </x:row>
    <x:row r="277" ht="409" hidden="0" customHeight="1">
      <x:c r="A277" s="16" t="str">
        <x:v>SA009</x:v>
      </x:c>
      <x:c r="B277" s="4" t="str">
        <x:v>Chaman closure after security-guard shooting</x:v>
      </x:c>
      <x:c r="C277" s="4" t="str">
        <x:v>Pakistan; Afghanistan</x:v>
      </x:c>
      <x:c r="D277" s="4" t="str">
        <x:v>Chaman / Spin Boldak main Friendship Gate
People and goods</x:v>
      </x:c>
      <x:c r="E277" s="4" t="str">
        <x:v>People and goods
Direction: Both directions
Exceptions: Emergency-route repatriation occurred during the main-gate closure.</x:v>
      </x:c>
      <x:c r="F277" s="4" t="str">
        <x:v>SA009-D1 — Observed operation
People and goods in both directions through Chaman Friendship Gate only; separate emergency-route repatriation excluded.
Start: 2022-11-13.
Observed scoped reopening: 2022-11-21.
8 calendar-day difference; scoped endpoint only</x:v>
      </x:c>
      <x:c r="G277" s="4" t="str">
        <x:v>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x:v>
      </x:c>
      <x:c r="H277" s="4" t="str">
        <x:v>SA009-D1: Responsibility disputed. Interval covers Friendship Gate alone. Emergency-route repatriation occurred during the main-gate closure.</x:v>
      </x:c>
      <x:c r="I277" s="4" t="str">
        <x:v>Second full-register audit, 26 October 2026: qualified. Friendship Gate interval remains corroborated; emergency-route returnees are correctly excluded.</x:v>
      </x:c>
      <x:c r="J277" s="18" t="d">
        <x:v>2026-10-26T00:00:00.000Z</x:v>
      </x:c>
      <x:c r="K277" s="21" t="str">
        <x:f>IFERROR(HYPERLINK("https://www.radio.gov.pk/21-11-2022/pak-afghan-border-crossing-bab-e-dosti-at-chaman-reopens","Radio Pakistan"),"Radio Pakistan")</x:f>
        <x:v>Radio Pakistan</x:v>
      </x:c>
      <x:c r="L277" s="21" t="str">
        <x:f>IFERROR(HYPERLINK("https://www.aljazeera.com/news/2022/11/21/pakistan-reopens-border-crossing-with-afghanistan-after-shooting","Al Jazeera"),"Al Jazeera")</x:f>
        <x:v>Al Jazeera</x:v>
      </x:c>
      <x:c r="M277" s="21" t="str">
        <x:f>IFERROR(HYPERLINK("https://www.dawn.com/news/1721182","Dawn"),"Dawn")</x:f>
        <x:v>Dawn</x:v>
      </x:c>
      <x:c r="N277" s="4" t="str">
        <x:v>https://www.radio.gov.pk/21-11-2022/pak-afghan-border-crossing-bab-e-dosti-at-chaman-reopens
https://www.aljazeera.com/news/2022/11/21/pakistan-reopens-border-crossing-with-afghanistan-after-shooting
https://www.dawn.com/news/1721182
https://mobil.aa.com.tr/en/asia-pacific/pakistani-afghan-border-gate-reopened-after-over-a-week/2743828
https://spectrumnews1.com/wi/madison/ap-online/2022/11/21/pakistan-reopens-border-with-afghanistan-shut-over-shooting
https://www.dawn.com/news/amp/1722146
https://www.radio.gov.pk/21-11-2022/bab-e-dosti-reopened-for-pedestrians-other-trade-activities</x:v>
      </x:c>
      <x:c r="O277" s="4" t="str">
        <x:v>Second full-register audit source access, 26 October 2026
https://mobil.aa.com.tr/en/asia-pacific/pakistani-afghan-border-gate-reopened-after-over-a-week/2743828: full text (fresh retrieval)
https://www.radio.gov.pk/21-11-2022/pak-afghan-border-crossing-bab-e-dosti-at-chaman-reopens: full text (fresh retrieval)
https://www.dawn.com/news/1721182: full text (fresh retrieval)
Earlier URLs not separately inspected in this second assessment:
https://www.aljazeera.com/news/2022/11/21/pakistan-reopens-border-crossing-with-afghanistan-after-shooting
https://spectrumnews1.com/wi/madison/ap-online/2022/11/21/pakistan-reopens-border-with-afghanistan-shut-over-shooting
https://www.dawn.com/news/amp/1722146
https://www.radio.gov.pk/21-11-2022/bab-e-dosti-reopened-for-pedestrians-other-trade-activities
Prior audit access record
Full-register audit source access (evidence cutoff 25 October 2026)
https://mobil.aa.com.tr/en/asia-pacific/pakistani-afghan-border-gate-reopened-after-over-a-week/2743828: full text
https://www.radio.gov.pk/21-11-2022/pak-afghan-border-crossing-bab-e-dosti-at-chaman-reopens: full text
https://www.dawn.com/news/1721182: full text
https://www.aljazeera.com/news/2022/11/21/pakistan-reopens-border-crossing-with-afghanistan-after-shooting: full text
Earlier source URLs not separately listed in this audit’s retrieval log (historical access notes below are not fresh verification):
https://spectrumnews1.com/wi/madison/ap-online/2022/11/21/pakistan-reopens-border-with-afghanistan-shut-over-shooting
https://www.dawn.com/news/amp/1722146
https://www.radio.gov.pk/21-11-2022/bab-e-dosti-reopened-for-pedestrians-other-trade-activities
Earlier recorded access
Source 1: full page
Source 2: full page
Source 3: full page</x:v>
      </x:c>
      <x:c r="P277" s="20" t="n">
        <x:v>1</x:v>
      </x:c>
      <x:c r="Q277" s="4" t="str">
        <x:v>South Asia</x:v>
      </x:c>
      <x:c r="R277" s="4" t="str">
        <x:v>Included</x:v>
      </x:c>
    </x:row>
    <x:row r="278" ht="409" hidden="0" customHeight="1">
      <x:c r="A278" s="16" t="str">
        <x:v>SA023</x:v>
      </x:c>
      <x:c r="B278" s="4" t="str">
        <x:v>Nepal November 2022 election border-sealing arrangements</x:v>
      </x:c>
      <x:c r="C278" s="4" t="str">
        <x:v>Nepal; India</x:v>
      </x:c>
      <x:c r="D278" s="4" t="str">
        <x:v>India–Nepal crossings, documented Rupandehi region and Uttarakhand
Cross-border passage</x:v>
      </x:c>
      <x:c r="E278" s="4" t="str">
        <x:v>Cross-border passage
Direction: Both directions
Exceptions: Belahiya November 19 public movement after checks, patients and essential goods permitted; polling-day full suspension announced.</x:v>
      </x:c>
      <x:c r="F278" s="4" t="str">
        <x:v>SA023-R1 — Announced window
Rupandehi, Kapilvastu and Nawalparasi West / adjoining Indian districts represented in joint meeting
Start: 2022-11-18.
Scheduled endpoint: 2022-11-20 to 2022-11-21.
Ordered window: 2–3 calendar-day difference; actual end not established</x:v>
      </x:c>
      <x:c r="G278"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278" s="4" t="str">
        <x:v>SA023-R1: Scheduled local three-day agreement only; end through November 20 or midnight into November 21. At Belahiya November 19, public crossing after checks and patient/essential-goods passage were reported; full suspension on polling day remained announced. Do not infer observed uninterrupted closure or conflate Uttarakhand.
continuity: The November 18 election order covers specified border districts. November 19 reporting describes crossings after checks despite the announcement; continuous total sealing and completed November 21 reopening are not demonstrated.</x:v>
      </x:c>
      <x:c r="I278" s="4" t="str">
        <x:v>Second full-register audit, 26 October 2026: qualified. Fresh local reporting confirms that checked public passage continued before election day, so the retained planned window cannot become a continuous observed closure.</x:v>
      </x:c>
      <x:c r="J278" s="18" t="d">
        <x:v>2026-10-26T00:00:00.000Z</x:v>
      </x:c>
      <x:c r="K278" s="21" t="str">
        <x:f>IFERROR(HYPERLINK("https://kathmandupost.com/national/2022/11/05/nepal-india-border-to-close-for-three-days","Kathmandu Post"),"Kathmandu Post")</x:f>
        <x:v>Kathmandu Post</x:v>
      </x:c>
      <x:c r="L278" s="21" t="str">
        <x:f>IFERROR(HYPERLINK("https://risingnepaldaily.com/news/18775","risingnepaldaily.com"),"risingnepaldaily.com")</x:f>
        <x:v>risingnepaldaily.com</x:v>
      </x:c>
      <x:c r="M278" s="21" t="str">
        <x:f>IFERROR(HYPERLINK("https://www.ndtv.com/india-news/uttarakhand-nepal-border-to-be-sealed-during-polls-in-the-himalayan-nation-3530204","NDTV / PTI"),"NDTV / PTI")</x:f>
        <x:v>NDTV / PTI</x:v>
      </x:c>
      <x:c r="N278" s="4" t="str">
        <x:v>https://kathmandupost.com/national/2022/11/05/nepal-india-border-to-close-for-three-days
https://risingnepaldaily.com/news/18775
https://www.ndtv.com/india-news/uttarakhand-nepal-border-to-be-sealed-during-polls-in-the-himalayan-nation-3530204
https://kathmandupost.com/2/2022/11/05/nepal-india-border-to-close-for-three-days
https://www.hamropatro.com/en/news/detail/278246690602837
https://risingnepaldaily.com/news/18775/
https://www.nepalminute.com/detail/1103/authorities-in-banke-sarlahi-heighten-security-along-borders</x:v>
      </x:c>
      <x:c r="O278" s="4" t="str">
        <x:v>Second full-register audit source access, 26 October 2026
https://kathmandupost.com/national/2022/11/05/nepal-india-border-to-close-for-three-days: full text (fresh retrieval)
https://risingnepaldaily.com/news/18775/: full text (fresh retrieval) — Opening without trailing slash initially timed out; successful slash URL inspected. Body mistranscribes midnight wording; do not interpret as twelve nights.
https://www.hamropatro.com/en/news/detail/278246690602837: search extract (fresh retrieval) — Not independent corroboration of RSS
https://www.nepalminute.com/detail/1103/authorities-in-banke-sarlahi-heighten-security-along-borders: search extract (fresh retrieval) — Different districts; not a local reopening
Earlier URLs not separately inspected in this second assessment:
https://risingnepaldaily.com/news/18775
https://www.ndtv.com/india-news/uttarakhand-nepal-border-to-be-sealed-during-polls-in-the-himalayan-nation-3530204
https://kathmandupost.com/2/2022/11/05/nepal-india-border-to-close-for-three-days
Prior audit access record
Full-register audit source access (evidence cutoff 25 October 2026)
https://kathmandupost.com/national/2022/11/05/nepal-india-border-to-close-for-three-days: full text
https://risingnepaldaily.com/news/18775: full text
https://www.ndtv.com/india-news/uttarakhand-nepal-border-to-be-sealed-during-polls-in-the-himalayan-nation-3530204: full text
Earlier source URLs not separately listed in this audit’s retrieval log (historical access notes below are not fresh verification):
https://kathmandupost.com/2/2022/11/05/nepal-india-border-to-close-for-three-days
https://www.hamropatro.com/en/news/detail/278246690602837
Earlier recorded access
Source 1: full
Source 2: access detail is retained in the source catalogue.
Source 3: full</x:v>
      </x:c>
      <x:c r="P278" s="20" t="n">
        <x:v>1</x:v>
      </x:c>
      <x:c r="Q278" s="4" t="str">
        <x:v>South Asia</x:v>
      </x:c>
      <x:c r="R278" s="4" t="str">
        <x:v>Included</x:v>
      </x:c>
    </x:row>
    <x:row r="279" ht="409" hidden="0" customHeight="1">
      <x:c r="A279" s="16" t="str">
        <x:v>SA010</x:v>
      </x:c>
      <x:c r="B279" s="4" t="str">
        <x:v>Torkham February 2023 unilateral closure and delayed bilateral reopening</x:v>
      </x:c>
      <x:c r="C279" s="4" t="str">
        <x:v>Pakistan; Afghanistan</x:v>
      </x:c>
      <x:c r="D279" s="4" t="str">
        <x:v>Torkham
Trade, transit and pedestrians</x:v>
      </x:c>
      <x:c r="E279" s="4" t="str">
        <x:v>Trade, transit and pedestrians
Direction: Both directions
Exceptions: Brief reopening followed by reclosure on 23 February; two-way pedestrian passage reported from 15:00 on 24 February while trade remained suspended.</x:v>
      </x:c>
      <x:c r="F279" s="4" t="str">
        <x:v>SA010-R1 — Observed operation
Initial Torkham ordinary commercial freight closure ending in the reported brief perishable-cargo opening
Start: 2023-02-19.
Observed scoped reopening: 2023-02-23.
4 calendar-day difference; scoped endpoint only
SA010-R2 — Observed operation
Torkham freight reclosure after brief Thursday opening
Start: 2023-02-23.
Observed scoped reopening: 2023-02-25.
2 calendar-day difference; scoped endpoint only</x:v>
      </x:c>
      <x:c r="G279" s="4" t="str">
        <x:v>Migration / Admission and document disputes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79" s="4" t="str">
        <x:v>SA010-R1: AP documents some freight passage February 23; do not infer pedestrians reopened then. Anadolu disputes Pakistani acceptance of the Thursday opening. Partial cargo endpoint only, followed by reclosure.
SA010-R2: Within-day start hour unknown; excludes earlier Thursday truck passage and Friday pedestrians.</x:v>
      </x:c>
      <x:c r="I279" s="4" t="str">
        <x:v>Second full-register audit, 26 October 2026: qualified. Two freight spells are supported by actual brief Thursday passage, Friday pedestrian-only access and Saturday trade restoration; retain source disagreement.</x:v>
      </x:c>
      <x:c r="J279" s="18" t="d">
        <x:v>2026-10-26T00:00:00.000Z</x:v>
      </x:c>
      <x:c r="K279" s="21" t="str">
        <x:f>IFERROR(HYPERLINK("https://apnews.com/article/3a6fe9d261894e7611084eae8d176413","Associated Press"),"Associated Press")</x:f>
        <x:v>Associated Press</x:v>
      </x:c>
      <x:c r="L279" s="21" t="str">
        <x:f>IFERROR(HYPERLINK("https://www.rferl.org/a/taliban-reopens-pakistan-border-crossing-torkham/32284536.html","RFE/RL Radio Azadi"),"RFE/RL Radio Azadi")</x:f>
        <x:v>RFE/RL Radio Azadi</x:v>
      </x:c>
      <x:c r="M279" s="21" t="str">
        <x:f>IFERROR(HYPERLINK("https://toronto.citynews.ca/2023/02/25/trade-resumes-as-pakistan-afghanistan-reopen-torkham-border/","CityNews / AP"),"CityNews / AP")</x:f>
        <x:v>CityNews / AP</x:v>
      </x:c>
      <x:c r="N279" s="4" t="str">
        <x:v>https://apnews.com/article/3a6fe9d261894e7611084eae8d176413
https://www.rferl.org/a/taliban-reopens-pakistan-border-crossing-torkham/32284536.html
https://toronto.citynews.ca/2023/02/25/trade-resumes-as-pakistan-afghanistan-reopen-torkham-border/
https://www.arabnews.pk/pakistan/pakistan-temporarily-reopens-torkham-border-for-pedestrians-keeps-it-closed-for-trade-2257391
https://www.ksat.com/news/world/2023/02/23/afghanistahns-taliban-reopen-key-trade-route-with-pakistan/
https://www.aa.com.tr/en/asia-pacific/pakistan-reopens-key-border-crossing-with-afghanistan/2830762
https://hk.marketscreener.com/news/latest/Thousands-of-trucks-stuck-at-Afghan-Pakistan-border-crossing-43038424/
https://www.digitaljournal.com/world/trade-resumes-as-key-afghan-border-crossing-with-pakistan-reopens/article
https://apnews.com/article/1ae628acfaee3b401153d3372bc32ade
https://amu.tv/37400/
https://indianexpress.com/article/pakistan/trade-resumes-as-pakistan-afghanistan-reopen-torkham-border-8466046/</x:v>
      </x:c>
      <x:c r="O279" s="4" t="str">
        <x:v>Second full-register audit source access, 26 October 2026
https://www.ksat.com/news/world/2023/02/23/afghanistahns-taliban-reopen-key-trade-route-with-pakistan/: full text (fresh retrieval) — Syndicated AP, not an independent report from AP itself.
https://www.arabnews.pk/pakistan/pakistan-temporarily-reopens-torkham-border-for-pedestrians-keeps-it-closed-for-trade-2257391: full text (fresh retrieval)
https://indianexpress.com/article/pakistan/trade-resumes-as-pakistan-afghanistan-reopen-torkham-border-8466046/: full text (fresh retrieval)
https://www.aa.com.tr/en/asia-pacific/pakistan-reopens-key-border-crossing-with-afghanistan/2830762: full text (fresh retrieval)
Earlier URLs not separately inspected in this second assessment:
https://apnews.com/article/3a6fe9d261894e7611084eae8d176413
https://www.rferl.org/a/taliban-reopens-pakistan-border-crossing-torkham/32284536.html
https://toronto.citynews.ca/2023/02/25/trade-resumes-as-pakistan-afghanistan-reopen-torkham-border/
https://hk.marketscreener.com/news/latest/Thousands-of-trucks-stuck-at-Afghan-Pakistan-border-crossing-43038424/
https://www.digitaljournal.com/world/trade-resumes-as-key-afghan-border-crossing-with-pakistan-reopens/article
https://apnews.com/article/1ae628acfaee3b401153d3372bc32ade
https://amu.tv/37400/
Prior audit access record
Full-register audit source access (evidence cutoff 25 October 2026)
https://www.ksat.com/news/world/2023/02/23/afghanistahns-taliban-reopen-key-trade-route-with-pakistan/: full text
https://www.arabnews.pk/pakistan/pakistan-temporarily-reopens-torkham-border-for-pedestrians-keeps-it-closed-for-trade-2257391: full text
https://www.aa.com.tr/en/asia-pacific/pakistan-reopens-key-border-crossing-with-afghanistan/2830762: full text — Friday description is narrower than Arab News; do not collapse the differences.
https://indianexpress.com/article/pakistan/trade-resumes-as-pakistan-afghanistan-reopen-torkham-border-8466046/: full text — AP syndication is not independent evidence from AP's original.
https://toronto.citynews.ca/2023/02/25/trade-resumes-as-pakistan-afghanistan-reopen-torkham-border/: inaccessible — 403; accessible AP syndication used instead.
Earlier source URLs not separately listed in this audit’s retrieval log (historical access notes below are not fresh verification):
https://apnews.com/article/3a6fe9d261894e7611084eae8d176413
https://www.rferl.org/a/taliban-reopens-pakistan-border-crossing-torkham/32284536.html
https://hk.marketscreener.com/news/latest/Thousands-of-trucks-stuck-at-Afghan-Pakistan-border-crossing-43038424/
https://www.digitaljournal.com/world/trade-resumes-as-key-afghan-border-crossing-with-pakistan-reopens/article
https://apnews.com/article/1ae628acfaee3b401153d3372bc32ade
https://amu.tv/37400/
Earlier recorded access
Source 1: indexed excerpt; failed
Source 2: indexed excerpt
Source 3: indexed excerpt; full</x:v>
      </x:c>
      <x:c r="P279" s="20" t="n">
        <x:v>2</x:v>
      </x:c>
      <x:c r="Q279" s="4" t="str">
        <x:v>South Asia</x:v>
      </x:c>
      <x:c r="R279" s="4" t="str">
        <x:v>Included</x:v>
      </x:c>
    </x:row>
    <x:row r="280" ht="354" hidden="0" customHeight="1">
      <x:c r="A280" s="16" t="str">
        <x:v>SA011</x:v>
      </x:c>
      <x:c r="B280" s="4" t="str">
        <x:v>Torkham September 2023 clash-related closure</x:v>
      </x:c>
      <x:c r="C280" s="4" t="str">
        <x:v>Pakistan; Afghanistan</x:v>
      </x:c>
      <x:c r="D280" s="4" t="str">
        <x:v>Torkham
People and goods</x:v>
      </x:c>
      <x:c r="E280" s="4" t="str">
        <x:v>People and goods
Direction: Both directions
Exceptions: Not established</x:v>
      </x:c>
      <x:c r="F280" s="4" t="str">
        <x:v>SA011-D1 — Observed operation
People and goods; People and goods; Both directions
Start: 2023-09-06.
Observed scoped reopening: 2023-09-15.
9 calendar-day difference; scoped endpoint only</x:v>
      </x:c>
      <x:c r="G280"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Territorial and frontier disputes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80" s="4" t="str">
        <x:v>SA011-D1: Responsibility for construction violation disputed; closure occurrence and reopening better established than initiating blame. Not established</x:v>
      </x:c>
      <x:c r="I280" s="4" t="str">
        <x:v>Second full-register audit, 26 October 2026: qualified. Fresh contemporary onset and implemented restoration reports support September 6–15 people-and-goods interruption; ten-day headline is inclusive shorthand.</x:v>
      </x:c>
      <x:c r="J280" s="18" t="d">
        <x:v>2026-10-26T00:00:00.000Z</x:v>
      </x:c>
      <x:c r="K280" s="21" t="str">
        <x:f>IFERROR(HYPERLINK("https://www.brecorder.com/news/40263404/main-afghanistan-pakistan-border-crossing-reopens-after-nine-day-closure","Business Recorder"),"Business Recorder")</x:f>
        <x:v>Business Recorder</x:v>
      </x:c>
      <x:c r="L280" s="21" t="str">
        <x:f>IFERROR(HYPERLINK("https://apnews.com/article/87a7663901de1e41d0fc6d2ee87318aa","Associated Press"),"Associated Press")</x:f>
        <x:v>Associated Press</x:v>
      </x:c>
      <x:c r="M280" s="21" t="str">
        <x:f>IFERROR(HYPERLINK("https://www.brecorder.com/news/40261917/border-gunfight-shuts-crossing-between-afghanistan-and-pakistan","Business Recorder"),"Business Recorder")</x:f>
        <x:v>Business Recorder</x:v>
      </x:c>
      <x:c r="N280" s="4" t="str">
        <x:v>https://www.brecorder.com/news/40263404/main-afghanistan-pakistan-border-crossing-reopens-after-nine-day-closure
https://apnews.com/article/87a7663901de1e41d0fc6d2ee87318aa
https://www.brecorder.com/news/40261917/border-gunfight-shuts-crossing-between-afghanistan-and-pakistan
https://www.app.com.pk/domestic/torkham-border-reopened-after-closure-of-ten-days/</x:v>
      </x:c>
      <x:c r="O280" s="4" t="str">
        <x:v>Second full-register audit source access, 26 October 2026
https://www.app.com.pk/domestic/torkham-border-reopened-after-closure-of-ten-days/: full text (fresh retrieval)
https://www.brecorder.com/news/40261917/border-gunfight-shuts-crossing-between-afghanistan-and-pakistan: full text (fresh retrieval)
Earlier URLs not separately inspected in this second assessment:
https://www.brecorder.com/news/40263404/main-afghanistan-pakistan-border-crossing-reopens-after-nine-day-closure
https://apnews.com/article/87a7663901de1e41d0fc6d2ee87318aa
Prior audit access record
Full-register audit source access (evidence cutoff 25 October 2026)
https://www.brecorder.com/news/40263404/main-afghanistan-pakistan-border-crossing-reopens-after-nine-day-closure: full text
https://www.brecorder.com/news/40261917/border-gunfight-shuts-crossing-between-afghanistan-and-pakistan: full text
https://www.app.com.pk/domestic/torkham-border-reopened-after-closure-of-ten-days/: full text — Government news agency; attribution about guarantees is not independently established.
Earlier source URLs not separately listed in this audit’s retrieval log (historical access notes below are not fresh verification):
https://apnews.com/article/87a7663901de1e41d0fc6d2ee87318aa
Earlier recorded access
Source 1: full page
Source 2: search extract
Source 3: body</x:v>
      </x:c>
      <x:c r="P280" s="20" t="n">
        <x:v>1</x:v>
      </x:c>
      <x:c r="Q280" s="4" t="str">
        <x:v>South Asia</x:v>
      </x:c>
      <x:c r="R280" s="4" t="str">
        <x:v>Included</x:v>
      </x:c>
    </x:row>
    <x:row r="281" ht="409" hidden="0" customHeight="1">
      <x:c r="A281" s="16" t="str">
        <x:v>SA013</x:v>
      </x:c>
      <x:c r="B281" s="4" t="str">
        <x:v>Chaman protest-related truck closure and phased restoration</x:v>
      </x:c>
      <x:c r="C281" s="4" t="str">
        <x:v>Pakistan; Afghanistan</x:v>
      </x:c>
      <x:c r="D281" s="4" t="str">
        <x:v>Chaman / Spin Boldak
Truck movements blocked; local passenger movement also disrupted</x:v>
      </x:c>
      <x:c r="E281" s="4" t="str">
        <x:v>Truck movements blocked; local passenger movement also disrupted
Direction: Both directions
Exceptions: Some documented trade resumption by 3 March 2024; passenger crossings observed July 22–23</x:v>
      </x:c>
      <x:c r="F281" s="4" t="str">
        <x:v>SA013-D1 — Observed operation
Chaman truck movement blocked by the protest, with later goods-trade restoration reported by 3 March 2024.
Start: 2023-11-19 to 2023-11-20.
Last confirmed truck restriction: 2024-01-24.
Later commercial-access bound: by 2024-03-03. Exact first restoration and complete restoration of all truck access are not established.
The restriction is supported for more than 24 hours; the existing minimum of 65 calendar days to the January update is retained. No continuous closed-day total through March is assigned.</x:v>
      </x:c>
      <x:c r="G281" s="4" t="str">
        <x:v>Migration / Admission and document disputes
Reported reason
Applies to: Protest against document regime
Protest against document regime; Attributed to protest leaders opposing the document regime.
Policy and socioeconomic demands / Jobs, services and livelihoods
Attributed protester justification
Applies to: November 2023 protest blockade
November 2023 protest blockade; Attributed to protest leaders opposing the document regime.
Trade and protectionism / Trade and transport protests
Attributed protester justification
Applies to: November 2023 trade/labour blockade
November 2023 trade/labour blockade; Attributed to protest leaders opposing the document regime.
Security / Smuggling and illicit trafficking
Attributed official justification
Applies to: Underlying document policy, not protesters' blockade motive
Underlying document policy, not protesters' blockade motive; Underlying government policy explanation, not the protesters’ motive.</x:v>
      </x:c>
      <x:c r="H281" s="4" t="str">
        <x:v>SA013-D1: The January 24 logistics update reports restricted trucks and blocked highway access. Radio Pakistan and Arab News report resumed goods trade by March 3; this is a later-access bound, not an exact first reopening or proof that every truck category had resumed. The interval between the two observations is unresolved. July 22–23 photo captions document passengers and continued document checks, so they do not date the freight restoration. The broader protest continued; its duration is not a continuous nine-month commercial closure.</x:v>
      </x:c>
      <x:c r="I281" s="4" t="str">
        <x:v>Second full-register audit, 26 October 2026: additional source-audited corrections incorporated. See the phase, scope and qualification columns for the accepted findings.</x:v>
      </x:c>
      <x:c r="J281" s="18" t="d">
        <x:v>2026-10-26T00:00:00.000Z</x:v>
      </x:c>
      <x:c r="K281" s="21" t="str">
        <x:f>IFERROR(HYPERLINK("https://logcluster.org/en/node/45647","Logistics Cluster"),"Logistics Cluster")</x:f>
        <x:v>Logistics Cluster</x:v>
      </x:c>
      <x:c r="L281" s="21" t="str">
        <x:f>IFERROR(HYPERLINK("https://www.arabnews.pk/pakistan/respite-for-residents-as-trade-activities-resume-at-pakistan-afghanistan-border-in-chaman-2470386","Arab News Pakistan"),"Arab News Pakistan")</x:f>
        <x:v>Arab News Pakistan</x:v>
      </x:c>
      <x:c r="M281" s="21" t="str">
        <x:f>IFERROR(HYPERLINK("https://www.rferl.org/a/pakistan-reopens-chaman-border-afghanistan/33048871.html","RFE/RL Radio Mashaal"),"RFE/RL Radio Mashaal")</x:f>
        <x:v>RFE/RL Radio Mashaal</x:v>
      </x:c>
      <x:c r="N281" s="4" t="str">
        <x:v>https://logcluster.org/en/node/45647
https://www.arabnews.pk/pakistan/respite-for-residents-as-trade-activities-resume-at-pakistan-afghanistan-border-in-chaman-2470386
https://www.rferl.org/a/pakistan-reopens-chaman-border-afghanistan/33048871.html
https://www.rferl.org/a/pakistan-border-afghanistan-protest-restrictions/32692454.html
https://efe.com/latest-news/2024-07-21/protesters-end-sit-in-over-pakistans-afghan-border-visa-policy/
https://www.arabnews.pk/pakistan/residents-of-southwestern-pakistani-border-town-end-months-long-protest-against-strict-visa-policy-2553941
https://www.dawn.com/news/1838740
https://www.radio.gov.pk/03-03-2024/people-express-satisfaction-over-resumption-of-trade-activities-bw-pakistan-afghanistan
https://dunyanews.tv/en/Pakistan/794867-Pak-Afghan-trade-resumes-at-Chaman-border%3A-Jan-Achakzai</x:v>
      </x:c>
      <x:c r="O281" s="4" t="str">
        <x:v>Second full-register audit source access, 26 October 2026
https://www.rferl.org/a/pakistan-border-afghanistan-protest-restrictions/32692454.html: full text (fresh retrieval)
https://logcluster.org/en/node/45647: search extract (fresh retrieval) — Direct landing page did not expose bulletin body; fresh indexed body inspected.
https://www.radio.gov.pk/03-03-2024/people-express-satisfaction-over-resumption-of-trade-activities-bw-pakistan-afghanistan: full text (fresh retrieval)
https://www.arabnews.pk/pakistan/respite-for-residents-as-trade-activities-resume-at-pakistan-afghanistan-border-in-chaman-2470386: full text (fresh retrieval)
https://www.rferl.org/a/pakistan-reopens-chaman-border-afghanistan/33048871.html: full text (fresh retrieval)
Earlier URLs not separately inspected in this second assessment:
https://efe.com/latest-news/2024-07-21/protesters-end-sit-in-over-pakistans-afghan-border-visa-policy/
https://www.arabnews.pk/pakistan/residents-of-southwestern-pakistani-border-town-end-months-long-protest-against-strict-visa-policy-2553941
https://www.dawn.com/news/1838740
https://dunyanews.tv/en/Pakistan/794867-Pak-Afghan-trade-resumes-at-Chaman-border%3A-Jan-Achakzai
Prior audit access record
Full-register audit source access (evidence cutoff 25 October 2026)
https://www.rferl.org/a/pakistan-border-afghanistan-protest-restrictions/32692454.html: full text — Applies to identified time and movement scope only.
https://logcluster.org/en/node/45647: full text — Applies to identified time and movement scope only.
https://www.radio.gov.pk/03-03-2024/people-express-satisfaction-over-resumption-of-trade-activities-bw-pakistan-afghanistan: full text — Applies to identified time and movement scope only.
https://dunyanews.tv/en/Pakistan/794867-Pak-Afghan-trade-resumes-at-Chaman-border%3A-Jan-Achakzai: full text — Applies to identified time and movement scope only.
https://www.rferl.org/a/pakistan-reopens-chaman-border-afghanistan/33048871.html: full text — Applies to identified time and movement scope only.
Earlier source URLs not separately listed in this audit’s retrieval log (historical access notes below are not fresh verification):
https://www.arabnews.pk/pakistan/respite-for-residents-as-trade-activities-resume-at-pakistan-afghanistan-border-in-chaman-2470386
https://efe.com/latest-news/2024-07-21/protesters-end-sit-in-over-pakistans-afghan-border-visa-policy/
https://www.arabnews.pk/pakistan/residents-of-southwestern-pakistani-border-town-end-months-long-protest-against-strict-visa-policy-2553941
https://www.dawn.com/news/1838740
Earlier recorded access
Source 1: full text
Source 2: full text
Source 3: full text</x:v>
      </x:c>
      <x:c r="P281" s="20" t="n">
        <x:v>1</x:v>
      </x:c>
      <x:c r="Q281" s="4" t="str">
        <x:v>South Asia</x:v>
      </x:c>
      <x:c r="R281" s="4" t="str">
        <x:v>Included</x:v>
      </x:c>
    </x:row>
    <x:row r="282" ht="258" hidden="0" customHeight="1">
      <x:c r="A282" s="16" t="str">
        <x:v>SA012</x:v>
      </x:c>
      <x:c r="B282" s="4" t="str">
        <x:v>Torkham January 2024 driver-document closure</x:v>
      </x:c>
      <x:c r="C282" s="4" t="str">
        <x:v>Pakistan; Afghanistan</x:v>
      </x:c>
      <x:c r="D282" s="4" t="str">
        <x:v>Torkham
Drivers, trucks and associated crossing movements</x:v>
      </x:c>
      <x:c r="E282" s="4" t="str">
        <x:v>Drivers, trucks and associated crossing movements
Direction: Both directions
Exceptions: Not established</x:v>
      </x:c>
      <x:c r="F282" s="4" t="str">
        <x:v>SA012-D1 — Observed operation
Torkham truck/driver passage affected by the January passport/visa dispute.
Start: 2024-01-12 to 2024-01-13.
Observed scoped reopening: 2024-01-23.
10–11 calendar-day difference; scoped endpoint only</x:v>
      </x:c>
      <x:c r="G282" s="4" t="str">
        <x:v>Migration / Entry and asylum control
Reported reason
Applies to: Pakistani driver-document enforcement January 2024
The recorded rationale and claim assessment support the selected subcategories. All applicable broad categories are retained together; no primary rationale is imposed.
Migration / Admission and document disputes
Reported reason
Applies to: Reciprocal Taliban truck restriction January 2024</x:v>
      </x:c>
      <x:c r="H282" s="4" t="str">
        <x:v>SA012-D1: The one-day onset disagreement is retained. This does not establish a separate protectionist motive, and unspecified passenger categories are not automatically assigned the truck endpoint.</x:v>
      </x:c>
      <x:c r="I282" s="4" t="str">
        <x:v>Second full-register audit, 26 October 2026: qualified. Two fresh sources retain the January 12–13 onset disagreement and agree on January 23 implemented truck reopening.</x:v>
      </x:c>
      <x:c r="J282" s="18" t="d">
        <x:v>2026-10-26T00:00:00.000Z</x:v>
      </x:c>
      <x:c r="K282" s="21" t="str">
        <x:f>IFERROR(HYPERLINK("https://logcluster.org/en/node/45647","Logistics Cluster"),"Logistics Cluster")</x:f>
        <x:v>Logistics Cluster</x:v>
      </x:c>
      <x:c r="L282" s="21" t="str">
        <x:f>IFERROR(HYPERLINK("https://www.rferl.org/a/pakistan-afghanistan-torkham-opened/32788073.html","RFE/RL"),"RFE/RL")</x:f>
        <x:v>RFE/RL</x:v>
      </x:c>
      <x:c r="M282" s="21" t="str">
        <x:f>IFERROR(HYPERLINK("https://www.aa.com.tr/en/asia-pacific/key-pakistani-afghan-border-crossing-opens-for-trade-after-10-days/3116179","aa.com.tr"),"aa.com.tr")</x:f>
        <x:v>aa.com.tr</x:v>
      </x:c>
      <x:c r="N282" s="4" t="str">
        <x:v>https://logcluster.org/en/node/45647
https://www.rferl.org/a/pakistan-afghanistan-torkham-opened/32788073.html
https://www.aa.com.tr/en/asia-pacific/key-pakistani-afghan-border-crossing-opens-for-trade-after-10-days/3116179</x:v>
      </x:c>
      <x:c r="O282" s="4" t="str">
        <x:v>Second full-register audit source access, 26 October 2026
https://www.aa.com.tr/en/asia-pacific/key-pakistani-afghan-border-crossing-opens-for-trade-after-10-days/3116179: full text (fresh retrieval)
https://www.rferl.org/a/pakistan-afghanistan-torkham-opened/32788073.html: full text (fresh retrieval)
Earlier URLs not separately inspected in this second assessment:
https://logcluster.org/en/node/45647
Prior audit access record
Full-register audit source access (evidence cutoff 25 October 2026)
https://logcluster.org/en/node/45647: full text
https://www.rferl.org/a/pakistan-afghanistan-torkham-opened/32788073.html: full text — Onset conflicts with Logistics Cluster and Anadolu.
https://www.aa.com.tr/en/asia-pacific/key-pakistani-afghan-border-crossing-opens-for-trade-after-10-days/3116179: full text
Earlier recorded access
Source 1: full page
Source 2: full page
Source 3: access detail is retained in the source catalogue.</x:v>
      </x:c>
      <x:c r="P282" s="20" t="n">
        <x:v>1</x:v>
      </x:c>
      <x:c r="Q282" s="4" t="str">
        <x:v>South Asia</x:v>
      </x:c>
      <x:c r="R282" s="4" t="str">
        <x:v>Included</x:v>
      </x:c>
    </x:row>
    <x:row r="283" ht="409" hidden="0" customHeight="1">
      <x:c r="A283" s="16" t="str">
        <x:v>SA025</x:v>
      </x:c>
      <x:c r="B283" s="4" t="str">
        <x:v>India–Bangladesh rail-freight suspension and excluded road-trade interruption during 2024 unrest</x:v>
      </x:c>
      <x:c r="C283" s="4" t="str">
        <x:v>India; Bangladesh</x:v>
      </x:c>
      <x:c r="D283" s="4" t="str">
        <x:v>Petrapole–Benapole rail-freight link: eligible separate suspension.
Petrapole–Benapole road trade: SA025-D1 remains reference only and excluded. Earlier partial road restoration at Hili, Changrabandha, Mahadipur, Fulbari and Gojadanga does not end the rail phase.</x:v>
      </x:c>
      <x:c r="E283" s="4" t="str">
        <x:v>Separate rail-freight and road-trade scopes, both concerning cross-border goods in both directions. The rail phase does not describe passenger trains or road traffic. Some other West Bengal road ports resumed limited perishable trade on August 7; Petrapole road trade resumed August 8. Passenger passage was not wholly stopped by the road disruption.</x:v>
      </x:c>
      <x:c r="F283" s="4" t="str">
        <x:v>SA025-D1 — Observed operation
Petrapole–Benapole road trade during Bangladesh's August political unrest.
Start: 2024-08-05.
Observed scoped reopening: 2024-08-08.
Contested: dated evidence; numeric duration withheld; see qualification
Held evidence: excluded from numeric duration and animation displays.
SA025-AUDIT20261026-1 — Formal rail suspension with later observed access
Cross-border rail freight through Petrapole–Benapole, within the India–Bangladesh rail suspension.
Start: 2024-07-19.
Last confirmed suspended: 2024-08-19.
Observed scoped goods access: by 2024-09-04.
At least 31 calendar days of suspension confirmed; strict greater-than-24-hour eligibility: yes. Exact first local reopening and complete elapsed duration are not established.</x:v>
      </x:c>
      <x:c r="G283" s="4" t="str">
        <x:v>Security / Public order and immediate safety
Rail phase: security concerns during the July 2024 student protests, attributed by UNB to port sources describing the Indian government suspension. The August 19 Daily Star account quotes Bangladesh Railway’s director general about Indian Railways’ decision on freight restoration.
Road phase: insecurity and withdrawal of workers/traders are reported context only; deliberate border denial remains unestablished.</x:v>
      </x:c>
      <x:c r="H283" s="4" t="str">
        <x:v>SA025-D1 remains reference only and excluded from animation and numeric closure analysis. Contemporary road reports describe absent staff, voluntary nonacceptance of cargo and insecurity; they do not establish deliberate border denial. The road dates remain August 5–8, with some source wording differing over the time of cessation.
SA025-AUDIT20261026-1: This is a separate deliberate rail restriction, not a reason to include SA025-D1. UNB and the Daily Star report Benapole rail-goods restoration on September 4 and describe 47 days since July 19. However, the August 19 Daily Star report already records Indian Railways’ verbal decision for freight restoration the following day; a later New Age official account dates wider freight restoration to August 20, and the September 8 Times of India mentions rakes dispatched during the preceding two weeks. These are not fully reconciled at the Benapole gate level. September 4 is therefore retained as confirmed access by that date, not an uncontested first reopening. The confirmed pre-restoration span ends August 19; no uninterrupted closure is assumed afterwards. Passenger trains remained a distinct restriction and are not assigned the freight endpoint.</x:v>
      </x:c>
      <x:c r="I283" s="4" t="str">
        <x:v>Second full-register audit, 26 October 2026: additional source-audited corrections incorporated. See the phase, scope and qualification columns for the accepted findings.</x:v>
      </x:c>
      <x:c r="J283" s="18" t="d">
        <x:v>2026-10-26T00:00:00.000Z</x:v>
      </x:c>
      <x:c r="K283" s="21" t="str">
        <x:f>IFERROR(HYPERLINK("https://www.business-standard.com/external-affairs-defence-security/news/amid-tight-security-indo-bangla-trade-resumes-from-petrapole-land-port-124080800255_1.html","Business Standard / PTI"),"Business Standard / PTI")</x:f>
        <x:v>Business Standard / PTI</x:v>
      </x:c>
      <x:c r="L283" s="21" t="str">
        <x:f>IFERROR(HYPERLINK("https://www.thedailystar.net/business/news/trade-through-benapole-resumes-3672486","The Daily Star"),"The Daily Star")</x:f>
        <x:v>The Daily Star</x:v>
      </x:c>
      <x:c r="M283" s="21" t="str">
        <x:f>IFERROR(HYPERLINK("https://economictimes.indiatimes.com/news/economy/foreign-trade/trade-via-bengal-land-ports-disrupted-amid-unrest-in-bangladesh/articleshow/112313969.cms?from=mdr","economictimes.indiatimes.com"),"economictimes.indiatimes.com")</x:f>
        <x:v>economictimes.indiatimes.com</x:v>
      </x:c>
      <x:c r="N283" s="4" t="str">
        <x:v>https://www.business-standard.com/external-affairs-defence-security/news/amid-tight-security-indo-bangla-trade-resumes-from-petrapole-land-port-124080800255_1.html
https://www.thedailystar.net/business/news/trade-through-benapole-resumes-3672486
https://economictimes.indiatimes.com/news/economy/foreign-trade/trade-via-bengal-land-ports-disrupted-amid-unrest-in-bangladesh/articleshow/112313969.cms?from=mdr
https://www.tbsnews.net/bangladesh/business-grind-halt-benapole-port-amid-security-fears-911931
https://www.dailyexcelsior.com/indo-bangla-trade-halted-amid-crisis/
https://www.thedailystar.net/business/export/news/benapole-land-port-closed-indefinitely-3671711
https://unb.com.bd/category/bangladesh/export-import-between-bangladesh-india-via-railway-resume-through-benapole-land-port-after-47-days/142210
https://www.dhakatribune.com/bangladesh/nation/357225/bangladesh-india-trade-via-railway-resumes
https://www.thedailystar.net/news/bangladesh/news/indo-bangla-trade-railway-resumes-after-47-days-3694416
https://www.thedailystar.net/news/bangladesh/news/bangladesh-india-freight-train-ops-likely-resume-tomorrow-3681326
https://timesofindia.indiatimes.com/india/indo-bangla-trade-resumes-via-rail-route-40k-tonnes-freight-exported/articleshow/113165536.cms
https://www.newagebd.net/post/country/246360/resumption-of-indo-bangla-train-services-still-uncertain</x:v>
      </x:c>
      <x:c r="O283" s="4" t="str">
        <x:v>Second full-register audit source access, 26 October 2026
https://www.business-standard.com/external-affairs-defence-security/news/amid-tight-security-indo-bangla-trade-resumes-from-petrapole-land-port-124080800255_1.html: full text (fresh retrieval)
https://www.tbsnews.net/bangladesh/business-grind-halt-benapole-port-amid-security-fears-911931: full text (fresh retrieval)
https://www.thedailystar.net/business/export/news/benapole-land-port-closed-indefinitely-3671711: search extract (fresh retrieval) — Indexed full article; date-relative wording inconsistent
https://unb.com.bd/category/bangladesh/export-import-between-bangladesh-india-via-railway-resume-through-benapole-land-port-after-47-days/142210: full text (fresh retrieval) — Dhaka Tribune carries substantially same copy; not independent confirmation
https://www.dhakatribune.com/bangladesh/nation/357225/bangladesh-india-trade-via-railway-resumes: full text (fresh retrieval) — Syndicated narrative; not additional independent reporting
https://www.thedailystar.net/news/bangladesh/news/indo-bangla-trade-railway-resumes-after-47-days-3694416: full text (fresh retrieval)
https://www.thedailystar.net/news/bangladesh/news/bangladesh-india-freight-train-ops-likely-resume-tomorrow-3681326: full text (fresh retrieval) — Future restoration is a plan, not observed August 20 operation
https://timesofindia.indiatimes.com/india/indo-bangla-trade-resumes-via-rail-route-40k-tonnes-freight-exported/articleshow/113165536.cms: full text (fresh retrieval) — Internally also repeats 47 days; exact local first restoration unclear
https://www.newagebd.net/post/country/246360/resumption-of-indo-bangla-train-services-still-uncertain: search extract (fresh retrieval) — Direct 403; indexed body inspected; not necessarily same gate
Earlier URLs not separately inspected in this second assessment:
https://www.thedailystar.net/business/news/trade-through-benapole-resumes-3672486
https://economictimes.indiatimes.com/news/economy/foreign-trade/trade-via-bengal-land-ports-disrupted-amid-unrest-in-bangladesh/articleshow/112313969.cms?from=mdr
https://www.dailyexcelsior.com/indo-bangla-trade-halted-amid-crisis/
Prior audit access record
Full-register audit source access (evidence cutoff 25 October 2026)
https://www.business-standard.com/external-affairs-defence-security/news/amid-tight-security-indo-bangla-trade-resumes-from-petrapole-land-port-124080800255_1.html: full text
https://www.tbsnews.net/bangladesh/business-grind-halt-benapole-port-amid-security-fears-911931: full text — The headline says 6 August while the body places cessation on Monday afternoon; retain the latter explicit account and do not infer full-day closure.
https://www.thedailystar.net/business/news/trade-through-benapole-resumes-3672486: full text
https://www.dailyexcelsior.com/indo-bangla-trade-halted-amid-crisis/: full text — PTI syndication is not independent confirmation of PTI reporting; report mislabels the prime minister as president, irrelevant to the coded episode.
Earlier source URLs not separately listed in this audit’s retrieval log (historical access notes below are not fresh verification):
https://economictimes.indiatimes.com/news/economy/foreign-trade/trade-via-bengal-land-ports-disrupted-amid-unrest-in-bangladesh/articleshow/112313969.cms?from=mdr
https://www.thedailystar.net/business/export/news/benapole-land-port-closed-indefinitely-3671711
Earlier recorded access
Source 1: full text
Source 2: full text
Source 3: access detail is retained in the source catalogue.</x:v>
      </x:c>
      <x:c r="P283" s="20" t="n">
        <x:v>2</x:v>
      </x:c>
      <x:c r="Q283" s="4" t="str">
        <x:v>South Asia</x:v>
      </x:c>
      <x:c r="R283" s="4" t="str">
        <x:v>Included: SA025-AUDIT20261026-1 rail phase only; SA025-D1 road phase remains reference only (excluded)</x:v>
      </x:c>
    </x:row>
    <x:row r="284" ht="409" hidden="0" customHeight="1">
      <x:c r="A284" s="16" t="str">
        <x:v>SA014</x:v>
      </x:c>
      <x:c r="B284" s="4" t="str">
        <x:v>Torkham February–March 2025 clash closure</x:v>
      </x:c>
      <x:c r="C284" s="4" t="str">
        <x:v>Pakistan; Afghanistan</x:v>
      </x:c>
      <x:c r="D284" s="4" t="str">
        <x:v>Torkham
People and goods</x:v>
      </x:c>
      <x:c r="E284" s="4" t="str">
        <x:v>People and goods
Direction: Both directions
Exceptions: APP reported patient access alongside March 19 cargo; TOLO's commissioner said patient/passenger access remained planned for Friday. Patient restoration therefore contested; March 22 ordinary pedestrian phase separately reported.</x:v>
      </x:c>
      <x:c r="F284" s="4" t="str">
        <x:v>SA014-D1 — Observed operation
Commercial cargo movement through Torkham during the checkpoint-dispute closure.
Start: 2025-02-21 to 2025-02-22.
Observed scoped reopening: 2025-03-19.
25–26 calendar-day difference; strict greater-than-24-hour eligibility supported.
SA014-C7P1 — Observed operation
Ordinary documented pedestrian passage at Torkham, excluding patient exceptions; March 22 restoration is specifically reported toward Afghanistan.
Start: 2025-02-21 to 2025-02-22.
Observed scoped reopening: 2025-03-22.
28–29 calendar-day difference; strict greater-than-24-hour eligibility supported. Cargo and possible patient access resumed separately.</x:v>
      </x:c>
      <x:c r="G284"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Territorial and frontier disputes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84" s="4" t="str">
        <x:v>Both phases: Contemporary sources place the closure around the night of February 21–22. Anadolu’s February 22 account says Saturday morning; a police official quoted by the Tribune refers to late Friday night. Retain the two-date bound rather than an exact midnight convention. The initial halt explicitly included pedestrians and heavy vehicles, so the ordinary pedestrian onset is supported; it is not inferred from a later confirmation date.
SA014-D1: APP reports actual March 19 truck movement. Its later patient-access account conflicts with TOLO’s March 21 report of patients still waiting; patient restoration remains contested. Headline counts are not elapsed-day arithmetic.
SA014-C7P1: TOLO reports continuing passenger restriction on March 21 after a technical delay. APP and Salam Watandar report implemented March 22 passage; APP specifies documented travellers toward Afghanistan. Afghanistan International also carries a conflicting patient-only statement for that weekend. Retain that scope disagreement and do not assert unrestricted admission for every traveller in both directions.</x:v>
      </x:c>
      <x:c r="I284" s="4" t="str">
        <x:v>Second full-register audit, 26 October 2026: additional source-audited corrections incorporated. See the phase, scope and qualification columns for the accepted findings.</x:v>
      </x:c>
      <x:c r="J284" s="18" t="d">
        <x:v>2026-10-26T00:00:00.000Z</x:v>
      </x:c>
      <x:c r="K284" s="21" t="str">
        <x:f>IFERROR(HYPERLINK("https://www.brecorder.com/news/amp/40353742","Business Recorder"),"Business Recorder")</x:f>
        <x:v>Business Recorder</x:v>
      </x:c>
      <x:c r="L284" s="21" t="str">
        <x:f>IFERROR(HYPERLINK("https://www.afintl.com/en/202503224549","Afghanistan International"),"Afghanistan International")</x:f>
        <x:v>Afghanistan International</x:v>
      </x:c>
      <x:c r="M284" s="21" t="str">
        <x:f>IFERROR(HYPERLINK("https://www.app.com.pk/domestic/pakistan-afghanistan-resume-cross-border-trade-as-torkham-border-reopens-after-27-days/","app.com.pk"),"app.com.pk")</x:f>
        <x:v>app.com.pk</x:v>
      </x:c>
      <x:c r="N284" s="4" t="str">
        <x:v>https://www.brecorder.com/news/amp/40353742
https://www.afintl.com/en/202503224549
https://www.app.com.pk/domestic/pakistan-afghanistan-resume-cross-border-trade-as-torkham-border-reopens-after-27-days/
https://www.brecorder.com/news/40354228
https://www.dawn.com/news/1899686/torkham-border-reopens-for-pedestrians
https://www.tolonews.com/afghanistan-193518
https://www.reuters.com/world/asia-pacific/pakistan-afghanistan-open-main-border-crossing-closed-nearly-month-2025-03-19/
https://swn.af/en/2025/03/torkham-border-gate-reopens-for-passenger-traffic-after-nearly-a-month/
https://www.tolonews.com/index.php/afghanistan-193545
https://www.aa.com.tr/en/asia-pacific/key-pakistani-afghan-border-crossing-closed-after-dispute-over-check-post-construction/3489905
https://tribune.com.pk/story/2530400/pakistan-closes-key-afghan-border-crossing-over-trench-construction?amp=1</x:v>
      </x:c>
      <x:c r="O284" s="4" t="str">
        <x:v>Second full-register audit source access, 26 October 2026
https://www.aa.com.tr/en/asia-pacific/key-pakistani-afghan-border-crossing-closed-after-dispute-over-check-post-construction/3489905: full text (fresh retrieval)
https://tribune.com.pk/story/2530400/pakistan-closes-key-afghan-border-crossing-over-trench-construction?amp=1: search extract (fresh retrieval) — Direct URL 403; indexed report inspected.
https://www.app.com.pk/domestic/pakistan-afghanistan-resume-cross-border-trade-as-torkham-border-reopens-after-27-days/: full text (fresh retrieval)
https://www.tolonews.com/index.php/afghanistan-193545: full text (fresh retrieval)
https://swn.af/en/2025/03/torkham-border-gate-reopens-for-passenger-traffic-after-nearly-a-month/: full text (fresh retrieval)
https://www.brecorder.com/news/40354228: full text (fresh retrieval)
https://www.afintl.com/en/202503224549: full text (fresh retrieval)
Earlier URLs not separately inspected in this second assessment:
https://www.brecorder.com/news/amp/40353742
https://www.dawn.com/news/1899686/torkham-border-reopens-for-pedestrians
https://www.tolonews.com/afghanistan-193518
https://www.reuters.com/world/asia-pacific/pakistan-afghanistan-open-main-border-crossing-closed-nearly-month-2025-03-19/
Prior audit access record
Full-register audit source access (evidence cutoff 25 October 2026)
https://www.brecorder.com/news/amp/40353742: full text
https://www.app.com.pk/domestic/pakistan-afghanistan-resume-cross-border-trade-as-torkham-border-reopens-after-27-days/: full text — This particular APP story does not state patient access; the patient claim appears in the later APP syndication.
https://www.brecorder.com/news/40354228: full text — Not an independent source from APP; headline narrative counts do not control arithmetic.
https://www.tolonews.com/afghanistan-193518: full text
https://www.tolonews.com/index.php/afghanistan-193545: full text
https://swn.af/en/2025/03/torkham-border-gate-reopens-for-passenger-traffic-after-nearly-a-month/: full text
https://www.afintl.com/en/202503224549: full text — Do not choose the broader statement while suppressing the narrower one.
Earlier source URLs not separately listed in this audit’s retrieval log (historical access notes below are not fresh verification):
https://www.dawn.com/news/1899686/torkham-border-reopens-for-pedestrians
https://www.reuters.com/world/asia-pacific/pakistan-afghanistan-open-main-border-crossing-closed-nearly-month-2025-03-19/
Earlier recorded access
Source 1: full page
Source 2: search extract
Source 3: indexed excerpt</x:v>
      </x:c>
      <x:c r="P284" s="20" t="n">
        <x:v>2</x:v>
      </x:c>
      <x:c r="Q284" s="4" t="str">
        <x:v>South Asia</x:v>
      </x:c>
      <x:c r="R284" s="4" t="str">
        <x:v>Included</x:v>
      </x:c>
    </x:row>
    <x:row r="285" ht="409" hidden="0" customHeight="1">
      <x:c r="A285" s="16" t="str">
        <x:v>SA018</x:v>
      </x:c>
      <x:c r="B285" s="4" t="str">
        <x:v>Attari passenger and goods closure after Pahalgam attack</x:v>
      </x:c>
      <x:c r="C285" s="4" t="str">
        <x:v>India; Pakistan</x:v>
      </x:c>
      <x:c r="D285" s="4" t="str">
        <x:v>Attari / Wagah
Incoming and outgoing passengers and goods</x:v>
      </x:c>
      <x:c r="E285" s="4" t="str">
        <x:v>Incoming and outgoing passengers and goods, with separate phase scopes. May 7 permission was implemented for five Afghan trucks on May 16 and fourteen on May 17; this was exceptional cargo access. The passenger phase covers ordinary tourist transit only. Authorised Indian and Pakistani returns and exceptional pilgrim arrangements are excluded. Attendance at the daily retreat ceremony does not establish international passage.</x:v>
      </x:c>
      <x:c r="F285" s="4" t="str">
        <x:v>SA018-D1 — Formal policy
Indian ordinary goods-movement prohibition at Attari, excluding the specified one-time Afghan perishable-cargo permission.
Start: 2025-04-24.
Last confirmed: 2025-05-07. Reopening is not established.
Formal policy: confirmed through 2025-05-07; at least 13 calendar-day difference; reopening unknown
SA018-C1 — Observed operation
Afghan cargo imports through Attari before the first exceptional consignment entered; not all passengers or permanent ordinary trade reopening.
Start: 2025-04-24.
Observed scoped reopening: 2025-05-16.
22 calendar-day difference; scoped endpoint only
SA018-AUDIT20261026-1 — Formal policy with later status confirmation
Ordinary tourist transit at Attari–Wagah, excluding authorised nationality-specific returns, exceptional pilgrim arrangements and goods.
Policy onset: 2025-04-24.
Last confirmed closed to ordinary tourist transit: 2026-10-26. Reopening is not established.
550 calendar-day policy span to latest confirmation; strict greater-than-24-hour eligibility: yes. This is not a count of all-person physical-gate closure days.</x:v>
      </x:c>
      <x:c r="G285" s="4" t="str">
        <x:v>Security / Armed attacks and terrorism
Interstate disputes and pressure / Diplomatic disputes and retaliation
Attributed Indian government explanation in the April 24, 2025 Home Affairs memorandum, circulated by customs on April 26
Applies to: the Attari closure and its retained goods, exceptional cargo and ordinary tourist-transit phases
The government cited the Pahalgam attack and alleged cross-border links in ordering the closure. This records the official justification without independently resolving responsibility for the attack.</x:v>
      </x:c>
      <x:c r="H285" s="4" t="str">
        <x:v>SA018-D1: This is an Indian legal-policy segment, not a demonstrated physical-gate interval or bilateral operating status. Announcement, implementing memo and customs-circulation dates differ. Nationality-specific passenger returns are separate; no later goods-policy confirmation is inferred from passenger advice.
SA018-C1: Endpoint is first restricted cargo exception. This operational segment overlaps the existing legal-policy segment and must not be summed with it. No ordinary reopening inferred.
SA018-AUDIT20261026-1: The April 24 implementing order supplies the policy onset. May 2026 reporting explicitly links the still-closed crossing to the post-Pahalgam closure; the fresh FCDO observation confirms ordinary tourist transit remains closed on the review date. The latter is a confirmation date, not a new onset. Nationality-specific returns, exceptional pilgrims, cargo and ceremony attendance are not ordinary tourist reopening. The August 2026 e-Visa-port designation is not evidence that the physical crossing reopened. The three overlapping scopes must not be summed.</x:v>
      </x:c>
      <x:c r="I285" s="4" t="str">
        <x:v>Second full-register audit, 26 October 2026: additional source-audited corrections incorporated. See the phase, scope and qualification columns for the accepted findings.</x:v>
      </x:c>
      <x:c r="J285" s="18" t="d">
        <x:v>2026-10-26T00:00:00.000Z</x:v>
      </x:c>
      <x:c r="K285" s="21" t="str">
        <x:f>IFERROR(HYPERLINK("https://taxguru.in/custom-duty/attari-check-post-closed-india-pakistan-border-custom-notification.html","TaxGuru"),"TaxGuru")</x:f>
        <x:v>TaxGuru</x:v>
      </x:c>
      <x:c r="L285" s="21" t="str">
        <x:f>IFERROR(HYPERLINK("https://www.globalsecurity.org/wmd/library/news/india/2025/india-250423-india-meab01.htm","GlobalSecurity"),"GlobalSecurity")</x:f>
        <x:v>GlobalSecurity</x:v>
      </x:c>
      <x:c r="M285" s="21" t="str">
        <x:f>IFERROR(HYPERLINK("https://taxguru.in/custom-duty/attari-icp-partially-open-afghan-goods.html","TaxGuru"),"TaxGuru")</x:f>
        <x:v>TaxGuru</x:v>
      </x:c>
      <x:c r="N285" s="4" t="str">
        <x:v>https://taxguru.in/custom-duty/attari-check-post-closed-india-pakistan-border-custom-notification.html
https://www.globalsecurity.org/wmd/library/news/india/2025/india-250423-india-meab01.htm
https://taxguru.in/custom-duty/attari-icp-partially-open-afghan-goods.html
https://taxguru.in/custom-duty/india-pakistan-travel-via-attari-icp-allowed-cbic.html
https://www.tribuneindia.com/news/punjab/attari-wagah-check-post-reopens-stranded-afghan-trucks-allowed-entry-after-22-day-closure/
https://www.tribuneindia.com/news/punjab/second-batch-of-stranded-afghan-trucks-enters-india-via-attari-check-post/
https://www.taxmanagementindia.com/visitor/detail_circular.asp?ID=68572
https://www.theweek.in/news/india/2025/04/23/pahalgam-attack-india-fires-diplomatic-salvo-on-pak-indus-water-treaty-in-abeyance.html
https://www.tradeprep.in/notification/closing-of-the-integrated-check-post-attari-for-all-types-of-cus64634
https://finodha.in/instruction-08-2025-customs-attari-checkpost-closure/?cst=&amp;query-0-page=1393
https://www.taxmanagementindia.com/visitor/detail_circular.asp?ID=68587
https://www.gov.uk/foreign-travel-advice/india
https://www.lpai.gov.in/en/icp-attari
https://mofa.gov.pk/press-releases/transcript-of-the-weekly-press-briefing-by-the-spokesperson-friday-april-25-2025
https://www.gov.uk/foreign-travel-advice/india/regional-risks
https://www.gov.uk/foreign-travel-advice/pakistan/entry-requirements
https://www.business-standard.com/blueprint-defence-magazine/opinion/a-year-after-operation-sindoor-126050600806_1.html</x:v>
      </x:c>
      <x:c r="O285" s="4" t="str">
        <x:v>Second full-register audit source access, 26 October 2026
https://taxguru.in/custom-duty/attari-check-post-closed-india-pakistan-border-custom-notification.html: full text (fresh retrieval)
https://taxguru.in/custom-duty/attari-icp-partially-open-afghan-goods.html: full text (fresh retrieval)
https://www.tribuneindia.com/news/punjab/attari-wagah-check-post-reopens-stranded-afghan-trucks-allowed-entry-after-22-day-closure/: full text (fresh retrieval)
https://www.tribuneindia.com/news/punjab/second-batch-of-stranded-afghan-trucks-enters-india-via-attari-check-post/: full text (fresh retrieval)
https://www.taxmanagementindia.com/visitor/detail_circular.asp?ID=68572: search extract (fresh retrieval) — Indexed reproduction of May 1 MHA return-home modification, circulated May 5.
https://www.gov.uk/foreign-travel-advice/india/regional-risks: full text (fresh retrieval)
https://www.gov.uk/foreign-travel-advice/pakistan/entry-requirements: full text (fresh retrieval)
https://www.business-standard.com/blueprint-defence-magazine/opinion/a-year-after-operation-sindoor-126050600806_1.html: full text (fresh retrieval) — Commentary; not a new legal instrument
Earlier URLs not separately inspected in this second assessment:
https://www.globalsecurity.org/wmd/library/news/india/2025/india-250423-india-meab01.htm
https://taxguru.in/custom-duty/india-pakistan-travel-via-attari-icp-allowed-cbic.html
https://www.theweek.in/news/india/2025/04/23/pahalgam-attack-india-fires-diplomatic-salvo-on-pak-indus-water-treaty-in-abeyance.html
https://www.tradeprep.in/notification/closing-of-the-integrated-check-post-attari-for-all-types-of-cus64634
https://finodha.in/instruction-08-2025-customs-attari-checkpost-closure/?cst=&amp;query-0-page=1393
https://www.taxmanagementindia.com/visitor/detail_circular.asp?ID=68587
https://www.gov.uk/foreign-travel-advice/india
https://www.lpai.gov.in/en/icp-attari
https://mofa.gov.pk/press-releases/transcript-of-the-weekly-press-briefing-by-the-spokesperson-friday-april-25-2025
Prior audit access record
Full-register audit source access (evidence cutoff 25 October 2026)
https://taxguru.in/custom-duty/attari-check-post-closed-india-pakistan-border-custom-notification.html: full text — Applies to identified time and movement scope only.
https://taxguru.in/custom-duty/attari-icp-partially-open-afghan-goods.html: full text — Applies to identified time and movement scope only.
https://taxguru.in/custom-duty/india-pakistan-travel-via-attari-icp-allowed-cbic.html: search extract — Applies to identified time and movement scope only.
https://www.tribuneindia.com/news/punjab/second-batch-of-stranded-afghan-trucks-enters-india-via-attari-check-post/: full text — Applies to identified time and movement scope only.
https://www.lpai.gov.in/en/icp-attari: search extract — Applies to identified time and movement scope only.
https://mofa.gov.pk/press-releases/transcript-of-the-weekly-press-briefing-by-the-spokesperson-friday-april-25-2025: search extract — Applies to identified time and movement scope only.
Earlier source URLs not separately listed in this audit’s retrieval log (historical access notes below are not fresh verification):
https://www.globalsecurity.org/wmd/library/news/india/2025/india-250423-india-meab01.htm
https://www.tribuneindia.com/news/punjab/attari-wagah-check-post-reopens-stranded-afghan-trucks-allowed-entry-after-22-day-closure/
https://www.taxmanagementindia.com/visitor/detail_circular.asp?ID=68572
https://www.theweek.in/news/india/2025/04/23/pahalgam-attack-india-fires-diplomatic-salvo-on-pak-indus-water-treaty-in-abeyance.html
https://www.tradeprep.in/notification/closing-of-the-integrated-check-post-attari-for-all-types-of-cus64634
https://finodha.in/instruction-08-2025-customs-attari-checkpost-closure/?cst=&amp;query-0-page=1393
https://www.taxmanagementindia.com/visitor/detail_circular.asp?ID=68587
https://www.gov.uk/foreign-travel-advice/india
Earlier recorded access
Source 1: full page
Source 2: failed: 403
Source 3: full page</x:v>
      </x:c>
      <x:c r="P285" s="20" t="n">
        <x:v>3</x:v>
      </x:c>
      <x:c r="Q285" s="4" t="str">
        <x:v>South Asia</x:v>
      </x:c>
      <x:c r="R285" s="4" t="str">
        <x:v>Included</x:v>
      </x:c>
    </x:row>
    <x:row r="286" ht="409" hidden="0" customHeight="1">
      <x:c r="A286" s="16" t="str">
        <x:v>SA026</x:v>
      </x:c>
      <x:c r="B286" s="4" t="str">
        <x:v>India excludes selected Bangladeshi imports from land ports</x:v>
      </x:c>
      <x:c r="C286" s="4" t="str">
        <x:v>India; Bangladesh</x:v>
      </x:c>
      <x:c r="D286" s="4" t="str">
        <x:v>All land ports for garments and later specified fibre/jute products; northeast states plus Changrabandha/Fulbari for other May-listed goods.
May 17: garments barred at every land port; listed foods, drinks, cotton waste, plastic/PVC goods and furniture barred at named regional ports. June 27 and August 11 amendments added specified flax/jute fibres, yarns, fabrics, cordage and sacks/bags to all-land-port prohibitions.</x:v>
      </x:c>
      <x:c r="E286" s="4" t="str">
        <x:v>Specified Bangladeshi garments and regional import categories from May 17; additional flax/jute fibre, yarn, fabric, cordage and sack/bag categories from June 27 and August 11.
Direction: Bangladesh to India
Exceptions: May notification exempts fish, LPG, edible oil, crushed stone and Bangladesh transit exports to Nepal/Bhutan. Named seaports remain permitted; June/August additions route through Nhava Sheva, with Nepal/Bhutan transit exempt but re-export into India prohibited.</x:v>
      </x:c>
      <x:c r="F286" s="4" t="str">
        <x:v>SA026-D1 — Formal policy
India's land-port prohibition on Bangladeshi ready-made garment imports, with separately dated product additions in the wider regime.
Start: 2025-05-17.
Last confirmed: 2026-10-13, by reporting of the continuing restrictions and an undecided request for removal. Reopening is not established.
At least 514 calendar-day difference in reported policy persistence; &gt;24-hour eligibility supported. This is not a measurement of gate compliance.</x:v>
      </x:c>
      <x:c r="G286" s="4" t="str">
        <x:v>Trade and protectionism / Import, export and production controls
Reported reason
Applies to: Recorded episode; exact overlap not separately established
The recorded rationale and claim assessment support the selected subcategories. All applicable broad categories are retained together; no primary rationale is imposed.
Trade and protectionism / Customs and transport rules
Reported reason
Applies to: Recorded episode; exact overlap not separately established
The recorded rationale and claim assessment support the selected subcategories. All applicable broad categories are retained together; no primary rationale is imposed.</x:v>
      </x:c>
      <x:c r="H286" s="4" t="str">
        <x:v>SA026-D1: The original May garment prohibition and the distinct June 27 and August 11 product additions are supported by the government release and reproduced notifications. July 6, 2026 port reporting says the May restrictions remained in place. BSS on October 9 reports a request to remove existing land-port restrictions; NDTV on October 13 identifies the garment and jute measures and says India had not decided on the requests. This supports reported policy persistence through October 13, rather than the earlier August 2025 evidence limit. A fresh consolidated legal schedule and compliance at every gate were not obtained. Product onset dates, regional port rules, permitted seaports and protected Nepal/Bhutan transit remain distinct. Reproductions share the notifications' documentary origin; NDTV partly draws on BSS. No status after October 13 is inferred.</x:v>
      </x:c>
      <x:c r="I286" s="4" t="str">
        <x:v>Second full-register audit, 26 October 2026: additional source-audited corrections incorporated. See the phase, scope and qualification columns for the accepted findings.</x:v>
      </x:c>
      <x:c r="J286" s="18" t="d">
        <x:v>2026-10-26T00:00:00.000Z</x:v>
      </x:c>
      <x:c r="K286" s="21" t="str">
        <x:f>IFERROR(HYPERLINK("https://egazette.gov.in/WriteReadData/2025/263229.pdf","India Gazette"),"India Gazette")</x:f>
        <x:v>India Gazette</x:v>
      </x:c>
      <x:c r="L286" s="21" t="str">
        <x:f>IFERROR(HYPERLINK("https://taxguru.in/dgft/india-imposes-import-port-rules-goods-bangladesh.html","TaxGuru"),"TaxGuru")</x:f>
        <x:v>TaxGuru</x:v>
      </x:c>
      <x:c r="M286" s="21" t="str">
        <x:f>IFERROR(HYPERLINK("https://content.dgft.gov.in/Website/General_Notes_to_Import_Policy_2025.pdf","India DGFT"),"India DGFT")</x:f>
        <x:v>India DGFT</x:v>
      </x:c>
      <x:c r="N286" s="4" t="str">
        <x:v>https://egazette.gov.in/WriteReadData/2025/263229.pdf
https://taxguru.in/dgft/india-imposes-import-port-rules-goods-bangladesh.html
https://content.dgft.gov.in/Website/General_Notes_to_Import_Policy_2025.pdf
https://content.dgft.gov.in/Website/dgftprod/99951360-a8cb-433c-8324-efc0ce4d0511/Notification%2021%20eng_0001.pdf
https://content.dgft.gov.in/Website/dgftprod/6accfbc6-287f-4861-9756-fe16dc364e8b/Notification%2024%20Eng_0001%20%281%29.pdf
https://www.pib.gov.in/PressReleasePage.aspx?PRID=2129380&amp;lang=2&amp;reg=48
https://taxguru.in/dgft/dgft-imposes-port-restrictions-bangladesh-imports.html
https://bdnews24.com/business/7bf2ba10beb7
https://www.gazettetracker.com/g/CG-DL-E-30062025-264219
https://www.tbsnews.net/economy/industry/revenue-falls-akhaura-land-port-amid-import-slump-1481256
https://www.bssnews.net/business/433082
https://www.ndtv.com/world-news/bangladesh-requests-india-for-removal-of-trade-restrictions-12176112</x:v>
      </x:c>
      <x:c r="O286" s="4" t="str">
        <x:v>Second full-register audit source access, 26 October 2026
https://www.pib.gov.in/PressReleasePage.aspx?PRID=2129380&amp;lang=2&amp;reg=48: full text (fresh retrieval)
https://taxguru.in/dgft/india-imposes-import-port-rules-goods-bangladesh.html: full text (fresh retrieval) — Reproduction of the notification, not independent documentary origin.
https://www.gazettetracker.com/g/CG-DL-E-30062025-264219: full text (fresh retrieval) — Reproduced operative text inspected; linked official PDF failed. OCR codes should not be used without the original.
https://taxguru.in/dgft/dgft-imposes-port-restrictions-bangladesh-imports.html: full text (fresh retrieval) — Same documentary origin as official notification.
https://content.dgft.gov.in/Website/dgftprod/99951360-a8cb-433c-8324-efc0ce4d0511/Notification%2021%20eng_0001.pdf: inaccessible (fresh retrieval) — Unsupported application/octet-stream; not claimed as independently read.
https://content.dgft.gov.in/Website/dgftprod/6accfbc6-287f-4861-9756-fe16dc364e8b/Notification%2024%20Eng_0001%20%281%29.pdf: inaccessible (fresh retrieval) — Unsupported application/octet-stream; reproduction inspected instead.
https://www.tbsnews.net/economy/industry/revenue-falls-akhaura-land-port-amid-import-slump-1481256: full text (fresh retrieval) — Regional port report; does not independently enumerate every garment or jute provision.
https://www.bssnews.net/business/433082: full text (fresh retrieval) — Official-release report describes existing restrictions but not a consolidated tariff-code schedule.
https://www.ndtv.com/world-news/bangladesh-requests-india-for-removal-of-trade-restrictions-12176112: full text (fresh retrieval) — Contemporary reporting of existing measures and undecided removal requests, not a new legal order; partially relies on BSS.
Earlier URLs not separately inspected in this second assessment:
https://egazette.gov.in/WriteReadData/2025/263229.pdf
https://content.dgft.gov.in/Website/General_Notes_to_Import_Policy_2025.pdf
https://bdnews24.com/business/7bf2ba10beb7
Prior audit access record
Full-register audit source access (evidence cutoff 25 October 2026)
https://www.pib.gov.in/PressReleasePage.aspx?PRID=2129380&amp;lang=2&amp;reg=48: full text
https://content.dgft.gov.in/Website/dgftprod/99951360-a8cb-433c-8324-efc0ce4d0511/Notification%2021%20eng_0001.pdf: search extract — Direct open fails unsupported content type; substantial indexed operative text inspected
https://taxguru.in/dgft/dgft-imposes-port-restrictions-bangladesh-imports.html: full text — Reproduction of same documentary origin, not independent confirmation
https://content.dgft.gov.in/Website/General_Notes_to_Import_Policy_2025.pdf: full text — Document does not incorporate later amendments; not a current complete consolidation
https://bdnews24.com/business/7bf2ba10beb7: full text — Dates and product scope imprecise; not accepted for extension
Earlier source URLs not separately listed in this audit’s retrieval log (historical access notes below are not fresh verification):
https://egazette.gov.in/WriteReadData/2025/263229.pdf
https://taxguru.in/dgft/india-imposes-import-port-rules-goods-bangladesh.html
https://content.dgft.gov.in/Website/dgftprod/6accfbc6-287f-4861-9756-fe16dc364e8b/Notification%2024%20Eng_0001%20%281%29.pdf
Earlier recorded access
Source 1: failed: timeout
Source 2: full page
Source 3: full PDF text</x:v>
      </x:c>
      <x:c r="P286" s="20" t="n">
        <x:v>1</x:v>
      </x:c>
      <x:c r="Q286" s="4" t="str">
        <x:v>South Asia</x:v>
      </x:c>
      <x:c r="R286" s="4" t="str">
        <x:v>Included</x:v>
      </x:c>
    </x:row>
    <x:row r="287" ht="409" hidden="0" customHeight="1">
      <x:c r="A287" s="16" t="str">
        <x:v>SA015</x:v>
      </x:c>
      <x:c r="B287" s="4" t="str">
        <x:v>Pakistan–Afghanistan crossing closures after October 2025 clashes</x:v>
      </x:c>
      <x:c r="C287" s="4" t="str">
        <x:v>Pakistan; Afghanistan</x:v>
      </x:c>
      <x:c r="D287" s="4" t="str">
        <x:v>Torkham; Chaman; Ghulam Khan; Kharlachi; Angoor Adda
General travel and bilateral/transit trade</x:v>
      </x:c>
      <x:c r="E287" s="4" t="str">
        <x:v>General travel and bilateral/transit trade
Direction: Both directions
Exceptions: Afghan departure window from November 1, 2025; staged empty Pakistani truck repatriation reported August 2, 2026; humanitarian cargo passage confirmed by UN and Pakistani officials and reported August 15, 2026. These exceptions do not establish ordinary cargo reopening.</x:v>
      </x:c>
      <x:c r="F287" s="4" t="str">
        <x:v>SA015-D1 — Observed operation
Ordinary bilateral and transit trade through Torkham after the October 2025 clashes, through the October 19 2026 trade account.
Start: 2025-10-12.
Last confirmed: 2026-10-19. Reopening is not established.
confirmed through 2026-10-19; at least 372 calendar-day difference; reopening unknown</x:v>
      </x:c>
      <x:c r="G287"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87" s="4" t="str">
        <x:v>SA015-D1: The November 1 Afghan-departure window, reported 2026 empty Pakistani truck repatriations and humanitarian cargo passage are exceptions, not ordinary bilateral/transit goods trade. Arab News on August 15 reports UN and Pakistani officials confirming that 724 humanitarian trucks had crossed through Torkham; this is not an exact date for every consignment or general trade reopening. Chaman administrative onset differs. October 19 is last confirmed only; no ordinary-trade status afterward is inferred.</x:v>
      </x:c>
      <x:c r="I287" s="4" t="str">
        <x:v>Second full-register audit, 26 October 2026: additional source-audited corrections incorporated. See the phase, scope and qualification columns for the accepted findings.</x:v>
      </x:c>
      <x:c r="J287" s="18" t="d">
        <x:v>2026-10-26T00:00:00.000Z</x:v>
      </x:c>
      <x:c r="K287" s="21" t="str">
        <x:f>IFERROR(HYPERLINK("https://pid.gov.pk/site/press_detail/30751","Pakistan Press Information Department"),"Pakistan Press Information Department")</x:f>
        <x:v>Pakistan Press Information Department</x:v>
      </x:c>
      <x:c r="L287" s="21" t="str">
        <x:f>IFERROR(HYPERLINK("https://apnews.com/article/81b8dad2d70062c5bf4bdcdc5eee9c00","Associated Press"),"Associated Press")</x:f>
        <x:v>Associated Press</x:v>
      </x:c>
      <x:c r="M287" s="21" t="str">
        <x:f>IFERROR(HYPERLINK("https://www.rferl.org/a/afghanistan-pakistan-border-closure-year-taliban/33868985.html","RFE/RL"),"RFE/RL")</x:f>
        <x:v>RFE/RL</x:v>
      </x:c>
      <x:c r="N287" s="4" t="str">
        <x:v>https://pid.gov.pk/site/press_detail/30751
https://apnews.com/article/81b8dad2d70062c5bf4bdcdc5eee9c00
https://www.rferl.org/a/afghanistan-pakistan-border-closure-year-taliban/33868985.html
https://api.courthousenews.com/pakistan-partially-reopens-torkham-border-crossing-to-allow-afghan-refugees-to-leave/
https://thepakistanconnect.com/torkham-border-temporarily-reopens/
https://pid.gov.pk/site/press_detail/30722
https://amu.tv/249551/
https://amu.tv/254718/
https://www.ksat.com/news/world/2025/11/01/pakistan-partially-reopens-torkham-border-crossing-to-allow-afghan-refugees-to-leave/
https://www.arabnews.pk/pakistan/pakistan-allows-over-700-trucks-carrying-humanitarian-cargo-to-cross-into-afghanistan-2654749
https://www.dawn.com/news/2038209/the-commercial-cost-of-afghan-intransigence
https://8am.media/eng/dawn-trade-between-afghanistan-and-pakistan-falls-by-95-percent/</x:v>
      </x:c>
      <x:c r="O287" s="4" t="str">
        <x:v>Second full-register audit source access, 26 October 2026
https://pid.gov.pk/site/press_detail/30751: full text (fresh retrieval)
https://www.rferl.org/a/afghanistan-pakistan-border-closure-year-taliban/33868985.html: full text (fresh retrieval)
https://www.ksat.com/news/world/2025/11/01/pakistan-partially-reopens-torkham-border-crossing-to-allow-afghan-refugees-to-leave/: full text (fresh retrieval)
https://thepakistanconnect.com/torkham-border-temporarily-reopens/: full text (fresh retrieval) — Month-count shorthand differs from dates; not used for arithmetic.
https://www.arabnews.pk/pakistan/pakistan-allows-over-700-trucks-carrying-humanitarian-cargo-to-cross-into-afghanistan-2654749: full text (fresh retrieval)
https://www.dawn.com/news/2038209/the-commercial-cost-of-afghan-intransigence: full text (fresh retrieval)
https://8am.media/eng/dawn-trade-between-afghanistan-and-pakistan-falls-by-95-percent/: full text (fresh retrieval) — Derivative, not independent corroboration; unrelated inconsistent trade percentages not adopted.
Earlier URLs not separately inspected in this second assessment:
https://apnews.com/article/81b8dad2d70062c5bf4bdcdc5eee9c00
https://api.courthousenews.com/pakistan-partially-reopens-torkham-border-crossing-to-allow-afghan-refugees-to-leave/
https://pid.gov.pk/site/press_detail/30722
https://amu.tv/249551/
https://amu.tv/254718/
Prior audit access record
Full-register audit source access (evidence cutoff 25 October 2026)
https://pid.gov.pk/site/press_detail/30722: full text — Applies to identified time and movement scope only.
https://pid.gov.pk/site/press_detail/30751: full text — Applies to identified time and movement scope only.
https://www.rferl.org/a/afghanistan-pakistan-border-closure-year-taliban/33868985.html: full text — Applies to identified time and movement scope only.
https://www.ksat.com/news/world/2025/11/01/pakistan-partially-reopens-torkham-border-crossing-to-allow-afghan-refugees-to-leave/: search extract — Applies to identified time and movement scope only.
https://thepakistanconnect.com/torkham-border-temporarily-reopens/: full text — Applies to identified time and movement scope only.
https://www.arabnews.pk/pakistan/pakistan-allows-over-700-trucks-carrying-humanitarian-cargo-to-cross-into-afghanistan-2654749: full text — Applies to identified time and movement scope only.
Earlier source URLs not separately listed in this audit’s retrieval log (historical access notes below are not fresh verification):
https://apnews.com/article/81b8dad2d70062c5bf4bdcdc5eee9c00
https://api.courthousenews.com/pakistan-partially-reopens-torkham-border-crossing-to-allow-afghan-refugees-to-leave/
https://amu.tv/249551/
https://amu.tv/254718/
Earlier recorded access
Source 1: full page
Source 2: full syndicated text
Source 3: full page</x:v>
      </x:c>
      <x:c r="P287" s="20" t="n">
        <x:v>1</x:v>
      </x:c>
      <x:c r="Q287" s="4" t="str">
        <x:v>South Asia</x:v>
      </x:c>
      <x:c r="R287" s="4" t="str">
        <x:v>Included</x:v>
      </x:c>
    </x:row>
    <x:row r="288" ht="409" hidden="0" customHeight="1">
      <x:c r="A288" s="16" t="str">
        <x:v>SA032</x:v>
      </x:c>
      <x:c r="B288" s="4" t="str">
        <x:v>Nepal March 2026 parliamentary-election border closure</x:v>
      </x:c>
      <x:c r="C288" s="4" t="str">
        <x:v>Nepal; India; China</x:v>
      </x:c>
      <x:c r="D288" s="4" t="str">
        <x:v>National border points; Parsa implementation directly reported
Ordinary passage and non-essential commercial cargo</x:v>
      </x:c>
      <x:c r="E288" s="4" t="str">
        <x:v>Ordinary passage and nonessential commercial cargo.
Direction: District passage order covers both directions; Birgunj customs reporting separately restricts entry of nonessential goods.
Exceptions: Essential fuel, medicine, hospital supplies, vegetables and fruit; limited facilitation of empty freight vehicles departing Nepal for India. Domestic election-day vehicle-pass exceptions are separate.</x:v>
      </x:c>
      <x:c r="F288" s="4" t="str">
        <x:v>SA032-R1 — Announced window
Parsa district Nepal–India border passage under the election order
Scheduled start: 2026-03-03 at 00:00 (Monday March 2 night midnight).
Scheduled endpoint: 2026-03-06 at 00:00 (Thursday March 5 night midnight).
Ordered window: 72 hours; exact implementation and first general passenger reopening are not established.
SA032-R2P1 — Announced window
Birgunj customs-service suspension for nonessential flows, distinct from the broader passage order
Scheduled start: 2026-03-04 at 06:00.
Scheduled endpoint: 2026-03-05 at 18:00.
Ordered window: 36 hours, with essential cargo and limited empty-truck exit exceptions.
Later customs-operation report: on March 6 the Customs Department reported regular offices operating from Friday morning, after inspections of already-stored goods began Thursday evening. This is a customs-service return observation, not an exact first passenger crossing or proof of identical hours at every gate.</x:v>
      </x:c>
      <x:c r="G288" s="4" t="str">
        <x:v>Electoral politics / Election administration and security
Officially stated reason
Parsa’s district order and customs notice link the restrictions to safe, fair and credible House of Representatives voting.
Security / Public order and immediate safety
Officially stated reason
The district security decision temporarily limits passage during the election.</x:v>
      </x:c>
      <x:c r="H288" s="4" t="str">
        <x:v>The original Nepali district notice and Kantipur reporting distinguish the 72-hour Parsa passage order from Birgunj’s 36-hour customs schedule. The midnight wording is normalized to March 3 00:00–March 6 00:00; the separate customs window is March 4 06:00–March 5 18:00. Essential goods and limited empty outbound freight movement remained exceptions. Domestic vehicle-pass exemptions are not automatically border exemptions.
Republica’s March 6 Customs Department report establishes regular customs operations by Friday morning and inspections of goods already inside customs premises after voting on Thursday evening. It does not establish the exact first restored cross-border passenger or cargo movement. NepalNews’s March 5 brief mixes a 72-hour claim with different end-hour wording and is not used to override the original scoped schedules.</x:v>
      </x:c>
      <x:c r="I288" s="4" t="str">
        <x:v>Second full-register audit, 26 October 2026: additional source-audited corrections incorporated. See the phase, scope and qualification columns for the accepted findings.</x:v>
      </x:c>
      <x:c r="J288" s="18" t="d">
        <x:v>2026-10-26T00:00:00.000Z</x:v>
      </x:c>
      <x:c r="K288" s="21" t="str">
        <x:f>IFERROR(HYPERLINK("https://radionepalonline.com/en/2026/03/03/425820.html","Radio Nepal"),"Radio Nepal")</x:f>
        <x:v>Radio Nepal</x:v>
      </x:c>
      <x:c r="L288" s="21" t="str">
        <x:f>IFERROR(HYPERLINK("https://english.nepalnews.com/s/business/nepal-news-evening-economic-brief-march-05-2026/","Nepal News"),"Nepal News")</x:f>
        <x:v>Nepal News</x:v>
      </x:c>
      <x:c r="M288" s="21" t="str">
        <x:f>IFERROR(HYPERLINK("https://ekantipur.com/madhesh-pradesh/2026/03/02/en/birgunj-border-crossing-closed-for-72-hours-from-midnight-today-customs-services-suspended-for-36-hours-09-12.html","Kantipur"),"Kantipur")</x:f>
        <x:v>Kantipur</x:v>
      </x:c>
      <x:c r="N288" s="4" t="str">
        <x:v>https://radionepalonline.com/en/2026/03/03/425820.html
https://english.nepalnews.com/s/business/nepal-news-evening-economic-brief-march-05-2026/
https://ekantipur.com/madhesh-pradesh/2026/03/02/en/birgunj-border-crossing-closed-for-72-hours-from-midnight-today-customs-services-suspended-for-36-hours-09-12.html
https://english.nepalnews.com/s/business/nepal-news-evening-economic-brief-march-06-2026/
https://english.nepalnews.com/s/security/security-beefed-up-at-border-checkpoints-for-ensuring-peaceful-voting/
https://radionepalonline.com/en/2026/02/25/425505.html
https://english.himalayatimes.com.np/2026/03/96679/hor-elections-nepal-india-border-closed-for-72-hours-since-last-midnight/
https://english.ratopati.com/story/51411/indian-border-in-parsa-closed-from-midnight
https://daoparsa.moha.gov.np/post/na-ra-va-cana-sama-bna-thhama-ja-l-l-pa-rasha-sana-ka-ra-ya-lya-para-sa-ka-ata
https://myrepublica.nagariknetwork.com/news/customs-points-reopened-after-election-regular-checks-resume-14-36.html
https://ekantipur.com/madhesh-pradesh/2026/03/02/birgunj-border-crossing-closed-for-72-hours-from-midnight-today-customs-services-suspended-for-36-hours-09-12.html</x:v>
      </x:c>
      <x:c r="O288" s="4" t="str">
        <x:v>Second full-register audit source access, 26 October 2026
https://daoparsa.moha.gov.np/post/na-ra-va-cana-sama-bna-thhama-ja-l-l-pa-rasha-sana-ka-ra-ya-lya-para-sa-ka-ata: search extract (fresh retrieval) — Direct request timed out; substantive indexed primary text inspected.
https://ekantipur.com/madhesh-pradesh/2026/03/02/birgunj-border-crossing-closed-for-72-hours-from-midnight-today-customs-services-suspended-for-36-hours-09-12.html: full text (fresh retrieval)
https://myrepublica.nagariknetwork.com/news/customs-points-reopened-after-election-regular-checks-resume-14-36.html: full text (fresh retrieval) — No exact first international passenger passage.
https://english.nepalnews.com/s/business/nepal-news-evening-economic-brief-march-05-2026/: search extract (fresh retrieval) — Duration wording internally inconsistent; not used to replace district timing.
Earlier URLs not separately inspected in this second assessment:
https://radionepalonline.com/en/2026/03/03/425820.html
https://ekantipur.com/madhesh-pradesh/2026/03/02/en/birgunj-border-crossing-closed-for-72-hours-from-midnight-today-customs-services-suspended-for-36-hours-09-12.html
https://english.nepalnews.com/s/business/nepal-news-evening-economic-brief-march-06-2026/
https://english.nepalnews.com/s/security/security-beefed-up-at-border-checkpoints-for-ensuring-peaceful-voting/
https://radionepalonline.com/en/2026/02/25/425505.html
https://english.himalayatimes.com.np/2026/03/96679/hor-elections-nepal-india-border-closed-for-72-hours-since-last-midnight/
https://english.ratopati.com/story/51411/indian-border-in-parsa-closed-from-midnight
Prior audit access record
Full-register audit source access (evidence cutoff 25 October 2026)
https://english.himalayatimes.com.np/2026/03/96679/hor-elections-nepal-india-border-closed-for-72-hours-since-last-midnight/: full text — Syndication of the same RSS origin as Radio Nepal
https://ekantipur.com/madhesh-pradesh/2026/03/02/en/birgunj-border-crossing-closed-for-72-hours-from-midnight-today-customs-services-suspended-for-36-hours-09-12.html: search extract — Headline/subheading accessible; body not recovered
https://myrepublica.nagariknetwork.com/news/customs-points-reopened-after-election-regular-checks-resume-14-36.html: full text — Does not establish passenger clock
https://english.nepalnews.com/s/business/nepal-news-evening-economic-brief-march-05-2026/: full text
Earlier source URLs not separately listed in this audit’s retrieval log (historical access notes below are not fresh verification):
https://radionepalonline.com/en/2026/03/03/425820.html
https://english.nepalnews.com/s/business/nepal-news-evening-economic-brief-march-06-2026/
https://english.nepalnews.com/s/security/security-beefed-up-at-border-checkpoints-for-ensuring-peaceful-voting/
https://radionepalonline.com/en/2026/02/25/425505.html
https://english.ratopati.com/story/51411/indian-border-in-parsa-closed-from-midnight
https://daoparsa.moha.gov.np/post/na-ra-va-cana-sama-bna-thhama-ja-l-l-pa-rasha-sana-ka-ra-ya-lya-para-sa-ka-ata
Earlier recorded access
Source 1: indexed excerpt; failed
Source 2: indexed excerpt; full
Source 3: full</x:v>
      </x:c>
      <x:c r="P288" s="20" t="n">
        <x:v>2</x:v>
      </x:c>
      <x:c r="Q288" s="4" t="str">
        <x:v>South Asia</x:v>
      </x:c>
      <x:c r="R288" s="4" t="str">
        <x:v>Included</x:v>
      </x:c>
    </x:row>
    <x:row r="289" ht="409" hidden="0" customHeight="1">
      <x:c r="A289" s="16" t="str">
        <x:v>SC06</x:v>
      </x:c>
      <x:c r="B289" s="4" t="str">
        <x:v>Chad CAR long closure overlapping study window</x:v>
      </x:c>
      <x:c r="C289" s="4" t="str">
        <x:v>Chad; Central African Republic</x:v>
      </x:c>
      <x:c r="D289" s="4" t="str">
        <x:v>Sido; other posts require confirmation
Shared land frontier; reopened movement documented at Sido</x:v>
      </x:c>
      <x:c r="E289" s="4" t="str">
        <x:v>Ordinary non-authorized cross-border passage; full movement scope is not separately established.
Direction: Returning Chadian citizens were permitted to enter Chad with their belongings under the 2014 announcement.
Exceptions: Returning Chadians; refugee admission was later documented by UNHCR despite formal closure. Sido and Goré were expressly identified as controlled permitted corridors in August 2019. People and goods movement at Sido was re-established following the May 2024 reopening, according to FEWS NET in June 2024.</x:v>
      </x:c>
      <x:c r="F289" s="4" t="str">
        <x:v>SC06-REV1 — Formal policy
Chadian official prohibition on ordinary, non-authorized passage across the CAR border, before the documented August 2019 controlled-corridor phase.
Start: 2014-05-11 to 2014-05-12.
Last confirmed: 2019-04-17. National repeal date is not established.
Formal policy: confirmed through 2019-04-17; at least 1801 calendar-day difference; not a continuous physical closure.
Later scoped access: Sido and Goré were explicitly permitted controlled corridors in the August 21, 2019 ministerial announcement, reported August 22. FEWS NET reports movement of people and goods re-established at Sido following a May 2024 reopening, observed in its June 2024 assessment. These do not establish uninterrupted access or the exact first reopening of the entire frontier.</x:v>
      </x:c>
      <x:c r="G289"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289" s="4" t="str">
        <x:v>SC06-REV1: Formal restriction segment, not five years of zero physical crossings. The May 11–12 onset bound is retained. Returning Chadian citizens were expressly excepted in the 2014 announcement; UNHCR also documented refugee admission during the formally closed period. April 17, 2019 is confirmation, not repeal. Controlled Sido/Goré corridors are documented by August 2019. May 2024 reopening and June 2024 restored people/goods movement at Sido provide later scoped access, not a ten-year uninterrupted closure or unrestricted all-frontier reopening.</x:v>
      </x:c>
      <x:c r="I289" s="4" t="str">
        <x:v>Second full-register audit, 26 October 2026: qualified. Fresh sources sustain the qualified long formal restriction and the separate Sido/Goré access evidence; no continuous ten-year physical closure is supported.</x:v>
      </x:c>
      <x:c r="J289" s="18" t="d">
        <x:v>2026-10-26T00:00:00.000Z</x:v>
      </x:c>
      <x:c r="K289" s="21" t="str">
        <x:f>IFERROR(HYPERLINK("https://www.voanews.com/a/reu-chad-closes-border-with-central-african-republic-/1913221.html","voanews.com"),"voanews.com")</x:f>
        <x:v>voanews.com</x:v>
      </x:c>
      <x:c r="L289" s="21" t="str">
        <x:f>IFERROR(HYPERLINK("https://documents.un.org/doc/undoc/gen/n14/538/97/pdf/n1453897.pdf","documents.un.org"),"documents.un.org")</x:f>
        <x:v>documents.un.org</x:v>
      </x:c>
      <x:c r="M289" s="21" t="str">
        <x:f>IFERROR(HYPERLINK("https://www.unhcr.org/news/briefing-notes/chad-funding-shortfall-threatens-central-african-refugees","unhcr.org"),"unhcr.org")</x:f>
        <x:v>unhcr.org</x:v>
      </x:c>
      <x:c r="N289" s="4" t="str">
        <x:v>https://www.voanews.com/a/reu-chad-closes-border-with-central-african-republic-/1913221.html
https://documents.un.org/doc/undoc/gen/n14/538/97/pdf/n1453897.pdf
https://www.unhcr.org/news/briefing-notes/chad-funding-shortfall-threatens-central-african-refugees
https://digitallibrary.un.org/record/3814172/files/S_2019_608-EN.pdf?ln=en
https://www.europapress.es/internacional/noticia-chad-cierra-fronteras-libia-sudan-rca-motivos-seguridad-20190822083126.html
https://www.ecoi.net/en/file/local/2014116/S_2019_608_E.pdf
https://www.radiondekeluka.org/70973-centrafrique-le-gouvernement-se-felicite-de-la-reouverture-des-frontieres-avec-le-tchad
https://www.amnesty.org/fr/latest/news/2014/05/chad-border-closure-will-cut-lifeline-car-refugees-2/
https://aidfdouaniers.org/reouverture-du-poste-frontiere-de-sido-entre-le-tchad-et-la-centrafrique/
https://digitallibrary.un.org/record/782335/files/S_2014_762-EN.pdf
https://www.unhcr.org/us/news/briefing-notes/chad-funding-shortfall-threatens-central-african-refugees
https://fews.net/west-africa/central-african-republic/remote-monitoring-report/june-2024
https://portail.td/reouverture-de-la-frontiere-entre-le-tchad-et-la-republique-centrafricaine-10-ans-apres-sa-fermeture/
https://www.alwihdainfo.com/tchad-six-corridors-et-postes-d-entree-ouverts-a-trois-frontieres-a76325/</x:v>
      </x:c>
      <x:c r="O289" s="4" t="str">
        <x:v>Second full-register audit source access, 26 October 2026
https://www.voanews.com/a/reu-chad-closes-border-with-central-african-republic-/1913221.html: full text (fresh retrieval)
https://www.ecoi.net/en/file/local/2014116/S_2019_608_E.pdf: full text (fresh retrieval)
https://www.unhcr.org/us/news/briefing-notes/chad-funding-shortfall-threatens-central-african-refugees: search extract (fresh retrieval) — Direct page extraction omitted article; indexed substantive text inspected.
https://www.europapress.es/internacional/noticia-chad-cierra-fronteras-libia-sudan-rca-motivos-seguridad-20190822083126.html: full text (fresh retrieval)
https://fews.net/west-africa/central-african-republic/remote-monitoring-report/june-2024: full text (fresh retrieval)
Earlier URLs not separately inspected in this second assessment:
https://documents.un.org/doc/undoc/gen/n14/538/97/pdf/n1453897.pdf
https://www.unhcr.org/news/briefing-notes/chad-funding-shortfall-threatens-central-african-refugees
https://digitallibrary.un.org/record/3814172/files/S_2019_608-EN.pdf?ln=en
https://www.radiondekeluka.org/70973-centrafrique-le-gouvernement-se-felicite-de-la-reouverture-des-frontieres-avec-le-tchad
https://www.amnesty.org/fr/latest/news/2014/05/chad-border-closure-will-cut-lifeline-car-refugees-2/
https://aidfdouaniers.org/reouverture-du-poste-frontiere-de-sido-entre-le-tchad-et-la-centrafrique/
https://digitallibrary.un.org/record/782335/files/S_2014_762-EN.pdf
https://portail.td/reouverture-de-la-frontiere-entre-le-tchad-et-la-republique-centrafricaine-10-ans-apres-sa-fermeture/
https://www.alwihdainfo.com/tchad-six-corridors-et-postes-d-entree-ouverts-a-trois-frontieres-a76325/
Prior audit access record
Full-register audit source access (evidence cutoff 25 October 2026)
https://www.voanews.com/a/reu-chad-closes-border-with-central-african-republic-/1913221.html: full text — See specific claim qualifications.
https://www.amnesty.org/fr/latest/news/2014/05/chad-border-closure-will-cut-lifeline-car-refugees-2/: full text — See specific claim qualifications.
https://www.ecoi.net/en/file/local/2014116/S_2019_608_E.pdf: full text — See specific claim qualifications.
https://www.europapress.es/internacional/noticia-chad-cierra-fronteras-libia-sudan-rca-motivos-seguridad-20190822083126.html: full text — See specific claim qualifications.
https://www.unhcr.org/us/news/briefing-notes/chad-funding-shortfall-threatens-central-african-refugees: search extract — See specific claim qualifications.
https://fews.net/west-africa/central-african-republic/remote-monitoring-report/june-2024: full text — See specific claim qualifications.
Earlier source URLs not separately listed in this audit’s retrieval log (historical access notes below are not fresh verification):
https://documents.un.org/doc/undoc/gen/n14/538/97/pdf/n1453897.pdf
https://www.unhcr.org/news/briefing-notes/chad-funding-shortfall-threatens-central-african-refugees
https://digitallibrary.un.org/record/3814172/files/S_2019_608-EN.pdf?ln=en
https://www.radiondekeluka.org/70973-centrafrique-le-gouvernement-se-felicite-de-la-reouverture-des-frontieres-avec-le-tchad
https://aidfdouaniers.org/reouverture-du-poste-frontiere-de-sido-entre-le-tchad-et-la-centrafrique/
https://digitallibrary.un.org/record/782335/files/S_2014_762-EN.pdf
https://portail.td/reouverture-de-la-frontiere-entre-le-tchad-et-la-republique-centrafricaine-10-ans-apres-sa-fermeture/
https://www.alwihdainfo.com/tchad-six-corridors-et-postes-d-entree-ouverts-a-trois-frontieres-a76325/
Earlier recorded access
Source 1: full
Source 2: indexed excerpt
Source 3: indexed excerpt</x:v>
      </x:c>
      <x:c r="P289" s="20" t="n">
        <x:v>1</x:v>
      </x:c>
      <x:c r="Q289" s="4" t="str">
        <x:v>Southern and Central Africa</x:v>
      </x:c>
      <x:c r="R289" s="4" t="str">
        <x:v>Included</x:v>
      </x:c>
    </x:row>
    <x:row r="290" ht="378" hidden="0" customHeight="1">
      <x:c r="A290" s="16" t="str">
        <x:v>SC07</x:v>
      </x:c>
      <x:c r="B290" s="4" t="str">
        <x:v>Chad Libya security closure and Wour corridor</x:v>
      </x:c>
      <x:c r="C290" s="4" t="str">
        <x:v>Chad; Libya</x:v>
      </x:c>
      <x:c r="D290" s="4" t="str">
        <x:v>Wour corridor
Shared frontier with one later humanitarian corridor</x:v>
      </x:c>
      <x:c r="E290" s="4" t="str">
        <x:v>Cross-border travellers
Direction: Return to Chad corridor
Exceptions: Returning Chadians via Wour from partial reopening</x:v>
      </x:c>
      <x:c r="F290" s="4" t="str">
        <x:v>SC07-D1 — Formal policy
Chadian restriction on return through Wour, to restored humanitarian return permission.
Start: 2017-01-05.
Policy endpoint: 2017-02-28 to 2017-03-03.
Formal policy: 54–57 calendar-day difference; operational continuity not established
Later trade context: FEWS NET in April 2017 reports improved cross-border trade and revived northern and western markets after reopening; earlier trade had been limited to authorized corridors. This does not identify the first Wour return passage or repeal for every traveller category.</x:v>
      </x:c>
      <x:c r="G290" s="4" t="str">
        <x:v>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x:v>
      </x:c>
      <x:c r="H290" s="4" t="str">
        <x:v>SC07-D1: Formal return-corridor phase only: first actual crossing is not observed. The rest of the Libya frontier and other traveller categories remained restricted. AFP and its reprints are one origin. Later FEWS NET market evidence demonstrates some resumed trade by April 2017, but supplies neither an exact reopening date nor the scope of remaining passenger restrictions.</x:v>
      </x:c>
      <x:c r="I290" s="4" t="str">
        <x:v>Second full-register audit, 26 October 2026: qualified. Wour humanitarian return permission remains bounded between February 28 and March 3, 2017; fresh trade reporting does not justify an exact first operational reopening.</x:v>
      </x:c>
      <x:c r="J290" s="18" t="d">
        <x:v>2026-10-26T00:00:00.000Z</x:v>
      </x:c>
      <x:c r="K290" s="21" t="str">
        <x:f>IFERROR(HYPERLINK("https://www.lorientlejour.com/article/1038462/tchad-reouverture-partielle-de-la-frontiere-avec-la-libye.html","L Orient Le Jour"),"L Orient Le Jour")</x:f>
        <x:v>L Orient Le Jour</x:v>
      </x:c>
      <x:c r="L290" s="21" t="str">
        <x:f>IFERROR(HYPERLINK("https://www.libyanexpress.com/chad-reopens-border-crossing-with-libya/","Libyan Express"),"Libyan Express")</x:f>
        <x:v>Libyan Express</x:v>
      </x:c>
      <x:c r="M290" s="21" t="str">
        <x:f>IFERROR(HYPERLINK("https://french.people.com.cn/Afrique/n3/2017/0301/c96852-9183900.html","People’s Daily / Xinhua"),"People’s Daily / Xinhua")</x:f>
        <x:v>People’s Daily / Xinhua</x:v>
      </x:c>
      <x:c r="N290" s="4" t="str">
        <x:v>https://www.lorientlejour.com/article/1038462/tchad-reouverture-partielle-de-la-frontiere-avec-la-libye.html
https://www.libyanexpress.com/chad-reopens-border-crossing-with-libya/
https://french.people.com.cn/Afrique/n3/2017/0301/c96852-9183900.html
https://data.unhcr.org/en/news/15380
https://fews.net/west-africa/chad/food-security-outlook-update/april-2017</x:v>
      </x:c>
      <x:c r="O290" s="4" t="str">
        <x:v>Second full-register audit source access, 26 October 2026
https://french.people.com.cn/Afrique/n3/2017/0301/c96852-9183900.html: full text (fresh retrieval)
https://www.lorientlejour.com/article/1038462/tchad-reouverture-partielle-de-la-frontiere-avec-la-libye.html: full text (fresh retrieval)
https://fews.net/west-africa/chad/food-security-outlook-update/april-2017: full text (fresh retrieval)
Earlier URLs not separately inspected in this second assessment:
https://www.libyanexpress.com/chad-reopens-border-crossing-with-libya/
https://data.unhcr.org/en/news/15380
Prior audit access record
Full-register audit source access (evidence cutoff 25 October 2026)
https://french.people.com.cn/Afrique/n3/2017/0301/c96852-9183900.html: full text — See specific claim qualifications.
https://www.lorientlejour.com/article/1038462/tchad-reouverture-partielle-de-la-frontiere-avec-la-libye.html: full text — Relevant opening paragraphs accessible; later text paywalled.
https://fews.net/west-africa/chad/food-security-outlook-update/april-2017: full text — See specific claim qualifications.
Earlier source URLs not separately listed in this audit’s retrieval log (historical access notes below are not fresh verification):
https://www.libyanexpress.com/chad-reopens-border-crossing-with-libya/
https://data.unhcr.org/en/news/15380
Earlier recorded access
Source 1: search extract
Source 2: search extract
Source 3: full page</x:v>
      </x:c>
      <x:c r="P290" s="20" t="n">
        <x:v>1</x:v>
      </x:c>
      <x:c r="Q290" s="4" t="str">
        <x:v>Southern and Central Africa</x:v>
      </x:c>
      <x:c r="R290" s="4" t="str">
        <x:v>Included</x:v>
      </x:c>
    </x:row>
    <x:row r="291" ht="409" hidden="0" customHeight="1">
      <x:c r="A291" s="16" t="str">
        <x:v>SC25</x:v>
      </x:c>
      <x:c r="B291" s="4" t="str">
        <x:v>Equatorial Guinea Cameroon post-coup-attempt closure</x:v>
      </x:c>
      <x:c r="C291" s="4" t="str">
        <x:v>Equatorial Guinea; Cameroon</x:v>
      </x:c>
      <x:c r="D291" s="4" t="str">
        <x:v>Kye-Ossi / Ebebiyin
Kye-Ossi / Ebebiyin land border</x:v>
      </x:c>
      <x:c r="E291" s="4" t="str">
        <x:v>People and goods through Kyé-Ossi–Ebebiyín.
Direction: Movement in both directions documented by VOA in June 2018.
Exceptions: Initial exemptions are not established. From April 17, 2018, passage was permitted on Tuesdays and Fridays. VOA observed goods passage on June 5 and reported bus/truck movement, with strict controls remaining.</x:v>
      </x:c>
      <x:c r="F291" s="4" t="str">
        <x:v>SC25-D1 — Formal policy
Ordinary passage restriction at Kye-Ossi–Ebebiyin, to restored twice-weekly permitted opening.
Start: 2017-12-24 to 2017-12-28.
Policy endpoint: 2018-04-17.
Formal policy: 110–114 calendar-day difference; operational continuity not established
Later access observations: VOA photographs show goods crossing on June 5, 2018, and its June 6 report describes people, buses and trucks moving under continued controls. A separate January 24, 2019 announcement envisaged reopening the following week; Cameroun24 reports the barrier removed and circulation restored on January 26. These later milestones do not erase April partial permission or demonstrate continuous closure in between.</x:v>
      </x:c>
      <x:c r="G291" s="4" t="str">
        <x:v>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
Power and regime politics / Coups and succession
Reported reason
Applies to: Recorded episode; exact overlap not separately established
The recorded rationale and claim assessment support the selected subcategories. All applicable broad categories are retained together; no primary rationale is imposed.</x:v>
      </x:c>
      <x:c r="H291" s="4" t="str">
        <x:v>SC25-D1: Formal partial-access endpoint April 17, 2018, not unrestricted all-day operation. Actu Cameroun dates closure December 28, 2017; the wider December 24–28 onset bound is retained pending reconciliation, and December 24 is also the reported coup-attempt date in other sources. Actual movement is independently documented by VOA on June 5/6, 2018. January 26, 2019 reported barrier removal is a later milestone, not the first passage after an uninterrupted year. Initial exemptions and exact first April passage remain unknown.</x:v>
      </x:c>
      <x:c r="I291" s="4" t="str">
        <x:v>Second full-register audit, 26 October 2026: qualified. Fresh contemporary reports corroborate April 17 twice-weekly permission, June actual movement and the later January 2019 barrier-removal milestone; onset conflict remains explicit.</x:v>
      </x:c>
      <x:c r="J291" s="18" t="d">
        <x:v>2026-10-26T00:00:00.000Z</x:v>
      </x:c>
      <x:c r="K291" s="21" t="str">
        <x:f>IFERROR(HYPERLINK("https://www.businessincameroon.com/cooperation/2501-8792-cameroon-equatorial-guinea-border-to-be-reopened-next-week","Business in Cameroon"),"Business in Cameroon")</x:f>
        <x:v>Business in Cameroon</x:v>
      </x:c>
      <x:c r="L291" s="21" t="str">
        <x:f>IFERROR(HYPERLINK("https://afrique.le360.ma/autres-pays/politique/2019/01/24/24840-cameroun-la-guinee-equatoriale-rouvre-sa-frontiere-terrestre-24840/","Le360 Afrique"),"Le360 Afrique")</x:f>
        <x:v>Le360 Afrique</x:v>
      </x:c>
      <x:c r="M291" s="21" t="str">
        <x:f>IFERROR(HYPERLINK("https://www.voanews.com/a/cameroon-equatorial-guinea-reopen-border-business-thrives/4426750.html","Voice of America"),"Voice of America")</x:f>
        <x:v>Voice of America</x:v>
      </x:c>
      <x:c r="N291" s="4" t="str">
        <x:v>https://www.businessincameroon.com/cooperation/2501-8792-cameroon-equatorial-guinea-border-to-be-reopened-next-week
https://afrique.le360.ma/autres-pays/politique/2019/01/24/24840-cameroun-la-guinee-equatoriale-rouvre-sa-frontiere-terrestre-24840/
https://www.voanews.com/a/cameroon-equatorial-guinea-reopen-border-business-thrives/4426750.html
https://actucameroun.com/2018/04/25/la-frontiere-cameroun-guinee-equatoriale-partiellement-rouverte/
https://cameroun24.net/article/48653-SUD_Cameroun__GuinAe_Equatoriale___la_frontiAre_es.html
https://www.cameroonintelligencereport.com/cameroon-equatorial-guinea-reopen-border-after-four-months/
https://documents1.worldbank.org/curated/en/500811535650451258/pdf/127883-FRENCH-REPORT-CEMAC-Agriculture.pdf
https://www.businessincameroon.com/index.php/liste-articles/articles?testlimitstart=7370</x:v>
      </x:c>
      <x:c r="O291" s="4" t="str">
        <x:v>Second full-register audit source access, 26 October 2026
https://actucameroun.com/2018/04/25/la-frontiere-cameroun-guinee-equatoriale-partiellement-rouverte/: full text (fresh retrieval)
https://www.voanews.com/a/cameroon-equatorial-guinea-reopen-border-business-thrives/4426750.html: full text (fresh retrieval)
https://cameroun24.net/article/48653-SUD_Cameroun__GuinAe_Equatoriale___la_frontiAre_es.html: full text (fresh retrieval) — Publication date not displayed precisely; text dates Saturday January 26. Its generalized uninterrupted-since-2017 wording conflicts with earlier access and is not adopted.
https://www.businessincameroon.com/index.php/liste-articles/articles?testlimitstart=7370: search extract (fresh retrieval) — Direct original article 403; publisher’s dated substantive archive extract inspected.
Earlier URLs not separately inspected in this second assessment:
https://www.businessincameroon.com/cooperation/2501-8792-cameroon-equatorial-guinea-border-to-be-reopened-next-week
https://afrique.le360.ma/autres-pays/politique/2019/01/24/24840-cameroun-la-guinee-equatoriale-rouvre-sa-frontiere-terrestre-24840/
https://www.cameroonintelligencereport.com/cameroon-equatorial-guinea-reopen-border-after-four-months/
https://documents1.worldbank.org/curated/en/500811535650451258/pdf/127883-FRENCH-REPORT-CEMAC-Agriculture.pdf
Prior audit access record
Full-register audit source access (evidence cutoff 25 October 2026)
https://actucameroun.com/2018/04/25/la-frontiere-cameroun-guinee-equatoriale-partiellement-rouverte/: full text — See specific claim qualifications.
https://www.voanews.com/a/cameroon-equatorial-guinea-reopen-border-business-thrives/4426750.html: full text — See specific claim qualifications.
https://afrique.le360.ma/autres-pays/politique/2019/01/24/24840-cameroun-la-guinee-equatoriale-rouvre-sa-frontiere-terrestre-24840/: full text — See specific claim qualifications.
https://cameroun24.net/article/48653-SUD_Cameroun__GuinAe_Equatoriale___la_frontiAre_es.html: full text — See specific claim qualifications.
https://documents1.worldbank.org/curated/en/500811535650451258/pdf/127883-FRENCH-REPORT-CEMAC-Agriculture.pdf: search extract — See specific claim qualifications.
Earlier source URLs not separately listed in this audit’s retrieval log (historical access notes below are not fresh verification):
https://www.businessincameroon.com/cooperation/2501-8792-cameroon-equatorial-guinea-border-to-be-reopened-next-week
https://www.cameroonintelligencereport.com/cameroon-equatorial-guinea-reopen-border-after-four-months/
Earlier recorded access
Source 1: unavailable
Source 2: full text
Source 3: full text</x:v>
      </x:c>
      <x:c r="P291" s="20" t="n">
        <x:v>1</x:v>
      </x:c>
      <x:c r="Q291" s="4" t="str">
        <x:v>Southern and Central Africa</x:v>
      </x:c>
      <x:c r="R291" s="4" t="str">
        <x:v>Included</x:v>
      </x:c>
    </x:row>
    <x:row r="292" ht="409" hidden="0" customHeight="1">
      <x:c r="A292" s="16" t="str">
        <x:v>SC19</x:v>
      </x:c>
      <x:c r="B292" s="4" t="str">
        <x:v>Eswatini COVID general-travel restrictions</x:v>
      </x:c>
      <x:c r="C292" s="4" t="str">
        <x:v>Eswatini; South Africa; Mozambique</x:v>
      </x:c>
      <x:c r="D292" s="4" t="str">
        <x:v>Six named closed posts: Lundzi; Bulembu; Sandlane; Nsalitje; Sicunusa; Gege
National land borders</x:v>
      </x:c>
      <x:c r="E292" s="4" t="str">
        <x:v>Not established
Direction: Not established
Exceptions: Cargo, returning nationals/residents, essential government/company/organization/medical travel and screened asylum seekers. Regulation 16(4) separately provides screening/isolation for nonessential entrants despite the general prohibition in 16(1).</x:v>
      </x:c>
      <x:c r="F292" s="4" t="str">
        <x:v>SC19-FU1 — Formal policy
Eswatini outbound non-essential travel under Regulation 16(1)
Start: 2020-03-27.
Last confirmed: 2020-03-27. Later ordinary access is established by 2020-10-12; exact legal repeal and all-post reopening are not established.
Formal policy: dated evidence; numeric duration withheld; see qualification
Later access bound: by 12 October 2020, the Prime Minister confirmed relaxed cross-border travel rules, consistent with the October 6 travel advisory and observed traffic at Matsamo and Mananga after October 1. This bounds the broad non-essential travel prohibition; it does not date repeal of Regulation 16, prove every secondary post reopened, or establish uninterrupted access.</x:v>
      </x:c>
      <x:c r="G29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92" s="4" t="str">
        <x:v>The general travel regime and the closure of six secondary posts remain distinct. October 2020 easing at named main posts is not simultaneous all-post restoration.
SC19-FU1: Dated formal provision only. Inbound subsection 16(4) separately contemplates non-essential entry with isolation; do not code a universal sealed border or treat October easing as simultaneous all-post reopening.
end/continuity: Fresh full gazette supports a March 27 formal observation for outbound non-essential travel. Inbound provisions have exceptions and apparent tension; no complete legal amendment chain or exact operational endpoint was recovered; later ordinary access is bounded by 12 October 2020.
Later access bound: by 12 October 2020, the Prime Minister confirmed relaxed cross-border travel rules, consistent with the October 6 travel advisory and observed traffic at Matsamo and Mananga after October 1. This bounds the broad non-essential travel prohibition; it does not date repeal of Regulation 16, prove every secondary post reopened, or establish uninterrupted access.</x:v>
      </x:c>
      <x:c r="I292" s="4" t="str">
        <x:v>Second full-register audit, 26 October 2026: qualified. Fresh gazette and travel accounts support the outbound-only formal observation and later October access bound; the six secondary-port closures remain a separate scope.</x:v>
      </x:c>
      <x:c r="J292" s="18" t="d">
        <x:v>2026-10-26T00:00:00.000Z</x:v>
      </x:c>
      <x:c r="K292" s="21" t="str">
        <x:f>IFERROR(HYPERLINK("https://faolex.fao.org/docs/pdf/swa195477.pdf","faolex.fao.org"),"faolex.fao.org")</x:f>
        <x:v>faolex.fao.org</x:v>
      </x:c>
      <x:c r="L292" s="21" t="str">
        <x:f>IFERROR(HYPERLINK("https://www.gov.sz/index.php/latest-news/204-latest-news/2414-government-press-statement-24-march","Government of Eswatini"),"Government of Eswatini")</x:f>
        <x:v>Government of Eswatini</x:v>
      </x:c>
      <x:c r="M292" s="21" t="str">
        <x:f>IFERROR(HYPERLINK("https://eswatinilii.org/akn/sz/act/ln/2020/72/eng%402020-03-27","EswatiniLII"),"EswatiniLII")</x:f>
        <x:v>EswatiniLII</x:v>
      </x:c>
      <x:c r="N292" s="4" t="str">
        <x:v>https://faolex.fao.org/docs/pdf/swa195477.pdf
https://www.gov.sz/index.php/latest-news/204-latest-news/2414-government-press-statement-24-march
https://eswatinilii.org/akn/sz/act/ln/2020/72/eng%402020-03-27
https://www.gov.sz/images/CORONA/PM-statement-12-Oct-2020-final.pdf
https://www.santaferelo.com/corporate-relocation/resources/news/immigration-update-covid-19-travel-advisory-for-the-kingdom-of-eswatini/
https://natlex.ilo.org/dyn/natlex2/natlex2/files/download/110049/SWZ110049.pdf
https://independentnews.co.sz/4556/travel/travel-news/eswatini-international-travel-guidelines-under-national-emergency/
https://www.gov.sz/index.php?catid=127&amp;id=2425%3Ameasures-to-be-taken-following-the-national-emergency-declaration&amp;view=article
https://www.acts.co.za/immigration-act-/n2380_notice_no__2380_of_2022
https://iol.co.za/news/south-africa/2022-07-29-all-south-african-land-border-posts-to-be-opened-on-august-1-as-covid-19-shutdown-ends/
https://www.uneswa.ac.sz/wp-content/uploads/2020/04/index.html
https://www.citizen.co.za/mpumalanga-news/news-headlines/2020/10/07/borders-reopen-for-international-travel/</x:v>
      </x:c>
      <x:c r="O292" s="4" t="str">
        <x:v>Second full-register audit source access, 26 October 2026
https://faolex.fao.org/docs/pdf/swa195477.pdf: full text (fresh retrieval)
https://www.gov.sz/index.php?catid=127&amp;id=2425%3Ameasures-to-be-taken-following-the-national-emergency-declaration&amp;view=article: search extract (fresh retrieval) — Substantive indexed statement; direct government access unreliable.
https://www.santaferelo.com/corporate-relocation/resources/news/immigration-update-covid-19-travel-advisory-for-the-kingdom-of-eswatini/: full text (fresh retrieval)
https://www.citizen.co.za/mpumalanga-news/news-headlines/2020/10/07/borders-reopen-for-international-travel/: full text (fresh retrieval)
https://www.gov.sz/images/CORONA/PM-statement-12-Oct-2020-final.pdf: search extract (fresh retrieval) — Indexed substantive paragraph; direct PDF timeout.
Earlier URLs not separately inspected in this second assessment:
https://www.gov.sz/index.php/latest-news/204-latest-news/2414-government-press-statement-24-march
https://eswatinilii.org/akn/sz/act/ln/2020/72/eng%402020-03-27
https://natlex.ilo.org/dyn/natlex2/natlex2/files/download/110049/SWZ110049.pdf
https://independentnews.co.sz/4556/travel/travel-news/eswatini-international-travel-guidelines-under-national-emergency/
https://www.acts.co.za/immigration-act-/n2380_notice_no__2380_of_2022
https://iol.co.za/news/south-africa/2022-07-29-all-south-african-land-border-posts-to-be-opened-on-august-1-as-covid-19-shutdown-ends/
https://www.uneswa.ac.sz/wp-content/uploads/2020/04/index.html
Prior audit access record
Full-register audit source access (evidence cutoff 25 October 2026)
https://faolex.fao.org/docs/pdf/swa195477.pdf: full text — Policy evidence does not establish first actual passage.
https://www.santaferelo.com/corporate-relocation/resources/news/immigration-update-covid-19-travel-advisory-for-the-kingdom-of-eswatini/: full text — Reproduces September 29 health guidance; not a repeal instrument.
https://www.citizen.co.za/mpumalanga-news/news-headlines/2020/10/07/borders-reopen-for-international-travel/: full text — Actual movement at named posts; does not date the first non-essential outbound Eswatini traveller.
https://www.gov.sz/images/CORONA/PM-statement-12-Oct-2020-final.pdf: search extract — Direct PDF retrieval timed out; indexed passage confirms easing and expectation of inward/outward travel.
Earlier source URLs not separately listed in this audit’s retrieval log (historical access notes below are not fresh verification):
https://www.gov.sz/index.php/latest-news/204-latest-news/2414-government-press-statement-24-march
https://eswatinilii.org/akn/sz/act/ln/2020/72/eng%402020-03-27
https://natlex.ilo.org/dyn/natlex2/natlex2/files/download/110049/SWZ110049.pdf
https://independentnews.co.sz/4556/travel/travel-news/eswatini-international-travel-guidelines-under-national-emergency/
https://www.gov.sz/index.php?catid=127&amp;id=2425%3Ameasures-to-be-taken-following-the-national-emergency-declaration&amp;view=article
https://www.acts.co.za/immigration-act-/n2380_notice_no__2380_of_2022
https://iol.co.za/news/south-africa/2022-07-29-all-south-african-land-border-posts-to-be-opened-on-august-1-as-covid-19-shutdown-ends/
https://www.uneswa.ac.sz/wp-content/uploads/2020/04/index.html
Earlier recorded access
Source 1: access detail is retained in the source catalogue.
Source 2: indexed excerpt
Source 3: indexed excerpt</x:v>
      </x:c>
      <x:c r="P292" s="20" t="n">
        <x:v>1</x:v>
      </x:c>
      <x:c r="Q292" s="4" t="str">
        <x:v>Southern and Central Africa</x:v>
      </x:c>
      <x:c r="R292" s="4" t="str">
        <x:v>Included</x:v>
      </x:c>
    </x:row>
    <x:row r="293" ht="409" hidden="0" customHeight="1">
      <x:c r="A293" s="16" t="str">
        <x:v>SC21</x:v>
      </x:c>
      <x:c r="B293" s="4" t="str">
        <x:v>Namibia COVID land-border restrictions</x:v>
      </x:c>
      <x:c r="C293" s="4" t="str">
        <x:v>Namibia; Angola; Zambia; Botswana; South Africa</x:v>
      </x:c>
      <x:c r="D293" s="4" t="str">
        <x:v>Not established
Selected land crossings; nationwide restrictions on passenger travel</x:v>
      </x:c>
      <x:c r="E293" s="4" t="str">
        <x:v>Not established
Direction: Not established
Exceptions: Essential trade and supplies; reciprocal business/trade missions; specially approved admissions; returning nationals/residents subject to quarantine.</x:v>
      </x:c>
      <x:c r="F293" s="4" t="str">
        <x:v>SC21-FU1 — Formal policy
Namibian passenger restrictions at Oshikango, Katwitwi, Wenela, Buitepos, Ariamsvlei and Noordoewer, with essential trade and authorized admissions excepted.
Reported immediate policy start: 2020-03-24. The initial national travel ban was announced for 30 days; exact first enforcement at each land post is not established.
Last dated initial-policy observation: 2020-03-24. No complete continuous closed-day total is assigned.
Later partial policy permission — 2020-10-14
Katima Mulilo/Wenela, Ariamsvlei and Noordoewer were permitted to admit travellers immediately, subject to health rules. September 18 reporting already described planned bilateral easing after months of essential-trade-only access. These are partial policy transitions; exact first actual bilateral passage and the other named posts remain unverified.</x:v>
      </x:c>
      <x:c r="G29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93" s="4" t="str">
        <x:v>SC21-FU1: Reuters explicitly dates the national travel ban to March 24 with immediate effect; the same-day UN account identifies the six land posts. This establishes a reported formal onset, not the first observed refusal at every gate. The initial 30-day announced restriction supports greater-than-24-hour policy eligibility, while the complete renewal chain and exact operational duration remain unknown. Essential trade and supplies, reciprocal business/trade missions, specially approved admissions and controlled returning nationals/residents were excepted. September 18 easing still required bilateral implementation. October 14 permission covers Katima Mulilo/Wenela, Ariamsvlei and Noordoewer; Walvis Bay is a harbour and excluded from this land scope. Other posts and first actual passages remain unresolved.</x:v>
      </x:c>
      <x:c r="I293" s="4" t="str">
        <x:v>Second full-register audit, 26 October 2026: additional source-audited corrections incorporated. See the phase, scope and qualification columns for the accepted findings.</x:v>
      </x:c>
      <x:c r="J293" s="18" t="d">
        <x:v>2026-10-26T00:00:00.000Z</x:v>
      </x:c>
      <x:c r="K293" s="21" t="str">
        <x:f>IFERROR(HYPERLINK("https://namibia.un.org/en/38975-namibias-national-response-measures-covid19","United Nations Namibia"),"United Nations Namibia")</x:f>
        <x:v>United Nations Namibia</x:v>
      </x:c>
      <x:c r="L293" s="21" t="str">
        <x:f>IFERROR(HYPERLINK("https://www.namibian.com.na/four-border-posts-opened-for-travel/","The Namibian"),"The Namibian")</x:f>
        <x:v>The Namibian</x:v>
      </x:c>
      <x:c r="M293" s="21" t="str">
        <x:f>IFERROR(HYPERLINK("https://namiblii.org/akn/na/act/p/2020/9/eng%402020-04-17","NamibLII"),"NamibLII")</x:f>
        <x:v>NamibLII</x:v>
      </x:c>
      <x:c r="N293" s="4" t="str">
        <x:v>https://namibia.un.org/en/38975-namibias-national-response-measures-covid19
https://www.namibian.com.na/four-border-posts-opened-for-travel/
https://namiblii.org/akn/na/act/p/2020/9/eng%402020-04-17
https://www.namibian.com.na/ariamsvlei-border-post-temporarily-closed/
https://www.namibian.com.na/borders-open-conditional-to-neighbours/
https://fliphtml5.com/jxto/pupd/Namibian_Sun_20201013/
https://www.thevillager.com.na/covid-19/2020/covid-19-forces-namibia-to-lockdown-two-regions/
https://www.namport.com.na/news/619/Namibia-announces-travel-ban-partial-lockdown-after-seventh-coronavirus-case/
https://www.namport.com.na/news/630/Namibia-Briefing-Statement-by-His-Excellency-the-President-Dr-Hage-G-Geingob-On-Covid-19-National-Response-Measures/
https://finance.yahoo.com/news/namibia-announces-travel-ban-partial-175515736.html</x:v>
      </x:c>
      <x:c r="O293" s="4" t="str">
        <x:v>Second full-register audit source access, 26 October 2026
https://finance.yahoo.com/news/namibia-announces-travel-ban-partial-175515736.html: search extract (fresh retrieval) — Direct fetch 429; indexed dispatch inspected. Same text available fully on Namport.
https://www.namport.com.na/news/619/Namibia-announces-travel-ban-partial-lockdown-after-seventh-coronavirus-case/: full text (fresh retrieval) — Tuesday event is March 24; not March 26 publication.
https://namibia.un.org/en/38975-namibias-national-response-measures-covid19: full text (fresh retrieval)
https://www.namibian.com.na/borders-open-conditional-to-neighbours/: full text (fresh retrieval)
https://www.namibian.com.na/four-border-posts-opened-for-travel/: full text (fresh retrieval)
Earlier URLs not separately inspected in this second assessment:
https://namiblii.org/akn/na/act/p/2020/9/eng%402020-04-17
https://www.namibian.com.na/ariamsvlei-border-post-temporarily-closed/
https://fliphtml5.com/jxto/pupd/Namibian_Sun_20201013/
https://www.thevillager.com.na/covid-19/2020/covid-19-forces-namibia-to-lockdown-two-regions/
https://www.namport.com.na/news/630/Namibia-Briefing-Statement-by-His-Excellency-the-President-Dr-Hage-G-Geingob-On-Covid-19-National-Response-Measures/
Prior audit access record
Full-register audit source access (evidence cutoff 25 October 2026)
https://namibia.un.org/en/38975-namibias-national-response-measures-covid19: full text — See specific claim qualifications.
https://www.namibian.com.na/borders-open-conditional-to-neighbours/: full text — See specific claim qualifications.
https://www.namibian.com.na/four-border-posts-opened-for-travel/: full text — See specific claim qualifications.
Earlier source URLs not separately listed in this audit’s retrieval log (historical access notes below are not fresh verification):
https://namiblii.org/akn/na/act/p/2020/9/eng%402020-04-17
https://www.namibian.com.na/ariamsvlei-border-post-temporarily-closed/
https://fliphtml5.com/jxto/pupd/Namibian_Sun_20201013/
https://www.thevillager.com.na/covid-19/2020/covid-19-forces-namibia-to-lockdown-two-regions/
https://www.namport.com.na/news/619/Namibia-announces-travel-ban-partial-lockdown-after-seventh-coronavirus-case/
https://www.namport.com.na/news/630/Namibia-Briefing-Statement-by-His-Excellency-the-President-Dr-Hage-G-Geingob-On-Covid-19-National-Response-Measures/
Earlier recorded access
Source 1: full
Source 2: indexed excerpt; full
Source 3: indexed excerpt</x:v>
      </x:c>
      <x:c r="P293" s="20" t="n">
        <x:v>1</x:v>
      </x:c>
      <x:c r="Q293" s="4" t="str">
        <x:v>Southern and Central Africa</x:v>
      </x:c>
      <x:c r="R293" s="4" t="str">
        <x:v>Included</x:v>
      </x:c>
    </x:row>
    <x:row r="294" ht="409" hidden="0" customHeight="1">
      <x:c r="A294" s="16" t="str">
        <x:v>SC22</x:v>
      </x:c>
      <x:c r="B294" s="4" t="str">
        <x:v>Lesotho COVID lockdown border prohibition</x:v>
      </x:c>
      <x:c r="C294" s="4" t="str">
        <x:v>Lesotho; South Africa</x:v>
      </x:c>
      <x:c r="D294" s="4" t="str">
        <x:v>Not established
National borders; designated posts for essential movements</x:v>
      </x:c>
      <x:c r="E294" s="4" t="str">
        <x:v>Ordinary non-exempt entry and exit were prohibited during the stated lockdown windows.
Direction: both entry and exit.
Exceptions: Notice 38 allowed essential goods/services through designated gateways, authorized emergency medical travel and government-invited specialists. Notice 41 allowed conveyance of goods/services and also authorized extreme unforeseen emergencies. Listed gateways are exceptions, not all closed posts.</x:v>
      </x:c>
      <x:c r="F294" s="4" t="str">
        <x:v>SC22-R1 — Announced window
Lesotho restriction on nonexempt entry/exit during the stated lockdown period
Start: 2020-04-22.
Scheduled endpoint: 2020-05-05.
Ordered window: 13 calendar-day difference; actual end not established
SC22-C1 — Announced window
Lesotho prohibition of non-exempt entry and exit under Notice 41; named essential gateway list is not a list of all closed posts.
Start: 2020-05-06.
Scheduled endpoint: 2020-05-19.
Ordered window: 13 calendar-day difference; actual end not established
Later access report: FEWS NET’s October 2020 account dates normalized crossings to 2020-10-01, subject to permits and testing. This is a later-access observation; no first passenger at each gate or uninterrupted March–October closure is established.</x:v>
      </x:c>
      <x:c r="G29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94" s="4" t="str">
        <x:v>SC22-R1: April 22–May 5 is the order's stated lockdown window, with no endpoint clock time established. Listed land posts are permitted essential-service gateways, not an exhaustive closed-post list. Airport provision excluded from this land period; actual reopening and longer March–October phase unresolved.
SC22-C1: Scheduled legal window only, no actual May 19 reopening established. Goods/services wording differs from preceding essential-only wording. Airport excluded; no precise endpoint clock supplied.
FEWS NET’s October 2020 report dates normalized border reopening to October 1, with permits and tests still required. This supplies a later access observation without proving every gate’s reopening or uninterrupted closure since March.</x:v>
      </x:c>
      <x:c r="I294" s="4" t="str">
        <x:v>Second full-register audit, 26 October 2026: qualified. Both Lesotho legal windows and their distinct exemptions are confirmed in operative text; the October access report is not an exact end to either scheduled phase.</x:v>
      </x:c>
      <x:c r="J294" s="18" t="d">
        <x:v>2026-10-26T00:00:00.000Z</x:v>
      </x:c>
      <x:c r="K294" s="21" t="str">
        <x:f>IFERROR(HYPERLINK("https://faolex.fao.org/docs/pdf/les195072.pdf","Government of Lesotho / FAOLEX"),"Government of Lesotho / FAOLEX")</x:f>
        <x:v>Government of Lesotho / FAOLEX</x:v>
      </x:c>
      <x:c r="L294" s="21" t="str">
        <x:f>IFERROR(HYPERLINK("https://lesotholii.org/akn/ls/act/ln/2020/41/eng@2020-05-06","lesotholii.org"),"lesotholii.org")</x:f>
        <x:v>lesotholii.org</x:v>
      </x:c>
      <x:c r="M294" s="21" t="str">
        <x:f>IFERROR(HYPERLINK("https://lesotho.un.org/sites/default/files/2021-04/COVID-19%20situation%20update%20April%202021.pdf","United Nations Lesotho"),"United Nations Lesotho")</x:f>
        <x:v>United Nations Lesotho</x:v>
      </x:c>
      <x:c r="N294" s="4" t="str">
        <x:v>https://faolex.fao.org/docs/pdf/les195072.pdf
https://lesotholii.org/akn/ls/act/ln/2020/41/eng@2020-05-06
https://lesotho.un.org/sites/default/files/2021-04/COVID-19%20situation%20update%20April%202021.pdf
https://www.gov.ls/wp-content/uploads/2020/05/LEGAL-NOTICE-NO.-41-OF-2020.pdf
https://lesotholii.org/akn/ls/act/ln/2020/38/eng%402020-04-22
https://lesotho.un.org/en/download/14750/53003
https://lesotholii.org/akn/ls/act/ln/2020/38/eng@2020-04-22
https://fews.net/southern-africa/lesotho/remote-monitoring-report/october-2020
https://lesotholii.org/akn/ls/act/ln/2020/41/eng%402020-05-06
https://natlex.ilo.org/dyn/natlex2/natlex2/files/download/110077/LSO110077.pdf</x:v>
      </x:c>
      <x:c r="O294" s="4" t="str">
        <x:v>Second full-register audit source access, 26 October 2026
https://faolex.fao.org/docs/pdf/les195072.pdf: full text (fresh retrieval) — Commencement and window also inspected in batch106, turn1860view6.
https://lesotholii.org/akn/ls/act/ln/2020/41/eng@2020-05-06: full text (fresh retrieval)
https://fews.net/southern-africa/lesotho/remote-monitoring-report/october-2020: full text (fresh retrieval) — Testing/permit qualifications inspected in batch115, turn1889view4.
Earlier URLs not separately inspected in this second assessment:
https://lesotho.un.org/sites/default/files/2021-04/COVID-19%20situation%20update%20April%202021.pdf
https://www.gov.ls/wp-content/uploads/2020/05/LEGAL-NOTICE-NO.-41-OF-2020.pdf
https://lesotholii.org/akn/ls/act/ln/2020/38/eng%402020-04-22
https://lesotho.un.org/en/download/14750/53003
https://lesotholii.org/akn/ls/act/ln/2020/38/eng@2020-04-22
https://lesotholii.org/akn/ls/act/ln/2020/41/eng%402020-05-06
https://natlex.ilo.org/dyn/natlex2/natlex2/files/download/110077/LSO110077.pdf
Prior audit access record
Full-register audit source access (evidence cutoff 25 October 2026)
https://faolex.fao.org/docs/pdf/les195072.pdf: full text — See specific claim qualifications.
https://natlex.ilo.org/dyn/natlex2/natlex2/files/download/110077/LSO110077.pdf: full text — See specific claim qualifications.
https://fews.net/southern-africa/lesotho/remote-monitoring-report/october-2020: full text — See specific claim qualifications.
Earlier source URLs not separately listed in this audit’s retrieval log (historical access notes below are not fresh verification):
https://lesotholii.org/akn/ls/act/ln/2020/41/eng@2020-05-06
https://lesotho.un.org/sites/default/files/2021-04/COVID-19%20situation%20update%20April%202021.pdf
https://www.gov.ls/wp-content/uploads/2020/05/LEGAL-NOTICE-NO.-41-OF-2020.pdf
https://lesotholii.org/akn/ls/act/ln/2020/38/eng%402020-04-22
https://lesotho.un.org/en/download/14750/53003
https://lesotholii.org/akn/ls/act/ln/2020/38/eng@2020-04-22
https://lesotholii.org/akn/ls/act/ln/2020/41/eng%402020-05-06
Earlier recorded access
Source 1: full
Source 2: access detail is retained in the source catalogue.
Source 3: full</x:v>
      </x:c>
      <x:c r="P294" s="20" t="n">
        <x:v>2</x:v>
      </x:c>
      <x:c r="Q294" s="4" t="str">
        <x:v>Southern and Central Africa</x:v>
      </x:c>
      <x:c r="R294" s="4" t="str">
        <x:v>Included</x:v>
      </x:c>
    </x:row>
    <x:row r="295" ht="409" hidden="0" customHeight="1">
      <x:c r="A295" s="16" t="str">
        <x:v>SC02</x:v>
      </x:c>
      <x:c r="B295" s="4" t="str">
        <x:v>South Africa’s COVID closure of Onverwacht–Nsalitje border port</x:v>
      </x:c>
      <x:c r="C295" s="4" t="str">
        <x:v>South Africa; Eswatini</x:v>
      </x:c>
      <x:c r="D295" s="4" t="str">
        <x:v>Onverwacht–Nsalitje secondary land port on the South Africa–Eswatini border. This row’s dated phase concerns this port; the wider national closure policy is source context.</x:v>
      </x:c>
      <x:c r="E295" s="4" t="str">
        <x:v>Not established
Direction: Not established
Exceptions: Not established</x:v>
      </x:c>
      <x:c r="F295" s="4" t="str">
        <x:v>SC02-R1 — Formal policy
South African formal closure of Onverwacht/Nsalitje secondary port
Start: 2020-03-16.
Policy endpoint: 2022-08-01.
Formal policy: 868 calendar-day difference; operational continuity not established</x:v>
      </x:c>
      <x:c r="G29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95" s="4" t="str">
        <x:v>SC02-R1: March16 is administrative commencement in the official SARS notice, not an observed gate clock time. August1,2022 is legal reopening permission; actual first passage and exceptional permits remain unverified.
source_access/start: Original named March 26 legal text not yet retrieved full.
source verification: Exact March 26 named original legal text remains indexed-only after fresh restricted-URL failure; later full 2021 list and full IOL retrospective support scope/continuity but do not replace the initial instrument.</x:v>
      </x:c>
      <x:c r="I295" s="4" t="str">
        <x:v>Second full-register audit, 26 October 2026: additional source-audited corrections incorporated. See the phase, scope and qualification columns for the accepted findings.</x:v>
      </x:c>
      <x:c r="J295" s="18" t="d">
        <x:v>2026-10-26T00:00:00.000Z</x:v>
      </x:c>
      <x:c r="K295" s="21" t="str">
        <x:f>IFERROR(HYPERLINK("https://lawlibrary.org.za/akn/za/act/gn/2020/416/eng%402020-03-26","LawLibrary / South African government"),"LawLibrary / South African government")</x:f>
        <x:v>LawLibrary / South African government</x:v>
      </x:c>
      <x:c r="L295" s="21" t="str">
        <x:f>IFERROR(HYPERLINK("https://www.gov.za/sites/default/files/gcis_document/202104/44335gon271.pdf","South African Government Gazette"),"South African Government Gazette")</x:f>
        <x:v>South African Government Gazette</x:v>
      </x:c>
      <x:c r="M295" s="21" t="str">
        <x:f>IFERROR(HYPERLINK("https://iol.co.za/news/south-africa/2022-07-29-all-south-african-land-border-posts-to-be-opened-on-august-1-as-covid-19-shutdown-ends/","IOL / Sihle Mavuso"),"IOL / Sihle Mavuso")</x:f>
        <x:v>IOL / Sihle Mavuso</x:v>
      </x:c>
      <x:c r="N295" s="4" t="str">
        <x:v>https://lawlibrary.org.za/akn/za/act/gn/2020/416/eng%402020-03-26
https://www.gov.za/sites/default/files/gcis_document/202104/44335gon271.pdf
https://iol.co.za/news/south-africa/2022-07-29-all-south-african-land-border-posts-to-be-opened-on-august-1-as-covid-19-shutdown-ends/
https://www.acts.co.za/immigration-act-/n2380_notice_no__2380_of_2022
https://www.sars.gov.za/media/corona-virus-covid-19/
https://www.thepresidency.gov.za/statement-president-cyril-ramaphosa-measures-combat-covid-19-epidemic
https://www.sanews.gov.za/south-africa/sa-opens-its-borders-african-travellers
https://www.gov.za/news/speeches/president-cyril-ramaphosa-measures-combat-coronavirus-covid-19-epidemic-15-mar-2020
https://www.gov.za/ss/news/media-statements/minister-aaron-motsoaledi-re-opening-borders-and-ports-entry-international</x:v>
      </x:c>
      <x:c r="O295" s="4" t="str">
        <x:v>Second full-register audit source access, 26 October 2026
https://www.sars.gov.za/media/corona-virus-covid-19/: full text (fresh retrieval)
https://www.gov.za/sites/default/files/gcis_document/202104/44335gon271.pdf: full text (fresh retrieval)
https://www.acts.co.za/immigration-act-/n2380_notice_no__2380_of_2022: full text (fresh retrieval) — Effective date August 1; publication later.
https://iol.co.za/news/south-africa/2022-07-29-all-south-african-land-border-posts-to-be-opened-on-august-1-as-covid-19-shutdown-ends/: full text (fresh retrieval)
Earlier URLs not separately inspected in this second assessment:
https://lawlibrary.org.za/akn/za/act/gn/2020/416/eng%402020-03-26
https://www.thepresidency.gov.za/statement-president-cyril-ramaphosa-measures-combat-covid-19-epidemic
https://www.sanews.gov.za/south-africa/sa-opens-its-borders-african-travellers
https://www.gov.za/news/speeches/president-cyril-ramaphosa-measures-combat-coronavirus-covid-19-epidemic-15-mar-2020
https://www.gov.za/ss/news/media-statements/minister-aaron-motsoaledi-re-opening-borders-and-ports-entry-international
Prior audit access record
Full-register audit source access (evidence cutoff 25 October 2026)
https://www.sars.gov.za/media/corona-virus-covid-19/: full text — Policy evidence does not establish first actual passage.
https://www.acts.co.za/immigration-act-/n2380_notice_no__2380_of_2022: full text — Policy evidence does not establish first actual passage.
Earlier source URLs not separately listed in this audit’s retrieval log (historical access notes below are not fresh verification):
https://lawlibrary.org.za/akn/za/act/gn/2020/416/eng%402020-03-26
https://www.gov.za/sites/default/files/gcis_document/202104/44335gon271.pdf
https://iol.co.za/news/south-africa/2022-07-29-all-south-african-land-border-posts-to-be-opened-on-august-1-as-covid-19-shutdown-ends/
https://www.thepresidency.gov.za/statement-president-cyril-ramaphosa-measures-combat-covid-19-epidemic
https://www.sanews.gov.za/south-africa/sa-opens-its-borders-african-travellers
https://www.gov.za/news/speeches/president-cyril-ramaphosa-measures-combat-coronavirus-covid-19-epidemic-15-mar-2020
https://www.gov.za/ss/news/media-statements/minister-aaron-motsoaledi-re-opening-borders-and-ports-entry-international
Earlier recorded access
Source 1: indexed excerpt
Source 2: full; failed; full text
Source 3: full; indexed excerpt; full text</x:v>
      </x:c>
      <x:c r="P295" s="20" t="n">
        <x:v>1</x:v>
      </x:c>
      <x:c r="Q295" s="4" t="str">
        <x:v>Southern and Central Africa</x:v>
      </x:c>
      <x:c r="R295" s="4" t="str">
        <x:v>Included</x:v>
      </x:c>
    </x:row>
    <x:row r="296" ht="409" hidden="0" customHeight="1">
      <x:c r="A296" s="16" t="str">
        <x:v>SC16</x:v>
      </x:c>
      <x:c r="B296" s="4" t="str">
        <x:v>Cameroon COVID national border closure</x:v>
      </x:c>
      <x:c r="C296" s="4" t="str">
        <x:v>Cameroon; Nigeria; Chad; Central African Republic; Republic of the Congo; Gabon; Equatorial Guinea</x:v>
      </x:c>
      <x:c r="D296" s="4" t="str">
        <x:v>Not established
National land, air and sea borders</x:v>
      </x:c>
      <x:c r="E296" s="4" t="str">
        <x:v>Not established
Direction: Not established
Exceptions: Official text explicitly exempts cargo flights and vessels; land freight rules require further clarification</x:v>
      </x:c>
      <x:c r="F296" s="4" t="str">
        <x:v>SC16-C1 — Formal policy
Cameroonian ordinary non-authorized traveler restriction at Ngueli/Kousseri bridge; medical/administrative exceptions excluded.
Start: 2020-03-18.
Policy endpoint: 2021-06-20.
Formal policy: 459 calendar-day difference; operational continuity not established</x:v>
      </x:c>
      <x:c r="G29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96" s="4" t="str">
        <x:v>Cameroon-side Ngueli reopening June 20 2021 verified separately from Chad June 17 ceremony. National common land reopening remains unknown.
SC16-C1: Formal ordinary-person access segment, not absence of every physical crossing or freight. Chad's June 17 opening did not remove Cameroon refusal; exceptional students/emergencies excluded. No national endpoint inferred.</x:v>
      </x:c>
      <x:c r="I296" s="4" t="str">
        <x:v>Second full-register audit, 26 October 2026: qualified. Fresh field reporting again distinguishes Chad’s June 17 opening from Cameroon’s June 20 relaxation at Ngueli; the scoped formal interval remains sound.</x:v>
      </x:c>
      <x:c r="J296" s="18" t="d">
        <x:v>2026-10-26T00:00:00.000Z</x:v>
      </x:c>
      <x:c r="K296" s="21" t="str">
        <x:f>IFERROR(HYPERLINK("https://www.minpmeesa.cm/site/en/government-response-strategy-to-the-coronavirus-pandemic-covid-19/","Government of Cameroon"),"Government of Cameroon")</x:f>
        <x:v>Government of Cameroon</x:v>
      </x:c>
      <x:c r="L296" s="21" t="str">
        <x:f>IFERROR(HYPERLINK("https://ialtchad.com/index.php/details/item/758-pont-n%E2%80%99gu%C3%A9li-moiti%C3%A9-ouvert%2C-moiti%C3%A9-ferm%C3%A9","ialtchad.com"),"ialtchad.com")</x:f>
        <x:v>ialtchad.com</x:v>
      </x:c>
      <x:c r="M296" s="21" t="str">
        <x:f>IFERROR(HYPERLINK("https://www.lepaystchad.com/le-pont-ngueli-officiellement-reouvert/","lepaystchad.com"),"lepaystchad.com")</x:f>
        <x:v>lepaystchad.com</x:v>
      </x:c>
      <x:c r="N296" s="4" t="str">
        <x:v>https://www.minpmeesa.cm/site/en/government-response-strategy-to-the-coronavirus-pandemic-covid-19/
https://ialtchad.com/index.php/details/item/758-pont-n%E2%80%99gu%C3%A9li-moiti%C3%A9-ouvert%2C-moiti%C3%A9-ferm%C3%A9
https://www.lepaystchad.com/le-pont-ngueli-officiellement-reouvert/
https://h.aa.com.tr/fr/afrique/covid-19-r%C3%A9ouverture-des-fronti%C3%A8res-terrestres-entre-le-cameroun-et-le-tchad/2277706
https://dtm.iom.int/sites/g/files/tmzbdl1461/files/reports/POE_regional%20report_June2022.pdf
https://www.imf.org/-/media/files/publications/cr/2021/english/1cmrea2021001.pdf
https://www.elibrary.imf.org/view/journals/002/2022/075/article-A001-en.xml
https://prc.cm/en/news/4150-coronavirus-president-paul-biya-s-instructions
https://www.businessincameroon.com/public-management/2206-11702-towards-the-normalization-of-chad-cameroon-s-commercial-exchange-with-the-reopening-of-cameroon-s-side-of-the-ngueli-border
https://www.imf.org/-/media/Files/Publications/CR/2021/English/1CMREA2021001.ashx
https://ialtchad.com/index.php/details/item/772-n%E2%80%99djamena-kousserie,-le-trafic-a-repris-avec-force</x:v>
      </x:c>
      <x:c r="O296" s="4" t="str">
        <x:v>Second full-register audit source access, 26 October 2026
https://www.minpmeesa.cm/site/en/government-response-strategy-to-the-coronavirus-pandemic-covid-19/: full text (fresh retrieval)
https://ialtchad.com/index.php/details/item/758-pont-n%E2%80%99gu%C3%A9li-moiti%C3%A9-ouvert%2C-moiti%C3%A9-ferm%C3%A9: full text (fresh retrieval)
https://www.lepaystchad.com/le-pont-ngueli-officiellement-reouvert/: full text (fresh retrieval)
Earlier URLs not separately inspected in this second assessment:
https://h.aa.com.tr/fr/afrique/covid-19-r%C3%A9ouverture-des-fronti%C3%A8res-terrestres-entre-le-cameroun-et-le-tchad/2277706
https://dtm.iom.int/sites/g/files/tmzbdl1461/files/reports/POE_regional%20report_June2022.pdf
https://www.imf.org/-/media/files/publications/cr/2021/english/1cmrea2021001.pdf
https://www.elibrary.imf.org/view/journals/002/2022/075/article-A001-en.xml
https://prc.cm/en/news/4150-coronavirus-president-paul-biya-s-instructions
https://www.businessincameroon.com/public-management/2206-11702-towards-the-normalization-of-chad-cameroon-s-commercial-exchange-with-the-reopening-of-cameroon-s-side-of-the-ngueli-border
https://www.imf.org/-/media/Files/Publications/CR/2021/English/1CMREA2021001.ashx
https://ialtchad.com/index.php/details/item/772-n%E2%80%99djamena-kousserie,-le-trafic-a-repris-avec-force
Prior audit access record
Full-register audit source access (evidence cutoff 25 October 2026)
https://www.minpmeesa.cm/site/en/government-response-strategy-to-the-coronavirus-pandemic-covid-19/: full text — Policy evidence does not establish first actual passage.
https://www.lepaystchad.com/le-pont-ngueli-officiellement-reouvert/: search extract — Policy evidence does not establish first actual passage.
https://ialtchad.com/index.php/details/item/772-n%E2%80%99djamena-kousserie,-le-trafic-a-repris-avec-force: full text — Observed traffic by the reporting date; exact first passage cannot be reconstructed from inconsistent individual recollections.
Earlier source URLs not separately listed in this audit’s retrieval log (historical access notes below are not fresh verification):
https://ialtchad.com/index.php/details/item/758-pont-n%E2%80%99gu%C3%A9li-moiti%C3%A9-ouvert%2C-moiti%C3%A9-ferm%C3%A9
https://h.aa.com.tr/fr/afrique/covid-19-r%C3%A9ouverture-des-fronti%C3%A8res-terrestres-entre-le-cameroun-et-le-tchad/2277706
https://dtm.iom.int/sites/g/files/tmzbdl1461/files/reports/POE_regional%20report_June2022.pdf
https://www.imf.org/-/media/files/publications/cr/2021/english/1cmrea2021001.pdf
https://www.elibrary.imf.org/view/journals/002/2022/075/article-A001-en.xml
https://prc.cm/en/news/4150-coronavirus-president-paul-biya-s-instructions
https://www.businessincameroon.com/public-management/2206-11702-towards-the-normalization-of-chad-cameroon-s-commercial-exchange-with-the-reopening-of-cameroon-s-side-of-the-ngueli-border
https://www.imf.org/-/media/Files/Publications/CR/2021/English/1CMREA2021001.ashx
Earlier recorded access
Source 1: full
Source 2: access detail is retained in the source catalogue.
Source 3: access detail is retained in the source catalogue.</x:v>
      </x:c>
      <x:c r="P296" s="20" t="n">
        <x:v>1</x:v>
      </x:c>
      <x:c r="Q296" s="4" t="str">
        <x:v>Southern and Central Africa</x:v>
      </x:c>
      <x:c r="R296" s="4" t="str">
        <x:v>Included</x:v>
      </x:c>
    </x:row>
    <x:row r="297" ht="409" hidden="0" customHeight="1">
      <x:c r="A297" s="16" t="str">
        <x:v>SC11</x:v>
      </x:c>
      <x:c r="B297" s="4" t="str">
        <x:v>Angola COVID closure of passenger land movement</x:v>
      </x:c>
      <x:c r="C297" s="4" t="str">
        <x:v>Angola; Namibia; Zambia; Democratic Republic of the Congo; Republic of the Congo</x:v>
      </x:c>
      <x:c r="D297" s="4" t="str">
        <x:v>Not established
National land borders</x:v>
      </x:c>
      <x:c r="E297" s="4" t="str">
        <x:v>Ordinary passenger land movement.
Direction: National policy covered movement in and out; the March 21 gate report documents Angolan returnees entering Angola from Namibia under controls.
Exceptions: Cargo trailers were exempt in the March 22 embassy advisory. Identified Angolan returnees and two women returning from hospital were admitted on March 21. Authorised health and other exceptions throughout the period are not exhaustively catalogued.</x:v>
      </x:c>
      <x:c r="F297" s="4" t="str">
        <x:v>SC11-D1 — Formal policy with observed implementation and scoped reopening
Angolan restriction on ordinary passenger land movement, assessed at Santa Clara–Oshikango; cargo and authorised returns or health exceptions excluded.
Formal start: 2020-03-20 at 00:00. Gate closure and restricted admissions directly observed by 2020-03-21.
Observed scoped reopening: 2022-02-02.
684 calendar-day difference from the policy date to the scoped endpoint; exact first operational denial and uninterrupted all-person closure are not established.</x:v>
      </x:c>
      <x:c r="G29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97" s="4" t="str">
        <x:v>SC11-D1: March 20 is the explicit national policy start, not an independently observed first gate-level denial. A reporter at Oshikango on Saturday March 21 found locked, guarded gates, restricted admissions and documented returnee/health exceptions. The February 2, 2022 Santa Clara reopening is observed: people began crossing after the planned February 1 opening was delayed for technical reasons. Vaccination, tests and masks remained required. January 31 legislation authorised gradual reopening by bilateral agreement; the May 4 ministerial ceremony is later and does not replace February actual access. Other Angolan posts and freight do not inherit this endpoint. The 684-day date difference is policy-anchored and is not an exact measured uninterrupted operational closure.</x:v>
      </x:c>
      <x:c r="I297" s="4" t="str">
        <x:v>Second full-register audit, 26 October 2026: qualified. The March 2020 policy start and February 2, 2022 Santa Clara reopening remain supported, with returnee and hospital exceptions preserved.</x:v>
      </x:c>
      <x:c r="J297" s="18" t="d">
        <x:v>2026-10-26T00:00:00.000Z</x:v>
      </x:c>
      <x:c r="K297" s="21" t="str">
        <x:f>IFERROR(HYPERLINK("https://www.ciam.gov.ao/ao/noticia/28","CIAM"),"CIAM")</x:f>
        <x:v>CIAM</x:v>
      </x:c>
      <x:c r="L297" s="21" t="str">
        <x:f>IFERROR(HYPERLINK("https://www.ciam.gov.ao/ao/noticia/753","CIAM"),"CIAM")</x:f>
        <x:v>CIAM</x:v>
      </x:c>
      <x:c r="M297" s="21" t="str">
        <x:f>IFERROR(HYPERLINK("https://minint.gov.ao/web/noticias/governos-de-angola-e-nam%25C3%25ADbia-reabrem-fronteira-comum","Angola Interior Ministry"),"Angola Interior Ministry")</x:f>
        <x:v>Angola Interior Ministry</x:v>
      </x:c>
      <x:c r="N297" s="4" t="str">
        <x:v>https://www.ciam.gov.ao/ao/noticia/28
https://www.ciam.gov.ao/ao/noticia/753
https://minint.gov.ao/web/noticias/governos-de-angola-e-nam%25C3%25ADbia-reabrem-fronteira-comum
https://lex.ao/docs/presidente-da-republica/2022/decreto-presidencial-n-o-72-22-de-31-de-marco/
https://kenyaembassyangola.com/update-on-the-coronavirus-covid-19-for-kenyans-travelling-to-angola-and-kenyans-residing-in-angola/
https://lex.ao/docs/presidente-da-republica/2022/decreto-presidencial-n-o-31-22-de-31-de-janeiro/
https://rna.ao/rna.ao/2022/04/21/reaberta-fronteira-de-angola-e-rdc-a-partir-de-cabinda/
https://www.verangola.net/va/en/122022/Transports/33643/Border-between-Angola-and-Zambia-reopens-two-years-after-closure.htm
https://ciam.gov.ao/ao/noticia/753
https://informante.web.na/?p=289099</x:v>
      </x:c>
      <x:c r="O297" s="4" t="str">
        <x:v>Second full-register audit source access, 26 October 2026
https://kenyaembassyangola.com/update-on-the-coronavirus-covid-19-for-kenyans-travelling-to-angola-and-kenyans-residing-in-angola/: full text (fresh retrieval)
https://informante.web.na/?p=289099: full text (fresh retrieval) — Fresh full article excerpt verified gates/returnees; later direct attempt hit browser challenge.
https://informante.web.na/?p=289099: search extract (fresh retrieval) — Indexed continuation specifically verifies two hospital returnees.
https://www.ciam.gov.ao/ao/noticia/753: full text (fresh retrieval)
Earlier URLs not separately inspected in this second assessment:
https://www.ciam.gov.ao/ao/noticia/28
https://minint.gov.ao/web/noticias/governos-de-angola-e-nam%25C3%25ADbia-reabrem-fronteira-comum
https://lex.ao/docs/presidente-da-republica/2022/decreto-presidencial-n-o-72-22-de-31-de-marco/
https://lex.ao/docs/presidente-da-republica/2022/decreto-presidencial-n-o-31-22-de-31-de-janeiro/
https://rna.ao/rna.ao/2022/04/21/reaberta-fronteira-de-angola-e-rdc-a-partir-de-cabinda/
https://www.verangola.net/va/en/122022/Transports/33643/Border-between-Angola-and-Zambia-reopens-two-years-after-closure.htm
https://ciam.gov.ao/ao/noticia/753
Prior audit access record
Full-register audit source access (evidence cutoff 25 October 2026)
https://www.ciam.gov.ao/ao/noticia/28: full text — See specific claim qualifications.
https://kenyaembassyangola.com/update-on-the-coronavirus-covid-19-for-kenyans-travelling-to-angola-and-kenyans-residing-in-angola/: full text — See specific claim qualifications.
https://informante.web.na/?p=289099: full text — See specific claim qualifications.
https://ciam.gov.ao/ao/noticia/753: full text — See specific claim qualifications.
https://lex.ao/docs/presidente-da-republica/2022/decreto-presidencial-n-o-31-22-de-31-de-janeiro/: full text — See specific claim qualifications.
https://minint.gov.ao/web/noticias/governos-de-angola-e-nam%25C3%25ADbia-reabrem-fronteira-comum: full text — See specific claim qualifications.
Earlier source URLs not separately listed in this audit’s retrieval log (historical access notes below are not fresh verification):
https://www.ciam.gov.ao/ao/noticia/753
https://lex.ao/docs/presidente-da-republica/2022/decreto-presidencial-n-o-72-22-de-31-de-marco/
https://rna.ao/rna.ao/2022/04/21/reaberta-fronteira-de-angola-e-rdc-a-partir-de-cabinda/
https://www.verangola.net/va/en/122022/Transports/33643/Border-between-Angola-and-Zambia-reopens-two-years-after-closure.htm
Earlier recorded access
Source 1: full page
Source 2: full page
Source 3: full page</x:v>
      </x:c>
      <x:c r="P297" s="20" t="n">
        <x:v>1</x:v>
      </x:c>
      <x:c r="Q297" s="4" t="str">
        <x:v>Southern and Central Africa</x:v>
      </x:c>
      <x:c r="R297" s="4" t="str">
        <x:v>Included</x:v>
      </x:c>
    </x:row>
    <x:row r="298" ht="409" hidden="0" customHeight="1">
      <x:c r="A298" s="16" t="str">
        <x:v>SC17</x:v>
      </x:c>
      <x:c r="B298" s="4" t="str">
        <x:v>Republic of Congo COVID border closure</x:v>
      </x:c>
      <x:c r="C298" s="4" t="str">
        <x:v>Republic of the Congo; Gabon; Cameroon; Central African Republic; Democratic Republic of the Congo; Angola</x:v>
      </x:c>
      <x:c r="D298" s="4" t="str">
        <x:v>Not established
Land and river borders as part of national closure</x:v>
      </x:c>
      <x:c r="E298" s="4" t="str">
        <x:v>Not established
Direction: Not established
Exceptions: Freight exemptions documented; crossings by special authorisation later noted</x:v>
      </x:c>
      <x:c r="F298" s="4" t="str">
        <x:v>SC17-D1 — Formal policy
Republic of Congo's ordinary non-exempt land/river passenger restriction, to formal reopening permission.
Start: 2020-03-21 to 2020-03-22.
Policy endpoint: 2022-02-28.
Formal policy: 708–709 calendar-day difference; operational continuity not established</x:v>
      </x:c>
      <x:c r="G29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98" s="4" t="str">
        <x:v>SC17-D1: Formal policy phase only. Goods and specially authorised movements are excluded. Gate-level operation and reciprocal neighbouring permission are not established; the midnight ambiguity is not silently resolved.</x:v>
      </x:c>
      <x:c r="I298" s="4" t="str">
        <x:v>Second full-register audit, 26 October 2026: qualified. Official onset and reopening texts corroborate the qualified March 2020–February 2022 policy interval; freight and specially authorized river passage prevent an all-traffic interpretation.</x:v>
      </x:c>
      <x:c r="J298" s="18" t="d">
        <x:v>2026-10-26T00:00:00.000Z</x:v>
      </x:c>
      <x:c r="K298" s="21" t="str">
        <x:f>IFERROR(HYPERLINK("https://www.sgg.cg/fr/actualites/14/dclaration-n-4-du-gouvernement-relative-la-pandmie-de-coronavirus-covid-19.html","Secretariat General Government Congo"),"Secretariat General Government Congo")</x:f>
        <x:v>Secretariat General Government Congo</x:v>
      </x:c>
      <x:c r="L298" s="21" t="str">
        <x:f>IFERROR(HYPERLINK("https://developpement-durable.gouv.cg/2020/05/16/covid19_cg-communication-de-monsieur-clement-mouamba-premier-ministre-plan-de-deconfinement-relatif-a-riposte-contre-coronavirus-covid-19/","Ministry of Environment Congo"),"Ministry of Environment Congo")</x:f>
        <x:v>Ministry of Environment Congo</x:v>
      </x:c>
      <x:c r="M298" s="21" t="str">
        <x:f>IFERROR(HYPERLINK("https://gabonmediatime.com/covid-19-le-congo-leve-le-couvre-feu-et-reouvre-ses-frontieres/","Gabon Media Time"),"Gabon Media Time")</x:f>
        <x:v>Gabon Media Time</x:v>
      </x:c>
      <x:c r="N298" s="4" t="str">
        <x:v>https://www.sgg.cg/fr/actualites/14/dclaration-n-4-du-gouvernement-relative-la-pandmie-de-coronavirus-covid-19.html
https://developpement-durable.gouv.cg/2020/05/16/covid19_cg-communication-de-monsieur-clement-mouamba-premier-ministre-plan-de-deconfinement-relatif-a-riposte-contre-coronavirus-covid-19/
https://gabonmediatime.com/covid-19-le-congo-leve-le-couvre-feu-et-reouvre-ses-frontieres/
https://www.sgg.cg/fr/actualites/41/34e-runion-de-la-coordination-nationale-de-gestion-de-la-pandmie-de-coronavirus-covid-19.html
https://liziba.cg/wp-content/uploads/2024/10/Arrete-n%C2%B05670-du-22-mai-2020-maintenant-la-mesure-de-fermeture-des-frontieres-de-la-Republique-du-Congo.pdf</x:v>
      </x:c>
      <x:c r="O298" s="4" t="str">
        <x:v>Second full-register audit source access, 26 October 2026
https://www.sgg.cg/fr/actualites/14/dclaration-n-4-du-gouvernement-relative-la-pandmie-de-coronavirus-covid-19.html: full text (fresh retrieval)
https://developpement-durable.gouv.cg/2020/05/16/covid19_cg-communication-de-monsieur-clement-mouamba-premier-ministre-plan-de-deconfinement-relatif-a-riposte-contre-coronavirus-covid-19/: full text (fresh retrieval)
https://liziba.cg/wp-content/uploads/2024/10/Arrete-n%C2%B05670-du-22-mai-2020-maintenant-la-mesure-de-fermeture-des-frontieres-de-la-Republique-du-Congo.pdf: full text (fresh retrieval) — Full PDF downloaded and pdftotext inspected; heading gives May 21 issue while signed instrument gives May 22.
https://www.sgg.cg/fr/actualites/41/34e-runion-de-la-coordination-nationale-de-gestion-de-la-pandmie-de-coronavirus-covid-19.html: full text (fresh retrieval)
https://gabonmediatime.com/covid-19-le-congo-leve-le-couvre-feu-et-reouvre-ses-frontieres/: full text (fresh retrieval)
Prior audit access record
Full-register audit source access (evidence cutoff 25 October 2026)
https://www.sgg.cg/fr/actualites/14/dclaration-n-4-du-gouvernement-relative-la-pandmie-de-coronavirus-covid-19.html: full text — Policy evidence does not establish first actual passage.
https://www.sgg.cg/fr/actualites/41/34e-runion-de-la-coordination-nationale-de-gestion-de-la-pandmie-de-coronavirus-covid-19.html: full text — Policy evidence does not establish first actual passage.
Earlier source URLs not separately listed in this audit’s retrieval log (historical access notes below are not fresh verification):
https://developpement-durable.gouv.cg/2020/05/16/covid19_cg-communication-de-monsieur-clement-mouamba-premier-ministre-plan-de-deconfinement-relatif-a-riposte-contre-coronavirus-covid-19/
https://gabonmediatime.com/covid-19-le-congo-leve-le-couvre-feu-et-reouvre-ses-frontieres/
https://liziba.cg/wp-content/uploads/2024/10/Arrete-n%C2%B05670-du-22-mai-2020-maintenant-la-mesure-de-fermeture-des-frontieres-de-la-Republique-du-Congo.pdf
Earlier recorded access
Source 1: full page
Source 2: search extract
Source 3: search extract</x:v>
      </x:c>
      <x:c r="P298" s="20" t="n">
        <x:v>1</x:v>
      </x:c>
      <x:c r="Q298" s="4" t="str">
        <x:v>Southern and Central Africa</x:v>
      </x:c>
      <x:c r="R298" s="4" t="str">
        <x:v>Included</x:v>
      </x:c>
    </x:row>
    <x:row r="299" ht="409" hidden="0" customHeight="1">
      <x:c r="A299" s="16" t="str">
        <x:v>SC13</x:v>
      </x:c>
      <x:c r="B299" s="4" t="str">
        <x:v>Zimbabwe COVID general passenger closure</x:v>
      </x:c>
      <x:c r="C299" s="4" t="str">
        <x:v>Zimbabwe; South Africa; Botswana; Zambia; Mozambique</x:v>
      </x:c>
      <x:c r="D299" s="4" t="str">
        <x:v>Beitbridge; Plumtree; Victoria Falls; Chirundu; Nyamapanda; Forbes
National borders for human traffic</x:v>
      </x:c>
      <x:c r="E299" s="4" t="str">
        <x:v>Non-exempt ordinary land passengers; December1 relaxation for private-vehicle travellers and pedestrians at announced major-post subset
Direction: Zimbabwe-imposed land admission restrictions; December1 passage observed in both directions at Beitbridge. Exact outward exceptions throughout not exhaustively established.
Exceptions: Returning residents and cargo; September contemporary reporting also identifies diplomats. Full authorised-exception history not exhaustively recovered.</x:v>
      </x:c>
      <x:c r="F299" s="4" t="str">
        <x:v>SC13-D1 — Formal policy
Zimbabwe-imposed restriction on nonexempt ordinary land admission at Beitbridge, to December 1 permission and observed private-vehicle/pedestrian relaxation; cargo, diplomats and returning residents excluded.
Start: 2020-03-23.
Observed scoped reopening: 2020-12-01.
Formal policy: 253 calendar-day difference; operational continuity not established</x:v>
      </x:c>
      <x:c r="G29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299" s="4" t="str">
        <x:v>SC13-D1: 253 days is a scoped formal-policy interval for non-exempt ordinary land admission at Beitbridge through observed December1 relaxation. March23 operational implementation was not independently observed in sources inspected; direction-specific and other authorised exceptions remain incompletely catalogued. Six-post announcement is not universal implementation proof. Public transport and other categories require separate phase tracking. Returning residents and cargo; September contemporary reporting also identifies diplomats. Full authorised-exception history not exhaustively recovered.</x:v>
      </x:c>
      <x:c r="I299" s="4" t="str">
        <x:v>Second full-register audit, 26 October 2026: qualified. Fresh initial, continuing-policy and reopening reports corroborate the qualified Beitbridge timeline and its ordinary-passenger scope.</x:v>
      </x:c>
      <x:c r="J299" s="18" t="d">
        <x:v>2026-10-26T00:00:00.000Z</x:v>
      </x:c>
      <x:c r="K299" s="21" t="str">
        <x:f>IFERROR(HYPERLINK("https://www.xinhuanet.com/english/2020-03/24/c_138909326.htm","Xinhua"),"Xinhua")</x:f>
        <x:v>Xinhua</x:v>
      </x:c>
      <x:c r="L299" s="21" t="str">
        <x:f>IFERROR(HYPERLINK("https://www.heraldonline.co.zw/watch-borders-reopen-on-low-note-travellers-undergo-strict-health-guidelines/","Herald Online / Chronicle"),"Herald Online / Chronicle")</x:f>
        <x:v>Herald Online / Chronicle</x:v>
      </x:c>
      <x:c r="M299" s="21" t="str">
        <x:f>IFERROR(HYPERLINK("https://www.heraldonline.co.zw/borders-still-closed-to-general-human-traffic-govt/","The Herald"),"The Herald")</x:f>
        <x:v>The Herald</x:v>
      </x:c>
      <x:c r="N299" s="4" t="str">
        <x:v>https://www.xinhuanet.com/english/2020-03/24/c_138909326.htm
https://www.heraldonline.co.zw/watch-borders-reopen-on-low-note-travellers-undergo-strict-health-guidelines/
https://www.heraldonline.co.zw/borders-still-closed-to-general-human-traffic-govt/
https://cite.org.zw/border-reopening-slow-traffic-at-beitbridge-border/
https://nehandaradio.com/2020/03/28/sa-zim-clear-final-batch-of-travellers/
https://fews.net/southern-africa/zimbabwe/food-security-outlook-update/april-2020
https://veritaszim.net/node/4614</x:v>
      </x:c>
      <x:c r="O299" s="4" t="str">
        <x:v>Second full-register audit source access, 26 October 2026
https://www.xinhuanet.com/english/2020-03/24/c_138909326.htm: full text (fresh retrieval)
https://www.heraldonline.co.zw/borders-still-closed-to-general-human-traffic-govt/: full text (fresh retrieval)
https://cite.org.zw/border-reopening-slow-traffic-at-beitbridge-border/: full text (fresh retrieval)
https://www.heraldonline.co.zw/watch-borders-reopen-on-low-note-travellers-undergo-strict-health-guidelines/: full text (fresh retrieval)
Earlier URLs not separately inspected in this second assessment:
https://nehandaradio.com/2020/03/28/sa-zim-clear-final-batch-of-travellers/
https://fews.net/southern-africa/zimbabwe/food-security-outlook-update/april-2020
https://veritaszim.net/node/4614
Prior audit access record
Full-register audit source access (evidence cutoff 25 October 2026)
https://www.xinhuanet.com/english/2020-03/24/c_138909326.htm: full text — See specific claim qualifications.
https://www.heraldonline.co.zw/borders-still-closed-to-general-human-traffic-govt/: full text — See specific claim qualifications.
https://www.heraldonline.co.zw/watch-borders-reopen-on-low-note-travellers-undergo-strict-health-guidelines/: full text — See specific claim qualifications.
https://cite.org.zw/border-reopening-slow-traffic-at-beitbridge-border/: full text — See specific claim qualifications.
Earlier source URLs not separately listed in this audit’s retrieval log (historical access notes below are not fresh verification):
https://nehandaradio.com/2020/03/28/sa-zim-clear-final-batch-of-travellers/
https://fews.net/southern-africa/zimbabwe/food-security-outlook-update/april-2020
https://veritaszim.net/node/4614
Earlier recorded access
Source 1: full page
Source 2: full page
Source 3: relevant article body opened and inspected</x:v>
      </x:c>
      <x:c r="P299" s="20" t="n">
        <x:v>1</x:v>
      </x:c>
      <x:c r="Q299" s="4" t="str">
        <x:v>Southern and Central Africa</x:v>
      </x:c>
      <x:c r="R299" s="4" t="str">
        <x:v>Included</x:v>
      </x:c>
    </x:row>
    <x:row r="300" ht="409" hidden="0" customHeight="1">
      <x:c r="A300" s="16" t="str">
        <x:v>SC18</x:v>
      </x:c>
      <x:c r="B300" s="4" t="str">
        <x:v>Mozambique COVID partial border closure</x:v>
      </x:c>
      <x:c r="C300" s="4" t="str">
        <x:v>Mozambique; South Africa; Eswatini; Zimbabwe; Zambia; Malawi; Tanzania</x:v>
      </x:c>
      <x:c r="D300" s="4" t="str">
        <x:v>Not established
Partial restrictions at national land entry points</x:v>
      </x:c>
      <x:c r="E300" s="4" t="str">
        <x:v>Not established
Direction: Not established
Exceptions: State interest, humanitarian/health activity, accredited freight</x:v>
      </x:c>
      <x:c r="F300" s="4" t="str">
        <x:v>SC18-RREV1 — Formal policy
Original implementing-decree phase of Mozambique's closure of land crossing posts except the enumerated authorized posts; nonexempt passenger entry/exit only
Start: 2020-04-02.
Policy endpoint: 2020-05-08.
Formal policy: 36 calendar-day difference; operational continuity not established</x:v>
      </x:c>
      <x:c r="G30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00" s="4" t="str">
        <x:v>SC18-RREV1: Legal phase only, not an observed physical closure or reopening. Exempt posts: Negomano; Mandimba, II Congresso, Entrelagos; Melosa; Cassacatisa, Cuchamano, Zobwe; Machipanda; Chicualacuala; Ressano Garcia and Namaacha. Humanitarian, health, state-interest and cargo exceptions remain. May 8 marks replacement with a continuing restriction, with no endpoint clock recovered. Exact operational spells, including Goba, remain unproved.
source_access: April 9 amendment full retrieval still fails; clause preservation rests on indexed legal text already inspected.</x:v>
      </x:c>
      <x:c r="I300" s="4" t="str">
        <x:v>Second full-register audit, 26 October 2026: qualified. Fresh operative decree clauses and the indexed April amendment support the retained 36-day original legal phase; May 8 replaced restrictions rather than reopening all posts.</x:v>
      </x:c>
      <x:c r="J300" s="18" t="d">
        <x:v>2026-10-26T00:00:00.000Z</x:v>
      </x:c>
      <x:c r="K300" s="21" t="str">
        <x:f>IFERROR(HYPERLINK("https://www.open.ac.uk/technology/mozambique/sites/www.open.ac.uk.technology.mozambique/files/files/Decreto_12_2020_de_2_de_Abril_BR_64_I_SERIE_2020.pdf","Government of Mozambique, gazette copy at Open University"),"Government of Mozambique, gazette copy at Open University")</x:f>
        <x:v>Government of Mozambique, gazette copy at Open University</x:v>
      </x:c>
      <x:c r="L300" s="21" t="str">
        <x:f>IFERROR(HYPERLINK("https://archive.gazettes.africa/archive/mz/2020/mz-government-gazette-series-i-supplement-dated-2020-04-09-no-68.pdf","Government of Mozambique, gazette indexed at Gazettes Africa"),"Government of Mozambique, gazette indexed at Gazettes Africa")</x:f>
        <x:v>Government of Mozambique, gazette indexed at Gazettes Africa</x:v>
      </x:c>
      <x:c r="M300" s="21" t="str">
        <x:f>IFERROR(HYPERLINK("https://admin.reformar.co.mz/documentos-diversos/br_874_i_serie_suplemento_2020-decreto-26_2020-de-8-de-maio-medidas-para-prevencao-de-covid-19.pdf","Government of Mozambique, gazette copy at REFORMAR"),"Government of Mozambique, gazette copy at REFORMAR")</x:f>
        <x:v>Government of Mozambique, gazette copy at REFORMAR</x:v>
      </x:c>
      <x:c r="N300" s="4" t="str">
        <x:v>https://www.open.ac.uk/technology/mozambique/sites/www.open.ac.uk.technology.mozambique/files/files/Decreto_12_2020_de_2_de_Abril_BR_64_I_SERIE_2020.pdf
https://archive.gazettes.africa/archive/mz/2020/mz-government-gazette-series-i-supplement-dated-2020-04-09-no-68.pdf
https://admin.reformar.co.mz/documentos-diversos/br_874_i_serie_suplemento_2020-decreto-26_2020-de-8-de-maio-medidas-para-prevencao-de-covid-19.pdf
https://disasterlaw.ifrc.org/sites/default/files/media/disaster_law/2021-03/COVID-19%20Emergency%20Decree%20Research%20-%20Mozambique.pdf
https://minec.gov.mz/presidente-da-republica-declara-estado-de-emergencia/
https://covid.ingsa.org/covid-19-policy-tracker/africa/mozambique/31-march-2020-mozambique-declares-state-of-emergency/
https://cms.law/en/prt/publication/meet-the-law-covid-19-state-of-emergency-in-mozambique-restrictive-measures-approved
https://mozambiquehighcommission.org.uk/ressano-garcia-border-open-to-all-travellers.html</x:v>
      </x:c>
      <x:c r="O300" s="4" t="str">
        <x:v>Second full-register audit source access, 26 October 2026
https://www.open.ac.uk/technology/mozambique/sites/www.open.ac.uk.technology.mozambique/files/files/Decreto_12_2020_de_2_de_Abril_BR_64_I_SERIE_2020.pdf: full text (fresh retrieval) — Article 38 commencement inspected in batch115, turn1889view3.
https://archive.gazettes.africa/archive/mz/2020/mz-government-gazette-series-i-supplement-dated-2020-04-09-no-68.pdf: search extract (fresh retrieval) — Direct PDF returned 403; indexed operative amendment text inspected.
https://admin.reformar.co.mz/documentos-diversos/br_874_i_serie_suplemento_2020-decreto-26_2020-de-8-de-maio-medidas-para-prevencao-de-covid-19.pdf: full text (fresh retrieval) — Continuing Article 13 land-post list inspected in batch108, turn1865view6.
https://disasterlaw.ifrc.org/sites/default/files/media/disaster_law/2021-03/COVID-19%20Emergency%20Decree%20Research%20-%20Mozambique.pdf: full text (fresh retrieval)
Earlier URLs not separately inspected in this second assessment:
https://minec.gov.mz/presidente-da-republica-declara-estado-de-emergencia/
https://covid.ingsa.org/covid-19-policy-tracker/africa/mozambique/31-march-2020-mozambique-declares-state-of-emergency/
https://cms.law/en/prt/publication/meet-the-law-covid-19-state-of-emergency-in-mozambique-restrictive-measures-approved
https://mozambiquehighcommission.org.uk/ressano-garcia-border-open-to-all-travellers.html
Prior audit access record
Full-register audit source access (evidence cutoff 25 October 2026)
https://www.open.ac.uk/technology/mozambique/sites/www.open.ac.uk.technology.mozambique/files/files/Decreto_12_2020_de_2_de_Abril_BR_64_I_SERIE_2020.pdf: full text — Policy evidence does not establish first actual passage.
https://admin.reformar.co.mz/documentos-diversos/br_874_i_serie_suplemento_2020-decreto-26_2020-de-8-de-maio-medidas-para-prevencao-de-covid-19.pdf: full text — Policy evidence does not establish first actual passage.
Earlier source URLs not separately listed in this audit’s retrieval log (historical access notes below are not fresh verification):
https://archive.gazettes.africa/archive/mz/2020/mz-government-gazette-series-i-supplement-dated-2020-04-09-no-68.pdf
https://disasterlaw.ifrc.org/sites/default/files/media/disaster_law/2021-03/COVID-19%20Emergency%20Decree%20Research%20-%20Mozambique.pdf
https://minec.gov.mz/presidente-da-republica-declara-estado-de-emergencia/
https://covid.ingsa.org/covid-19-policy-tracker/africa/mozambique/31-march-2020-mozambique-declares-state-of-emergency/
https://cms.law/en/prt/publication/meet-the-law-covid-19-state-of-emergency-in-mozambique-restrictive-measures-approved
https://mozambiquehighcommission.org.uk/ressano-garcia-border-open-to-all-travellers.html
Earlier recorded access
Source 1: full
Source 2: indexed excerpt
Source 3: full</x:v>
      </x:c>
      <x:c r="P300" s="20" t="n">
        <x:v>1</x:v>
      </x:c>
      <x:c r="Q300" s="4" t="str">
        <x:v>Southern and Central Africa</x:v>
      </x:c>
      <x:c r="R300" s="4" t="str">
        <x:v>Included</x:v>
      </x:c>
    </x:row>
    <x:row r="301" ht="409" hidden="0" customHeight="1">
      <x:c r="A301" s="16" t="str">
        <x:v>SC20</x:v>
      </x:c>
      <x:c r="B301" s="4" t="str">
        <x:v>Goba Mhlumeni COVID crossing closure</x:v>
      </x:c>
      <x:c r="C301" s="4" t="str">
        <x:v>Mozambique; Eswatini</x:v>
      </x:c>
      <x:c r="D301" s="4" t="str">
        <x:v>Goba / Mhlumeni
Single bilateral crossing</x:v>
      </x:c>
      <x:c r="E301" s="4" t="str">
        <x:v>Not established
Direction: Not established
Exceptions: Essential travel redirected to Lomahasha</x:v>
      </x:c>
      <x:c r="F301" s="4" t="str">
        <x:v>SC20-R1 — Observed operation
Consequential Mhlumeni–Goba port closure reported by Eswatini
Start: 2020-04-03.
Last confirmed restriction: 2020-04-06. Exact first reopening is not established; later passenger access is documented by 2021-12-17.
confirmed through 2020-04-06; at least 3 calendar-day difference; exact first reopening unknown
Later actual access: SENAMI counted 2,470 Goba travellers during 2021-12-13 through 2021-12-17, reported on December 19. Use 2021-12-17 as a conservative later-access bound; November 4 permission/readiness and December 13 schedules do not by themselves establish actual first passage.</x:v>
      </x:c>
      <x:c r="G30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01" s="4" t="str">
        <x:v>Goba reopening announced November 4 2021 (reported November 5) after approximately 18 months closure, with staff/equipment ready. Actual first passage not observed; do not treat announcement as actual reopening.
SC20-R1: Indexed government text only; direct retrieval timed out. Observation end is not reopening. Later Goba closed status is not used to lengthen this segment.
end: November 4 permission/readiness report does not observe first traffic.
source verification: Exact April 3 onset still lacks full-text access to the Eswatini statement; later full retrospective corroborates occurrence but not that exact date.
Later access: a December 19, 2021 report quotes SENAMI recording 2,470 travellers at Goba during December 13–17. This establishes resumed passenger movement by December 17, without dating the first November reopening. The December 13 High Commission report gives operating arrangements and forecasts, not a direct count of completed Goba crossings.</x:v>
      </x:c>
      <x:c r="I301" s="4" t="str">
        <x:v>Second full-register audit, 26 October 2026: qualified. Fresh government text corroborates April 3 Goba/Mhlumeni onset and the December 13–17 passenger counts; November readiness remains a policy announcement rather than observed first passage.</x:v>
      </x:c>
      <x:c r="J301" s="18" t="d">
        <x:v>2026-10-26T00:00:00.000Z</x:v>
      </x:c>
      <x:c r="K301" s="21" t="str">
        <x:f>IFERROR(HYPERLINK("https://www.gov.sz/index.php?id=2434","Government of Eswatini"),"Government of Eswatini")</x:f>
        <x:v>Government of Eswatini</x:v>
      </x:c>
      <x:c r="L301" s="21" t="str">
        <x:f>IFERROR(HYPERLINK("https://www.africa-press.net/mozambique/all-news/mozambique-ponta-do-ouro-reopens-for-business-as-usual-goba-remains-closed-o-pais","Africa Press / O País"),"Africa Press / O País")</x:f>
        <x:v>Africa Press / O País</x:v>
      </x:c>
      <x:c r="M301" s="21" t="str">
        <x:f>IFERROR(HYPERLINK("https://gov.sz/index.php?catid=127&amp;id=2434%3Aministerial-guidelines-following-ministry-of-public-service&amp;view=article","Government of Eswatini"),"Government of Eswatini")</x:f>
        <x:v>Government of Eswatini</x:v>
      </x:c>
      <x:c r="N301" s="4" t="str">
        <x:v>https://www.gov.sz/index.php?id=2434
https://www.africa-press.net/mozambique/all-news/mozambique-ponta-do-ouro-reopens-for-business-as-usual-goba-remains-closed-o-pais
https://gov.sz/index.php?catid=127&amp;id=2434%3Aministerial-guidelines-following-ministry-of-public-service&amp;view=article
https://www.mozambiquehighcommission.org.uk/ressano-garcia-border-opens-24-hours-a-day-over-festive-season.html
https://www.africa-press.net/mozambique/all-news/mozambique-border-with-eswatini-reopens
https://clubofmozambique.com/news/mozambique-border-with-eswatini-reopens/
https://www.diarioeconomico.co.mz/2021/11/05/negocios/reaberta-a-fronteira-entre-mocambique-e-essuatini/
https://mozambiquehighcommission.org.uk/ressano-garcia-border-opens-24-hours-a-day-over-festive-season.html
https://macua.blogs.com/files/domingo-19.12.2021.pdf</x:v>
      </x:c>
      <x:c r="O301" s="4" t="str">
        <x:v>Second full-register audit source access, 26 October 2026
https://gov.sz/index.php?catid=127&amp;id=2434%3Aministerial-guidelines-following-ministry-of-public-service&amp;view=article: search extract (fresh retrieval) — Direct request timeout; full substantive indexed statement inspected.
https://www.africa-press.net/mozambique/all-news/mozambique-border-with-eswatini-reopens: full text (fresh retrieval)
https://www.mozambiquehighcommission.org.uk/ressano-garcia-border-opens-24-hours-a-day-over-festive-season.html: full text (fresh retrieval)
https://macua.blogs.com/files/domingo-19.12.2021.pdf: search extract (fresh retrieval) — Direct PDF and host download returned 403; substantive indexed page with dated counts inspected.
Earlier URLs not separately inspected in this second assessment:
https://www.gov.sz/index.php?id=2434
https://www.africa-press.net/mozambique/all-news/mozambique-ponta-do-ouro-reopens-for-business-as-usual-goba-remains-closed-o-pais
https://clubofmozambique.com/news/mozambique-border-with-eswatini-reopens/
https://www.diarioeconomico.co.mz/2021/11/05/negocios/reaberta-a-fronteira-entre-mocambique-e-essuatini/
https://mozambiquehighcommission.org.uk/ressano-garcia-border-opens-24-hours-a-day-over-festive-season.html
Prior audit access record
Full-register audit source access (evidence cutoff 25 October 2026)
https://gov.sz/index.php?catid=127&amp;id=2434%3Aministerial-guidelines-following-ministry-of-public-service&amp;view=article: search extract — Direct retrieval timed out; indexed substantive statement inspected.
https://www.diarioeconomico.co.mz/2021/11/05/negocios/reaberta-a-fronteira-entre-mocambique-e-essuatini/: full text — See specific claim qualifications.
https://mozambiquehighcommission.org.uk/ressano-garcia-border-opens-24-hours-a-day-over-festive-season.html: full text — States expected passenger flows and operating hours, rather than observed Goba crossing counts.
https://macua.blogs.com/files/domingo-19.12.2021.pdf: search extract — Direct PDF fetch failed; indexed page 7 includes SENAMI crossing counts for December 13–17.
Earlier source URLs not separately listed in this audit’s retrieval log (historical access notes below are not fresh verification):
https://www.gov.sz/index.php?id=2434
https://www.africa-press.net/mozambique/all-news/mozambique-ponta-do-ouro-reopens-for-business-as-usual-goba-remains-closed-o-pais
https://www.mozambiquehighcommission.org.uk/ressano-garcia-border-opens-24-hours-a-day-over-festive-season.html
https://www.africa-press.net/mozambique/all-news/mozambique-border-with-eswatini-reopens
https://clubofmozambique.com/news/mozambique-border-with-eswatini-reopens/
Earlier recorded access
Source 1: indexed excerpt
Source 2: indexed excerpt
Source 3: indexed excerpt; failed</x:v>
      </x:c>
      <x:c r="P301" s="20" t="n">
        <x:v>1</x:v>
      </x:c>
      <x:c r="Q301" s="4" t="str">
        <x:v>Southern and Central Africa</x:v>
      </x:c>
      <x:c r="R301" s="4" t="str">
        <x:v>Included</x:v>
      </x:c>
    </x:row>
    <x:row r="302" ht="409" hidden="0" customHeight="1">
      <x:c r="A302" s="16" t="str">
        <x:v>SC14</x:v>
      </x:c>
      <x:c r="B302" s="4" t="str">
        <x:v>Malawi December 2020 land closure</x:v>
      </x:c>
      <x:c r="C302" s="4" t="str">
        <x:v>Malawi; Mozambique; Zambia; Tanzania</x:v>
      </x:c>
      <x:c r="D302" s="4" t="str">
        <x:v>Not established
All land borders</x:v>
      </x:c>
      <x:c r="E302" s="4" t="str">
        <x:v>Foreigners and movement of non-essential goods.
Direction: Entry restrictions were reported; the full direction-specific goods rules are not recovered.
Exceptions: The December 22 ministerial announcement expressly allowed returning Malawians and people providing essential services. Essential goods were outside the FEWS-reported prohibition. Airports remained open. Resident status beyond returning citizens is not separately resolved.</x:v>
      </x:c>
      <x:c r="F302" s="4" t="str">
        <x:v>SC14-R1 — Announced window
Initial Malawi land-border closure order for foreigners and nonessential goods
Start: 2020-12-22 to 2020-12-23.
Scheduled endpoint: 2021-01-04 to 2021-01-06.
Ordered window: dated evidence; numeric duration withheld; see qualification
Later observations: UN Malawi still reported land borders closed on January 29, 2021; the renewal chain connecting this to the initial order is not established. FEWS NET’s April 2021 assessment reports borders and airports open, providing later general access context before the separate June 2021 foreign-entry restriction. It does not establish the exact first reopening or every movement category.</x:v>
      </x:c>
      <x:c r="G30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02" s="4" t="str">
        <x:v>SC14-R1: Malawi24 quotes immediate effect December 22; FEWS dates effect December 23. Fourteen-day schedule yields January 4–6 bounds depending on onset and inclusive/elapsed counting. These are linked alternative interpretations, not evidence of a fifteen-day order or observed reopening. Renewal chain remains unresolved. Numeric day fields must be withheld: calendar bounds represent linked counting interpretations and must not be combined by independent endpoint cross-products. The initial announcement explicitly excepted returning Malawians and essential-service providers. Later January closure and April open-border observations do not justify a single December–April interval or an exact reopening date.</x:v>
      </x:c>
      <x:c r="I302" s="4" t="str">
        <x:v>Second full-register audit, 26 October 2026: qualified. Fresh primary and contemporary accounts support the linked December onset/schedule alternatives; January closed and April open observations must remain separate.</x:v>
      </x:c>
      <x:c r="J302" s="18" t="d">
        <x:v>2026-10-26T00:00:00.000Z</x:v>
      </x:c>
      <x:c r="K302" s="21" t="str">
        <x:f>IFERROR(HYPERLINK("https://malawi.un.org/en/106201-malawi-covid-19-situation-update-no33-23rd-dec-2020","United Nations Malawi"),"United Nations Malawi")</x:f>
        <x:v>United Nations Malawi</x:v>
      </x:c>
      <x:c r="L302" s="21" t="str">
        <x:f>IFERROR(HYPERLINK("https://fews.net/southern-africa/malawi/food-security-outlook-update/december-2020","FEWS NET"),"FEWS NET")</x:f>
        <x:v>FEWS NET</x:v>
      </x:c>
      <x:c r="M302" s="21" t="str">
        <x:f>IFERROR(HYPERLINK("https://malawi.un.org/en/109798-malawi-covid-19-situation-update-no36-29-jan-2021","United Nations Malawi"),"United Nations Malawi")</x:f>
        <x:v>United Nations Malawi</x:v>
      </x:c>
      <x:c r="N302" s="4" t="str">
        <x:v>https://malawi.un.org/en/106201-malawi-covid-19-situation-update-no33-23rd-dec-2020
https://fews.net/southern-africa/malawi/food-security-outlook-update/december-2020
https://malawi.un.org/en/109798-malawi-covid-19-situation-update-no36-29-jan-2021
https://www.malawitourism.com/news-blogs/malawis-borders-reopen/
https://fews.net/southern-africa/malawi/food-security-outlook-update/december-2020/print
https://malawi24.com/2020/12/22/coronavirus-malawi-shuts-down-borders/
https://malawi.un.org/en/download/58467/106201
https://fews.net/southern-africa/malawi/food-security-outlook-update/april-2021/print
https://fews.net/southern-africa/malawi/food-security-outlook-update/april-2021</x:v>
      </x:c>
      <x:c r="O302" s="4" t="str">
        <x:v>Second full-register audit source access, 26 October 2026
https://malawi24.com/2020/12/22/coronavirus-malawi-shuts-down-borders/: search extract (fresh retrieval) — Indexed full substantive account; direct re-open unreliable.
https://fews.net/southern-africa/malawi/food-security-outlook-update/december-2020: full text (fresh retrieval)
https://malawi.un.org/en/109798-malawi-covid-19-situation-update-no36-29-jan-2021: full text (fresh retrieval)
https://fews.net/southern-africa/malawi/food-security-outlook-update/april-2021/print: search extract (fresh retrieval) — Indexed substantive assessment.
Earlier URLs not separately inspected in this second assessment:
https://malawi.un.org/en/106201-malawi-covid-19-situation-update-no33-23rd-dec-2020
https://www.malawitourism.com/news-blogs/malawis-borders-reopen/
https://fews.net/southern-africa/malawi/food-security-outlook-update/december-2020/print
https://malawi.un.org/en/download/58467/106201
https://fews.net/southern-africa/malawi/food-security-outlook-update/april-2021
Prior audit access record
Full-register audit source access (evidence cutoff 25 October 2026)
https://malawi24.com/2020/12/22/coronavirus-malawi-shuts-down-borders/: full text — See specific claim qualifications.
https://fews.net/southern-africa/malawi/food-security-outlook-update/december-2020: full text — See specific claim qualifications.
https://malawi.un.org/en/download/58467/106201: full text — See specific claim qualifications.
https://malawi.un.org/en/109798-malawi-covid-19-situation-update-no36-29-jan-2021: search extract — See specific claim qualifications.
https://fews.net/southern-africa/malawi/food-security-outlook-update/april-2021: full text — See specific claim qualifications.
Earlier source URLs not separately listed in this audit’s retrieval log (historical access notes below are not fresh verification):
https://malawi.un.org/en/106201-malawi-covid-19-situation-update-no33-23rd-dec-2020
https://www.malawitourism.com/news-blogs/malawis-borders-reopen/
https://fews.net/southern-africa/malawi/food-security-outlook-update/december-2020/print
https://fews.net/southern-africa/malawi/food-security-outlook-update/april-2021/print
Earlier recorded access
Source 1: full; indexed extract
Source 2: full; indexed extract
Source 3: indexed excerpt</x:v>
      </x:c>
      <x:c r="P302" s="20" t="n">
        <x:v>1</x:v>
      </x:c>
      <x:c r="Q302" s="4" t="str">
        <x:v>Southern and Central Africa</x:v>
      </x:c>
      <x:c r="R302" s="4" t="str">
        <x:v>Included</x:v>
      </x:c>
    </x:row>
    <x:row r="303" ht="409" hidden="0" customHeight="1">
      <x:c r="A303" s="16" t="str">
        <x:v>SC23</x:v>
      </x:c>
      <x:c r="B303" s="4" t="str">
        <x:v>Lesotho January 2021 cross-border restrictions</x:v>
      </x:c>
      <x:c r="C303" s="4" t="str">
        <x:v>Lesotho; South Africa</x:v>
      </x:c>
      <x:c r="D303" s="4" t="str">
        <x:v>Not established
National border travel</x:v>
      </x:c>
      <x:c r="E303" s="4" t="str">
        <x:v>Not established
Direction: Not established
Exceptions: Essential services and returning residents</x:v>
      </x:c>
      <x:c r="F303" s="4" t="str">
        <x:v>SC23-NP1 — Formal policy
Lesotho nonessential cross-border travel during red-level restrictions
Start: 2021-01-12 to 2021-01-14.
Last confirmed: 2021-01-29. Reopening is not established.
Formal policy: dated evidence; numeric duration withheld; see qualification
Later scoped access: UN Lesotho’s April 2021 update reports cross-border permission for business, health and commuting students/teachers under the March 21 blue-stage framework. On May 18, 2021, NACOSEC’s chief executive described borders as open to international travel; an exact first reopening and complete categories are not given. FEWS NET reported renewed or continuing tourism/leisure restrictions in October 2021, so continuity is not inferred. CAJ News on February 2, 2022 reports actual international tourists visiting a Butha-Buthe facility; their border post and first entry dates are unspecified.</x:v>
      </x:c>
      <x:c r="G30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03" s="4" t="str">
        <x:v>SC23-NP1: Retain the January 12–14 onset bound: FEWS dates the red-level measure to January 12, while the government account says midnight Wednesday January 14, with inconsistent weekday/date wording. January 29 remains the phase’s last dated baseline observation. Essential services and returning residents were excepted. Later business, health and education permissions are documented in the April UN assessment, and May reporting describes international travel allowed. These are partial later access evidence, not an exact all-category reopening. October 2021 FEWS restrictions and February 2022 observed international tourism show changing scope; no continuous January–2022 closure or uniform all-gate opening is established.</x:v>
      </x:c>
      <x:c r="I303" s="4" t="str">
        <x:v>Second full-register audit, 26 October 2026: qualified. Fresh official and later access accounts confirm the bounded January onset and changing 2021 cohorts; the evidence does not support a continuous January–2022 closure.</x:v>
      </x:c>
      <x:c r="J303" s="18" t="d">
        <x:v>2026-10-26T00:00:00.000Z</x:v>
      </x:c>
      <x:c r="K303" s="21" t="str">
        <x:f>IFERROR(HYPERLINK("https://fews.net/southern-africa/lesotho/key-message-update/january-2021","FEWS NET"),"FEWS NET")</x:f>
        <x:v>FEWS NET</x:v>
      </x:c>
      <x:c r="L303" s="21" t="str">
        <x:f>IFERROR(HYPERLINK("https://lestimes.com/?p=46225","lestimes.com"),"lestimes.com")</x:f>
        <x:v>lestimes.com</x:v>
      </x:c>
      <x:c r="M303" s="21" t="str">
        <x:f>IFERROR(HYPERLINK("https://lesotho.un.org/sites/default/files/2021-04/COVID-19%20situation%20update%20April%202021.pdf","UN Lesotho"),"UN Lesotho")</x:f>
        <x:v>UN Lesotho</x:v>
      </x:c>
      <x:c r="N303" s="4" t="str">
        <x:v>https://fews.net/southern-africa/lesotho/key-message-update/january-2021
https://lestimes.com/?p=46225
https://lesotho.un.org/sites/default/files/2021-04/COVID-19%20situation%20update%20April%202021.pdf
https://www.gov.ls/health/lesotho-shuts-down/
https://www.fragomen.com/a/web/rhzBvTpH5428VA4YHEbYxo/33Qsvu/new_coronavirus_table_for_news_page_2.9_v4.pdf
https://lestimes.com/pm-unveils-fresh-restrictions-to-fight-covid-19/
https://www.tourismupdate.com/article/lesotho-locks-down-closes-borders
https://www.sabcnews.com/sabcnews/lesotho-introduces-orange-level-hard-lockdown-with-immediate-effect/
https://www.gov.ls/health/lesotho-moves-back-to-orange-colour/
https://lesotho.un.org/sites/default/files/2021-04/COVID-19%20situation%20update%20April%202021%20%282%29.pdf
https://lestimes.com/?p=47186
https://fews.net/southern-africa/lesotho/remote-monitoring-report/october-2021
https://cajnewsafrica.com/2022/02/02/visitors-comfort-facility-kickstarts-lesotho-tourism/</x:v>
      </x:c>
      <x:c r="O303" s="4" t="str">
        <x:v>Second full-register audit source access, 26 October 2026
https://fews.net/southern-africa/lesotho/key-message-update/january-2021: full text (fresh retrieval)
https://www.gov.ls/health/lesotho-shuts-down/: search extract (fresh retrieval) — Direct timeout; indexed full substantive account inspected; weekday/date conflict retained.
https://lesotho.un.org/sites/default/files/2021-04/COVID-19%20situation%20update%20April%202021.pdf: full text (fresh retrieval)
https://lestimes.com/?p=47186: full text (fresh retrieval)
https://fews.net/southern-africa/lesotho/remote-monitoring-report/october-2021: full text (fresh retrieval)
https://cajnewsafrica.com/2022/02/02/visitors-comfort-facility-kickstarts-lesotho-tourism/: full text (fresh retrieval)
Earlier URLs not separately inspected in this second assessment:
https://lestimes.com/?p=46225
https://www.fragomen.com/a/web/rhzBvTpH5428VA4YHEbYxo/33Qsvu/new_coronavirus_table_for_news_page_2.9_v4.pdf
https://lestimes.com/pm-unveils-fresh-restrictions-to-fight-covid-19/
https://www.tourismupdate.com/article/lesotho-locks-down-closes-borders
https://www.sabcnews.com/sabcnews/lesotho-introduces-orange-level-hard-lockdown-with-immediate-effect/
https://www.gov.ls/health/lesotho-moves-back-to-orange-colour/
https://lesotho.un.org/sites/default/files/2021-04/COVID-19%20situation%20update%20April%202021%20%282%29.pdf
Prior audit access record
Full-register audit source access (evidence cutoff 25 October 2026)
https://fews.net/southern-africa/lesotho/key-message-update/january-2021: full text — See specific claim qualifications.
https://www.gov.ls/health/lesotho-shuts-down/: search extract — Full fetch timed out; indexed text gives midnight Wednesday 14 January, an internally inconsistent weekday/date.
https://lestimes.com/?p=46225: full text — See specific claim qualifications.
https://lesotho.un.org/sites/default/files/2021-04/COVID-19%20situation%20update%20April%202021%20%282%29.pdf: full text — See specific claim qualifications.
https://lestimes.com/?p=47186: full text — See specific claim qualifications.
https://fews.net/southern-africa/lesotho/remote-monitoring-report/october-2021: search extract — See specific claim qualifications.
https://cajnewsafrica.com/2022/02/02/visitors-comfort-facility-kickstarts-lesotho-tourism/: full text — See specific claim qualifications.
Earlier source URLs not separately listed in this audit’s retrieval log (historical access notes below are not fresh verification):
https://lesotho.un.org/sites/default/files/2021-04/COVID-19%20situation%20update%20April%202021.pdf
https://www.fragomen.com/a/web/rhzBvTpH5428VA4YHEbYxo/33Qsvu/new_coronavirus_table_for_news_page_2.9_v4.pdf
https://lestimes.com/pm-unveils-fresh-restrictions-to-fight-covid-19/
https://www.tourismupdate.com/article/lesotho-locks-down-closes-borders
https://www.sabcnews.com/sabcnews/lesotho-introduces-orange-level-hard-lockdown-with-immediate-effect/
https://www.gov.ls/health/lesotho-moves-back-to-orange-colour/
Earlier recorded access
Source 1: search extract
Source 2: access detail is retained in the source catalogue.
Source 3: full</x:v>
      </x:c>
      <x:c r="P303" s="20" t="n">
        <x:v>1</x:v>
      </x:c>
      <x:c r="Q303" s="4" t="str">
        <x:v>Southern and Central Africa</x:v>
      </x:c>
      <x:c r="R303" s="4" t="str">
        <x:v>Included</x:v>
      </x:c>
    </x:row>
    <x:row r="304" ht="409" hidden="0" customHeight="1">
      <x:c r="A304" s="16" t="str">
        <x:v>SC01</x:v>
      </x:c>
      <x:c r="B304" s="4" t="str">
        <x:v>South Africa January 2021 general-travel closure</x:v>
      </x:c>
      <x:c r="C304" s="4" t="str">
        <x:v>South Africa; Zimbabwe; Mozambique; Lesotho; Eswatini; Botswana; Namibia</x:v>
      </x:c>
      <x:c r="D304" s="4" t="str">
        <x:v>Beitbridge; Lebombo; Maseru Bridge; Oshoek; Ficksburg; Kopfontein and other operating posts
20 then-operating land ports</x:v>
      </x:c>
      <x:c r="E304" s="4" t="str">
        <x:v>Ordinary travellers outside enumerated and discretionary exceptions at the twenty then-operating land posts.
Direction: Entry and departure, subject to exemptions
Exceptions: Cargo/fuel/goods; urgent medical travel; returning South African nationals/permanent residents/persons with other valid visas (presidential wording); diplomats; departing foreign nationals; school commuters. Home Affairs also provided individual exceptional-circumstance applications; this is not proof every visa holder could travel for any purpose.</x:v>
      </x:c>
      <x:c r="F304" s="4" t="str">
        <x:v>SC01-D1 — Formal policy
Ordinary entry and departure at the twenty then-operating South African land ports, excluding enumerated and individually approved exceptions.
Start: 2021-01-11.
Observed scoped reopening: 2021-02-15.
Formal policy: 35 calendar-day difference; operational continuity not established</x:v>
      </x:c>
      <x:c r="G304" s="4" t="str">
        <x:v>Health and biosecurity / Human disease control
Reported reason
Applies to: Recorded episode; exact overlap not separately established
The stated reasons include both congestion and COVID transmission. Immediate operational safety is recorded alongside disease control.
Security / Public order and immediate safety
Reported reason
Applies to: Recorded episode; exact overlap not separately established
The stated reasons include both congestion and COVID transmission. Immediate operational safety is recorded alongside disease control.</x:v>
      </x:c>
      <x:c r="H304" s="4" t="str">
        <x:v>SC01-D1: Home Affairs explicitly dates the ordinary-travel closure to January 11, 2021, and AP confirms the February 15 reopening of the twenty major posts. The 35-day calendar difference describes the scoped ordinary-travel policy, not a complete halt in all border traffic. Enumerated and individually approved exceptions continued: cargo, fuel and goods; urgent medical cases; returning South African nationals, permanent residents and persons with other valid visas in the presidential wording; diplomats; departing foreign nationals; and school commuters. Home Affairs also provided individual applications for exceptional circumstances. This does not mean every visa holder could travel for every purpose. The SAnews reopening notice reports the official announcement; AP separately reports actual restoration. Thirty smaller posts remained closed and are outside this reopening.</x:v>
      </x:c>
      <x:c r="I304" s="4" t="str">
        <x:v>Second full-register audit, 26 October 2026: source checks completed; readability or formatting changes incorporated. No additional substantive factual correction is counted for this record.</x:v>
      </x:c>
      <x:c r="J304" s="18" t="d">
        <x:v>2026-10-26T00:00:00.000Z</x:v>
      </x:c>
      <x:c r="K304" s="21" t="str">
        <x:f>IFERROR(HYPERLINK("https://thepresidency.gov.za/statement-president-cyril-ramaphosa-progress-national-effort-contain-covid-19-pandemic-11-january","Presidency of South Africa"),"Presidency of South Africa")</x:f>
        <x:v>Presidency of South Africa</x:v>
      </x:c>
      <x:c r="L304" s="21" t="str">
        <x:f>IFERROR(HYPERLINK("https://polity.org.za/article/south-africa-to-reopen-20-land-border-crossing-points-2021-02-15","Polity"),"Polity")</x:f>
        <x:v>Polity</x:v>
      </x:c>
      <x:c r="M304" s="21" t="str">
        <x:f>IFERROR(HYPERLINK("https://www.aa.com.tr/en/africa/south-africa-to-reopen-20-land-border-crossings/2144870","Anadolu"),"Anadolu")</x:f>
        <x:v>Anadolu</x:v>
      </x:c>
      <x:c r="N304" s="4" t="str">
        <x:v>https://thepresidency.gov.za/statement-president-cyril-ramaphosa-progress-national-effort-contain-covid-19-pandemic-11-january
https://polity.org.za/article/south-africa-to-reopen-20-land-border-crossing-points-2021-02-15
https://www.aa.com.tr/en/africa/south-africa-to-reopen-20-land-border-crossings/2144870
https://newschannel9.com/news/nation-world/south-africa-reopens-its-land-borders-as-virus-cases-decline
https://www.sanews.gov.za/south-africa/20-borders-fully-reopened-30-remain-closed
https://www.gov.za/news/media-statements/minister-aaron-motsoaledi-home-affairs-priority-services-be-offered-during
https://www.parliament.gov.za/press-releases/media-statement-home-affairs-committee-chairperson-welcomes-reopening-land-border-posts
https://dirco1.azurewebsites.net/docs/speeches/2021/cram0111.htm
https://www.gov.za/nr/news/media-statements/government-activities/minister-aaron-motsoaledi-leads-deployment-senior
https://www.sanews.gov.za/node/50674
https://www.cogta.gov.za/index.php/2021/02/15/minister-dlamini-zumas-statement-on-amended-regulations-under-covid-19-alert-level-3/</x:v>
      </x:c>
      <x:c r="O304" s="4" t="str">
        <x:v>Second full-register audit source access, 26 October 2026
https://dirco1.azurewebsites.net/docs/speeches/2021/cram0111.htm: full text (fresh retrieval)
https://www.gov.za/news/media-statements/minister-aaron-motsoaledi-home-affairs-priority-services-be-offered-during: full text (fresh retrieval)
https://www.gov.za/nr/news/media-statements/government-activities/minister-aaron-motsoaledi-leads-deployment-senior: full text (fresh retrieval)
https://www.sanews.gov.za/south-africa/20-borders-fully-reopened-30-remain-closed: full text (fresh retrieval)
https://newschannel9.com/news/nation-world/south-africa-reopens-its-land-borders-as-virus-cases-decline: full text (fresh retrieval)
Earlier URLs not separately inspected in this second assessment:
https://thepresidency.gov.za/statement-president-cyril-ramaphosa-progress-national-effort-contain-covid-19-pandemic-11-january
https://polity.org.za/article/south-africa-to-reopen-20-land-border-crossing-points-2021-02-15
https://www.aa.com.tr/en/africa/south-africa-to-reopen-20-land-border-crossings/2144870
https://www.parliament.gov.za/press-releases/media-statement-home-affairs-committee-chairperson-welcomes-reopening-land-border-posts
https://www.sanews.gov.za/node/50674
https://www.cogta.gov.za/index.php/2021/02/15/minister-dlamini-zumas-statement-on-amended-regulations-under-covid-19-alert-level-3/
Prior audit access record
Full-register audit source access (evidence cutoff 25 October 2026)
https://dirco1.azurewebsites.net/docs/speeches/2021/cram0111.htm: full text
https://www.gov.za/news/media-statements/minister-aaron-motsoaledi-home-affairs-priority-services-be-offered-during: full text
https://www.gov.za/nr/news/media-statements/government-activities/minister-aaron-motsoaledi-leads-deployment-senior: full text
https://www.sanews.gov.za/south-africa/20-borders-fully-reopened-30-remain-closed: full text
https://newschannel9.com/news/nation-world/south-africa-reopens-its-land-borders-as-virus-cases-decline: full text
Earlier source URLs not separately listed in this audit’s retrieval log (historical access notes below are not fresh verification):
https://thepresidency.gov.za/statement-president-cyril-ramaphosa-progress-national-effort-contain-covid-19-pandemic-11-january
https://polity.org.za/article/south-africa-to-reopen-20-land-border-crossing-points-2021-02-15
https://www.aa.com.tr/en/africa/south-africa-to-reopen-20-land-border-crossings/2144870
https://www.parliament.gov.za/press-releases/media-statement-home-affairs-committee-chairperson-welcomes-reopening-land-border-posts
https://www.sanews.gov.za/node/50674
https://www.cogta.gov.za/index.php/2021/02/15/minister-dlamini-zumas-statement-on-amended-regulations-under-covid-19-alert-level-3/
Earlier recorded access
Source 1: full page
Source 2: full page
Source 3: full page</x:v>
      </x:c>
      <x:c r="P304" s="20" t="n">
        <x:v>1</x:v>
      </x:c>
      <x:c r="Q304" s="4" t="str">
        <x:v>Southern and Central Africa</x:v>
      </x:c>
      <x:c r="R304" s="4" t="str">
        <x:v>Included</x:v>
      </x:c>
    </x:row>
    <x:row r="305" ht="409" hidden="0" customHeight="1">
      <x:c r="A305" s="16" t="str">
        <x:v>SC24</x:v>
      </x:c>
      <x:c r="B305" s="4" t="str">
        <x:v>Chad closure after President Deby death</x:v>
      </x:c>
      <x:c r="C305" s="4" t="str">
        <x:v>Chad; Cameroon; Nigeria; Niger; Sudan; Libya; Central African Republic</x:v>
      </x:c>
      <x:c r="D305" s="4" t="str">
        <x:v>Not established
National land borders</x:v>
      </x:c>
      <x:c r="E305" s="4" t="str">
        <x:v>Not established
Direction: Not established
Exceptions: VOA observed limited humanitarian and hospital-equipment vehicles admitted at Cameroon crossing.</x:v>
      </x:c>
      <x:c r="F305" s="4" t="str">
        <x:v>SC24-D1 — Formal policy
Additional Chadian national border-closure order following President Déby's death, to its formal reversal.
Start: 2021-04-20.
Policy endpoint: 2021-04-21.
Formal policy: 1 calendar-day difference; operational continuity not established
SC24-C1 — Observed operation
Ordinary non-humanitarian freight crossing from Kousseri into Chad at Ngueli; hospital-equipment/humanitarian exceptions excluded.
Start: 2021-04-20.
Last confirmed restriction: 2021-04-26. Later scoped access is reported by 2021-06-20; exact first reopening is not established.
confirmed through 2021-04-26; at least 6 calendar-day difference; exact first reopening unknown
Later scoped access: Chad’s side of Ngueli was formally reopened June 17, 2021; Cameroon’s side reopened to circulation June 20. Contemporary reports and FEWS NET support this later access bound, not uninterrupted denial from April 26 to June 20.</x:v>
      </x:c>
      <x:c r="G305" s="4" t="str">
        <x:v>Power and regime politics / Coups and succession
Analytical interpretation of reported context
Applies to: April 2021 transition closure
Analytical political-context code, not an independently established concealed motive.
Security / Armed conflict and military confrontation
Analytical interpretation of reported context
Applies to: April 2021 security closure and continued Ngueli freight denial
Attributed analyst interpretation; council separately conditions promised full reopening on improved security.</x:v>
      </x:c>
      <x:c r="H305" s="4" t="str">
        <x:v>SC24-D1: April 20–21 formal-policy window does not measure actual freight closure and does not establish removal of older bilateral restrictions.
SC24-C1: VOA observed ordinary freight refused at Ngueli on April 25/26, with humanitarian and hospital-equipment vehicles admitted. June 17 Chadian reopening and June 20 Cameroonian reopening to circulation provide later scoped access. Reports disagree about earlier closure origins; one incorrectly places Déby’s death in March. The exact first restoration after the April restriction remains unknown. D1 and C1 overlap in different measure layers and must not be added.</x:v>
      </x:c>
      <x:c r="I305" s="4" t="str">
        <x:v>Second full-register audit, 26 October 2026: qualified. Fresh sources corroborate the one-day national policy reversal and the separate longer Ngueli freight restriction; neither can substitute for the other.</x:v>
      </x:c>
      <x:c r="J305" s="18" t="d">
        <x:v>2026-10-26T00:00:00.000Z</x:v>
      </x:c>
      <x:c r="K305" s="21" t="str">
        <x:f>IFERROR(HYPERLINK("https://www.newsghana.com.gh/borders-reopen-as-curfew-eases-in-chad/","NewsGhana"),"NewsGhana")</x:f>
        <x:v>NewsGhana</x:v>
      </x:c>
      <x:c r="L305" s="21" t="str">
        <x:f>IFERROR(HYPERLINK("https://www.aa.com.tr/fr/afrique/tchad-le-conseil-militaire-de-transition-annonce-la-r%C3%A9ouverture-des-fronti%C3%A8res-terrestres-et-a%C3%A9riennes/2216226","Anadolu"),"Anadolu")</x:f>
        <x:v>Anadolu</x:v>
      </x:c>
      <x:c r="M305" s="21" t="str">
        <x:f>IFERROR(HYPERLINK("https://www.voanews.com/a/africa_trade-between-chad-and-cameroon-falls-after-debys-death/6205072.html","VOA"),"VOA")</x:f>
        <x:v>VOA</x:v>
      </x:c>
      <x:c r="N305" s="4" t="str">
        <x:v>https://www.newsghana.com.gh/borders-reopen-as-curfew-eases-in-chad/
https://www.aa.com.tr/fr/afrique/tchad-le-conseil-militaire-de-transition-annonce-la-r%C3%A9ouverture-des-fronti%C3%A8res-terrestres-et-a%C3%A9riennes/2216226
https://www.voanews.com/a/africa_trade-between-chad-and-cameroon-falls-after-debys-death/6205072.html
https://www.voanews.com/amp/africa_trade-between-chad-and-cameroon-falls-after-debys-death/6205072.html
https://french.xinhuanet.com/2021-04/21/c_139896741.htm
https://2021-2025.state.gov/reports/2021-country-reports-on-human-rights-practices/chad/
https://www.businessincameroon.com/public-management/2206-11702-towards-the-normalization-of-chad-cameroon-s-commercial-exchange-with-the-reopening-of-cameroon-s-side-of-the-ngueli-border
https://www.stopblablacam.com/economy/2206-6830-cameroon-officially-reopens-its-ngueli-border-with-chad
https://fews.net/west-africa/cameroon/food-security-outlook/june-2021
https://www.lepaystchad.com/le-pont-ngueli-officiellement-reouvert/</x:v>
      </x:c>
      <x:c r="O305" s="4" t="str">
        <x:v>Second full-register audit source access, 26 October 2026
https://www.aa.com.tr/fr/afrique/tchad-le-conseil-militaire-de-transition-annonce-la-r%C3%A9ouverture-des-fronti%C3%A8res-terrestres-et-a%C3%A9riennes/2216226: full text (fresh retrieval)
https://www.voanews.com/a/africa_trade-between-chad-and-cameroon-falls-after-debys-death/6205072.html: full text (fresh retrieval)
https://www.lepaystchad.com/le-pont-ngueli-officiellement-reouvert/: full text (fresh retrieval)
Earlier URLs not separately inspected in this second assessment:
https://www.newsghana.com.gh/borders-reopen-as-curfew-eases-in-chad/
https://www.voanews.com/amp/africa_trade-between-chad-and-cameroon-falls-after-debys-death/6205072.html
https://french.xinhuanet.com/2021-04/21/c_139896741.htm
https://2021-2025.state.gov/reports/2021-country-reports-on-human-rights-practices/chad/
https://www.businessincameroon.com/public-management/2206-11702-towards-the-normalization-of-chad-cameroon-s-commercial-exchange-with-the-reopening-of-cameroon-s-side-of-the-ngueli-border
https://www.stopblablacam.com/economy/2206-6830-cameroon-officially-reopens-its-ngueli-border-with-chad
https://fews.net/west-africa/cameroon/food-security-outlook/june-2021
Prior audit access record
Full-register audit source access (evidence cutoff 25 October 2026)
https://www.aa.com.tr/fr/afrique/tchad-le-conseil-militaire-de-transition-annonce-la-r%C3%A9ouverture-des-fronti%C3%A8res-terrestres-et-a%C3%A9riennes/2216226: full text — See specific claim qualifications.
https://www.voanews.com/a/africa_trade-between-chad-and-cameroon-falls-after-debys-death/6205072.html: full text — See specific claim qualifications.
https://www.businessincameroon.com/public-management/2206-11702-towards-the-normalization-of-chad-cameroon-s-commercial-exchange-with-the-reopening-of-cameroon-s-side-of-the-ngueli-border: search extract — Direct fetch 403; substantive indexed text inspected.
https://www.stopblablacam.com/economy/2206-6830-cameroon-officially-reopens-its-ngueli-border-with-chad: search extract — Direct 403. Contains an erroneous March 2021 Deby-death reference; do not use retrospective onset.
https://fews.net/west-africa/cameroon/food-security-outlook/june-2021: search extract — See specific claim qualifications.
Earlier source URLs not separately listed in this audit’s retrieval log (historical access notes below are not fresh verification):
https://www.newsghana.com.gh/borders-reopen-as-curfew-eases-in-chad/
https://www.voanews.com/amp/africa_trade-between-chad-and-cameroon-falls-after-debys-death/6205072.html
https://french.xinhuanet.com/2021-04/21/c_139896741.htm
https://2021-2025.state.gov/reports/2021-country-reports-on-human-rights-practices/chad/
Earlier recorded access
Source 1: search extract
Source 2: full page
Source 3: full page</x:v>
      </x:c>
      <x:c r="P305" s="20" t="n">
        <x:v>2</x:v>
      </x:c>
      <x:c r="Q305" s="4" t="str">
        <x:v>Southern and Central Africa</x:v>
      </x:c>
      <x:c r="R305" s="4" t="str">
        <x:v>Included</x:v>
      </x:c>
    </x:row>
    <x:row r="306" ht="409" hidden="0" customHeight="1">
      <x:c r="A306" s="16" t="str">
        <x:v>SC15</x:v>
      </x:c>
      <x:c r="B306" s="4" t="str">
        <x:v>Malawi June 2021 entry closure</x:v>
      </x:c>
      <x:c r="C306" s="4" t="str">
        <x:v>Malawi; Mozambique; Zambia; Tanzania</x:v>
      </x:c>
      <x:c r="D306" s="4" t="str">
        <x:v>Not established
Entry for non-residents and non-citizens</x:v>
      </x:c>
      <x:c r="E306" s="4" t="str">
        <x:v>Foreign visitors; no trade disruption reported by FEWS NET in late June
Direction: Entry
Exceptions: Malawi residents and citizens</x:v>
      </x:c>
      <x:c r="F306" s="4" t="str">
        <x:v>SC15-D1 — Formal policy
Malawi's special foreign-entry restriction, to removal of the health-clearance requirement.
Start: 2021-06-12.
Policy endpoint: 2021-08-27.
Formal policy: 76 calendar-day difference; operational continuity not established</x:v>
      </x:c>
      <x:c r="G30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06" s="4" t="str">
        <x:v>SC15-D1: Reported formal-policy dates only; the original onset instrument and first actual land-gate admission are not recovered. Citizens/residents were exempt and trade continued. PCR requirements remained after relaxation.</x:v>
      </x:c>
      <x:c r="I306" s="4" t="str">
        <x:v>Second full-register audit, 26 October 2026: qualified. June 12 foreign-entry restriction and August 27 clearance-rule removal remain supported; ordinary testing conditions did not equal continuing entry prohibition.</x:v>
      </x:c>
      <x:c r="J306" s="18" t="d">
        <x:v>2026-10-26T00:00:00.000Z</x:v>
      </x:c>
      <x:c r="K306" s="21" t="str">
        <x:f>IFERROR(HYPERLINK("https://www.malawitourism.com/news-blogs/malawis-borders-reopen/","Malawi Tourism"),"Malawi Tourism")</x:f>
        <x:v>Malawi Tourism</x:v>
      </x:c>
      <x:c r="L306" s="21" t="str">
        <x:f>IFERROR(HYPERLINK("https://apta-africa.org/2021/08/28/malawi-lifts-travel-quarantine-entry-restrictions/","APTA"),"APTA")</x:f>
        <x:v>APTA</x:v>
      </x:c>
      <x:c r="M306" s="21" t="str">
        <x:f>IFERROR(HYPERLINK("https://fews.net/southern-africa/malawi/food-security-outlook/june-2021","FEWS NET"),"FEWS NET")</x:f>
        <x:v>FEWS NET</x:v>
      </x:c>
      <x:c r="N306" s="4" t="str">
        <x:v>https://www.malawitourism.com/news-blogs/malawis-borders-reopen/
https://apta-africa.org/2021/08/28/malawi-lifts-travel-quarantine-entry-restrictions/
https://fews.net/southern-africa/malawi/food-security-outlook/june-2021
https://mwnation.com/covid-19-jabs-cause-panic/
https://www.wcoesarpsg.org/esa-covid-19-situation-report-third-quarter-2021/
https://apta-africa.org/2021/08/
https://www.dropbox.com/scl/fi/2be7712aky09bl6k3yejn/20210827-Lifting-of-Travel-Restrictions-PR.pdf?rlkey=f8yn6hr5t5taliuu1bubzn78l&amp;dl=1</x:v>
      </x:c>
      <x:c r="O306" s="4" t="str">
        <x:v>Second full-register audit source access, 26 October 2026
https://fews.net/southern-africa/malawi/food-security-outlook/june-2021: full text (fresh retrieval)
https://www.malawitourism.com/news-blogs/malawis-borders-reopen/: full text (fresh retrieval)
https://apta-africa.org/2021/08/28/malawi-lifts-travel-quarantine-entry-restrictions/: full text (fresh retrieval)
Earlier URLs not separately inspected in this second assessment:
https://mwnation.com/covid-19-jabs-cause-panic/
https://www.wcoesarpsg.org/esa-covid-19-situation-report-third-quarter-2021/
https://apta-africa.org/2021/08/
https://www.dropbox.com/scl/fi/2be7712aky09bl6k3yejn/20210827-Lifting-of-Travel-Restrictions-PR.pdf?rlkey=f8yn6hr5t5taliuu1bubzn78l&amp;dl=1
Prior audit access record
Full-register audit source access (evidence cutoff 25 October 2026)
https://fews.net/southern-africa/malawi/food-security-outlook/june-2021: full text — See specific claim qualifications.
https://apta-africa.org/2021/08/28/malawi-lifts-travel-quarantine-entry-restrictions/: full text — See specific claim qualifications.
https://www.malawitourism.com/news-blogs/malawis-borders-reopen/: full text — See specific claim qualifications.
https://www.dropbox.com/scl/fi/2be7712aky09bl6k3yejn/20210827-Lifting-of-Travel-Restrictions-PR.pdf?rlkey=f8yn6hr5t5taliuu1bubzn78l&amp;dl=1: inaccessible — Official linked attachment could not be read; not independent verification.
Earlier source URLs not separately listed in this audit’s retrieval log (historical access notes below are not fresh verification):
https://mwnation.com/covid-19-jabs-cause-panic/
https://www.wcoesarpsg.org/esa-covid-19-situation-report-third-quarter-2021/
https://apta-africa.org/2021/08/
Earlier recorded access
Source 1: full page
Source 2: full page
Source 3: full page</x:v>
      </x:c>
      <x:c r="P306" s="20" t="n">
        <x:v>1</x:v>
      </x:c>
      <x:c r="Q306" s="4" t="str">
        <x:v>Southern and Central Africa</x:v>
      </x:c>
      <x:c r="R306" s="4" t="str">
        <x:v>Included</x:v>
      </x:c>
    </x:row>
    <x:row r="307" ht="409" hidden="0" customHeight="1">
      <x:c r="A307" s="16" t="str">
        <x:v>SC10</x:v>
      </x:c>
      <x:c r="B307" s="4" t="str">
        <x:v>Equatorial Guinea election closure</x:v>
      </x:c>
      <x:c r="C307" s="4" t="str">
        <x:v>Equatorial Guinea; Cameroon; Gabon</x:v>
      </x:c>
      <x:c r="D307" s="4" t="str">
        <x:v>National land-border order affecting Cameroon and Gabon; Kiossi–Ebebiyín corridor specifically documented in field reporting.
The November 23 selected-merchant reopening is observed from Cameroon; full gate coverage and simultaneous Gabon-border restoration are not established.</x:v>
      </x:c>
      <x:c r="E307" s="4" t="str">
        <x:v>Land-border travellers and merchants were affected; the documented return is selected merchants from Cameroon, Chad and Nigeria entering Equatorial Guinea from Cameroon.
Direction: November 7 reporting describes impeded passage in both directions on the Kiossi–Ebebiyín corridor. The November 23 endpoint is admission into Equatorial Guinea.
Exceptions: Airports were outside the national land-border order; land-border exception coverage is not established.</x:v>
      </x:c>
      <x:c r="F307" s="4" t="str">
        <x:v>SC10-D1 — Observed operation
Election-related land-border restriction, with the endpoint limited to selected merchants entering from Cameroon.
Start: 2022-10-31, supported by the official order and contemporary AFP confirmation from an Ebebiyín local official.
Competing retrospective account: VOA on November 23 gives October 30; that date is retained as a source discrepancy, not preferred over the contemporary order and confirmation.
Observed scoped reopening: 2022-11-23, selected merchants.
23 calendar-day difference to that scoped endpoint; exact elapsed hours and all-post continuity are not measured.
Additional location-specific observation: VOA on November 7 reports merchants unable to cross from Kiossi toward Equatorial Guinea since November 3, with other people stranded in Ebebiyín.</x:v>
      </x:c>
      <x:c r="G307" s="4" t="str">
        <x:v>Electoral politics / Election administration and security
Reported vice-presidential explanation
Applies to: SC10-D1
The official October 25 notice says the restriction was intended to protect the November 20 election and candidates.
Security / Armed attacks and terrorism
Reported threat rationale
Applies to: SC10-D1
The authorities described preventing infiltration by violent groups or mercenaries seeking to disrupt the election. The alleged threat is attributed, not independently substantiated.</x:v>
      </x:c>
      <x:c r="H307" s="4" t="str">
        <x:v>SC10-D1: October 31 is preferred because it is the intended start in the October 25 official instruction and is independently supported by AFP’s November 1 report quoting an Ebebiyín local official that the frontier had been closed since Monday morning. VOA’s November 23 retrospective October 30 date remains a documented discrepancy. November 7 field reporting identifies disrupted passage on the Kiossi–Ebebiyín corridor, including merchants and Equatorial Guinean returnees; it does not prove that November 3 was the initial national onset. The November 23 endpoint concerns selected merchants entering from Cameroon, not proof that every post or traveller category reopened, or that the Gabon border simultaneously restored access. Exact first-passage clocks and complete exception coverage remain unknown.</x:v>
      </x:c>
      <x:c r="I307" s="4" t="str">
        <x:v>Second full-register audit, 26 October 2026: additional source-audited corrections incorporated. See the phase, scope and qualification columns for the accepted findings.</x:v>
      </x:c>
      <x:c r="J307" s="18" t="d">
        <x:v>2026-10-26T00:00:00.000Z</x:v>
      </x:c>
      <x:c r="K307" s="21" t="str">
        <x:f>IFERROR(HYPERLINK("https://www.guineaecuatorialpress.com/noticias/guinea_ecuatorial_cerrara_sus_fronteras_el_31_de_octubre_hasta_la_celebracion_de_las_elecciones","Government of Equatorial Guinea"),"Government of Equatorial Guinea")</x:f>
        <x:v>Government of Equatorial Guinea</x:v>
      </x:c>
      <x:c r="L307" s="21" t="str">
        <x:f>IFERROR(HYPERLINK("https://www.voanews.com/amp/cameroon-merchants-say-equatorial-guinea-partially-reopens-border-/6846960.html","VOA"),"VOA")</x:f>
        <x:v>VOA</x:v>
      </x:c>
      <x:c r="M307" s="21" t="str">
        <x:f>IFERROR(HYPERLINK("https://www.cameroonconcordnews.com/equatorial-guinea-shuts-land-borders-ahead-of-election-campaign/","cameroonconcordnews.com"),"cameroonconcordnews.com")</x:f>
        <x:v>cameroonconcordnews.com</x:v>
      </x:c>
      <x:c r="N307" s="4" t="str">
        <x:v>https://www.guineaecuatorialpress.com/noticias/guinea_ecuatorial_cerrara_sus_fronteras_el_31_de_octubre_hasta_la_celebracion_de_las_elecciones
https://www.voanews.com/amp/cameroon-merchants-say-equatorial-guinea-partially-reopens-border-/6846960.html
https://www.cameroonconcordnews.com/equatorial-guinea-shuts-land-borders-ahead-of-election-campaign/
https://www.voanews.com/a/cameroon-merchants-say-equatorial-guinea-partially-reopens-border-/6846960.html
https://www.voanews.com/amp/traders-say-equatorial-guinea-border-closure-ahead-of-elections-hurts-business-/6823379.html
https://afrique.le360.ma/politique/la-guinee-equatoriale-ferme-ses-frontieres-avant-le-debut-de-la-campagne-presidentielle_MZT5QXPQTRC3ZHQGTYOX6MOCDM/</x:v>
      </x:c>
      <x:c r="O307" s="4" t="str">
        <x:v>Second full-register audit source access, 26 October 2026
https://www.guineaecuatorialpress.com/noticias/guinea_ecuatorial_cerrara_sus_fronteras_el_31_de_octubre_hasta_la_celebracion_de_las_elecciones: full text (fresh retrieval)
https://www.voanews.com/a/cameroon-merchants-say-equatorial-guinea-partially-reopens-border-/6846960.html: full text (fresh retrieval)
https://www.voanews.com/amp/traders-say-equatorial-guinea-border-closure-ahead-of-elections-hurts-business-/6823379.html: full text (fresh retrieval)
https://afrique.le360.ma/politique/la-guinee-equatoriale-ferme-ses-frontieres-avant-le-debut-de-la-campagne-presidentielle_MZT5QXPQTRC3ZHQGTYOX6MOCDM/: full text (fresh retrieval)
Earlier URLs not separately inspected in this second assessment:
https://www.voanews.com/amp/cameroon-merchants-say-equatorial-guinea-partially-reopens-border-/6846960.html
https://www.cameroonconcordnews.com/equatorial-guinea-shuts-land-borders-ahead-of-election-campaign/
Prior audit access record
Full-register audit source access (evidence cutoff 25 October 2026)
https://www.guineaecuatorialpress.com/noticias/guinea_ecuatorial_cerrara_sus_fronteras_el_31_de_octubre_hasta_la_celebracion_de_las_elecciones: full text
https://www.voanews.com/a/cameroon-merchants-say-equatorial-guinea-partially-reopens-border-/6846960.html: full text
https://www.voanews.com/amp/traders-say-equatorial-guinea-border-closure-ahead-of-elections-hurts-business-/6823379.html: full text
https://www.cameroonconcordnews.com/equatorial-guinea-shuts-land-borders-ahead-of-election-campaign/: search extract
Earlier source URLs not separately listed in this audit’s retrieval log (historical access notes below are not fresh verification):
https://www.voanews.com/amp/cameroon-merchants-say-equatorial-guinea-partially-reopens-border-/6846960.html
Earlier recorded access
Source 1: full page
Source 2: full page
Source 3: access detail is retained in the source catalogue.</x:v>
      </x:c>
      <x:c r="P307" s="20" t="n">
        <x:v>1</x:v>
      </x:c>
      <x:c r="Q307" s="4" t="str">
        <x:v>Southern and Central Africa</x:v>
      </x:c>
      <x:c r="R307" s="4" t="str">
        <x:v>Included</x:v>
      </x:c>
    </x:row>
    <x:row r="308" ht="409" hidden="0" customHeight="1">
      <x:c r="A308" s="16" t="str">
        <x:v>SC08</x:v>
      </x:c>
      <x:c r="B308" s="4" t="str">
        <x:v>Chad Sudan closure at outbreak of war</x:v>
      </x:c>
      <x:c r="C308" s="4" t="str">
        <x:v>Chad; Sudan</x:v>
      </x:c>
      <x:c r="D308" s="4" t="str">
        <x:v>Not established
Chad–Sudan land frontier</x:v>
      </x:c>
      <x:c r="E308" s="4" t="str">
        <x:v>Not established
Direction: Not established
Exceptions: UNHCR border teams reported actual arrivals of refugees fleeing Sudan by April 20, 2023, during the preceding days. These arrivals document refugee access during the reported order; a formally granted exemption, named gate, first admission day, general reopening or national repeal is not established.</x:v>
      </x:c>
      <x:c r="F308" s="4" t="str">
        <x:v>SC08-FU1 — Formal policy
Chadian order closing the Sudan land frontier until further notice.
Start and last confirmed order observation: 2023-04-15.
National legal repeal date is not established. Numeric duration withheld.
Later scoped access: UNHCR documented refugee arrivals by April 20, 2023, during the preceding days. Darfur24 observed commercial movement at Adré on September 4, published September 5, without an announced national reopening. Radio Tamazuj on October 22 reported a local trade arrangement but did not date its commencement. These observations are not a continuous closure or unrestricted all-frontier reopening.</x:v>
      </x:c>
      <x:c r="G308"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308" s="4" t="str">
        <x:v>SC08-FU1: Formal-order onset only. Refugee arrivals by April 20 and commercial movement at Adré on September 4 demonstrate physical access despite the order. Exact first reopening, nationwide legal repeal, other gates and uninterrupted continuity are unknown. The October 2023 local trade arrangement is not the first demonstrated commercial access. October 2026 authorization for aid through Adré was issued by Sudanese authorities and does not resolve Chad’s ordinary-traveller or commercial policy.</x:v>
      </x:c>
      <x:c r="I308" s="4" t="str">
        <x:v>Second full-register audit, 26 October 2026: qualified. The April 2023 order, early refugee admissions and later Adré trade access are independently corroborated; no missing nationwide repeal was established.</x:v>
      </x:c>
      <x:c r="J308" s="18" t="d">
        <x:v>2026-10-26T00:00:00.000Z</x:v>
      </x:c>
      <x:c r="K308" s="21" t="str">
        <x:f>IFERROR(HYPERLINK("https://www.aa.com.tr/en/africa/chad-closes-borders-with-sudan-amid-armed-clashes/2873302","Anadolu Agency"),"Anadolu Agency")</x:f>
        <x:v>Anadolu Agency</x:v>
      </x:c>
      <x:c r="L308" s="21" t="str">
        <x:f>IFERROR(HYPERLINK("https://www.unhcr.org/uk/news/unhcr-gravely-concerned-refugees-fleeing-fighting-sudan-arrive-chad","UNHCR"),"UNHCR")</x:f>
        <x:v>UNHCR</x:v>
      </x:c>
      <x:c r="M308" s="21" t="str">
        <x:f>IFERROR(HYPERLINK("https://darfur24.com/en/2023/09/05/chad-partially-opens-its-border-with-sudan/","Darfur24"),"Darfur24")</x:f>
        <x:v>Darfur24</x:v>
      </x:c>
      <x:c r="N308" s="4" t="str">
        <x:v>https://www.aa.com.tr/en/africa/chad-closes-borders-with-sudan-amid-armed-clashes/2873302
https://www.unhcr.org/uk/news/unhcr-gravely-concerned-refugees-fleeing-fighting-sudan-arrive-chad
https://darfur24.com/en/2023/09/05/chad-partially-opens-its-border-with-sudan/
https://openknowledge.worldbank.org/bitstreams/2c41e0f4-8361-4a54-bd4c-7ff9c8177928/download
https://sudan.un.org/en/276741-top-un-official-sudan-hails-re-opening-adre-border-crossing-point-chad-darfur
https://documents1.worldbank.org/curated/en/099062524135531232/pdf/P500480183a9ed0151bdee18b24c662dbe3.pdf
https://apnews.com/article/ceeccfabc33852c2aa641787a4ea2d82
https://www.acaps.org/fileadmin/Data_Product/Main_media/20230207_acaps_briefing_note_sudan_humanitarian_access_snapshot.pdf
https://fews.net/west-africa/chad/food-security-outlook/october-2023
https://www.radiotamazuj.org/en/news/article/cross-border-trade-between-sudan-and-chad-flowing-says-official
https://www.unhcr.org/news/unhcr-gravely-concerned-refugees-fleeing-fighting-sudan-arrive-chad
https://logcluster.org/en/alerts/adre-border-crossing-extended-until-31-december</x:v>
      </x:c>
      <x:c r="O308" s="4" t="str">
        <x:v>Second full-register audit source access, 26 October 2026
https://www.aa.com.tr/en/africa/chad-closes-borders-with-sudan-amid-armed-clashes/2873302: full text (fresh retrieval)
https://www.unhcr.org/news/unhcr-gravely-concerned-refugees-fleeing-fighting-sudan-arrive-chad: search extract (fresh retrieval) — Direct request returned 429; indexed substantive account inspected.
https://darfur24.com/en/2023/09/05/chad-partially-opens-its-border-with-sudan/: full text (fresh retrieval)
https://www.radiotamazuj.org/en/news/article/cross-border-trade-between-sudan-and-chad-flowing-says-official: full text (fresh retrieval)
https://logcluster.org/en/alerts/adre-border-crossing-extended-until-31-december: search extract (fresh retrieval) — Sudanese aid authorization only.
Earlier URLs not separately inspected in this second assessment:
https://www.unhcr.org/uk/news/unhcr-gravely-concerned-refugees-fleeing-fighting-sudan-arrive-chad
https://openknowledge.worldbank.org/bitstreams/2c41e0f4-8361-4a54-bd4c-7ff9c8177928/download
https://sudan.un.org/en/276741-top-un-official-sudan-hails-re-opening-adre-border-crossing-point-chad-darfur
https://documents1.worldbank.org/curated/en/099062524135531232/pdf/P500480183a9ed0151bdee18b24c662dbe3.pdf
https://apnews.com/article/ceeccfabc33852c2aa641787a4ea2d82
https://www.acaps.org/fileadmin/Data_Product/Main_media/20230207_acaps_briefing_note_sudan_humanitarian_access_snapshot.pdf
https://fews.net/west-africa/chad/food-security-outlook/october-2023
Prior audit access record
Full-register audit source access (evidence cutoff 25 October 2026)
https://www.aa.com.tr/en/africa/chad-closes-borders-with-sudan-amid-armed-clashes/2873302: full text — See specific claim qualifications.
https://www.unhcr.org/news/unhcr-gravely-concerned-refugees-fleeing-fighting-sudan-arrive-chad: search extract — See specific claim qualifications.
https://darfur24.com/en/2023/09/05/chad-partially-opens-its-border-with-sudan/: full text — See specific claim qualifications.
https://www.radiotamazuj.org/en/news/article/cross-border-trade-between-sudan-and-chad-flowing-says-official: full text — See specific claim qualifications.
https://logcluster.org/en/alerts/adre-border-crossing-extended-until-31-december: full text — See specific claim qualifications.
Earlier source URLs not separately listed in this audit’s retrieval log (historical access notes below are not fresh verification):
https://www.unhcr.org/uk/news/unhcr-gravely-concerned-refugees-fleeing-fighting-sudan-arrive-chad
https://openknowledge.worldbank.org/bitstreams/2c41e0f4-8361-4a54-bd4c-7ff9c8177928/download
https://sudan.un.org/en/276741-top-un-official-sudan-hails-re-opening-adre-border-crossing-point-chad-darfur
https://documents1.worldbank.org/curated/en/099062524135531232/pdf/P500480183a9ed0151bdee18b24c662dbe3.pdf
https://apnews.com/article/ceeccfabc33852c2aa641787a4ea2d82
https://www.acaps.org/fileadmin/Data_Product/Main_media/20230207_acaps_briefing_note_sudan_humanitarian_access_snapshot.pdf
https://fews.net/west-africa/chad/food-security-outlook/october-2023
Earlier recorded access
Source 1: full
Source 2: indexed extract
Source 3: full</x:v>
      </x:c>
      <x:c r="P308" s="20" t="n">
        <x:v>1</x:v>
      </x:c>
      <x:c r="Q308" s="4" t="str">
        <x:v>Southern and Central Africa</x:v>
      </x:c>
      <x:c r="R308" s="4" t="str">
        <x:v>Included</x:v>
      </x:c>
    </x:row>
    <x:row r="309" ht="409" hidden="0" customHeight="1">
      <x:c r="A309" s="16" t="str">
        <x:v>SC04</x:v>
      </x:c>
      <x:c r="B309" s="4" t="str">
        <x:v>Gabon coup border closure</x:v>
      </x:c>
      <x:c r="C309" s="4" t="str">
        <x:v>Gabon; Cameroon; Equatorial Guinea; Republic of the Congo</x:v>
      </x:c>
      <x:c r="D309" s="4" t="str">
        <x:v>Not established
National land, sea and air closure; land component included</x:v>
      </x:c>
      <x:c r="E309" s="4" t="str">
        <x:v>Not established
Direction: Not established
Exceptions: Not established</x:v>
      </x:c>
      <x:c r="F309" s="4" t="str">
        <x:v>SC04-D1 — Formal policy
Gabon's coup-related national land-border closure order, to immediate formal reopening.
Start: 2023-08-30.
Policy endpoint: 2023-09-02.
Formal policy: 3 calendar-day difference; operational continuity not established</x:v>
      </x:c>
      <x:c r="G309" s="4" t="str">
        <x:v>Power and regime politics / Coups and succession
Reported reason
Applies to: Recorded episode; exact overlap not separately established
CTRI Communiqué No. 1 bundles the border closure with a takeover, election cancellation and an appeal to restore peace. The codes reflect that statement and its context; it does not separately isolate or rank the purpose of the border measure.
Electoral politics / Electoral disputes and transitions
Reported reason
Applies to: Recorded episode; exact overlap not separately established
CTRI Communiqué No. 1 bundles the border closure with a takeover, election cancellation and an appeal to restore peace. The codes reflect that statement and its context; it does not separately isolate or rank the purpose of the border measure.
Security / Public order and immediate safety
Reported reason
Applies to: Recorded episode; exact overlap not separately established
CTRI Communiqué No. 1 bundles the border closure with a takeover, election cancellation and an appeal to restore peace. The codes reflect that statement and its context; it does not separately isolate or rank the purpose of the border measure.</x:v>
      </x:c>
      <x:c r="H309" s="4" t="str">
        <x:v>Gabon Media Time describes land borders already closed from August 25 and maintained under August 30 coup order. Current phase measures the coup order only, not the first operational restriction of the election period.
SC04-D1: These are order dates, not independently observed first refusal/resumption at each land post. Sea/air components are not additional land episodes, and the stated rationale remains attributed to CTRI.</x:v>
      </x:c>
      <x:c r="I309" s="4" t="str">
        <x:v>Second full-register audit, 26 October 2026: qualified. Both CTRI communiqués directly support the August 30–September 2 coup-order interval, while earlier electoral closure remains separate context.</x:v>
      </x:c>
      <x:c r="J309" s="18" t="d">
        <x:v>2026-10-26T00:00:00.000Z</x:v>
      </x:c>
      <x:c r="K309" s="21" t="str">
        <x:f>IFERROR(HYPERLINK("https://presidence.ga/2023/08/30/communique-du-ctri-n001/","Presidency of Gabon / CTRI"),"Presidency of Gabon / CTRI")</x:f>
        <x:v>Presidency of Gabon / CTRI</x:v>
      </x:c>
      <x:c r="L309" s="21" t="str">
        <x:f>IFERROR(HYPERLINK("https://presidence.ga/2023/09/02/communique-du-ctri-n005-2/","Presidency of Gabon"),"Presidency of Gabon")</x:f>
        <x:v>Presidency of Gabon</x:v>
      </x:c>
      <x:c r="M309" s="21" t="str">
        <x:f>IFERROR(HYPERLINK("https://www.investing.com/news/world-news/gabon-reopens-borders-three-days-after-military-coup-3166544","Investing.com"),"Investing.com")</x:f>
        <x:v>Investing.com</x:v>
      </x:c>
      <x:c r="N309" s="4" t="str">
        <x:v>https://presidence.ga/2023/08/30/communique-du-ctri-n001/
https://presidence.ga/2023/09/02/communique-du-ctri-n005-2/
https://www.investing.com/news/world-news/gabon-reopens-borders-three-days-after-military-coup-3166544
https://www.courrierinternational.com/depeche/gabon-l-armee-annonce-la-reouverture-des-frontieres-avec-effet-immediat.afp.com.20230902.doc.33u68qb.xml
https://gabonmatin.ga/presidentielle-2023-fermeture-des-frontieres-terrestres-et-maritimes-ce.html
https://gabonmediatime.com/coup-detat-au-gabon-reouverture-des-frontieres-terrestres-maritimes-et-aeriennes/
https://citizen.digital/article/gabon-reopens-borders-three-days-after-military-coup-n326579</x:v>
      </x:c>
      <x:c r="O309" s="4" t="str">
        <x:v>Second full-register audit source access, 26 October 2026
https://presidence.ga/2023/08/30/communique-du-ctri-n001/: full text (fresh retrieval)
https://presidence.ga/2023/09/02/communique-du-ctri-n005-2/: full text (fresh retrieval)
https://gabonmediatime.com/coup-detat-au-gabon-reouverture-des-frontieres-terrestres-maritimes-et-aeriennes/: full text (fresh retrieval)
Earlier URLs not separately inspected in this second assessment:
https://www.investing.com/news/world-news/gabon-reopens-borders-three-days-after-military-coup-3166544
https://www.courrierinternational.com/depeche/gabon-l-armee-annonce-la-reouverture-des-frontieres-avec-effet-immediat.afp.com.20230902.doc.33u68qb.xml
https://gabonmatin.ga/presidentielle-2023-fermeture-des-frontieres-terrestres-et-maritimes-ce.html
https://citizen.digital/article/gabon-reopens-borders-three-days-after-military-coup-n326579
Prior audit access record
Full-register audit source access (evidence cutoff 25 October 2026)
https://presidence.ga/2023/08/30/communique-du-ctri-n001/: full text — See specific claim qualifications.
https://presidence.ga/2023/09/02/communique-du-ctri-n005-2/: full text — See specific claim qualifications.
https://gabonmediatime.com/coup-detat-au-gabon-reouverture-des-frontieres-terrestres-maritimes-et-aeriennes/: full text — See specific claim qualifications.
Earlier source URLs not separately listed in this audit’s retrieval log (historical access notes below are not fresh verification):
https://www.investing.com/news/world-news/gabon-reopens-borders-three-days-after-military-coup-3166544
https://www.courrierinternational.com/depeche/gabon-l-armee-annonce-la-reouverture-des-frontieres-avec-effet-immediat.afp.com.20230902.doc.33u68qb.xml
https://gabonmatin.ga/presidentielle-2023-fermeture-des-frontieres-terrestres-et-maritimes-ce.html
https://citizen.digital/article/gabon-reopens-borders-three-days-after-military-coup-n326579
Earlier recorded access
Source 1: full text
Source 2: full page
Source 3: full page</x:v>
      </x:c>
      <x:c r="P309" s="20" t="n">
        <x:v>1</x:v>
      </x:c>
      <x:c r="Q309" s="4" t="str">
        <x:v>Southern and Central Africa</x:v>
      </x:c>
      <x:c r="R309" s="4" t="str">
        <x:v>Included</x:v>
      </x:c>
    </x:row>
    <x:row r="310" ht="409" hidden="0" customHeight="1">
      <x:c r="A310" s="16" t="str">
        <x:v>SC03</x:v>
      </x:c>
      <x:c r="B310" s="4" t="str">
        <x:v>Zambia closes three DRC crossings after trade protests</x:v>
      </x:c>
      <x:c r="C310" s="4" t="str">
        <x:v>Zambia; Democratic Republic of the Congo</x:v>
      </x:c>
      <x:c r="D310" s="4" t="str">
        <x:v>Kasumbalesa; Mokambo; Sakania
Three crossing posts</x:v>
      </x:c>
      <x:c r="E310" s="4" t="str">
        <x:v>People and goods; important mineral export route
Direction: Cross-border passage at named posts
Exceptions: Not established</x:v>
      </x:c>
      <x:c r="F310" s="4" t="str">
        <x:v>SC03-D1 — Formal policy
Zambia's precautionary closure order for the three named DRC crossings, to the joint reopening decision.
Start: 2024-08-10.
Policy endpoint: 2024-08-13.
Formal policy: 3 calendar-day difference; operational continuity not established</x:v>
      </x:c>
      <x:c r="G310" s="4" t="str">
        <x:v>Security / Public order and immediate safety
Reported reason
Applies to: Recorded episode; exact overlap not separately established
Zambia's stated safety justification and the transporters' trade-policy protest are different actors' rationales within the recorded episode.
Trade and protectionism / Trade and transport protests
Analytical interpretation of reported context
Applies to: Recorded episode; exact overlap not separately established
Zambia's stated safety justification and the transporters' trade-policy protest are different actors' rationales within the recorded episode.</x:v>
      </x:c>
      <x:c r="H310" s="4" t="str">
        <x:v>SC03-D1: Formal policy dates only. DW's morning Kasumbalesa report does not verify first passage at every post, and 06:00 was an expected time. Actual all-three-post restoration remains unestablished.</x:v>
      </x:c>
      <x:c r="I310" s="4" t="str">
        <x:v>Second full-register audit, 26 October 2026: qualified. The three-post Zambia–DRC formal interval is supported; differing announcement descriptions do not turn expected 06:00 reopening into all-post observed passage.</x:v>
      </x:c>
      <x:c r="J310" s="18" t="d">
        <x:v>2026-10-26T00:00:00.000Z</x:v>
      </x:c>
      <x:c r="K310" s="21" t="str">
        <x:f>IFERROR(HYPERLINK("https://www.mcti.gov.zm/?p=7891","mcti.gov.zm"),"mcti.gov.zm")</x:f>
        <x:v>mcti.gov.zm</x:v>
      </x:c>
      <x:c r="L310" s="21" t="str">
        <x:f>IFERROR(HYPERLINK("https://www.reuters.com/world/africa/zambia-reopen-closed-border-with-democratic-republic-congo-2024-08-12/","Reuters"),"Reuters")</x:f>
        <x:v>Reuters</x:v>
      </x:c>
      <x:c r="M310" s="21" t="str">
        <x:f>IFERROR(HYPERLINK("https://www.chinadailyhk.com/hk/article/590488","China Daily Hong Kong"),"China Daily Hong Kong")</x:f>
        <x:v>China Daily Hong Kong</x:v>
      </x:c>
      <x:c r="N310" s="4" t="str">
        <x:v>https://www.mcti.gov.zm/?p=7891
https://www.reuters.com/world/africa/zambia-reopen-closed-border-with-democratic-republic-congo-2024-08-12/
https://www.chinadailyhk.com/hk/article/590488
https://www.aa.com.tr/en/africa/zambia-democratic-republic-of-congo-agree-to-reopen-borders-tuesday/3302211
https://amp.dw.com/fr/frontiere-zambie-rdc-congo-reouverture-accord-commercial/a-69926115
https://mail.commerce.gouv.cd/details_actualites?id=31</x:v>
      </x:c>
      <x:c r="O310" s="4" t="str">
        <x:v>Second full-register audit source access, 26 October 2026
https://www.reuters.com/world/africa/zambia-reopen-closed-border-with-democratic-republic-congo-2024-08-12/: full text (fresh retrieval)
https://www.aa.com.tr/en/africa/zambia-democratic-republic-of-congo-agree-to-reopen-borders-tuesday/3302211: full text (fresh retrieval)
https://amp.dw.com/fr/frontiere-zambie-rdc-congo-reouverture-accord-commercial/a-69926115: full text (fresh retrieval)
https://www.mcti.gov.zm/?p=7891: inaccessible (fresh retrieval) — Direct timeout.
Earlier URLs not separately inspected in this second assessment:
https://www.chinadailyhk.com/hk/article/590488
https://mail.commerce.gouv.cd/details_actualites?id=31
Prior audit access record
Full-register audit source access (evidence cutoff 25 October 2026)
https://www.mcti.gov.zm/?p=7891: search extract — Direct request timed out; substantive indexed statement inspected.
https://www.reuters.com/world/africa/zambia-reopen-closed-border-with-democratic-republic-congo-2024-08-12/: full text — See specific claim qualifications.
https://amp.dw.com/fr/frontiere-zambie-rdc-congo-reouverture-accord-commercial/a-69926115: full text — See specific claim qualifications.
Earlier source URLs not separately listed in this audit’s retrieval log (historical access notes below are not fresh verification):
https://www.chinadailyhk.com/hk/article/590488
https://www.aa.com.tr/en/africa/zambia-democratic-republic-of-congo-agree-to-reopen-borders-tuesday/3302211
https://mail.commerce.gouv.cd/details_actualites?id=31
Earlier recorded access
Source 1: indexed excerpt
Source 2: full page
Source 3: search extract</x:v>
      </x:c>
      <x:c r="P310" s="20" t="n">
        <x:v>1</x:v>
      </x:c>
      <x:c r="Q310" s="4" t="str">
        <x:v>Southern and Central Africa</x:v>
      </x:c>
      <x:c r="R310" s="4" t="str">
        <x:v>Included</x:v>
      </x:c>
    </x:row>
    <x:row r="311" ht="409" hidden="0" customHeight="1">
      <x:c r="A311" s="16" t="str">
        <x:v>SC05</x:v>
      </x:c>
      <x:c r="B311" s="4" t="str">
        <x:v>Lebombo closure during Mozambique election unrest</x:v>
      </x:c>
      <x:c r="C311" s="4" t="str">
        <x:v>South Africa; Mozambique</x:v>
      </x:c>
      <x:c r="D311" s="4" t="str">
        <x:v>Lebombo / Ressano Garcia
Lebombo–Ressano Garcia crossing</x:v>
      </x:c>
      <x:c r="E311" s="4" t="str">
        <x:v>Travellers and freight, with intermittent homeward movements and selective truck releases
Direction: Both directions affected, with selective homeward returns to each country; exact chronology differs by side and category.
Exceptions: Homebound Mozambican nationals admitted during November 6/7 temporary opening; perishable/fuel trucks reportedly released; later homebound people, empty return trucks and recovery vehicles. Timing and exact category bounds remain incomplete.</x:v>
      </x:c>
      <x:c r="F311" s="4" t="str">
        <x:v>SC05-R1 — Intermittent regime
Lebombo–Ressano Garcia recurrent restrictions during the first November unrest episode
Start: 2024-11-05.
Scoped endpoint: 2024-11-09 to 2024-11-10.
Intermittent regime envelope; total closed days unknown</x:v>
      </x:c>
      <x:c r="G311" s="4" t="str">
        <x:v>Security / Public order and immediate safety
Reported BMA explanation
Applies to: SC05-R1
The November 5 BMA statement explicitly cites security incidents, torched vehicles and safety of travellers, traders, transporters and officials as the reason for temporary closure.
Electoral politics / Electoral disputes and transitions
Analytical interpretation of the reported unrest context
Applies to: SC05-R1
The disruptions followed contested election results. This identifies the context and does not claim an independent BMA purpose to influence the election.</x:v>
      </x:c>
      <x:c r="H311" s="4" t="str">
        <x:v>SC05-R1: Intermittent envelope, not total days closed. Partial returnee openings and reclosures occurred November 6–8, with intermediate timings and sides unresolved. Cargo restoration bounds November 9–10 retain the BMA/SABC report of November 9 manual processing and actual truck passage versus Jornal Notícias' November 10 resumption account. No exact endpoint clock recovered. Later recurrence belongs to SC26. The November 9 EWN account separately says cargo returned Friday, November 8; this conflicts with the same-day November 8 BMA and Lowvelder accounts stating cargo processing was still pending. The direct BMA November 9 confirmation and SABC driver evidence take priority for documented cargo return, while the November 10 Mozambican account remains a later restoration observation. The available reports do not measure each intermediate suspension or establish unrestricted continuous passage.</x:v>
      </x:c>
      <x:c r="I311" s="4" t="str">
        <x:v>Second full-register audit, 26 October 2026: additional source-audited corrections incorporated. See the phase, scope and qualification columns for the accepted findings.</x:v>
      </x:c>
      <x:c r="J311" s="18" t="d">
        <x:v>2026-10-26T00:00:00.000Z</x:v>
      </x:c>
      <x:c r="K311" s="21" t="str">
        <x:f>IFERROR(HYPERLINK("https://www.gov.za/news/media-statements/border-management-authority-temporary-closure-lebombo-port-entry-05-nov-2024","South African Border Management Authority"),"South African Border Management Authority")</x:f>
        <x:v>South African Border Management Authority</x:v>
      </x:c>
      <x:c r="L311" s="21" t="str">
        <x:f>IFERROR(HYPERLINK("https://www.snl24.com/dailysun/news/mozambique-unrest-lebombo-border-partially-reopens-20241106/","Daily Sun"),"Daily Sun")</x:f>
        <x:v>Daily Sun</x:v>
      </x:c>
      <x:c r="M311" s="21" t="str">
        <x:f>IFERROR(HYPERLINK("https://www.ewn.co.za/2024/11/07/sa-shuts-lebombo-border-post-again-as-situation-in-mozambique-remains-volatile","Eyewitness News"),"Eyewitness News")</x:f>
        <x:v>Eyewitness News</x:v>
      </x:c>
      <x:c r="N311" s="4" t="str">
        <x:v>https://www.gov.za/news/media-statements/border-management-authority-temporary-closure-lebombo-port-entry-05-nov-2024
https://www.snl24.com/dailysun/news/mozambique-unrest-lebombo-border-partially-reopens-20241106/
https://www.ewn.co.za/2024/11/07/sa-shuts-lebombo-border-post-again-as-situation-in-mozambique-remains-volatile
https://www.rm.co.mz/fronteira-de-ressano-garcia-reaberta-de-forma-condicionada/
https://www.gov.za/news/media-statements/border-management-authority-partially-reopens-lebombo-port-entry-08-nov-2024
https://www.gov.za/news/media-statements/border-management-authority-and-south-african-revenue-service-working-clear
https://www.sabcnews.com/sabcnews/981758-2/
https://jornalnoticias.co.mz/destaque/quatro-dias-apos-interrupcao-ressano-garcia-reabre-ao-trafego-de-camioes/
https://www.sabcnews.com/sabcnews/lebombo-border-post-temporarily-closed-again/
https://www.reuters.com/world/africa/south-africa-partially-reopens-border-after-mozambique-vote-sparks-concern-2024-11-09/
https://www.citizen.co.za/lowvelder/news-headlines/local-news/2024/11/08/lebombo-border-post-partially-opened-to-allow-movement-of-people/
https://www.sabcnews.com/sabcnews/941244-2/
https://www.jacarandafm.com/news/news/lebombo-border-post-completely-closed-bma/
https://opais.co.mz/mocambique-perdeu-cerca-de-400-milhoes-com-o-encerramento-da-fronteira-de-ressano-garcia/
https://www.snl24.com/dailysun/news/lebombo-border-post-closed-amid-mozambique-protests-20241107/
https://www.enca.com/news-top-stories/lebombo-border-post-reopened-after-temporary-closure
https://www.sanews.gov.za/south-africa/lebombo-border-open-cargo
https://jornalnoticias.co.mz/page/784/?a=register&amp;c=index&amp;format=feed&amp;m=member&amp;siteid=1&amp;type=atom
https://www.ewn.co.za/2024/11/09/bma-and-sars-collaborating-to-clear-cargo-backlog-at-lebombo-port-of-entry</x:v>
      </x:c>
      <x:c r="O311" s="4" t="str">
        <x:v>Second full-register audit source access, 26 October 2026
https://www.gov.za/news/media-statements/border-management-authority-temporary-closure-lebombo-port-entry-05-nov-2024: full text (fresh retrieval)
https://www.snl24.com/dailysun/news/mozambique-unrest-lebombo-border-partially-reopens-20241106/: full text (fresh retrieval)
https://www.ewn.co.za/2024/11/07/sa-shuts-lebombo-border-post-again-as-situation-in-mozambique-remains-volatile: full text (fresh retrieval)
https://www.rm.co.mz/fronteira-de-ressano-garcia-reaberta-de-forma-condicionada/: full text (fresh retrieval)
https://www.gov.za/news/media-statements/border-management-authority-partially-reopens-lebombo-port-entry-08-nov-2024: full text (fresh retrieval)
https://www.gov.za/news/media-statements/border-management-authority-and-south-african-revenue-service-working-clear: full text (fresh retrieval)
https://www.sabcnews.com/sabcnews/981758-2/: search extract (fresh retrieval) — Substantive article body indexed; direct page returned 500.
https://jornalnoticias.co.mz/destaque/quatro-dias-apos-interrupcao-ressano-garcia-reabre-ao-trafego-de-camioes/: search extract (fresh retrieval) — Substantive article body indexed; direct page timed out.
https://www.citizen.co.za/lowvelder/news-headlines/local-news/2024/11/08/lebombo-border-post-partially-opened-to-allow-movement-of-people/: full text (fresh retrieval)
https://www.ewn.co.za/2024/11/09/bma-and-sars-collaborating-to-clear-cargo-backlog-at-lebombo-port-of-entry: full text (fresh retrieval) — Friday cargo-return wording conflicts with November 8 BMA/Lowvelder accounts saying cargo remained pending.
Earlier URLs not separately inspected in this second assessment:
https://www.sabcnews.com/sabcnews/lebombo-border-post-temporarily-closed-again/
https://www.reuters.com/world/africa/south-africa-partially-reopens-border-after-mozambique-vote-sparks-concern-2024-11-09/
https://www.sabcnews.com/sabcnews/941244-2/
https://www.jacarandafm.com/news/news/lebombo-border-post-completely-closed-bma/
https://opais.co.mz/mocambique-perdeu-cerca-de-400-milhoes-com-o-encerramento-da-fronteira-de-ressano-garcia/
https://www.snl24.com/dailysun/news/lebombo-border-post-closed-amid-mozambique-protests-20241107/
https://www.enca.com/news-top-stories/lebombo-border-post-reopened-after-temporary-closure
https://www.sanews.gov.za/south-africa/lebombo-border-open-cargo
https://jornalnoticias.co.mz/page/784/?a=register&amp;c=index&amp;format=feed&amp;m=member&amp;siteid=1&amp;type=atom
Prior audit access record
Full-register audit source access (evidence cutoff 25 October 2026)
https://www.gov.za/news/media-statements/border-management-authority-temporary-closure-lebombo-port-entry-05-nov-2024: full text
https://www.snl24.com/dailysun/news/mozambique-unrest-lebombo-border-partially-reopens-20241106/: full text
https://www.ewn.co.za/2024/11/07/sa-shuts-lebombo-border-post-again-as-situation-in-mozambique-remains-volatile: full text
https://www.gov.za/news/media-statements/border-management-authority-partially-reopens-lebombo-port-entry-08-nov-2024: full text
https://www.reuters.com/world/africa/south-africa-partially-reopens-border-after-mozambique-vote-sparks-concern-2024-11-09/: search extract
https://jornalnoticias.co.mz/page/784/?a=register&amp;c=index&amp;format=feed&amp;m=member&amp;siteid=1&amp;type=atom: search extract — Canonical article timed out; archive identifies publication and body.
https://www.jacarandafm.com/news/news/lebombo-border-post-completely-closed-bma/: search extract — Page extract omits date; chronology matches contemporaneous November 7 reporting.
Earlier source URLs not separately listed in this audit’s retrieval log (historical access notes below are not fresh verification):
https://www.rm.co.mz/fronteira-de-ressano-garcia-reaberta-de-forma-condicionada/
https://www.gov.za/news/media-statements/border-management-authority-and-south-african-revenue-service-working-clear
https://www.sabcnews.com/sabcnews/981758-2/
https://jornalnoticias.co.mz/destaque/quatro-dias-apos-interrupcao-ressano-garcia-reabre-ao-trafego-de-camioes/
https://www.sabcnews.com/sabcnews/lebombo-border-post-temporarily-closed-again/
https://www.citizen.co.za/lowvelder/news-headlines/local-news/2024/11/08/lebombo-border-post-partially-opened-to-allow-movement-of-people/
https://www.sabcnews.com/sabcnews/941244-2/
https://opais.co.mz/mocambique-perdeu-cerca-de-400-milhoes-com-o-encerramento-da-fronteira-de-ressano-garcia/
https://www.snl24.com/dailysun/news/lebombo-border-post-closed-amid-mozambique-protests-20241107/
https://www.enca.com/news-top-stories/lebombo-border-post-reopened-after-temporary-closure
https://www.sanews.gov.za/south-africa/lebombo-border-open-cargo
Earlier recorded access
Source 1: indexed excerpt; full
Source 2: indexed excerpt
Source 3: full</x:v>
      </x:c>
      <x:c r="P311" s="20" t="n">
        <x:v>1</x:v>
      </x:c>
      <x:c r="Q311" s="4" t="str">
        <x:v>Southern and Central Africa</x:v>
      </x:c>
      <x:c r="R311" s="4" t="str">
        <x:v>Included</x:v>
      </x:c>
    </x:row>
    <x:row r="312" ht="409" hidden="0" customHeight="1">
      <x:c r="A312" s="16" t="str">
        <x:v>SC26</x:v>
      </x:c>
      <x:c r="B312" s="4" t="str">
        <x:v>Lebombo December 2024 renewed suspension</x:v>
      </x:c>
      <x:c r="C312" s="4" t="str">
        <x:v>South Africa; Mozambique</x:v>
      </x:c>
      <x:c r="D312" s="4" t="str">
        <x:v>Lebombo / Ressano Garcia
Lebombo / Ressano Garcia crossing</x:v>
      </x:c>
      <x:c r="E312" s="4" t="str">
        <x:v>Passengers and general cargo were affected by the renewed December 9 suspension. The dated phase concerns ordinary commercial cargo processing.
Direction: Entry into Mozambique was obstructed; normal cargo processing in both directions was confirmed by December 16.
Exceptions: Passenger and small-vehicle movements had returned by December 11, at reduced levels and variable times. This does not date cargo reopening. Special cargo releases are not exhaustively reconstructed.</x:v>
      </x:c>
      <x:c r="F312" s="4" t="str">
        <x:v>SC26-D1 — Observed operation
Ordinary commercial cargo processing at Lebombo during the renewed December 9 suspension.
Start: 2024-12-09.
First reported partial cargo return: 2024-12-12 to 2024-12-14.
3–5 calendar-day difference to a scoped endpoint; not a count of uninterrupted closed days.
Separate later observation: normal cargo processing in both directions and a cleared backlog were confirmed on 2024-12-16.
Greater-than-24-hour eligibility is supported for the reported general-cargo suspension: the December 12 BMA update says cargo remained suspended after Monday, December 9. This is distinct from intermittent passenger processing and does not measure all exceptional cargo releases or exact elapsed closed hours.</x:v>
      </x:c>
      <x:c r="G312" s="4" t="str">
        <x:v>Security / Public order and immediate safety
Reported BMA explanation
Applies to: SC26-D1
The December 12 BMA account links the suspension to unrest and protesters blocking entry into Mozambique; passenger windows depended on conditions subsiding.
Electoral politics / Electoral disputes and transitions
Analytical interpretation of reported context
Applies to: SC26-D1
The unrest followed disputed election results. This records context without inferring that the border authority intended to influence the election.</x:v>
      </x:c>
      <x:c r="H312" s="4" t="str">
        <x:v>SC26-D1: SAnews on December 12 states that cargo remained suspended, although passengers were processed on December 11. SABC on December 14 reports progress processing people and cargo, while its spokesperson stresses minimal movement and variable operating windows. These observations bound first reported partial cargo return to December 12–14, without proving uninterrupted closure or full normal capacity. The Citizen on December 18 retrospectively dates reopening to December 13; that date is attributed reporting, not a verified first-truck timestamp. The December 16 BMA statement separately confirms normal cargo in both directions and a cleared backlog. Earlier daily blockades, special releases and later recurrences are not folded into one continuous closure. The official December 12 statement’s continuing general-cargo suspension after the December 9 start supports a restriction exceeding 24 hours for that service. This does not convert the 3–5 calendar-day endpoint range into uninterrupted closure of all traffic, nor override the documented intermittent passenger access.</x:v>
      </x:c>
      <x:c r="I312" s="4" t="str">
        <x:v>Second full-register audit, 26 October 2026: additional source-audited corrections incorporated. See the phase, scope and qualification columns for the accepted findings.</x:v>
      </x:c>
      <x:c r="J312" s="18" t="d">
        <x:v>2026-10-26T00:00:00.000Z</x:v>
      </x:c>
      <x:c r="K312" s="21" t="str">
        <x:f>IFERROR(HYPERLINK("https://www.sanews.gov.za/south-africa/operations-lebombo-port-entry-resume","SAnews"),"SAnews")</x:f>
        <x:v>SAnews</x:v>
      </x:c>
      <x:c r="L312" s="21" t="str">
        <x:f>IFERROR(HYPERLINK("https://fullview.co.za/key-south-african-trade-route-to-mozambique-remain-closed-as-protests-flare/","Fullview"),"Fullview")</x:f>
        <x:v>Fullview</x:v>
      </x:c>
      <x:c r="M312" s="21" t="str">
        <x:f>IFERROR(HYPERLINK("https://www.enca.com/news/lebombo-border-post-fully-operational-and-traffic-cleared","eNCA"),"eNCA")</x:f>
        <x:v>eNCA</x:v>
      </x:c>
      <x:c r="N312" s="4" t="str">
        <x:v>https://www.sanews.gov.za/south-africa/operations-lebombo-port-entry-resume
https://fullview.co.za/key-south-african-trade-route-to-mozambique-remain-closed-as-protests-flare/
https://www.enca.com/news/lebombo-border-post-fully-operational-and-traffic-cleared
https://www.gov.za/news/media-statements/border-management-authority-lebombo-operations-running-smoothly-holiday
https://www.sabcnews.com/sabcnews/995965-2/
https://www.sanews.gov.za/south-africa/operations-run-smoothly-lebombo-port-entry
https://www.bma.gov.za/wp-content/uploads/2024/12/MEDIA-STATEMENT-UPDATE-ON-THE-LEBOMBO-OPERATIONS.pdf
https://apanews.net/south-africa-halts-truck-processing-at-mozambique-border/
https://www.ewn.co.za/2024/12/24/bma-parts-of-mozambique-unstable-but-lebombo-operations-not-affected
https://www.citizen.co.za/business/decline-in-trade-as-cargo-moves-freely-between-mozambique-and-sa/
https://www.sabcnews.com/sabcnews/vehicles-and-passengers-being-processed-at-lebombo-border-post/</x:v>
      </x:c>
      <x:c r="O312" s="4" t="str">
        <x:v>Second full-register audit source access, 26 October 2026
https://www.sanews.gov.za/south-africa/operations-lebombo-port-entry-resume: full text (fresh retrieval)
https://www.sabcnews.com/sabcnews/995965-2/: search extract (fresh retrieval) — Substantive article body indexed; direct page returned 500.
https://www.sanews.gov.za/south-africa/operations-run-smoothly-lebombo-port-entry: full text (fresh retrieval)
https://www.citizen.co.za/business/decline-in-trade-as-cargo-moves-freely-between-mozambique-and-sa/: full text (fresh retrieval)
https://www.sabcnews.com/sabcnews/vehicles-and-passengers-being-processed-at-lebombo-border-post/: search extract (fresh retrieval) — Indexed text confirms trucks remained suspended December 12; original not separately opened.
Earlier URLs not separately inspected in this second assessment:
https://fullview.co.za/key-south-african-trade-route-to-mozambique-remain-closed-as-protests-flare/
https://www.enca.com/news/lebombo-border-post-fully-operational-and-traffic-cleared
https://www.gov.za/news/media-statements/border-management-authority-lebombo-operations-running-smoothly-holiday
https://www.bma.gov.za/wp-content/uploads/2024/12/MEDIA-STATEMENT-UPDATE-ON-THE-LEBOMBO-OPERATIONS.pdf
https://apanews.net/south-africa-halts-truck-processing-at-mozambique-border/
https://www.ewn.co.za/2024/12/24/bma-parts-of-mozambique-unstable-but-lebombo-operations-not-affected
Prior audit access record
Full-register audit source access (evidence cutoff 25 October 2026)
https://www.sanews.gov.za/south-africa/operations-lebombo-port-entry-resume: full text
https://www.sabcnews.com/sabcnews/995965-2/: search extract — Substantive body recovered in index; direct article returned 500.
https://www.citizen.co.za/business/decline-in-trade-as-cargo-moves-freely-between-mozambique-and-sa/: full text
https://www.sanews.gov.za/south-africa/operations-run-smoothly-lebombo-port-entry: full text
https://www.gov.za/news/media-statements/border-management-authority-lebombo-operations-running-smoothly-holiday: search extract
https://www.bma.gov.za/wp-content/uploads/2024/12/MEDIA-STATEMENT-UPDATE-ON-THE-LEBOMBO-OPERATIONS.pdf: search extract — PDF direct retrieval timed out; substantive text indexed.
Earlier source URLs not separately listed in this audit’s retrieval log (historical access notes below are not fresh verification):
https://fullview.co.za/key-south-african-trade-route-to-mozambique-remain-closed-as-protests-flare/
https://www.enca.com/news/lebombo-border-post-fully-operational-and-traffic-cleared
https://apanews.net/south-africa-halts-truck-processing-at-mozambique-border/
https://www.ewn.co.za/2024/12/24/bma-parts-of-mozambique-unstable-but-lebombo-operations-not-affected
Earlier recorded access
Source 1: full text
Source 2: full text
Source 3: full text</x:v>
      </x:c>
      <x:c r="P312" s="20" t="n">
        <x:v>1</x:v>
      </x:c>
      <x:c r="Q312" s="4" t="str">
        <x:v>Southern and Central Africa</x:v>
      </x:c>
      <x:c r="R312" s="4" t="str">
        <x:v>Included</x:v>
      </x:c>
    </x:row>
    <x:row r="313" ht="409" hidden="0" customHeight="1">
      <x:c r="A313" s="16" t="str">
        <x:v>SC09</x:v>
      </x:c>
      <x:c r="B313" s="4" t="str">
        <x:v>Chad Sudan renewed closure after incursions</x:v>
      </x:c>
      <x:c r="C313" s="4" t="str">
        <x:v>Chad; Sudan</x:v>
      </x:c>
      <x:c r="D313" s="4" t="str">
        <x:v>Not established
Chad–Sudan land frontier</x:v>
      </x:c>
      <x:c r="E313" s="4" t="str">
        <x:v>Not established
Direction: Not established
Exceptions: Exceptional humanitarian cases may be authorised</x:v>
      </x:c>
      <x:c r="F313" s="4" t="str">
        <x:v>SC09-D1 — Formal policy
Chad's ordinary-traveller closure policy at the Sudan frontier, through the live-advice observation.
Start: 2026-02-23.
Last confirmed: 2026-02-23. Reopening is not established.
Contested: Formal policy: dated evidence; numeric duration withheld; see qualification
Held evidence: excluded from numeric duration and animation displays.
SC09-C7P1 — Formal policy
Chad Sudan ordinary-traveller restriction in the October21 advice observation
Start: unknown.
Last confirmed: 2026-10-21. Reopening is not established.
Formal policy: dated evidence; numeric duration withheld; see qualification
SC09-C7P2 — Intermittent regime
Adré commercial movement disrupted by repeated Chadian openings and reclosures
Start: 2026-03-09.
Observed scoped reopening: 2026-03-31.
Intermittent regime envelope; total closed days unknown</x:v>
      </x:c>
      <x:c r="G313"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x:v>
      </x:c>
      <x:c r="H313" s="4" t="str">
        <x:v>National February 23 closure order and October 21 FCDO observation are separate evidence points. Local commercial/civilian openings on February 23, by March 2, March 11 and March 12 prevent treating the intervening policy as demonstrably continuous. Darfur24 reports March 11 opening lasted only hours before reclosure.
SC09-D1: Humanitarian permissions were excepted. Later local openings and reclosures prevent extending this observation continuously to October. Separate phases retain Adré operations and the October21 advice observation.
SC09-C7P1: Single dated advice observation; not proof that every intervening day since February23 had identical rules or physical closure. Humanitarian exceptions remain separate.
SC09-C7P2: This is an evidence envelope, not continuously closed days. March12 trading passage was also reported. March31 is scoped commercial resumption and does not establish unrestricted passenger entry or enduring later openness.
continuity: Fresh March 11 eyewitness report adds another explicit commercial opening and reclosure. Retain contested continuity status; it prevents interpreting the February–October phase as an uninterrupted operational spell. Legal permission instruments remain missing.
Current finding: Fresh local reporting establishes repeated openings and reclosures; a continuous February–October span is unsupported and has been removed.
source verification: Fresh March 11 eyewitness report adds another explicit commercial opening and reclosure. Retain contested continuity status; it prevents interpreting the February–October phase as an uninterrupted operational spell. Legal permission instruments remain missing.</x:v>
      </x:c>
      <x:c r="I313" s="4" t="str">
        <x:v>Second full-register audit, 26 October 2026: qualified. Fresh local accounts confirm the accepted intermittent chronology, including brief February and March openings; no continuous February–October closure is justified.</x:v>
      </x:c>
      <x:c r="J313" s="18" t="d">
        <x:v>2026-10-26T00:00:00.000Z</x:v>
      </x:c>
      <x:c r="K313" s="21" t="str">
        <x:f>IFERROR(HYPERLINK("https://apnews.com/article/ceeccfabc33852c2aa641787a4ea2d82","Associated Press"),"Associated Press")</x:f>
        <x:v>Associated Press</x:v>
      </x:c>
      <x:c r="L313" s="21" t="str">
        <x:f>IFERROR(HYPERLINK("https://www.arabnews.com/world/chad-says-sudan-border-closed-until-further-notice-2634101","Arab News"),"Arab News")</x:f>
        <x:v>Arab News</x:v>
      </x:c>
      <x:c r="M313" s="21" t="str">
        <x:f>IFERROR(HYPERLINK("https://www.gov.uk/foreign-travel-advice/chad/regional-risks","UK Foreign Commonwealth and Development Office"),"UK Foreign Commonwealth and Development Office")</x:f>
        <x:v>UK Foreign Commonwealth and Development Office</x:v>
      </x:c>
      <x:c r="N313" s="4" t="str">
        <x:v>https://apnews.com/article/ceeccfabc33852c2aa641787a4ea2d82
https://www.arabnews.com/world/chad-says-sudan-border-closed-until-further-notice-2634101
https://www.gov.uk/foreign-travel-advice/chad/regional-risks
https://darfur24.com/en/2026/02/25/chad-re-closes-adre-crossing-with-sudan-after-brief-reopening/
https://3ayin.com/en/chad-4-/
https://darfur24.com/en/2026/03/11/drivers-injured-as-chadian-forces-disperse-crowds-at-adre-border-crossing/
https://darfur24.com/2026/03/31/%D8%A7%D8%B3%D8%AA%D8%A6%D9%86%D8%A7%D9%81-%D8%A7%D9%84%D8%AD%D8%B1%D9%83%D8%A9-%D8%A7%D9%84%D8%AA%D8%AC%D8%A7%D8%B1%D9%8A%D8%A9-%D8%B9%D8%A8%D8%B1-%D9%85%D8%B9%D8%A8%D8%B1-%D8%A3%D8%AF%D8%B1%D9%8A/
https://darfur24.com/2026/03/09/%D8%AA%D8%B4%D8%A7%D8%AF-%D8%AA%D8%B9%D9%8A%D8%AF-%D8%A5%D8%BA%D9%84%D8%A7%D9%82-%D9%85%D8%B9%D8%A8%D8%B1-%D8%A3%D8%AF%D8%B1%D9%8A-%D8%A8%D8%B9%D8%AF-%D8%B3%D8%A7%D8%B9%D8%A7%D8%AA-%D9%85%D9%86-%D9%81/
https://sudantribune.com/article/310976
https://www.rescue.org/press-release/sudan-irc-statement-closure-chad-border-crossing
https://allafrica.com/stories/202603130020.html
https://logcluster.org/en/alerts/adre-border-crossing-extended-until-31-december
https://halifax.citynews.ca/2026/02/23/chad-closes-its-border-with-sudan-after-fighters-spilled-into-its-territory/
https://darfur24.com/2026/03/31/استئناف-الحركة-التجارية-عبر-معبر-أدري/
https://darfur24.com/2026/03/09/تشاد-تعيد-إغلاق-معبر-أدري-بعد-ساعات-من-ف/</x:v>
      </x:c>
      <x:c r="O313" s="4" t="str">
        <x:v>Second full-register audit source access, 26 October 2026
https://halifax.citynews.ca/2026/02/23/chad-closes-its-border-with-sudan-after-fighters-spilled-into-its-territory/: full text (fresh retrieval)
https://www.gov.uk/foreign-travel-advice/chad/regional-risks: full text (fresh retrieval) — Live advice cannot reconstruct preceding daily rules.
https://darfur24.com/en/2026/02/25/chad-re-closes-adre-crossing-with-sudan-after-brief-reopening/: full text (fresh retrieval)
https://3ayin.com/en/chad-4-/: search extract (fresh retrieval) — Direct fetch returned 429; substantive indexed article inspected.
https://darfur24.com/2026/03/09/%D8%AA%D8%B4%D8%A7%D8%AF-%D8%AA%D8%B9%D9%8A%D8%AF-%D8%A5%D8%BA%D9%84%D8%A7%D9%82-%D9%85%D8%B9%D8%A8%D8%B1-%D8%A3%D8%AF%D8%B1%D9%8A-%D8%A8%D8%B9%D8%AF-%D8%B3%D8%A7%D8%B9%D8%A7%D8%AA-%D9%85%D9%86-%D9%81/: full text (fresh retrieval)
https://darfur24.com/en/2026/03/11/drivers-injured-as-chadian-forces-disperse-crowds-at-adre-border-crossing/: full text (fresh retrieval)
https://darfur24.com/2026/03/31/%D8%A7%D8%B3%D8%AA%D8%A6%D9%86%D8%A7%D9%81-%D8%A7%D9%84%D8%AD%D8%B1%D9%83%D8%A9-%D8%A7%D9%84%D8%AA%D8%AC%D8%A7%D8%B1%D9%8A%D8%A9-%D8%B9%D8%A8%D8%B1-%D9%85%D8%B9%D8%A8%D8%B1-%D8%A3%D8%AF%D8%B1%D9%8A/: full text (fresh retrieval)
Earlier URLs not separately inspected in this second assessment:
https://apnews.com/article/ceeccfabc33852c2aa641787a4ea2d82
https://www.arabnews.com/world/chad-says-sudan-border-closed-until-further-notice-2634101
https://sudantribune.com/article/310976
https://www.rescue.org/press-release/sudan-irc-statement-closure-chad-border-crossing
https://allafrica.com/stories/202603130020.html
https://logcluster.org/en/alerts/adre-border-crossing-extended-until-31-december
https://darfur24.com/2026/03/31/استئناف-الحركة-التجارية-عبر-معبر-أدري/
https://darfur24.com/2026/03/09/تشاد-تعيد-إغلاق-معبر-أدري-بعد-ساعات-من-ف/
Prior audit access record
Full-register audit source access (evidence cutoff 25 October 2026)
https://halifax.citynews.ca/2026/02/23/chad-closes-its-border-with-sudan-after-fighters-spilled-into-its-territory/: full text — See specific claim qualifications.
https://www.gov.uk/foreign-travel-advice/chad/regional-risks: full text — See specific claim qualifications.
https://darfur24.com/en/2026/02/25/chad-re-closes-adre-crossing-with-sudan-after-brief-reopening/: full text — See specific claim qualifications.
https://darfur24.com/en/2026/03/11/drivers-injured-as-chadian-forces-disperse-crowds-at-adre-border-crossing/: full text — See specific claim qualifications.
https://darfur24.com/2026/03/31/استئناف-الحركة-التجارية-عبر-معبر-أدري/: full text — See specific claim qualifications.
https://darfur24.com/2026/03/09/تشاد-تعيد-إغلاق-معبر-أدري-بعد-ساعات-من-ف/: full text — See specific claim qualifications.
https://3ayin.com/en/chad-4-/: full text — See specific claim qualifications.
https://sudantribune.com/article/310976: full text — See specific claim qualifications.
Earlier source URLs not separately listed in this audit’s retrieval log (historical access notes below are not fresh verification):
https://apnews.com/article/ceeccfabc33852c2aa641787a4ea2d82
https://www.arabnews.com/world/chad-says-sudan-border-closed-until-further-notice-2634101
https://darfur24.com/2026/03/31/%D8%A7%D8%B3%D8%AA%D8%A6%D9%86%D8%A7%D9%81-%D8%A7%D9%84%D8%AD%D8%B1%D9%83%D8%A9-%D8%A7%D9%84%D8%AA%D8%AC%D8%A7%D8%B1%D9%8A%D8%A9-%D8%B9%D8%A8%D8%B1-%D9%85%D8%B9%D8%A8%D8%B1-%D8%A3%D8%AF%D8%B1%D9%8A/
https://darfur24.com/2026/03/09/%D8%AA%D8%B4%D8%A7%D8%AF-%D8%AA%D8%B9%D9%8A%D8%AF-%D8%A5%D8%BA%D9%84%D8%A7%D9%82-%D9%85%D8%B9%D8%A8%D8%B1-%D8%A3%D8%AF%D8%B1%D9%8A-%D8%A8%D8%B9%D8%AF-%D8%B3%D8%A7%D8%B9%D8%A7%D8%AA-%D9%85%D9%86-%D9%81/
https://www.rescue.org/press-release/sudan-irc-statement-closure-chad-border-crossing
https://allafrica.com/stories/202603130020.html
https://logcluster.org/en/alerts/adre-border-crossing-extended-until-31-december
Earlier recorded access
Source 1: search extract
Source 2: full page
Source 3: full page</x:v>
      </x:c>
      <x:c r="P313" s="20" t="n">
        <x:v>3</x:v>
      </x:c>
      <x:c r="Q313" s="4" t="str">
        <x:v>Southern and Central Africa</x:v>
      </x:c>
      <x:c r="R313" s="4" t="str">
        <x:v>Included</x:v>
      </x:c>
    </x:row>
    <x:row r="314" ht="409" hidden="0" customHeight="1">
      <x:c r="A314" s="16" t="str">
        <x:v>SC12</x:v>
      </x:c>
      <x:c r="B314" s="4" t="str">
        <x:v>Botswana COVID passenger border closure</x:v>
      </x:c>
      <x:c r="C314" s="4" t="str">
        <x:v>Botswana; South Africa; Namibia; Zimbabwe; Zambia</x:v>
      </x:c>
      <x:c r="D314" s="4" t="str">
        <x:v>Kazungula road/ferry; Ngoma; Ramokgwebana; Martins Drift; Ramatlabama; Tlokweng; Mamuno; Pioneer; Mohembo reopened
National road and rail passenger travel</x:v>
      </x:c>
      <x:c r="E314" s="4" t="str">
        <x:v>Non-exempt ordinary passengers; freight and defined essential movement excepted.
Direction: Entry into and exit from Botswana, subject to returnee/essential-movement exceptions; calculated interval scoped to ordinary passengers at Tlokweng.
Exceptions: Returning citizens subject to quarantine; closely monitored essential services and commodities, including links with South Africa and Zambia.</x:v>
      </x:c>
      <x:c r="F314" s="4" t="str">
        <x:v>SC12-D1 — Formal policy with observed scoped reopening
Botswana restriction on non-exempt ordinary passenger land travel, assessed at Tlokweng; freight, returning citizens and defined essential movement excepted.
Formal start: 2020-03-24.
Observed scoped reopening: 2020-12-01.
252 calendar-day difference from the policy announcement to the Tlokweng reopening; exact first operational denial and uninterrupted all-person closure are not established.</x:v>
      </x:c>
      <x:c r="G31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14" s="4" t="str">
        <x:v>SC12-D1: March 24 is the immediate policy announcement, not an independently observed first refusal at Tlokweng. The November 9 legal notice schedules December 1 ground reopening; BOPA reports actual arrivals and departures at Tlokweng on December 1. The 252-day policy-anchored interval does not represent all traffic or every border post. Returning citizens were subject to quarantine, and essential services and commodities remained permitted under controls. Reopening retained testing and health requirements.</x:v>
      </x:c>
      <x:c r="I314" s="4" t="str">
        <x:v>Second full-register audit, 26 October 2026: additional source-audited corrections incorporated. See the phase, scope and qualification columns for the accepted findings.</x:v>
      </x:c>
      <x:c r="J314" s="18" t="d">
        <x:v>2026-10-26T00:00:00.000Z</x:v>
      </x:c>
      <x:c r="K314" s="21" t="str">
        <x:f>IFERROR(HYPERLINK("https://www.afro.who.int/countries/botswana/news/state-public-emergency-starts-midnight-covid-19-response","WHO Africa"),"WHO Africa")</x:f>
        <x:v>WHO Africa</x:v>
      </x:c>
      <x:c r="L314" s="21" t="str">
        <x:f>IFERROR(HYPERLINK("https://www.botswanaembassy.org/node/2258","Botswana Embassy"),"Botswana Embassy")</x:f>
        <x:v>Botswana Embassy</x:v>
      </x:c>
      <x:c r="M314" s="21" t="str">
        <x:f>IFERROR(HYPERLINK("https://dailynews.gov.bw/news-detail/59914","DailyNews"),"DailyNews")</x:f>
        <x:v>DailyNews</x:v>
      </x:c>
      <x:c r="N314" s="4" t="str">
        <x:v>https://www.afro.who.int/countries/botswana/news/state-public-emergency-starts-midnight-covid-19-response
https://www.botswanaembassy.org/node/2258
https://dailynews.gov.bw/news-detail/59914
https://extranet.who.int/sph/sites/default/files/document-library/document/IAR%20COVID-19%20Botswana%20%2809-12%20Nov%202020%29.pdf
https://www.voanews.com/a/science-health_coronavirus-outbreak_botswana-no-covid-19-cases-closes-borders-after-death-zimbabwe/6186332.html
https://dailynews.gov.bw/news-detail/55267
https://gov.bw/sites/default/files/2020-11/LIFTING.pdf
https://extranet.who.int/sph/fr/file/6280/download?token=gZg1CNFx
https://dailynews.gov.bw/news-detail/55228
https://dailynews.gov.bw/news-detail/55258
https://gov.bw/sites/default/files/2020-11/Gazette%2009-11-2020.pdf</x:v>
      </x:c>
      <x:c r="O314" s="4" t="str">
        <x:v>Second full-register audit source access, 26 October 2026
https://www.voanews.com/a/science-health_coronavirus-outbreak_botswana-no-covid-19-cases-closes-borders-after-death-zimbabwe/6186332.html: full text (fresh retrieval)
https://www.afro.who.int/countries/botswana/news/state-public-emergency-starts-midnight-covid-19-response: search extract (fresh retrieval) — Substantive indexed account.
https://gov.bw/sites/default/files/2020-11/LIFTING.pdf: search extract (fresh retrieval) — Operative text and schedule inspected in indexed PDF extraction.
https://dailynews.gov.bw/news-detail/59914: search extract (fresh retrieval) — Direct timeout; indexed complete substantive article inspected.
Earlier URLs not separately inspected in this second assessment:
https://www.botswanaembassy.org/node/2258
https://extranet.who.int/sph/sites/default/files/document-library/document/IAR%20COVID-19%20Botswana%20%2809-12%20Nov%202020%29.pdf
https://dailynews.gov.bw/news-detail/55267
https://extranet.who.int/sph/fr/file/6280/download?token=gZg1CNFx
https://dailynews.gov.bw/news-detail/55228
https://dailynews.gov.bw/news-detail/55258
https://gov.bw/sites/default/files/2020-11/Gazette%2009-11-2020.pdf
Prior audit access record
Full-register audit source access (evidence cutoff 25 October 2026)
https://www.voanews.com/a/science-health_coronavirus-outbreak_botswana-no-covid-19-cases-closes-borders-after-death-zimbabwe/6186332.html: full text — See specific claim qualifications.
https://dailynews.gov.bw/news-detail/55258: full text — See specific claim qualifications.
https://www.afro.who.int/countries/botswana/news/state-public-emergency-starts-midnight-covid-19-response: full text — See specific claim qualifications.
https://www.botswanaembassy.org/node/2258: full text — See specific claim qualifications.
https://gov.bw/sites/default/files/2020-11/Gazette%2009-11-2020.pdf: full text — See specific claim qualifications.
https://dailynews.gov.bw/news-detail/59914: search extract — Direct retrieval timed out; substantial indexed article inspected.
Earlier source URLs not separately listed in this audit’s retrieval log (historical access notes below are not fresh verification):
https://extranet.who.int/sph/sites/default/files/document-library/document/IAR%20COVID-19%20Botswana%20%2809-12%20Nov%202020%29.pdf
https://dailynews.gov.bw/news-detail/55267
https://gov.bw/sites/default/files/2020-11/LIFTING.pdf
https://extranet.who.int/sph/fr/file/6280/download?token=gZg1CNFx
https://dailynews.gov.bw/news-detail/55228
Earlier recorded access
Source 1: full page
Source 2: full page
Source 3: full page</x:v>
      </x:c>
      <x:c r="P314" s="20" t="n">
        <x:v>1</x:v>
      </x:c>
      <x:c r="Q314" s="4" t="str">
        <x:v>Southern and Central Africa</x:v>
      </x:c>
      <x:c r="R314" s="4" t="str">
        <x:v>Included</x:v>
      </x:c>
    </x:row>
    <x:row r="315" ht="306" hidden="0" customHeight="1">
      <x:c r="A315" s="16" t="str">
        <x:v>SUP-002</x:v>
      </x:c>
      <x:c r="B315" s="4" t="str">
        <x:v>Togo municipal election closure 2019</x:v>
      </x:c>
      <x:c r="C315" s="4" t="str">
        <x:v>Togo; Ghana; Benin; Burkina Faso</x:v>
      </x:c>
      <x:c r="D315" s="4" t="str">
        <x:v>All land crossings covered by the order
National land-border order</x:v>
      </x:c>
      <x:c r="E315" s="4" t="str">
        <x:v>Land-border users; detailed goods or nationality exceptions not specified
Direction: General border closure order; no directional exception specified
Exceptions: Not established in sources</x:v>
      </x:c>
      <x:c r="F315" s="4" t="str">
        <x:v>SUP-002-R1 — Announced window
Togo land-border closure order for municipal polling
Start: 2019-06-29 to 2019-06-30.
Scheduled endpoint: 2019-06-30 to 2019-07-01.
Ordered window: dated evidence; numeric duration withheld; see qualification</x:v>
      </x:c>
      <x:c r="G315"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315" s="4" t="str">
        <x:v>SUP-002-R1: Two correlated schedules are reported: Saturday 29 June evening to Sunday 30 June evening, or 30 June 00:00 to 1 July 00:00. They must not be combined into a two-day interval. The precise alternative is 24 hours, while the evening wording does not establish a strict duration above 24 hours. Actual enforcement and reopening are unverified.</x:v>
      </x:c>
      <x:c r="I315" s="4" t="str">
        <x:v>Second full-register audit, 26 October 2026: additional source-audited corrections incorporated. See the phase, scope and qualification columns for the accepted findings.</x:v>
      </x:c>
      <x:c r="J315" s="18" t="d">
        <x:v>2026-10-26T00:00:00.000Z</x:v>
      </x:c>
      <x:c r="K315" s="21" t="str">
        <x:f>IFERROR(HYPERLINK("https://www.republicoftogo.com/toutes-les-rubriques/politique/frontieres-fermees-pour-les-municipales","Republic of Togo"),"Republic of Togo")</x:f>
        <x:v>Republic of Togo</x:v>
      </x:c>
      <x:c r="L315" s="21" t="str">
        <x:f>IFERROR(HYPERLINK("https://l-frii.com/togo-locales-2019-fermeture-des-frontieres-terrestres-ce-dimanche-30-juin/","L-Frii"),"L-Frii")</x:f>
        <x:v>L-Frii</x:v>
      </x:c>
      <x:c r="M315" s="21" t="str">
        <x:f>IFERROR(HYPERLINK("https://www.aa.com.tr/fr/afrique/le-togo-ferme-ses-fronti%C3%A8res-terrestres-%C3%A0-la-veille-des-municipales-/1519225","Anadolu Agency"),"Anadolu Agency")</x:f>
        <x:v>Anadolu Agency</x:v>
      </x:c>
      <x:c r="N315" s="4" t="str">
        <x:v>https://www.republicoftogo.com/toutes-les-rubriques/politique/frontieres-fermees-pour-les-municipales
https://l-frii.com/togo-locales-2019-fermeture-des-frontieres-terrestres-ce-dimanche-30-juin/
https://www.aa.com.tr/fr/afrique/le-togo-ferme-ses-fronti%C3%A8res-terrestres-%C3%A0-la-veille-des-municipales-/1519225</x:v>
      </x:c>
      <x:c r="O315" s="4" t="str">
        <x:v>Second full-register audit source access, 26 October 2026
https://www.republicoftogo.com/toutes-les-rubriques/politique/frontieres-fermees-pour-les-municipales: full text (fresh retrieval)
https://l-frii.com/togo-locales-2019-fermeture-des-frontieres-terrestres-ce-dimanche-30-juin/: search extract (fresh retrieval) — Direct 429; indexed text only.
https://www.aa.com.tr/fr/afrique/le-togo-ferme-ses-fronti%C3%A8res-terrestres-%C3%A0-la-veille-des-municipales-/1519225: full text (fresh retrieval)
Prior audit access record
Full-register audit source access (evidence cutoff 25 October 2026)
https://www.republicoftogo.com/toutes-les-rubriques/politique/frontieres-fermees-pour-les-municipales: full text
https://l-frii.com/togo-locales-2019-fermeture-des-frontieres-terrestres-ce-dimanche-30-juin/: search extract — Direct page returned 429; not an observed operational interval.
Earlier source URLs not separately listed in this audit’s retrieval log (historical access notes below are not fresh verification):
https://www.aa.com.tr/fr/afrique/le-togo-ferme-ses-fronti%C3%A8res-terrestres-%C3%A0-la-veille-des-municipales-/1519225
Earlier recorded access
Source 1: full; full text
Source 2: indexed excerpt; indexed extract
Source 3: full text</x:v>
      </x:c>
      <x:c r="P315" s="20" t="n">
        <x:v>1</x:v>
      </x:c>
      <x:c r="Q315" s="4" t="str">
        <x:v>West Africa</x:v>
      </x:c>
      <x:c r="R315" s="4" t="str">
        <x:v>Included</x:v>
      </x:c>
    </x:row>
    <x:row r="316" ht="210" hidden="0" customHeight="1">
      <x:c r="A316" s="16" t="str">
        <x:v>SUP-003</x:v>
      </x:c>
      <x:c r="B316" s="4" t="str">
        <x:v>Togo municipal election closure 2025</x:v>
      </x:c>
      <x:c r="C316" s="4" t="str">
        <x:v>Togo; Ghana; Benin; Burkina Faso</x:v>
      </x:c>
      <x:c r="D316" s="4" t="str">
        <x:v>All land crossings covered by the order
National land-border order</x:v>
      </x:c>
      <x:c r="E316" s="4" t="str">
        <x:v>Land-border users; detailed goods or nationality exceptions not specified
Direction: General border closure order; no directional exception specified
Exceptions: Not established in sources</x:v>
      </x:c>
      <x:c r="F316" s="4" t="str">
        <x:v>SUP-003-R1 — Announced window
Togo land borders only
Start: 2025-07-17.
Scheduled endpoint: 2025-07-17.
Ordered window: Same-day episode; no whole-day duration inferred</x:v>
      </x:c>
      <x:c r="G316"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316" s="4" t="str">
        <x:v>SUP-003-R1: 00:00–23:59 local time; date-only schema is not a zero-hour observed closure. Air and maritime routes exempt.</x:v>
      </x:c>
      <x:c r="I316" s="4" t="str">
        <x:v>Second full-register audit, 26 October 2026: qualified. Official 2025 order confirms land-only 00:00–23:59 election closure, with air and sea open. No extension or actual reopening report found.</x:v>
      </x:c>
      <x:c r="J316" s="18" t="d">
        <x:v>2026-10-26T00:00:00.000Z</x:v>
      </x:c>
      <x:c r="K316" s="21" t="str">
        <x:f>IFERROR(HYPERLINK("https://www.republiquetogolaise.tg/politique/1607-10883-elections-municipales-les-frontieres-terrestres-fermees-le-17-juillet","Togo official portal"),"Togo official portal")</x:f>
        <x:v>Togo official portal</x:v>
      </x:c>
      <x:c r="L316" s="21" t="str">
        <x:f>IFERROR(HYPERLINK("https://www.togofirst.com/fr/politique/1507-16766-municipales-2025-le-togo-ferme-ses-frontieres-terrestres-le-17-juillet-jour-du-scrutin","togofirst.com"),"togofirst.com")</x:f>
        <x:v>togofirst.com</x:v>
      </x:c>
      <x:c r="M316" s="21"/>
      <x:c r="N316" s="4" t="str">
        <x:v>https://www.republiquetogolaise.tg/politique/1607-10883-elections-municipales-les-frontieres-terrestres-fermees-le-17-juillet
https://www.togofirst.com/fr/politique/1507-16766-municipales-2025-le-togo-ferme-ses-frontieres-terrestres-le-17-juillet-jour-du-scrutin</x:v>
      </x:c>
      <x:c r="O316" s="4" t="str">
        <x:v>Second full-register audit source access, 26 October 2026
https://www.republiquetogolaise.tg/politique/1607-10883-elections-municipales-les-frontieres-terrestres-fermees-le-17-juillet: full text (fresh retrieval)
https://www.togofirst.com/fr/politique/1507-16766-municipales-2025-le-togo-ferme-ses-frontieres-terrestres-le-17-juillet-jour-du-scrutin: search extract (fresh retrieval)
Prior audit access record
Full-register audit source access (evidence cutoff 25 October 2026)
https://www.republiquetogolaise.tg/politique/1607-10883-elections-municipales-les-frontieres-terrestres-fermees-le-17-juillet: full text
https://www.togofirst.com/fr/politique/1507-16766-municipales-2025-le-togo-ferme-ses-frontieres-terrestres-le-17-juillet-jour-du-scrutin: full text
Earlier recorded access
Source 1: full
Source 2: access detail is retained in the source catalogue.</x:v>
      </x:c>
      <x:c r="P316" s="20" t="n">
        <x:v>1</x:v>
      </x:c>
      <x:c r="Q316" s="4" t="str">
        <x:v>West Africa</x:v>
      </x:c>
      <x:c r="R316" s="4" t="str">
        <x:v>Included</x:v>
      </x:c>
    </x:row>
    <x:row r="317" ht="342" hidden="0" customHeight="1">
      <x:c r="A317" s="16" t="str">
        <x:v>SUP-004</x:v>
      </x:c>
      <x:c r="B317" s="4" t="str">
        <x:v>Benin legislative and municipal election closure January 2026</x:v>
      </x:c>
      <x:c r="C317" s="4" t="str">
        <x:v>Benin; Togo; Burkina Faso; Niger; Nigeria</x:v>
      </x:c>
      <x:c r="D317" s="4" t="str">
        <x:v>All land crossings covered by the order
National land-border order</x:v>
      </x:c>
      <x:c r="E317" s="4" t="str">
        <x:v>Proposed general land-border restriction; detailed traffic categories and exemptions were not specified.
The proposal was superseded before taking effect; it is not treated as an implemented restriction.</x:v>
      </x:c>
      <x:c r="F317" s="4" t="str">
        <x:v>No implemented election-closure phase established.
The January 9 order proposed land closure from 2026-01-11 at 00:00 to 2026-01-12 at 06:00. A government correction reported on January 10 directed that borders remain open on election day. The superseded schedule is retained for audit history and excluded from closure-duration analysis.</x:v>
      </x:c>
      <x:c r="G317" s="4" t="str">
        <x:v>Electoral politics / Election administration and security
Officially stated reason for the superseded proposal
The January 9 ministerial notice sought peaceful and orderly legislative and municipal elections.
Security / Public order and immediate safety
Officially stated reason for the superseded proposal
The same notice invoked election security. The following government correction kept the borders open.</x:v>
      </x:c>
      <x:c r="H317" s="4" t="str">
        <x:v>Reference only: the government reversed the proposed election closure before its scheduled onset. The official police-hosted January 9 notice remains online, but SRTB’s January 10 report explicitly records the superseding Government Secretariat decision. No actual election closure is established. This does not determine the status of the separately restricted Niger frontier.</x:v>
      </x:c>
      <x:c r="I317" s="4" t="str">
        <x:v>Second full-register audit, 26 October 2026: additional source-audited corrections incorporated. See the phase, scope and qualification columns for the accepted findings.</x:v>
      </x:c>
      <x:c r="J317" s="18" t="d">
        <x:v>2026-10-26T00:00:00.000Z</x:v>
      </x:c>
      <x:c r="K317" s="21" t="str">
        <x:f>IFERROR(HYPERLINK("https://www.dgpr.bj/communique-radio-televise-2/","Benin Republican Police"),"Benin Republican Police")</x:f>
        <x:v>Benin Republican Police</x:v>
      </x:c>
      <x:c r="L317" s="21" t="str">
        <x:f>IFERROR(HYPERLINK("https://srtb.bj/urgent-benin-les-frontieres-demeurent-ouvertes-le-jour-des-elections-le-11-janvier/","SRTB"),"SRTB")</x:f>
        <x:v>SRTB</x:v>
      </x:c>
      <x:c r="M317" s="21" t="str">
        <x:f>IFERROR(HYPERLINK("https://africaho.bj/article/communales-et-legislatives-2026-le-benin-maintient-ses-frontieres-terrestres-ouvertes/","africaho.bj"),"africaho.bj")</x:f>
        <x:v>africaho.bj</x:v>
      </x:c>
      <x:c r="N317" s="4" t="str">
        <x:v>https://www.dgpr.bj/communique-radio-televise-2/
https://srtb.bj/urgent-benin-les-frontieres-demeurent-ouvertes-le-jour-des-elections-le-11-janvier/
https://africaho.bj/article/communales-et-legislatives-2026-le-benin-maintient-ses-frontieres-terrestres-ouvertes/</x:v>
      </x:c>
      <x:c r="O317" s="4" t="str">
        <x:v>Second full-register audit source access, 26 October 2026
https://www.dgpr.bj/communique-radio-televise-2/: search extract (fresh retrieval) — Direct fetch timed out; substantive indexed official text inspected.
https://srtb.bj/urgent-benin-les-frontieres-demeurent-ouvertes-le-jour-des-elections-le-11-janvier/: full text (fresh retrieval) — Updated January 11; dated January 10 publication is retained.
Earlier URLs not separately inspected in this second assessment:
https://africaho.bj/article/communales-et-legislatives-2026-le-benin-maintient-ses-frontieres-terrestres-ouvertes/
Prior audit access record
Full-register audit source access (evidence cutoff 25 October 2026)
https://www.dgpr.bj/communique-radio-televise-2/: search extract — Direct page repeatedly timed out; substantive indexed notice retrieved.
https://srtb.bj/urgent-benin-les-frontieres-demeurent-ouvertes-le-jour-des-elections-le-11-janvier/: full text — Official correction reported by public broadcaster, rather than individual border operation logs.
https://africaho.bj/article/communales-et-legislatives-2026-le-benin-maintient-ses-frontieres-terrestres-ouvertes/: full text — The body calls Saturday January 10 '2025', an apparent year typo inconsistent with the election, publication and calendar; it is not evidence of a 2025 event. Shares government statement with SRTB.
Earlier recorded access
Source 1: indexed excerpt; failed; indexed extract
Source 2: full text
Source 3: access detail is retained in the source catalogue.</x:v>
      </x:c>
      <x:c r="P317" s="20" t="n">
        <x:v>0</x:v>
      </x:c>
      <x:c r="Q317" s="4" t="str">
        <x:v>West Africa</x:v>
      </x:c>
      <x:c r="R317" s="4" t="str">
        <x:v>Reference only (excluded)</x:v>
      </x:c>
    </x:row>
    <x:row r="318" ht="222" hidden="0" customHeight="1">
      <x:c r="A318" s="16" t="str">
        <x:v>W-026</x:v>
      </x:c>
      <x:c r="B318" s="4" t="str">
        <x:v>Togo 2018 legislative election closure</x:v>
      </x:c>
      <x:c r="C318" s="4" t="str">
        <x:v>Togo; Ghana; Benin; Burkina Faso</x:v>
      </x:c>
      <x:c r="D318" s="4" t="str">
        <x:v>Not individually established
All land borders</x:v>
      </x:c>
      <x:c r="E318" s="4" t="str">
        <x:v>Not separately established
Direction: Not separately established
Exceptions: Not established</x:v>
      </x:c>
      <x:c r="F318" s="4" t="str">
        <x:v>W-026-R1 — Announced window
Togo terrestrial borders under legislative-election order
Start: 2018-12-20.
Scheduled endpoint: 2018-12-21.
Ordered window: 1 calendar-day difference; actual end not established</x:v>
      </x:c>
      <x:c r="G318"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318" s="4" t="str">
        <x:v>Contemporary 24Heures au Benin substantive article-summary page corroborates exact ordered schedule; no actual reopening observed.
W-026-R1: Scheduled December 20 00:00–December 21 00:00 window only. Retrieved 24Heures article-summary page contains schedule; its full-article link redirects homepage. No observed reopening established.</x:v>
      </x:c>
      <x:c r="I318" s="4" t="str">
        <x:v>Second full-register audit, 26 October 2026: qualified. The Togo legislative-election order remains a scheduled 24-hour window. A new search recovered the ministerial explanation, but did not establish actual enforcement or reopening.</x:v>
      </x:c>
      <x:c r="J318" s="18" t="d">
        <x:v>2026-10-26T00:00:00.000Z</x:v>
      </x:c>
      <x:c r="K318" s="21" t="str">
        <x:f>IFERROR(HYPERLINK("https://l-frii.com/togo-officiel-fermeture-des-frontieres-togolaises-a-partir-de-minuit/","L-Frii"),"L-Frii")</x:f>
        <x:v>L-Frii</x:v>
      </x:c>
      <x:c r="L318" s="21" t="str">
        <x:f>IFERROR(HYPERLINK("https://24haubenin.info/spip.php?id_article=19184&amp;page=sum","24haubenin.info"),"24haubenin.info")</x:f>
        <x:v>24haubenin.info</x:v>
      </x:c>
      <x:c r="M318" s="21"/>
      <x:c r="N318" s="4" t="str">
        <x:v>https://l-frii.com/togo-officiel-fermeture-des-frontieres-togolaises-a-partir-de-minuit/
https://24haubenin.info/spip.php?id_article=19184&amp;page=sum</x:v>
      </x:c>
      <x:c r="O318" s="4" t="str">
        <x:v>Second full-register audit source access, 26 October 2026
https://24haubenin.info/spip.php?id_article=19184&amp;page=sum: full text (fresh retrieval) — Complete substantive article-summary page inspected; not the full standalone linked article.
https://l-frii.com/togo-officiel-fermeture-des-frontieres-togolaises-a-partir-de-minuit/: search extract (fresh retrieval) — Direct open returned 429 in batch120; substantive indexed text inspected.
Prior audit access record
Full-register audit source access (evidence cutoff 25 October 2026)
https://24haubenin.info/spip.php?id_article=19184&amp;page=sum: full text — Article-summary page, not full standalone article.
https://l-frii.com/togo-officiel-fermeture-des-frontieres-togolaises-a-partir-de-minuit/: search extract — Direct page 429.
Earlier recorded access
Source 1: indexed excerpt
Source 2: access detail is retained in the source catalogue.</x:v>
      </x:c>
      <x:c r="P318" s="20" t="n">
        <x:v>1</x:v>
      </x:c>
      <x:c r="Q318" s="4" t="str">
        <x:v>West Africa and Sahel</x:v>
      </x:c>
      <x:c r="R318" s="4" t="str">
        <x:v>Included</x:v>
      </x:c>
    </x:row>
    <x:row r="319" ht="409" hidden="0" customHeight="1">
      <x:c r="A319" s="16" t="str">
        <x:v>W-033</x:v>
      </x:c>
      <x:c r="B319" s="4" t="str">
        <x:v>Nigeria Tsamiya Kamba corridor continued restrictions and 2026 reopening</x:v>
      </x:c>
      <x:c r="C319" s="4" t="str">
        <x:v>Nigeria; Benin; Niger</x:v>
      </x:c>
      <x:c r="D319" s="4" t="str">
        <x:v>Tsamiya–Ségbana and Kamba–Niger corridor
Specific corridor through Kebbi State</x:v>
      </x:c>
      <x:c r="E319" s="4" t="str">
        <x:v>For the retained February 2026 phase: Cotonou-origin transit goods trucks destined for Niger; passenger restriction not established by this phase.
Direction: Benin via Nigeria to Niger for the retained transit-truck phase.
Exceptions: Not established</x:v>
      </x:c>
      <x:c r="F319" s="4" t="str">
        <x:v>W-033-FU1 — Observed operation
Tsamiya–Kamba corridor restrictions affecting Cotonou-origin trucks destined for Niger
Start: unknown; contemporary official accounts describe a restriction lasting months.
Observed scoped reopening: 2026-02-09, with trucks cleared through Tsamiya and Kamba toward Niger.
Greater-than-24-hour interruption supported; exact onset and complete numeric duration remain unknown. This is not a continuous 2019–2026 closure.</x:v>
      </x:c>
      <x:c r="G319" s="4" t="str">
        <x:v>Security / Smuggling and illicit trafficking
Attributed official explanation
Anadolu links the Nigerian restriction to alleged diversion of transit consignments and unpaid transit taxes.
Security / Crime and law enforcement
Attributed official explanation
NAN quotes the customs controller describing security concerns and enforcement of lawful transit.
Trade and protectionism / Import, export and production controls
Attributed official explanation
The affected flow was documented transit cargo intended for Niger via Nigeria; officials sought customs compliance rather than an established ban on every commodity or traveller.</x:v>
      </x:c>
      <x:c r="H319" s="4" t="str">
        <x:v>NAN and contemporary Nigerian local reporting quote the customs controller describing the Nigerian reopening decision and actual February 9, 2026 truck clearance; NAN also quotes a Niger representative welcoming that decision. Anadolu independently attributes the months-long measure to Nigeria. This supports recording Nigerian involvement, rather than treating it as solely Niger-imposed.
Banouto attributes the preceding blockage to Niger while describing the Nigerian reopening. Its disagreement remains visible; separate concurrent measures may have been conflated. No original closure order or precise onset was recovered. Officials’ descriptions of months of disruption establish a &gt;24-hour restriction, but neither the three-month shorthand nor broad seven-year retrospective accounts establish an exact continuous interval. The 2019 trade regime, 2022 Kamba permission and direct Benin–Niger frontier restriction remain separate.</x:v>
      </x:c>
      <x:c r="I319" s="4" t="str">
        <x:v>Second full-register audit, 26 October 2026: additional source-audited corrections incorporated. See the phase, scope and qualification columns for the accepted findings.</x:v>
      </x:c>
      <x:c r="J319" s="18" t="d">
        <x:v>2026-10-26T00:00:00.000Z</x:v>
      </x:c>
      <x:c r="K319" s="21" t="str">
        <x:f>IFERROR(HYPERLINK("https://thesun.ng/ncs-finally-opens-kebbi-borders-with-benin-niger-republics/","The Sun Nigeria"),"The Sun Nigeria")</x:f>
        <x:v>The Sun Nigeria</x:v>
      </x:c>
      <x:c r="L319" s="21" t="str">
        <x:f>IFERROR(HYPERLINK("https://banouto.bj/societe/article/20260211-transit-nigeria-niger-le-corridor-tsamiya-kamba-rouvre-apres-trois-mois-de-blocage-des-camions","Banouto"),"Banouto")</x:f>
        <x:v>Banouto</x:v>
      </x:c>
      <x:c r="M319" s="21" t="str">
        <x:f>IFERROR(HYPERLINK("https://www.aa.com.tr/fr/afrique/niamey-et-abuja-officialisent-un-corridor-pour-le-transit-des-marchandises-d%C3%A9barqu%C3%A9es-au-port-de-cotonou/3827367","Anadolu"),"Anadolu")</x:f>
        <x:v>Anadolu</x:v>
      </x:c>
      <x:c r="N319" s="4" t="str">
        <x:v>https://thesun.ng/ncs-finally-opens-kebbi-borders-with-benin-niger-republics/
https://banouto.bj/societe/article/20260211-transit-nigeria-niger-le-corridor-tsamiya-kamba-rouvre-apres-trois-mois-de-blocage-des-camions
https://www.aa.com.tr/fr/afrique/niamey-et-abuja-officialisent-un-corridor-pour-le-transit-des-marchandises-d%C3%A9barqu%C3%A9es-au-port-de-cotonou/3827367
https://dailytrend.com.ng/2022/04/23/3-years-after-fg-reopens-idiroko-jibiya-kamba-ikom-land-borders/
https://issafrica.org/iss-today/nigeria-niger-benin-cross-border-trade-resumes-amid-security-risks
https://fmino.gov.ng/atikus-border-claim-were-the-borders-closed/
https://thesun.ng/kebbi-govt-lauds-fg-over-kamba-border-reopening/
https://tribuneonlineng.com/fg-reopens-nigeria-niger-border-through-kamba-corridor/
https://punchng.com/reopening-of-nigeria-niger-borders-strengthens-trade-diplomacy-presidency/
https://businessday.ng/news/article/nigeria-reopens-tsamiya-border-with-benin-after-7-year-closure/
https://punchng.com/fg-approves-reopening-of-kebbi-border-for-trading-customs-cg/
https://arogboibevoice.com/customs-reopens-kamba-tsamiya-borders-following-security-talks/
https://www.premiumtimesng.com/news/top-news/855518-nigeria-reopens-border-with-niger-hundreds-of-trucks-exit.html</x:v>
      </x:c>
      <x:c r="O319" s="4" t="str">
        <x:v>Second full-register audit source access, 26 October 2026
https://www.premiumtimesng.com/news/top-news/855518-nigeria-reopens-border-with-niger-hundreds-of-trucks-exit.html: full text (fresh retrieval)
https://thesun.ng/ncs-finally-opens-kebbi-borders-with-benin-niger-republics/: full text (fresh retrieval)
https://banouto.bj/societe/article/20260211-transit-nigeria-niger-le-corridor-tsamiya-kamba-rouvre-apres-trois-mois-de-blocage-des-camions: full text (fresh retrieval) — Does not resolve original order or precise onset.
https://www.aa.com.tr/fr/afrique/niamey-et-abuja-officialisent-un-corridor-pour-le-transit-des-marchandises-d%C3%A9barqu%C3%A9es-au-port-de-cotonou/3827367: full text (fresh retrieval) — Updated February 12; allegations remain attributed.
Earlier URLs not separately inspected in this second assessment:
https://dailytrend.com.ng/2022/04/23/3-years-after-fg-reopens-idiroko-jibiya-kamba-ikom-land-borders/
https://issafrica.org/iss-today/nigeria-niger-benin-cross-border-trade-resumes-amid-security-risks
https://fmino.gov.ng/atikus-border-claim-were-the-borders-closed/
https://thesun.ng/kebbi-govt-lauds-fg-over-kamba-border-reopening/
https://tribuneonlineng.com/fg-reopens-nigeria-niger-border-through-kamba-corridor/
https://punchng.com/reopening-of-nigeria-niger-borders-strengthens-trade-diplomacy-presidency/
https://businessday.ng/news/article/nigeria-reopens-tsamiya-border-with-benin-after-7-year-closure/
https://punchng.com/fg-approves-reopening-of-kebbi-border-for-trading-customs-cg/
https://arogboibevoice.com/customs-reopens-kamba-tsamiya-borders-following-security-talks/
Prior audit access record
Full-register audit source access (evidence cutoff 25 October 2026)
https://thesun.ng/ncs-finally-opens-kebbi-borders-with-benin-niger-republics/: full text — Related officials at one event; no original closure directive or exact onset.
https://banouto.bj/societe/article/20260211-transit-nigeria-niger-le-corridor-tsamiya-kamba-rouvre-apres-trois-mois-de-blocage-des-camions: full text — Conflicts with Nigerian attribution elsewhere. Quoted BBC interview was not independently retrieved; approximate duration is not an exact date.
https://www.aa.com.tr/fr/afrique/niamey-et-abuja-officialisent-un-corridor-pour-le-transit-des-marchandises-d%C3%A9barqu%C3%A9es-au-port-de-cotonou/3827367: full text — Updated February 12; first attempt timed out, retry returned relevant full text. Same ceremony is not a separate daily operations series.
https://thesun.ng/kebbi-govt-lauds-fg-over-kamba-border-reopening/: full text — Reports an implementation event and official readiness, not a dated individual consignment or complete continuity thereafter.
https://issafrica.org/iss-today/nigeria-niger-benin-cross-border-trade-resumes-amid-security-risks: full text — Retrospective seven-year framing cannot resolve separate phases or supersede contemporary partial reopening evidence.
https://fmino.gov.ng/atikus-border-claim-were-the-borders-closed/: full text — Official political rebuttal summarizes history, omits the 2022 Kamba milestone and is not a gate-level operational log.
https://punchng.com/fg-approves-reopening-of-kebbi-border-for-trading-customs-cg/: full text — Does not provide the exact preceding closure onset or establish actual truck passage on approval day.
Earlier source URLs not separately listed in this audit’s retrieval log (historical access notes below are not fresh verification):
https://dailytrend.com.ng/2022/04/23/3-years-after-fg-reopens-idiroko-jibiya-kamba-ikom-land-borders/
https://tribuneonlineng.com/fg-reopens-nigeria-niger-border-through-kamba-corridor/
https://punchng.com/reopening-of-nigeria-niger-borders-strengthens-trade-diplomacy-presidency/
https://businessday.ng/news/article/nigeria-reopens-tsamiya-border-with-benin-after-7-year-closure/
https://arogboibevoice.com/customs-reopens-kamba-tsamiya-borders-following-security-talks/
Earlier recorded access
Source 1: full text
Source 2: full text
Source 3: full text</x:v>
      </x:c>
      <x:c r="P319" s="20" t="n">
        <x:v>1</x:v>
      </x:c>
      <x:c r="Q319" s="4" t="str">
        <x:v>West Africa and Sahel</x:v>
      </x:c>
      <x:c r="R319" s="4" t="str">
        <x:v>Included</x:v>
      </x:c>
    </x:row>
    <x:row r="320" ht="409" hidden="0" customHeight="1">
      <x:c r="A320" s="16" t="str">
        <x:v>W-030</x:v>
      </x:c>
      <x:c r="B320" s="4" t="str">
        <x:v>Nigeria initial February 2019 election closure before postponement</x:v>
      </x:c>
      <x:c r="C320" s="4" t="str">
        <x:v>Nigeria; Benin; Niger; Cameroon; Chad</x:v>
      </x:c>
      <x:c r="D320" s="4" t="str">
        <x:v>Not individually established
All land borders</x:v>
      </x:c>
      <x:c r="E320" s="4" t="str">
        <x:v>Not separately established
Direction: Not separately established
Exceptions: Not established</x:v>
      </x:c>
      <x:c r="F320" s="4" t="str">
        <x:v>W-030-D1 — Formal policy
Nigeria's first February 2019 election closure order, reversed after the vote was postponed.
Start: 2019-02-15.
Policy endpoint: 2019-02-16.
Formal policy: 1 calendar-day difference; operational continuity not established
Scoped observed return: Seme crossing, 2019-02-16. NAN reports early-Saturday reopening and actual people/vehicles crossing under customs and immigration checks. This is an endpoint-only observation; a matching exact operational onset is not established.</x:v>
      </x:c>
      <x:c r="G320"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320" s="4" t="str">
        <x:v>W-030-D1: February 15–16 remains the formal policy chronology, not an observed one-day shutdown at every post. The original order scheduled reopening on February 17, but permission was issued February 16 after postponement. Separately, NAN field reporting confirms people and vehicles crossing at Seme early on February 16, with routine officials’ checks and low commercial turnout. This establishes a scoped observed return, not exact duration or simultaneous reopening across Nigeria. The later rescheduled-election order is a separate episode.</x:v>
      </x:c>
      <x:c r="I320" s="4" t="str">
        <x:v>Second full-register audit, 26 October 2026: qualified. Fresh source checks confirm the early reversal of the election order and actual Seme return on February 16; the original February 17 schedule was superseded.</x:v>
      </x:c>
      <x:c r="J320" s="18" t="d">
        <x:v>2026-10-26T00:00:00.000Z</x:v>
      </x:c>
      <x:c r="K320" s="21" t="str">
        <x:f>IFERROR(HYPERLINK("https://shipsandports.com.ng/nigeria-shuts-borders-third-time-3-weeks/","Ships and Ports"),"Ships and Ports")</x:f>
        <x:v>Ships and Ports</x:v>
      </x:c>
      <x:c r="L320" s="21" t="str">
        <x:f>IFERROR(HYPERLINK("https://www.thisdaylive.com/2019/02/14/election-nis-orders-closure-of-borders-from-friday-noon/","thisdaylive.com"),"thisdaylive.com")</x:f>
        <x:v>thisdaylive.com</x:v>
      </x:c>
      <x:c r="M320" s="21" t="str">
        <x:f>IFERROR(HYPERLINK("https://punchng.com/election-postponement-fg-re-opens-borders/","punchng.com"),"punchng.com")</x:f>
        <x:v>punchng.com</x:v>
      </x:c>
      <x:c r="N320" s="4" t="str">
        <x:v>https://shipsandports.com.ng/nigeria-shuts-borders-third-time-3-weeks/
https://www.thisdaylive.com/2019/02/14/election-nis-orders-closure-of-borders-from-friday-noon/
https://punchng.com/election-postponement-fg-re-opens-borders/
https://www.xinhuanet.com/english/2019-02/15/c_137822580.htm
https://impactngr.com/fg-orders-closure-of-land-borders/
https://guardian.ng/news/federal-government-reopens-borders/
https://prnigeria.com/2019/02/21/nis-closes-border-election/
https://businessday.ng/ng-election/article/again-fg-closes-all-land-borders-for-elections/
https://tbiafrica.com/2019/02/17/seme-border-reopens-after-election-postponement/
https://tribuneonlineng.com/seme-border-reopens-after-election-postponement/amp/</x:v>
      </x:c>
      <x:c r="O320" s="4" t="str">
        <x:v>Second full-register audit source access, 26 October 2026
https://www.thisdaylive.com/2019/02/14/election-nis-orders-closure-of-borders-from-friday-noon/: full text (fresh retrieval)
https://punchng.com/election-postponement-fg-re-opens-borders/: full text (fresh retrieval)
https://tbiafrica.com/2019/02/17/seme-border-reopens-after-election-postponement/: full text (fresh retrieval)
Earlier URLs not separately inspected in this second assessment:
https://shipsandports.com.ng/nigeria-shuts-borders-third-time-3-weeks/
https://www.xinhuanet.com/english/2019-02/15/c_137822580.htm
https://impactngr.com/fg-orders-closure-of-land-borders/
https://guardian.ng/news/federal-government-reopens-borders/
https://prnigeria.com/2019/02/21/nis-closes-border-election/
https://businessday.ng/ng-election/article/again-fg-closes-all-land-borders-for-elections/
https://tribuneonlineng.com/seme-border-reopens-after-election-postponement/amp/
Prior audit access record
Full-register audit source access (evidence cutoff 25 October 2026)
https://www.thisdaylive.com/2019/02/14/election-nis-orders-closure-of-borders-from-friday-noon/: full text
https://punchng.com/election-postponement-fg-re-opens-borders/: full text
https://tbiafrica.com/2019/02/17/seme-border-reopens-after-election-postponement/: full text
https://tribuneonlineng.com/seme-border-reopens-after-election-postponement/amp/: search extract — Direct retrieval 403.
Earlier source URLs not separately listed in this audit’s retrieval log (historical access notes below are not fresh verification):
https://shipsandports.com.ng/nigeria-shuts-borders-third-time-3-weeks/
https://www.xinhuanet.com/english/2019-02/15/c_137822580.htm
https://impactngr.com/fg-orders-closure-of-land-borders/
https://guardian.ng/news/federal-government-reopens-borders/
https://prnigeria.com/2019/02/21/nis-closes-border-election/
https://businessday.ng/ng-election/article/again-fg-closes-all-land-borders-for-elections/
Earlier recorded access
Source 1: search extract
Source 2: full
Source 3: full</x:v>
      </x:c>
      <x:c r="P320" s="20" t="n">
        <x:v>1</x:v>
      </x:c>
      <x:c r="Q320" s="4" t="str">
        <x:v>West Africa and Sahel</x:v>
      </x:c>
      <x:c r="R320" s="4" t="str">
        <x:v>Included</x:v>
      </x:c>
    </x:row>
    <x:row r="321" ht="402" hidden="0" customHeight="1">
      <x:c r="A321" s="16" t="str">
        <x:v>W-018</x:v>
      </x:c>
      <x:c r="B321" s="4" t="str">
        <x:v>Nigeria rescheduled 2019 presidential election closure</x:v>
      </x:c>
      <x:c r="C321" s="4" t="str">
        <x:v>Nigeria; Benin; Niger; Cameroon; Chad</x:v>
      </x:c>
      <x:c r="D321" s="4" t="str">
        <x:v>Not individually established
All land borders</x:v>
      </x:c>
      <x:c r="E321" s="4" t="str">
        <x:v>Not separately established
Direction: Not separately established
Exceptions: Not established</x:v>
      </x:c>
      <x:c r="F321" s="4" t="str">
        <x:v>W-018-R1 — Announced window
Nigeria external land borders covered by the rescheduled election order.
Ordered start: 2019-02-22 at 12:00 noon.
Scheduled endpoint: 2019-02-24 at 12:00 noon.
Ordered window: 48 hours; actual enforcement and first reopening are not established.</x:v>
      </x:c>
      <x:c r="G321" s="4" t="str">
        <x:v>Electoral politics / Election administration and security
Reported reason: the Interior Minister’s instruction, reproduced in the NIS statement, restricted cross-border movement during the rescheduled presidential election.
Security / Public order and immediate safety
Contextual interpretation of the election movement restriction; the notice does not identify a separate concrete threat.</x:v>
      </x:c>
      <x:c r="H321" s="4" t="str">
        <x:v>W-018-R1: Ordered window only; noon endpoint follows signed reproduction. BusinessDay quotes midnight Sunday from the same statement, an unresolved reporting discrepancy rather than observed extension. Not a claim of measured enforcement. Previous postponed-election closure was separately reopened.</x:v>
      </x:c>
      <x:c r="I321" s="4" t="str">
        <x:v>Second full-register audit, 26 October 2026: additional source-audited corrections incorporated. See the phase, scope and qualification columns for the accepted findings.</x:v>
      </x:c>
      <x:c r="J321" s="18" t="d">
        <x:v>2026-10-26T00:00:00.000Z</x:v>
      </x:c>
      <x:c r="K321" s="21" t="str">
        <x:f>IFERROR(HYPERLINK("https://punchng.com/elections-fg-closes-land-borders/","Punch"),"Punch")</x:f>
        <x:v>Punch</x:v>
      </x:c>
      <x:c r="L321" s="21" t="str">
        <x:f>IFERROR(HYPERLINK("https://prnigeria.com/2019/02/21/nis-closes-border-election/","PRNigeria"),"PRNigeria")</x:f>
        <x:v>PRNigeria</x:v>
      </x:c>
      <x:c r="M321" s="21" t="str">
        <x:f>IFERROR(HYPERLINK("https://businessday.ng/ng-election/article/again-fg-closes-all-land-borders-for-elections/","BusinessDay"),"BusinessDay")</x:f>
        <x:v>BusinessDay</x:v>
      </x:c>
      <x:c r="N321" s="4" t="str">
        <x:v>https://punchng.com/elections-fg-closes-land-borders/
https://prnigeria.com/2019/02/21/nis-closes-border-election/
https://businessday.ng/ng-election/article/again-fg-closes-all-land-borders-for-elections/
https://www.xinhuanet.com/english/2019-02/15/c_137822580.htm
https://impactngr.com/fg-orders-closure-of-land-borders/
https://guardian.ng/news/federal-government-reopens-borders/
https://guardian.ng/news/fg-announces-border-closure/</x:v>
      </x:c>
      <x:c r="O321" s="4" t="str">
        <x:v>Second full-register audit source access, 26 October 2026
https://prnigeria.com/2019/02/21/nis-closes-border-election/: full text (fresh retrieval)
https://guardian.ng/news/fg-announces-border-closure/: full text (fresh retrieval)
https://businessday.ng/ng-election/article/again-fg-closes-all-land-borders-for-elections/: full text (fresh retrieval) — Conflicts with signed reproduction; no observed endpoint.
https://guardian.ng/news/federal-government-reopens-borders/: full text (fresh retrieval) — Does not supply the end of this rescheduled election phase.
Earlier URLs not separately inspected in this second assessment:
https://punchng.com/elections-fg-closes-land-borders/
https://www.xinhuanet.com/english/2019-02/15/c_137822580.htm
https://impactngr.com/fg-orders-closure-of-land-borders/
Prior audit access record
Full-register audit source access (evidence cutoff 25 October 2026)
https://prnigeria.com/2019/02/21/nis-closes-border-election/: full text
https://businessday.ng/ng-election/article/again-fg-closes-all-land-borders-for-elections/: full text
Earlier source URLs not separately listed in this audit’s retrieval log (historical access notes below are not fresh verification):
https://punchng.com/elections-fg-closes-land-borders/
https://www.xinhuanet.com/english/2019-02/15/c_137822580.htm
https://impactngr.com/fg-orders-closure-of-land-borders/
https://guardian.ng/news/federal-government-reopens-borders/
Earlier recorded access
Source 1: full
Source 2: full
Source 3: full</x:v>
      </x:c>
      <x:c r="P321" s="20" t="n">
        <x:v>1</x:v>
      </x:c>
      <x:c r="Q321" s="4" t="str">
        <x:v>West Africa and Sahel</x:v>
      </x:c>
      <x:c r="R321" s="4" t="str">
        <x:v>Included</x:v>
      </x:c>
    </x:row>
    <x:row r="322" ht="330" hidden="0" customHeight="1">
      <x:c r="A322" s="16" t="str">
        <x:v>W-029</x:v>
      </x:c>
      <x:c r="B322" s="4" t="str">
        <x:v>Nigeria 2019 state election closure</x:v>
      </x:c>
      <x:c r="C322" s="4" t="str">
        <x:v>Nigeria; Benin; Niger; Cameroon; Chad</x:v>
      </x:c>
      <x:c r="D322" s="4" t="str">
        <x:v>Not individually established
All land borders</x:v>
      </x:c>
      <x:c r="E322" s="4" t="str">
        <x:v>Not separately established
Direction: Not separately established
Exceptions: Not established</x:v>
      </x:c>
      <x:c r="F322" s="4" t="str">
        <x:v>W-029-R1 — Announced window
Nigeria external land borders covered by election order
Start: 2019-03-08.
Scheduled endpoint: 2019-03-10.
Ordered window: 2 calendar-day difference; actual end not established</x:v>
      </x:c>
      <x:c r="G322"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x:v>
      </x:c>
      <x:c r="H322" s="4" t="str">
        <x:v>W-029-R1: NIS-reported noon-to-noon schedule is used; GAC's contemporaneous alert instead says midnight, so the hour has a secondary-source discrepancy. No operational reopening established.</x:v>
      </x:c>
      <x:c r="I322" s="4" t="str">
        <x:v>Second full-register audit, 26 October 2026: qualified. Contemporary NIS reporting supports the existing noon-to-noon 48-hour order; the differing shipping advisory does not prove actual gate times.</x:v>
      </x:c>
      <x:c r="J322" s="18" t="d">
        <x:v>2026-10-26T00:00:00.000Z</x:v>
      </x:c>
      <x:c r="K322" s="21" t="str">
        <x:f>IFERROR(HYPERLINK("https://shipsandports.com.ng/nigeria-shuts-borders-third-time-3-weeks/","Ships &amp; Ports"),"Ships &amp; Ports")</x:f>
        <x:v>Ships &amp; Ports</x:v>
      </x:c>
      <x:c r="L322" s="21" t="str">
        <x:f>IFERROR(HYPERLINK("https://www.gac.com/hot-port-news/borders--ports-to-close-for-elections","GAC"),"GAC")</x:f>
        <x:v>GAC</x:v>
      </x:c>
      <x:c r="M322" s="21" t="str">
        <x:f>IFERROR(HYPERLINK("https://allaboutshipping.co.uk/2019/03/08/hot-port-news-from-gac-2031/","allaboutshipping.co.uk"),"allaboutshipping.co.uk")</x:f>
        <x:v>allaboutshipping.co.uk</x:v>
      </x:c>
      <x:c r="N322" s="4" t="str">
        <x:v>https://shipsandports.com.ng/nigeria-shuts-borders-third-time-3-weeks/
https://www.gac.com/hot-port-news/borders--ports-to-close-for-elections
https://allaboutshipping.co.uk/2019/03/08/hot-port-news-from-gac-2031/
https://tbiafrica.com/2019/03/08/fg-orders-closure-of-borders-for-govship-state-assembly-polls/</x:v>
      </x:c>
      <x:c r="O322" s="4" t="str">
        <x:v>Second full-register audit source access, 26 October 2026
https://shipsandports.com.ng/nigeria-shuts-borders-third-time-3-weeks/: full text (fresh retrieval)
Earlier URLs not separately inspected in this second assessment:
https://www.gac.com/hot-port-news/borders--ports-to-close-for-elections
https://allaboutshipping.co.uk/2019/03/08/hot-port-news-from-gac-2031/
https://tbiafrica.com/2019/03/08/fg-orders-closure-of-borders-for-govship-state-assembly-polls/
Prior audit access record
Full-register audit source access (evidence cutoff 25 October 2026)
https://shipsandports.com.ng/nigeria-shuts-borders-third-time-3-weeks/: full text
https://www.gac.com/hot-port-news/borders--ports-to-close-for-elections: full text
Earlier source URLs not separately listed in this audit’s retrieval log (historical access notes below are not fresh verification):
https://allaboutshipping.co.uk/2019/03/08/hot-port-news-from-gac-2031/
https://tbiafrica.com/2019/03/08/fg-orders-closure-of-borders-for-govship-state-assembly-polls/
Earlier recorded access
Source 1: full
Source 2: indexed excerpt
Source 3: indexed excerpt</x:v>
      </x:c>
      <x:c r="P322" s="20" t="n">
        <x:v>1</x:v>
      </x:c>
      <x:c r="Q322" s="4" t="str">
        <x:v>West Africa and Sahel</x:v>
      </x:c>
      <x:c r="R322" s="4" t="str">
        <x:v>Included</x:v>
      </x:c>
    </x:row>
    <x:row r="323" ht="409" hidden="0" customHeight="1">
      <x:c r="A323" s="16" t="str">
        <x:v>W-001</x:v>
      </x:c>
      <x:c r="B323" s="4" t="str">
        <x:v>Nigeria national anti-smuggling closure</x:v>
      </x:c>
      <x:c r="C323" s="4" t="str">
        <x:v>Nigeria; Benin; Niger; Cameroon; Chad</x:v>
      </x:c>
      <x:c r="D323" s="4" t="str">
        <x:v>Seme, Illela, Maigatari, Mfum named in first reopening
National land-border policy with phased crossing reopening</x:v>
      </x:c>
      <x:c r="E323" s="4" t="str">
        <x:v>Goods; passenger restrictions varied and overlapped COVID measures.
Direction: Not separately established
Exceptions: Selected backlog consignments with previously paid duty authorized for release by NSA letter November 13 2020; selective company export permissions also reported. Rice/poultry import bans continued after December 16 general reopening permission.</x:v>
      </x:c>
      <x:c r="F323" s="4" t="str">
        <x:v>W-001-D1 — Formal policy
Nigeria added anti-smuggling restriction on ordinary non-exempt, otherwise admissible goods at Seme–Kraké, to December 16 cabinet reopening permission.
Start: 2019-08-20.
Policy endpoint: 2020-12-16.
Formal policy: 484 calendar-day difference; operational continuity not established
Separate later goods-access observation: by 2021-06-05, Seme customs reported completed export, ETLS and import/baggage clearances. First ordinary goods restart is unknown; the December 16 formal endpoint remains unchanged.</x:v>
      </x:c>
      <x:c r="G323" s="4" t="str">
        <x:v>Trade and protectionism / Import, export and production controls
Reported reason
Applies to: Recorded episode; exact overlap not separately established
The recorded rationale and claim assessment support the selected subcategories. All applicable broad categories are retained together; no primary rationale is imposed.
Security / Smuggling and illicit trafficking
Reported reason
Applies to: Recorded episode; exact overlap not separately established
The recorded rationale and claim assessment support the selected subcategories. All applicable broad categories are retained together; no primary rationale is imposed.</x:v>
      </x:c>
      <x:c r="H323" s="4" t="str">
        <x:v>W-001-D1: Selected exceptions occurred: November 13 NSA approval authorized release of specified backlog consignments whose import duty had been paid, with separate selective company export permissions reported. December 16 is general cabinet permission, not actual cargo restoration; December 24 reporting still found goods blocked. Rice/poultry prohibitions and passenger COVID measures remain separate. August 20 is the retained national announcement date, not a settled first physical denial of Seme cargo; retrospective August 18 wording remains unreconciled.
Additional implementation evidence: a January 17, 2021 Daily Trust investigation still reported inward cargo delays at Seme while documented travellers crossed; its account also describes permitted second-country goods and new containerisation conditions, so scope was uneven. By June 5, 2021, a named customs spokesman reported completed export, ETLS and import/baggage clearances since January. This supplies a conservative later goods-access bound only. The statement’s claim of full operation since December is not used to override contemporary reports, and no first truck date or continuous operational interval is inferred.</x:v>
      </x:c>
      <x:c r="I323" s="4" t="str">
        <x:v>Second full-register audit, 26 October 2026: additional source-audited corrections incorporated. See the phase, scope and qualification columns for the accepted findings.</x:v>
      </x:c>
      <x:c r="J323" s="18" t="d">
        <x:v>2026-10-26T00:00:00.000Z</x:v>
      </x:c>
      <x:c r="K323" s="21" t="str">
        <x:f>IFERROR(HYPERLINK("https://von.gov.ng/nigeria-re-opens-four-land-borders/","Voice of Nigeria"),"Voice of Nigeria")</x:f>
        <x:v>Voice of Nigeria</x:v>
      </x:c>
      <x:c r="L323" s="21" t="str">
        <x:f>IFERROR(HYPERLINK("https://www.africanews.com/2020/12/17/nigeria-opens-land-borders-with-benin/","AFP via Africanews"),"AFP via Africanews")</x:f>
        <x:v>AFP via Africanews</x:v>
      </x:c>
      <x:c r="M323" s="21" t="str">
        <x:f>IFERROR(HYPERLINK("https://thenationonlineng.net/borders-still-shut-to-goods-movement/","The Nation"),"The Nation")</x:f>
        <x:v>The Nation</x:v>
      </x:c>
      <x:c r="N323" s="4" t="str">
        <x:v>https://von.gov.ng/nigeria-re-opens-four-land-borders/
https://www.africanews.com/2020/12/17/nigeria-opens-land-borders-with-benin/
https://thenationonlineng.net/borders-still-shut-to-goods-movement/
https://guardian.ng/news/we-have-complied-with-fg-directive-on-border-re-opening-nis/
https://leconomistebenin.bj/fermeture-de-la-frontiere-benino-nigeriane-de-seme-kraketalon-et-buhari-ont-echange-au-japon/
https://shipsandports.com.ng/fg-approves-release-of-goods-stuck-at-seme-border/
https://www.financialafrik.com/en/2019/08/27/the-nigeria-benin-border-remains-open-but/
https://www.investing.com/news/world-news/nigeria-closes-part-of-border-with-benin-to-check-rice-smuggling-1965610
https://www.cbn.gov.ng/Out/2020/CCD/MPR%20Feb%202020%20%28Repaired%29.pdf
https://punchng.com/customs-ban-exports-imports-via-land-borders-indefinitely/
https://fmino.gov.ng/atikus-border-claim-were-the-borders-closed/
https://www.vanguardngr.com/2020/12/just-in-seme-border-reopens/
https://trustradio.com.ng/en/30-days-after-reopened-borders-still-trickling-back-to-life
https://dailytrend.com.ng/2021/06/05/seme-customs-command-generates-n431million-revenue-says-border-fully-operational/
https://www.ripplesnigeria.com/confusion-looms-at-seme-border-as-joint-security-force-begins-operation/</x:v>
      </x:c>
      <x:c r="O323" s="4" t="str">
        <x:v>Second full-register audit source access, 26 October 2026
https://von.gov.ng/nigeria-re-opens-four-land-borders/: full text (fresh retrieval)
https://www.ripplesnigeria.com/confusion-looms-at-seme-border-as-joint-security-force-begins-operation/: search extract (fresh retrieval)
https://shipsandports.com.ng/fg-approves-release-of-goods-stuck-at-seme-border/: full text (fresh retrieval)
https://trustradio.com.ng/en/30-days-after-reopened-borders-still-trickling-back-to-life: full text (fresh retrieval)
https://dailytrend.com.ng/2021/06/05/seme-customs-command-generates-n431million-revenue-says-border-fully-operational/: full text (fresh retrieval)
Earlier URLs not separately inspected in this second assessment:
https://www.africanews.com/2020/12/17/nigeria-opens-land-borders-with-benin/
https://thenationonlineng.net/borders-still-shut-to-goods-movement/
https://guardian.ng/news/we-have-complied-with-fg-directive-on-border-re-opening-nis/
https://leconomistebenin.bj/fermeture-de-la-frontiere-benino-nigeriane-de-seme-kraketalon-et-buhari-ont-echange-au-japon/
https://www.financialafrik.com/en/2019/08/27/the-nigeria-benin-border-remains-open-but/
https://www.investing.com/news/world-news/nigeria-closes-part-of-border-with-benin-to-check-rice-smuggling-1965610
https://www.cbn.gov.ng/Out/2020/CCD/MPR%20Feb%202020%20%28Repaired%29.pdf
https://punchng.com/customs-ban-exports-imports-via-land-borders-indefinitely/
https://fmino.gov.ng/atikus-border-claim-were-the-borders-closed/
https://www.vanguardngr.com/2020/12/just-in-seme-border-reopens/
Prior audit access record
Full-register audit source access (evidence cutoff 25 October 2026)
https://von.gov.ng/nigeria-re-opens-four-land-borders/: full text
https://thenationonlineng.net/borders-still-shut-to-goods-movement/: search extract — Direct retrieval returned 403.
https://shipsandports.com.ng/fg-approves-release-of-goods-stuck-at-seme-border/: full text
https://www.financialafrik.com/en/2019/08/27/the-nigeria-benin-border-remains-open-but/: full text
https://www.investing.com/news/world-news/nigeria-closes-part-of-border-with-benin-to-check-rice-smuggling-1965610: full text
https://trustradio.com.ng/en/30-days-after-reopened-borders-still-trickling-back-to-life: full text
https://dailytrend.com.ng/2021/06/05/seme-customs-command-generates-n431million-revenue-says-border-fully-operational/: full text
Earlier source URLs not separately listed in this audit’s retrieval log (historical access notes below are not fresh verification):
https://www.africanews.com/2020/12/17/nigeria-opens-land-borders-with-benin/
https://guardian.ng/news/we-have-complied-with-fg-directive-on-border-re-opening-nis/
https://leconomistebenin.bj/fermeture-de-la-frontiere-benino-nigeriane-de-seme-kraketalon-et-buhari-ont-echange-au-japon/
https://www.cbn.gov.ng/Out/2020/CCD/MPR%20Feb%202020%20%28Repaired%29.pdf
https://punchng.com/customs-ban-exports-imports-via-land-borders-indefinitely/
https://fmino.gov.ng/atikus-border-claim-were-the-borders-closed/
https://www.vanguardngr.com/2020/12/just-in-seme-border-reopens/
Earlier recorded access
Source 1: full page
Source 2: full text
Source 3: search extract</x:v>
      </x:c>
      <x:c r="P323" s="20" t="n">
        <x:v>1</x:v>
      </x:c>
      <x:c r="Q323" s="4" t="str">
        <x:v>West Africa and Sahel</x:v>
      </x:c>
      <x:c r="R323" s="4" t="str">
        <x:v>Included</x:v>
      </x:c>
    </x:row>
    <x:row r="324" ht="409" hidden="0" customHeight="1">
      <x:c r="A324" s="16" t="str">
        <x:v>W-003</x:v>
      </x:c>
      <x:c r="B324" s="4" t="str">
        <x:v>Togo COVID land-border closure</x:v>
      </x:c>
      <x:c r="C324" s="4" t="str">
        <x:v>Togo; Ghana; Benin; Burkina Faso</x:v>
      </x:c>
      <x:c r="D324" s="4" t="str">
        <x:v>Not individually established
All land borders</x:v>
      </x:c>
      <x:c r="E324" s="4" t="str">
        <x:v>Human traffic
Direction: Not separately established
Exceptions: Commercial traffic exempt. Daily Graphic directly observed schoolchildren and vaccinated border residents crossing at Aflao–Lome on 28 March 2022 while general Togolese restrictions remained.</x:v>
      </x:c>
      <x:c r="F324" s="4" t="str">
        <x:v>W-003-D1 — Formal policy
Togolese restriction on ordinary land-passenger travel, retaining goods, student and border-resident exceptions.
Start: 2020-03-20 to 2020-03-21.
Policy endpoint: 2022-05-17.
Formal policy: 787–788 calendar-day difference; operational continuity not established</x:v>
      </x:c>
      <x:c r="G324" s="4" t="str">
        <x:v>Health and biosecurity / Human disease control
The original government communiqué attributed the passenger restriction to preventing coronavirus spread; the 2022 reopening was justified by slower transmission. Applies to the scoped land-passenger regime.</x:v>
      </x:c>
      <x:c r="H324" s="4" t="str">
        <x:v>W-003-D1: The initial two-week planned expiry is not used as a reopening. Daily Graphic observed student and vaccinated-resident crossings on 28 March 2022 while general restrictions persisted. This is continuity of a restricted ordinary-travel regime, not of universal passenger denial. The retained interval is a national policy envelope; local passage accounts do not establish uniform gate closure. Reopening on 17 May 2022 remained subject to proof of vaccination; it was a return to conditional ordinary travel.</x:v>
      </x:c>
      <x:c r="I324" s="4" t="str">
        <x:v>Second full-register audit, 26 October 2026: additional source-audited corrections incorporated. See the phase, scope and qualification columns for the accepted findings.</x:v>
      </x:c>
      <x:c r="J324" s="18" t="d">
        <x:v>2026-10-26T00:00:00.000Z</x:v>
      </x:c>
      <x:c r="K324" s="21" t="str">
        <x:f>IFERROR(HYPERLINK("https://www.republiquetogolaise.tg/transports/1705-6896-le-togo-rouvre-ses-frontieres-terrestres","Togo official portal"),"Togo official portal")</x:f>
        <x:v>Togo official portal</x:v>
      </x:c>
      <x:c r="L324" s="21" t="str">
        <x:f>IFERROR(HYPERLINK("https://www.voaafrique.com/a/le-togo-rouvre-ses-fronti%C3%A8res-terrestres-apr%C3%A8s-deux-ans-de-fermeture/6576577.html","VOA Afrique"),"VOA Afrique")</x:f>
        <x:v>VOA Afrique</x:v>
      </x:c>
      <x:c r="M324" s="21" t="str">
        <x:f>IFERROR(HYPERLINK("https://gna.org.gh/2022/05/togo-reopens-land-borders-to-human-traffic-2/","Ghana News Agency"),"Ghana News Agency")</x:f>
        <x:v>Ghana News Agency</x:v>
      </x:c>
      <x:c r="N324" s="4" t="str">
        <x:v>https://www.republiquetogolaise.tg/transports/1705-6896-le-togo-rouvre-ses-frontieres-terrestres
https://www.voaafrique.com/a/le-togo-rouvre-ses-fronti%C3%A8res-terrestres-apr%C3%A8s-deux-ans-de-fermeture/6576577.html
https://gna.org.gh/2022/05/togo-reopens-land-borders-to-human-traffic-2/
https://www.togofirst.com/fr/sante/2103-5178-communique-du-gouvernement
https://www.graphic.com.gh/news/general-news/life-picking-up-at-borders-afloa-elubo-paga-traders-excited.html
https://archive.presidence.gouv.tg/2020/03/20/coronavirus-de-nouvelles-mesures-prises-par-le-gouvernement-pour-faire-face-a-la-pandemie/
https://www.gbcghanaonline.com/general/togo-opens-border/2022/</x:v>
      </x:c>
      <x:c r="O324" s="4" t="str">
        <x:v>Second full-register audit source access, 26 October 2026
https://www.togofirst.com/fr/sante/2103-5178-communique-du-gouvernement: full text (fresh retrieval)
https://www.republiquetogolaise.tg/transports/1705-6896-le-togo-rouvre-ses-frontieres-terrestres: full text (fresh retrieval)
https://www.graphic.com.gh/news/general-news/life-picking-up-at-borders-afloa-elubo-paga-traders-excited.html: full text (fresh retrieval)
Earlier URLs not separately inspected in this second assessment:
https://www.voaafrique.com/a/le-togo-rouvre-ses-fronti%C3%A8res-terrestres-apr%C3%A8s-deux-ans-de-fermeture/6576577.html
https://gna.org.gh/2022/05/togo-reopens-land-borders-to-human-traffic-2/
https://archive.presidence.gouv.tg/2020/03/20/coronavirus-de-nouvelles-mesures-prises-par-le-gouvernement-pour-faire-face-a-la-pandemie/
https://www.gbcghanaonline.com/general/togo-opens-border/2022/
Prior audit access record
Full-register audit source access (evidence cutoff 25 October 2026)
https://www.togofirst.com/fr/sante/2103-5178-communique-du-gouvernement: full text — Does not establish all-crossing continuity.
https://www.republiquetogolaise.tg/transports/1705-6896-le-togo-rouvre-ses-frontieres-terrestres: full text — Does not establish all-crossing continuity.
https://www.graphic.com.gh/news/general-news/life-picking-up-at-borders-afloa-elubo-paga-traders-excited.html: full text — Does not establish all-crossing continuity.
Earlier source URLs not separately listed in this audit’s retrieval log (historical access notes below are not fresh verification):
https://www.voaafrique.com/a/le-togo-rouvre-ses-fronti%C3%A8res-terrestres-apr%C3%A8s-deux-ans-de-fermeture/6576577.html
https://gna.org.gh/2022/05/togo-reopens-land-borders-to-human-traffic-2/
https://archive.presidence.gouv.tg/2020/03/20/coronavirus-de-nouvelles-mesures-prises-par-le-gouvernement-pour-faire-face-a-la-pandemie/
https://www.gbcghanaonline.com/general/togo-opens-border/2022/
Earlier recorded access
Source 1: full page
Source 2: full page
Source 3: search extract</x:v>
      </x:c>
      <x:c r="P324" s="20" t="n">
        <x:v>1</x:v>
      </x:c>
      <x:c r="Q324" s="4" t="str">
        <x:v>West Africa and Sahel</x:v>
      </x:c>
      <x:c r="R324" s="4" t="str">
        <x:v>Included</x:v>
      </x:c>
    </x:row>
    <x:row r="325" ht="409" hidden="0" customHeight="1">
      <x:c r="A325" s="16" t="str">
        <x:v>W-023</x:v>
      </x:c>
      <x:c r="B325" s="4" t="str">
        <x:v>Senegal COVID land-border closure</x:v>
      </x:c>
      <x:c r="C325" s="4" t="str">
        <x:v>Senegal; Mauritania; Mali; Guinea; Guinea-Bissau; Gambia</x:v>
      </x:c>
      <x:c r="D325" s="4" t="str">
        <x:v>Dated phase: Senegal-side passenger restrictions at the Gambia land frontier; crossings are not individually established.
Other Senegalese frontier restrictions provide context and are not assigned this phase’s dates.</x:v>
      </x:c>
      <x:c r="E325" s="4" t="str">
        <x:v>Not separately established
Direction: Not separately established
Exceptions: Goods transport excepted on Mauritania frontier; security personnel, foodstuffs and medical services/equipment excepted in Gambia bilateral order. October 19 Senegal High Commissioner described special clearance and a negative COVID test for intending travellers.</x:v>
      </x:c>
      <x:c r="F325" s="4" t="str">
        <x:v>W-023-D1 — Formal policy
Senegal-side restriction on ordinary non-exempt passage at the Gambia frontier.
Start: 2020-03-23 to 2020-03-24.
Last confirmed: 2020-10-19. Reopening is not established.
Formal policy: confirmed through 2020-10-19; at least 209 calendar-day difference; reopening unknown</x:v>
      </x:c>
      <x:c r="G32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25" s="4" t="str">
        <x:v>W-023-D1: This is a Senegal-side permission regime with special-clearance/testing exceptions, not universal physical closure. Gambian permission on October 16 did not remove it. Other Senegalese frontiers and later status are excluded.
end: Indexed commercial tracker attributes reopening to October 22 FCDO update; original dated advisory or Senegal instrument not recovered.</x:v>
      </x:c>
      <x:c r="I325" s="4" t="str">
        <x:v>Second full-register audit, 26 October 2026: additional source-audited corrections incorporated. See the phase, scope and qualification columns for the accepted findings.</x:v>
      </x:c>
      <x:c r="J325" s="18" t="d">
        <x:v>2026-10-26T00:00:00.000Z</x:v>
      </x:c>
      <x:c r="K325" s="21" t="str">
        <x:f>IFERROR(HYPERLINK("https://pmc.ncbi.nlm.nih.gov/articles/PMC9361250/","PMC"),"PMC")</x:f>
        <x:v>PMC</x:v>
      </x:c>
      <x:c r="L325" s="21" t="str">
        <x:f>IFERROR(HYPERLINK("https://www.vie-publique.sn/actualites/361/message--la-nation-du-prsident-de-la-rpublique-leve-de-ltat-durgence-instaur-dans-le-cadre-de-la-lettre-contre-la-maladie--coronavirus-covid-19_2032","Vie Publique Senegal"),"Vie Publique Senegal")</x:f>
        <x:v>Vie Publique Senegal</x:v>
      </x:c>
      <x:c r="M325" s="21" t="str">
        <x:f>IFERROR(HYPERLINK("https://standard.gm/gambia-closes-border-with-senegal-airspace-tonight/","The Standard Gambia"),"The Standard Gambia")</x:f>
        <x:v>The Standard Gambia</x:v>
      </x:c>
      <x:c r="N325" s="4" t="str">
        <x:v>https://pmc.ncbi.nlm.nih.gov/articles/PMC9361250/
https://www.vie-publique.sn/actualites/361/message--la-nation-du-prsident-de-la-rpublique-leve-de-ltat-durgence-instaur-dans-le-cadre-de-la-lettre-contre-la-maladie--coronavirus-covid-19_2032
https://standard.gm/gambia-closes-border-with-senegal-airspace-tonight/
https://thepoint.gm/africa/gambia/headlines/senegalese-diplomat-officially-unaware-of-border-reopening
https://economie.gouv.sn/sites/default/files/2021-01/Detail-des-textes-reglementaires-Covid-19-v170520.pdf
https://afrique.le360.ma/mauritanie-senegal/politique/2020/03/21/29894-coronavirus-mauritanie-senegal-fermeture-de-la-frontiere-terrestre-entre-les-deux/
https://senegal.unfpa.org/sites/default/files/pub-pdf/unfpa_senegal_situation_report_3_5_juin_au_6_juillet.pdf
https://www.leral.net/Gambie-Exclusif-Les-frontieres-ouvertes-avant-vendredi-prochain-apres-plusieurs-mois-de-fermeture_a285507.html
https://global-monitoring.com/gm/page/events/epidemic-0002028.kNLYxVz8vpss.html?lang=en
https://www.sitata.com/sv/alerts/4cae64ae-6976-4b83-9ca1-ff9576040893
https://www.cridem.org/C_Info.php?article=734040</x:v>
      </x:c>
      <x:c r="O325" s="4" t="str">
        <x:v>Second full-register audit source access, 26 October 2026
https://standard.gm/gambia-closes-border-with-senegal-airspace-tonight/: full text (fresh retrieval)
https://thepoint.gm/africa/gambia/headlines/senegalese-diplomat-officially-unaware-of-border-reopening: full text (fresh retrieval)
https://www.cridem.org/C_Info.php?article=734040: full text (fresh retrieval)
https://www.leral.net/Gambie-Exclusif-Les-frontieres-ouvertes-avant-vendredi-prochain-apres-plusieurs-mois-de-fermeture_a285507.html: full text (fresh retrieval) — Prospective Gambian reopening plus broad unsupported July Senegal statement; not an observed Senegal-side endpoint.
https://global-monitoring.com/gm/page/events/epidemic-0002028.kNLYxVz8vpss.html?lang=en: search extract (fresh retrieval) — Indexed dated October 22, 2020 update; original FCDO document not recovered.
https://www.sitata.com/sv/alerts/4cae64ae-6976-4b83-9ca1-ff9576040893: full text (fresh retrieval) — Relevant body inspected; page title gives November 13 but not a securely verified year. No exact first reopening inferred.
https://pmc.ncbi.nlm.nih.gov/articles/PMC9361250/: inaccessible (fresh retrieval) — Browser challenge returned instead of article; no fresh claim verification.
Earlier URLs not separately inspected in this second assessment:
https://www.vie-publique.sn/actualites/361/message--la-nation-du-prsident-de-la-rpublique-leve-de-ltat-durgence-instaur-dans-le-cadre-de-la-lettre-contre-la-maladie--coronavirus-covid-19_2032
https://economie.gouv.sn/sites/default/files/2021-01/Detail-des-textes-reglementaires-Covid-19-v170520.pdf
https://afrique.le360.ma/mauritanie-senegal/politique/2020/03/21/29894-coronavirus-mauritanie-senegal-fermeture-de-la-frontiere-terrestre-entre-les-deux/
https://senegal.unfpa.org/sites/default/files/pub-pdf/unfpa_senegal_situation_report_3_5_juin_au_6_juillet.pdf
Prior audit access record
Full-register audit source access (evidence cutoff 25 October 2026)
https://standard.gm/gambia-closes-border-with-senegal-airspace-tonight/: full text — Limited to the stated claim and cohort.
https://thepoint.gm/africa/gambia/headlines/senegalese-diplomat-officially-unaware-of-border-reopening: full text — Limited to the stated claim and cohort.
https://global-monitoring.com/gm/page/events/epidemic-0002028.kNLYxVz8vpss.html?lang=en: search extract — Indexed passage only.
https://www.sitata.com/sv/alerts/4cae64ae-6976-4b83-9ca1-ff9576040893: full text — Limited to the stated claim and cohort.
Earlier source URLs not separately listed in this audit’s retrieval log (historical access notes below are not fresh verification):
https://pmc.ncbi.nlm.nih.gov/articles/PMC9361250/
https://www.vie-publique.sn/actualites/361/message--la-nation-du-prsident-de-la-rpublique-leve-de-ltat-durgence-instaur-dans-le-cadre-de-la-lettre-contre-la-maladie--coronavirus-covid-19_2032
https://economie.gouv.sn/sites/default/files/2021-01/Detail-des-textes-reglementaires-Covid-19-v170520.pdf
https://afrique.le360.ma/mauritanie-senegal/politique/2020/03/21/29894-coronavirus-mauritanie-senegal-fermeture-de-la-frontiere-terrestre-entre-les-deux/
https://senegal.unfpa.org/sites/default/files/pub-pdf/unfpa_senegal_situation_report_3_5_juin_au_6_juillet.pdf
https://www.leral.net/Gambie-Exclusif-Les-frontieres-ouvertes-avant-vendredi-prochain-apres-plusieurs-mois-de-fermeture_a285507.html
Earlier recorded access
Source 1: search extract
Source 2: search extract
Source 3: full page</x:v>
      </x:c>
      <x:c r="P325" s="20" t="n">
        <x:v>1</x:v>
      </x:c>
      <x:c r="Q325" s="4" t="str">
        <x:v>West Africa and Sahel</x:v>
      </x:c>
      <x:c r="R325" s="4" t="str">
        <x:v>Included</x:v>
      </x:c>
    </x:row>
    <x:row r="326" ht="409" hidden="0" customHeight="1">
      <x:c r="A326" s="16" t="str">
        <x:v>W-002</x:v>
      </x:c>
      <x:c r="B326" s="4" t="str">
        <x:v>Ghana COVID land-border closure</x:v>
      </x:c>
      <x:c r="C326" s="4" t="str">
        <x:v>Ghana; Togo; Burkina Faso; Côte d’Ivoire</x:v>
      </x:c>
      <x:c r="D326" s="4" t="str">
        <x:v>Not individually established
Ghanaian side of all land frontiers; neighbouring sides could remain closed</x:v>
      </x:c>
      <x:c r="E326" s="4" t="str">
        <x:v>Human traffic
Direction: Not separately established
Exceptions: Goods, supplies and cargo exempt under legal instrument.</x:v>
      </x:c>
      <x:c r="F326" s="4" t="str">
        <x:v>W-002-R1 — Formal policy
Ghana's general restriction on ordinary land passenger entry, subject to authorized exceptions
Start: 2020-03-22.
Policy endpoint: 2022-03-28.
Formal policy: 736 calendar-day difference; operational continuity not established</x:v>
      </x:c>
      <x:c r="G326" s="4" t="str">
        <x:v>Health and biosecurity / Human disease control
The President attributed the passenger restrictions to limiting imported COVID-19 infection and later to preventing a further wave. Applies to the Ghanaian land-passenger policy period.</x:v>
      </x:c>
      <x:c r="H326" s="4" t="str">
        <x:v>W-002-R1: The E.I.68 preamble dates the original restriction to midnight on 22 March 2020. Presidential statements confirm continued land restrictions on 15 December 2021 and formal lifting on 28 March 2022. Goods and authorized travellers were exempt. At reopening, fully vaccinated travellers could enter without PCR; unvaccinated Ghanaian citizens and foreign residents required a negative test and vaccination on arrival. Adjacent-country restrictions and local exceptions mean this is a Ghanaian policy period, not zero passage across every frontier.</x:v>
      </x:c>
      <x:c r="I326" s="4" t="str">
        <x:v>Second full-register audit, 26 October 2026: additional source-audited corrections incorporated. See the phase, scope and qualification columns for the accepted findings.</x:v>
      </x:c>
      <x:c r="J326" s="18" t="d">
        <x:v>2026-10-26T00:00:00.000Z</x:v>
      </x:c>
      <x:c r="K326" s="21" t="str">
        <x:f>IFERROR(HYPERLINK("https://ghalii.org/akn/gh/act/ei/2020/66/eng%402020-04-03","GhaLII"),"GhaLII")</x:f>
        <x:v>GhaLII</x:v>
      </x:c>
      <x:c r="L326" s="21" t="str">
        <x:f>IFERROR(HYPERLINK("https://www.ghheadlines.com/agency/ghana-web-/20211216/152974282/land-borders-remain-closed-akufo-addo","GhHeadlines / GhanaWeb"),"GhHeadlines / GhanaWeb")</x:f>
        <x:v>GhHeadlines / GhanaWeb</x:v>
      </x:c>
      <x:c r="M326" s="21" t="str">
        <x:f>IFERROR(HYPERLINK("https://brussels.mfa.gov.gh/ghana%E2%80%99s-latest-enhanced-response-to-the-covid-19-pandemic","Ghana Embassy Brussels"),"Ghana Embassy Brussels")</x:f>
        <x:v>Ghana Embassy Brussels</x:v>
      </x:c>
      <x:c r="N326" s="4" t="str">
        <x:v>https://ghalii.org/akn/gh/act/ei/2020/66/eng%402020-04-03
https://www.ghheadlines.com/agency/ghana-web-/20211216/152974282/land-borders-remain-closed-akufo-addo
https://brussels.mfa.gov.gh/ghana%E2%80%99s-latest-enhanced-response-to-the-covid-19-pandemic
https://www.graphic.com.gh/news/general-news/life-picking-up-at-borders-afloa-elubo-paga-traders-excited.html
https://www.citinewsroom.com/2020/09/over-9000-ghanaians-evacuated-during-covid-19-border-closure-foreign-affairs-ministry/
https://www.ghheadlines.com/news/20211216?page=11
https://asaaseradio.com/covid-19-ghanas-active-cases-now-3165-death-toll-1269/
https://ghalii.org/akn/gh/act/ei/2020/64/eng@2020-03-23
https://mofep.gov.gh/speeches/2022-03-29
https://www.channelstv.com/2022/03/28/ghana-ends-mandatory-face-mask-wearing-reopens-borders-after-two-years/
https://gna.org.gh/2022/03/ho-traders-commend-government-for-opening-the-land-borders/
https://ghalii.org/akn/gh/act/ei/2020/68/eng%402020-04-17
https://ghalii.org/akn/gh/act/ei/2020/64/eng%402020-03-23
https://www.mofep.gov.gh/speeches/2022-03-29
https://gna.org.gh/2022/05/togo-reopens-land-borders-to-human-traffic-2/
https://repository.parliament.gh/bitstream/handle/123456789/2300/E.I%2068%202020.pdf?isAllowed=y&amp;sequence=1
https://www.citinewsroom.com/2021/12/full-text-nana-addos-27th-update-on-covid-19-management/
https://ghalii.org/akn/gh/act/ei/2020/68/eng%402020-04-17/publication</x:v>
      </x:c>
      <x:c r="O326" s="4" t="str">
        <x:v>Second full-register audit source access, 26 October 2026
https://ghalii.org/akn/gh/act/ei/2020/68/eng%402020-04-17/publication: search extract (fresh retrieval) — Direct access failed; indexed primary text inspected.
https://www.citinewsroom.com/2021/12/full-text-nana-addos-27th-update-on-covid-19-management/: full text (fresh retrieval)
https://www.mofep.gov.gh/speeches/2022-03-29: full text (fresh retrieval)
https://www.graphic.com.gh/news/general-news/life-picking-up-at-borders-afloa-elubo-paga-traders-excited.html: full text (fresh retrieval)
Earlier URLs not separately inspected in this second assessment:
https://ghalii.org/akn/gh/act/ei/2020/66/eng%402020-04-03
https://www.ghheadlines.com/agency/ghana-web-/20211216/152974282/land-borders-remain-closed-akufo-addo
https://brussels.mfa.gov.gh/ghana%E2%80%99s-latest-enhanced-response-to-the-covid-19-pandemic
https://www.citinewsroom.com/2020/09/over-9000-ghanaians-evacuated-during-covid-19-border-closure-foreign-affairs-ministry/
https://www.ghheadlines.com/news/20211216?page=11
https://asaaseradio.com/covid-19-ghanas-active-cases-now-3165-death-toll-1269/
https://ghalii.org/akn/gh/act/ei/2020/64/eng@2020-03-23
https://mofep.gov.gh/speeches/2022-03-29
https://www.channelstv.com/2022/03/28/ghana-ends-mandatory-face-mask-wearing-reopens-borders-after-two-years/
https://gna.org.gh/2022/03/ho-traders-commend-government-for-opening-the-land-borders/
https://ghalii.org/akn/gh/act/ei/2020/68/eng%402020-04-17
https://ghalii.org/akn/gh/act/ei/2020/64/eng%402020-03-23
https://gna.org.gh/2022/05/togo-reopens-land-borders-to-human-traffic-2/
https://repository.parliament.gh/bitstream/handle/123456789/2300/E.I%2068%202020.pdf?isAllowed=y&amp;sequence=1
Prior audit access record
Full-register audit source access (evidence cutoff 25 October 2026)
https://ghalii.org/akn/gh/act/ei/2020/68/eng%402020-04-17: search extract — Indexed substantive passage only.
https://www.citinewsroom.com/2021/12/full-text-nana-addos-27th-update-on-covid-19-management/: full text — Does not establish all-crossing continuity.
https://mofep.gov.gh/speeches/2022-03-29: full text — Does not establish all-crossing continuity.
https://www.graphic.com.gh/news/general-news/life-picking-up-at-borders-afloa-elubo-paga-traders-excited.html: full text — Does not establish all-crossing continuity.
Earlier source URLs not separately listed in this audit’s retrieval log (historical access notes below are not fresh verification):
https://ghalii.org/akn/gh/act/ei/2020/66/eng%402020-04-03
https://www.ghheadlines.com/agency/ghana-web-/20211216/152974282/land-borders-remain-closed-akufo-addo
https://brussels.mfa.gov.gh/ghana%E2%80%99s-latest-enhanced-response-to-the-covid-19-pandemic
https://www.citinewsroom.com/2020/09/over-9000-ghanaians-evacuated-during-covid-19-border-closure-foreign-affairs-ministry/
https://www.ghheadlines.com/news/20211216?page=11
https://asaaseradio.com/covid-19-ghanas-active-cases-now-3165-death-toll-1269/
https://ghalii.org/akn/gh/act/ei/2020/64/eng@2020-03-23
https://www.channelstv.com/2022/03/28/ghana-ends-mandatory-face-mask-wearing-reopens-borders-after-two-years/
https://gna.org.gh/2022/03/ho-traders-commend-government-for-opening-the-land-borders/
https://ghalii.org/akn/gh/act/ei/2020/64/eng%402020-03-23
https://www.mofep.gov.gh/speeches/2022-03-29
https://gna.org.gh/2022/05/togo-reopens-land-borders-to-human-traffic-2/
https://repository.parliament.gh/bitstream/handle/123456789/2300/E.I%2068%202020.pdf?isAllowed=y&amp;sequence=1
Earlier recorded access
Source 1: indexed excerpt
Source 2: indexed excerpt
Source 3: indexed excerpt</x:v>
      </x:c>
      <x:c r="P326" s="20" t="n">
        <x:v>1</x:v>
      </x:c>
      <x:c r="Q326" s="4" t="str">
        <x:v>West Africa and Sahel</x:v>
      </x:c>
      <x:c r="R326" s="4" t="str">
        <x:v>Included</x:v>
      </x:c>
    </x:row>
    <x:row r="327" ht="409" hidden="0" customHeight="1">
      <x:c r="A327" s="16" t="str">
        <x:v>W-004</x:v>
      </x:c>
      <x:c r="B327" s="4" t="str">
        <x:v>Côte d’Ivoire COVID land-border closure</x:v>
      </x:c>
      <x:c r="C327" s="4" t="str">
        <x:v>Côte d’Ivoire; Ghana; Burkina Faso; Mali; Guinea; Liberia</x:v>
      </x:c>
      <x:c r="D327" s="4" t="str">
        <x:v>Noe Elubo directly observed; national order covered all terrestrial borders
All land borders</x:v>
      </x:c>
      <x:c r="E327" s="4" t="str">
        <x:v>Human traffic
Direction: Both directions observed at Noe Elubo
Exceptions: Official initial order allowed goods subject health checks and humanitarian/security corridors for pandemic needs. Separately, AFP resident testimony describes paid exceptional family passage without establishing formal permission.</x:v>
      </x:c>
      <x:c r="F327" s="4" t="str">
        <x:v>W-004-D1 — Observed operation
Côte d'Ivoire restriction on ordinary non-exempt land passenger access, with observed Noé–Elubo reopening; not identical implementation at every gate.
Start: 2020-03-22.
Observed scoped reopening: 2023-02-16.
1061 calendar-day difference; scoped endpoint only</x:v>
      </x:c>
      <x:c r="G327" s="4" t="str">
        <x:v>Health and biosecurity / Human disease control
The government attributed the March 2020 passenger closure to preventing COVID-19 spread. The February 2023 reopening cited improved global health conditions and renewed economic activity.</x:v>
      </x:c>
      <x:c r="H327" s="4" t="str">
        <x:v>W-004-D1: Original order allowed goods with health controls and provided humanitarian/security corridors. National reopening decree specifies midnight February 15; actual Noé–Elubo passage observed February 16. AFP resident testimony about paid exceptional family passage is not evidence of a formal exemption. No precise-hour or universal impermeability claim.</x:v>
      </x:c>
      <x:c r="I327" s="4" t="str">
        <x:v>Second full-register audit, 26 October 2026: additional source-audited corrections incorporated. See the phase, scope and qualification columns for the accepted findings.</x:v>
      </x:c>
      <x:c r="J327" s="18" t="d">
        <x:v>2026-10-26T00:00:00.000Z</x:v>
      </x:c>
      <x:c r="K327" s="21" t="str">
        <x:f>IFERROR(HYPERLINK("https://onu.diplomatie.gouv.ci/conseil-ministre.php?lang=en&amp;num=465","Côte d’Ivoire UN mission"),"Côte d’Ivoire UN mission")</x:f>
        <x:v>Côte d’Ivoire UN mission</x:v>
      </x:c>
      <x:c r="L327" s="21" t="str">
        <x:f>IFERROR(HYPERLINK("https://information.tv5monde.com/afrique/la-cote-divoire-rouvre-ses-frontieres-terrestres-apres-presque-de-deux-ans-de-fermeture","TV5Monde"),"TV5Monde")</x:f>
        <x:v>TV5Monde</x:v>
      </x:c>
      <x:c r="M327" s="21" t="str">
        <x:f>IFERROR(HYPERLINK("https://www.channelstv.com/2023/02/17/families-rejoice-as-cote-divoire-border-opens-after-years-of-covid-19-closure/","AFP via Channels Television"),"AFP via Channels Television")</x:f>
        <x:v>AFP via Channels Television</x:v>
      </x:c>
      <x:c r="N327" s="4" t="str">
        <x:v>https://onu.diplomatie.gouv.ci/conseil-ministre.php?lang=en&amp;num=465
https://information.tv5monde.com/afrique/la-cote-divoire-rouvre-ses-frontieres-terrestres-apres-presque-de-deux-ans-de-fermeture
https://www.channelstv.com/2023/02/17/families-rejoice-as-cote-divoire-border-opens-after-years-of-covid-19-closure/
https://jma.gov.gh/the-municipal-chief-executive-for-jomoro-inspects-the-elubo-border-after-the-reopening-of-the-noe-border/
https://www.gouv.ci/index.php/actualite/retour-sur-lessentiel-de-lactualite-gouvernementale-du-13-au-17-fevrier-2023-2444
https://bilan.gouv.ci/actualite/10974
https://gouv.ci/index.php/actualite/defense-et-securite-le-gouvernement-annonce-louverture-des-frontieres-terrestres-le-15-fevrier-2023-a-compter-de-minuit-2444
https://info-covid19.gouv.ci/welcome/actualite/les-frontieres-terrestres-maritimes-et-aeriennes-ivoiriennes-fermees-a-tout-trafic-de-personnes-a-compter-du-22-mars-2020-a-minuit100
https://www.voaafrique.com/a/r%C3%A9ouverture-des-fronti%C3%A8res-terrestres-de-la-c%C3%B4te-d-ivoire-la-fin-du-calvaire-/6967211.html
https://www.bilan.gouv.ci/actualite/10974</x:v>
      </x:c>
      <x:c r="O327" s="4" t="str">
        <x:v>Second full-register audit source access, 26 October 2026
https://www.bilan.gouv.ci/actualite/10974: search extract (fresh retrieval)
https://onu.diplomatie.gouv.ci/conseil-ministre.php?lang=en&amp;num=465: full text (fresh retrieval)
https://www.channelstv.com/2023/02/17/families-rejoice-as-cote-divoire-border-opens-after-years-of-covid-19-closure/: full text (fresh retrieval)
Earlier URLs not separately inspected in this second assessment:
https://information.tv5monde.com/afrique/la-cote-divoire-rouvre-ses-frontieres-terrestres-apres-presque-de-deux-ans-de-fermeture
https://jma.gov.gh/the-municipal-chief-executive-for-jomoro-inspects-the-elubo-border-after-the-reopening-of-the-noe-border/
https://www.gouv.ci/index.php/actualite/retour-sur-lessentiel-de-lactualite-gouvernementale-du-13-au-17-fevrier-2023-2444
https://bilan.gouv.ci/actualite/10974
https://gouv.ci/index.php/actualite/defense-et-securite-le-gouvernement-annonce-louverture-des-frontieres-terrestres-le-15-fevrier-2023-a-compter-de-minuit-2444
https://info-covid19.gouv.ci/welcome/actualite/les-frontieres-terrestres-maritimes-et-aeriennes-ivoiriennes-fermees-a-tout-trafic-de-personnes-a-compter-du-22-mars-2020-a-minuit100
https://www.voaafrique.com/a/r%C3%A9ouverture-des-fronti%C3%A8res-terrestres-de-la-c%C3%B4te-d-ivoire-la-fin-du-calvaire-/6967211.html
Prior audit access record
Full-register audit source access (evidence cutoff 25 October 2026)
https://info-covid19.gouv.ci/welcome/actualite/les-frontieres-terrestres-maritimes-et-aeriennes-ivoiriennes-fermees-a-tout-trafic-de-personnes-a-compter-du-22-mars-2020-a-minuit100: search extract — Direct page navigation recovered but relevant follow-up timed out; substantive official indexed text inspected.
https://onu.diplomatie.gouv.ci/conseil-ministre.php?lang=en&amp;num=465: full text — Page heading has 2022 typo; communiqué body explicitly dates February 15, 2023.
https://www.channelstv.com/2023/02/17/families-rejoice-as-cote-divoire-border-opens-after-years-of-covid-19-closure/: full text
Earlier source URLs not separately listed in this audit’s retrieval log (historical access notes below are not fresh verification):
https://information.tv5monde.com/afrique/la-cote-divoire-rouvre-ses-frontieres-terrestres-apres-presque-de-deux-ans-de-fermeture
https://jma.gov.gh/the-municipal-chief-executive-for-jomoro-inspects-the-elubo-border-after-the-reopening-of-the-noe-border/
https://www.gouv.ci/index.php/actualite/retour-sur-lessentiel-de-lactualite-gouvernementale-du-13-au-17-fevrier-2023-2444
https://bilan.gouv.ci/actualite/10974
https://gouv.ci/index.php/actualite/defense-et-securite-le-gouvernement-annonce-louverture-des-frontieres-terrestres-le-15-fevrier-2023-a-compter-de-minuit-2444
https://www.voaafrique.com/a/r%C3%A9ouverture-des-fronti%C3%A8res-terrestres-de-la-c%C3%B4te-d-ivoire-la-fin-du-calvaire-/6967211.html
Earlier recorded access
Source 1: full page
Source 2: search extract
Source 3: full text</x:v>
      </x:c>
      <x:c r="P327" s="20" t="n">
        <x:v>1</x:v>
      </x:c>
      <x:c r="Q327" s="4" t="str">
        <x:v>West Africa and Sahel</x:v>
      </x:c>
      <x:c r="R327" s="4" t="str">
        <x:v>Included</x:v>
      </x:c>
    </x:row>
    <x:row r="328" ht="409" hidden="0" customHeight="1">
      <x:c r="A328" s="16" t="str">
        <x:v>W-024</x:v>
      </x:c>
      <x:c r="B328" s="4" t="str">
        <x:v>Gambia COVID land-border closure</x:v>
      </x:c>
      <x:c r="C328" s="4" t="str">
        <x:v>Gambia; Senegal</x:v>
      </x:c>
      <x:c r="D328" s="4" t="str">
        <x:v>Not individually established
Bilateral land frontier</x:v>
      </x:c>
      <x:c r="E328" s="4" t="str">
        <x:v>Not separately established
Direction: Not separately established
Exceptions: Security personnel, foodstuffs and medical services/equipment in initial bilateral order</x:v>
      </x:c>
      <x:c r="F328" s="4" t="str">
        <x:v>W-024-R1 — Announced window
Initial Gambia–Senegal bilateral COVID land-border order
Start: 2020-03-23.
Scheduled endpoint: 2020-04-13.
Ordered window: 21 calendar-day difference; actual end not established
W-024-R2 — Formal policy
Gambian land-border closure policy recalled in its lifting announcement
Start: 2020-05-19.
Policy endpoint: 2020-10-16.
Formal policy: 150 calendar-day difference; operational continuity not established</x:v>
      </x:c>
      <x:c r="G32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28" s="4" t="str">
        <x:v>W-024-R1: Midnight/tonight wording is retained as a source ambiguity; expiry is not reopening, and no hour is invented.
W-024-R2: Documentary May policy phase, not original onset or two-sided physical closure. September 17 government statement expressly retained border regulations after emergency expiry. Senegal still required special clearance on October 19. July and September emergency expiry dates are not border endpoints.</x:v>
      </x:c>
      <x:c r="I328" s="4" t="str">
        <x:v>Second full-register audit, 26 October 2026: qualified. Both Gambian phases remain supported: the initial 21-day March order and the later recalled May policy phase lifted on 16 October 2020. The October lifting was Gambian permission, not proof that Senegal simultaneously admitted ordinary travellers.</x:v>
      </x:c>
      <x:c r="J328" s="18" t="d">
        <x:v>2026-10-26T00:00:00.000Z</x:v>
      </x:c>
      <x:c r="K328" s="21" t="str">
        <x:f>IFERROR(HYPERLINK("https://standard.gm/gambia-closes-border-with-senegal-airspace-tonight/","The Standard"),"The Standard")</x:f>
        <x:v>The Standard</x:v>
      </x:c>
      <x:c r="L328" s="21" t="str">
        <x:f>IFERROR(HYPERLINK("https://standard.gm/president-barrow-opens-land-and-sea-borders-relaxes-restrictions-on-casinos-and-night-clubs0/","The Standard"),"The Standard")</x:f>
        <x:v>The Standard</x:v>
      </x:c>
      <x:c r="M328" s="21" t="str">
        <x:f>IFERROR(HYPERLINK("https://thepoint.gm/africa/gambia/headlines/senegalese-diplomat-officially-unaware-of-border-reopening","The Point"),"The Point")</x:f>
        <x:v>The Point</x:v>
      </x:c>
      <x:c r="N328" s="4" t="str">
        <x:v>https://standard.gm/gambia-closes-border-with-senegal-airspace-tonight/
https://standard.gm/president-barrow-opens-land-and-sea-borders-relaxes-restrictions-on-casinos-and-night-clubs0/
https://thepoint.gm/africa/gambia/headlines/senegalese-diplomat-officially-unaware-of-border-reopening
https://apps.who.int/gb/COVID-19/pdf_files/15_10/Gambia.pdf
https://archive.statehouse.gm/president-barrow-lifts-state-public-emergency
https://www.kerrfatou.com/president-adama-barrow-relaxes-nightly-curfew-and-market-restrictions-public-health-regulations-remain-in-force/
https://www.elibrary.imf.org/view/journals/002/2021/025/article-A002-en.xml
https://africa.sis.gov.eg/english/covid-19/gambia/news/the-gambia-reopens-borders-after-covid-19-closure/
https://www.kerrfatou.com/gambia-government-relaxes-travel-restrictions-plans-to-reopen-some-non-essential-public-places/</x:v>
      </x:c>
      <x:c r="O328" s="4" t="str">
        <x:v>Second full-register audit source access, 26 October 2026
https://standard.gm/gambia-closes-border-with-senegal-airspace-tonight/: full text (fresh retrieval)
https://standard.gm/president-barrow-opens-land-and-sea-borders-relaxes-restrictions-on-casinos-and-night-clubs0/: full text (fresh retrieval)
https://thepoint.gm/africa/gambia/headlines/senegalese-diplomat-officially-unaware-of-border-reopening: full text (fresh retrieval)
https://www.kerrfatou.com/president-adama-barrow-relaxes-nightly-curfew-and-market-restrictions-public-health-regulations-remain-in-force/: full text (fresh retrieval) — Page has later update metadata; embedded release is explicitly dated September 17, 2020.
https://africa.sis.gov.eg/english/covid-19/gambia/news/the-gambia-reopens-borders-after-covid-19-closure/: search extract (fresh retrieval) — Substantive indexed text; direct open 502 in batch125. Supports Friday announcement, not gate traffic.
Earlier URLs not separately inspected in this second assessment:
https://apps.who.int/gb/COVID-19/pdf_files/15_10/Gambia.pdf
https://archive.statehouse.gm/president-barrow-lifts-state-public-emergency
https://www.elibrary.imf.org/view/journals/002/2021/025/article-A002-en.xml
https://www.kerrfatou.com/gambia-government-relaxes-travel-restrictions-plans-to-reopen-some-non-essential-public-places/
Prior audit access record
Full-register audit source access (evidence cutoff 25 October 2026)
https://standard.gm/gambia-closes-border-with-senegal-airspace-tonight/: full text — Limited to the stated claim and cohort.
https://standard.gm/president-barrow-opens-land-and-sea-borders-relaxes-restrictions-on-casinos-and-night-clubs0/: full text — Limited to the stated claim and cohort.
https://thepoint.gm/africa/gambia/headlines/senegalese-diplomat-officially-unaware-of-border-reopening: full text — Limited to the stated claim and cohort.
https://www.elibrary.imf.org/view/journals/002/2021/025/article-A002-en.xml: search extract — Indexed passage only.
Earlier source URLs not separately listed in this audit’s retrieval log (historical access notes below are not fresh verification):
https://apps.who.int/gb/COVID-19/pdf_files/15_10/Gambia.pdf
https://archive.statehouse.gm/president-barrow-lifts-state-public-emergency
https://www.kerrfatou.com/president-adama-barrow-relaxes-nightly-curfew-and-market-restrictions-public-health-regulations-remain-in-force/
https://africa.sis.gov.eg/english/covid-19/gambia/news/the-gambia-reopens-borders-after-covid-19-closure/
https://www.kerrfatou.com/gambia-government-relaxes-travel-restrictions-plans-to-reopen-some-non-essential-public-places/
Earlier recorded access
Source 1: full
Source 2: full
Source 3: full</x:v>
      </x:c>
      <x:c r="P328" s="20" t="n">
        <x:v>2</x:v>
      </x:c>
      <x:c r="Q328" s="4" t="str">
        <x:v>West Africa and Sahel</x:v>
      </x:c>
      <x:c r="R328" s="4" t="str">
        <x:v>Included</x:v>
      </x:c>
    </x:row>
    <x:row r="329" ht="409" hidden="0" customHeight="1">
      <x:c r="A329" s="16" t="str">
        <x:v>W-022</x:v>
      </x:c>
      <x:c r="B329" s="4" t="str">
        <x:v>Liberia COVID land-border closure</x:v>
      </x:c>
      <x:c r="C329" s="4" t="str">
        <x:v>Liberia; Guinea; Côte d’Ivoire; Sierra Leone</x:v>
      </x:c>
      <x:c r="D329" s="4" t="str">
        <x:v>Not individually established
National passenger restrictions with phased onset and cargo/humanitarian exceptions</x:v>
      </x:c>
      <x:c r="E329" s="4" t="str">
        <x:v>Ordinary passengers and foreign commercial drivers; goods continued under restricted transfer arrangements.
Direction: Not separately established
Exceptions: Humanitarian trucks and drivers under health controls; commercial and essential goods could be transferred at the frontier or carried onward by local drivers.</x:v>
      </x:c>
      <x:c r="F329" s="4" t="str">
        <x:v>W-022-FU1 — Observed operation
Liberia closure toward Guinea and Côte d’Ivoire, first phase
Start: 2020-03-30.
Last directly dated onset evidence: 2020-03-30. A 2020-05-04 customs statement describes continuing national passenger restrictions and cargo exceptions.
Later scoped access: official passenger reopening at Ganta on the Guinea frontier was reported by 2021-03-12. The exact first reopening date and the Côte d’Ivoire endpoint are not established.
Policy evidence supports a restriction longer than 24 hours; exact uninterrupted operational duration withheld.</x:v>
      </x:c>
      <x:c r="G32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29" s="4" t="str">
        <x:v>W-022-FU1: The contemporary report places Liberia’s Guinea and Côte d’Ivoire first-phase closure on 30 March 2020. It does not date the Sierra Leone phase or establish a continuous physical closure. Cargo transfers and humanitarian exceptions remained. A Liberia Revenue Authority statement dated 4 May describes the continuing passenger restrictions and cargo arrangements.
Ganta–Guinea later access: Local Voices Liberia’s report published 12 March 2021 quotes the Nimba immigration deputy commander saying the official border had reopened for travellers under health screening, alongside interviews with local traders. This supports official passenger access by that date at Ganta, not an exact first reopening day, observed first crossing, nationwide repeal or an endpoint for Côte d’Ivoire. The report also describes irregular passage during the closure.
An SSHAP March 2021 briefing reports an earlier Guinea–Liberia reopening in October 2020. The relevant passage was recovered from a transcription, but its underlying footnote and exact crossing/side could not be verified. It is not adopted as an exact endpoint or used to infer uninterrupted closure until March 2021.
IOM’s December 2021 survey describes increased movement after reopening across official and unofficial Sierra Leone border points. This is a different frontier and does not end the Guinea/Côte d’Ivoire phase. A secondary tracker’s 13 October 2021 full-land-reopening claim remains uncorroborated by the original dated FCDO advice. Other gates’ first passenger restoration and national formal repeal remain unknown; the old COVID restriction is not asserted to continue into the present.</x:v>
      </x:c>
      <x:c r="I329" s="4" t="str">
        <x:v>Second full-register audit, 26 October 2026: additional source-audited corrections incorporated. See the phase, scope and qualification columns for the accepted findings.</x:v>
      </x:c>
      <x:c r="J329" s="18" t="d">
        <x:v>2026-10-26T00:00:00.000Z</x:v>
      </x:c>
      <x:c r="K329" s="21" t="str">
        <x:f>IFERROR(HYPERLINK("https://frontpageafricaonline.com/liberia-closes-borders-with-guinea-and-ivory-coast-due-to-coronavirus-pandemic-as-several-ghanaians-arrested-in-nimba/","FrontPageAfrica"),"FrontPageAfrica")</x:f>
        <x:v>FrontPageAfrica</x:v>
      </x:c>
      <x:c r="L329" s="21" t="str">
        <x:f>IFERROR(HYPERLINK("https://www.wcoomd.org/-/media/wco/public/global/pdf/topics/facilitation/activities-and-programmes/natural-disaster/covid_19/liberia_en.pdf?la=pt-PT","Liberia Customs / WCO"),"Liberia Customs / WCO")</x:f>
        <x:v>Liberia Customs / WCO</x:v>
      </x:c>
      <x:c r="M329" s="21" t="str">
        <x:f>IFERROR(HYPERLINK("https://global-monitoring.com/gm/page/events/epidemic-0002055.FAQD679jXtkt.html?lang=en","Global Monitoring"),"Global Monitoring")</x:f>
        <x:v>Global Monitoring</x:v>
      </x:c>
      <x:c r="N329" s="4" t="str">
        <x:v>https://frontpageafricaonline.com/liberia-closes-borders-with-guinea-and-ivory-coast-due-to-coronavirus-pandemic-as-several-ghanaians-arrested-in-nimba/
https://www.wcoomd.org/-/media/wco/public/global/pdf/topics/facilitation/activities-and-programmes/natural-disaster/covid_19/liberia_en.pdf?la=pt-PT
https://global-monitoring.com/gm/page/events/epidemic-0002055.FAQD679jXtkt.html?lang=en
https://wiki.unece.org/spaces/CTRBSBC/pages/101548469/Liberia
https://blogs.loc.gov/law/2020/05/liberia-government-measures-to-contain-the-spread-of-covid-19/
https://www.mofa.gov.lr/node/6153
https://www.fragomen.com/a/web/9UeMkBzWKzNZomhXn7hvRp/33Qsvu/new_coronavirus_table_for_news_page_1.4v2.pdf
https://www.casechat.au/cases/au/2304065-refugee
https://dtm.iom.int/reports/sierra-leone-socio-economic-impacts-covid-19-pandemic-travellers-migrants-and-cross-border
https://dtm.iom.int/sites/g/files/tmzbdl1461/files/reports/Sierra%20Leone_Cross%20Border%20Mobility_COVID-19_Survey%20Report%2006122022_FINAL_0.pdf
https://news.localvoicesliberia.com/ebola-mixed-reactions-over-reopening-of-liberia-guinea-border/
https://www.readkong.com/page/2021-outbreak-of-ebola-in-guinea-the-context-of-n-z-r-kor-5156275
https://www.socialscienceinaction.org/resources/key-considerations-2021-outbreak-of-ebola-in-guinea-the-context-of-nzerekore/</x:v>
      </x:c>
      <x:c r="O329" s="4" t="str">
        <x:v>Second full-register audit source access, 26 October 2026
https://frontpageafricaonline.com/liberia-closes-borders-with-guinea-and-ivory-coast-due-to-coronavirus-pandemic-as-several-ghanaians-arrested-in-nimba/: full text (fresh retrieval)
https://www.wcoomd.org/-/media/wco/public/global/pdf/topics/facilitation/activities-and-programmes/natural-disaster/covid_19/liberia_en.pdf?la=pt-PT: full text (fresh retrieval)
https://news.localvoicesliberia.com/ebola-mixed-reactions-over-reopening-of-liberia-guinea-border/: full text (fresh retrieval) — Actual field report and commander quotation inspected; continued body in turn2013view5 and batch129. Publication is a latest bound, not interview date or first reopening date.
https://www.readkong.com/page/2021-outbreak-of-ebola-in-guinea-the-context-of-n-z-r-kor-5156275: full text (fresh retrieval) — Relevant border passage inspected; transcription ends before footnote 60. October 2020 reopening remains qualified, exact gate and side unresolved.
https://www.socialscienceinaction.org/resources/key-considerations-2021-outbreak-of-ebola-in-guinea-the-context-of-nzerekore/: full text (fresh retrieval) — Official landing page verifies report identity; repository full PDF returned 403 in batch131. Landing page does not verify the border passage.
https://www.fragomen.com/a/web/9UeMkBzWKzNZomhXn7hvRp/33Qsvu/new_coronavirus_table_for_news_page_1.4v2.pdf: full text (fresh retrieval) — PDF cover freshly inspected in batch133: last updated January 4, 2021 at 10:16 ET. Liberia section freshly inspected on PDF page 113 in batch134. Broad policy summary, not local operational observation.
https://dtm.iom.int/sites/g/files/tmzbdl1461/files/reports/Sierra%20Leone_Cross%20Border%20Mobility_COVID-19_Survey%20Report%2006122022_FINAL_0.pdf: search extract (fresh retrieval) — Indexed substantive study passage inspected; survey dates December 16–25, 2021. Full PDF not inspected; report-page direct access 403. Mixed official/unofficial and different frontier.
https://global-monitoring.com/gm/page/events/epidemic-0002055.FAQD679jXtkt.html?lang=en: search extract (fresh retrieval) — Indexed dated updates inspected; original linked 2021 FCDO advice not recovered.
https://dtm.iom.int/reports/sierra-leone-socio-economic-impacts-covid-19-pandemic-travellers-migrants-and-cross-border: inaccessible (fresh retrieval) — Direct retrieval returned 403.
Earlier URLs not separately inspected in this second assessment:
https://wiki.unece.org/spaces/CTRBSBC/pages/101548469/Liberia
https://blogs.loc.gov/law/2020/05/liberia-government-measures-to-contain-the-spread-of-covid-19/
https://www.mofa.gov.lr/node/6153
https://www.casechat.au/cases/au/2304065-refugee
Prior audit access record
Full-register audit source access (evidence cutoff 25 October 2026)
https://frontpageafricaonline.com/liberia-closes-borders-with-guinea-and-ivory-coast-due-to-coronavirus-pandemic-as-several-ghanaians-arrested-in-nimba/: full text — Limited to the stated claim and cohort.
https://www.wcoomd.org/-/media/wco/public/global/pdf/topics/facilitation/activities-and-programmes/natural-disaster/covid_19/liberia_en.pdf?la=pt-PT: full text — Limited to the stated claim and cohort.
https://global-monitoring.com/gm/page/events/epidemic-0002055.FAQD679jXtkt.html?lang=en: search extract — Indexed passage only.
https://www.casechat.au/cases/au/2304065-refugee: search extract — Indexed passage only.
https://dtm.iom.int/reports/sierra-leone-socio-economic-impacts-covid-19-pandemic-travellers-migrants-and-cross-border: search extract — Official indexed report-page text inspected; direct retrieval 403. Publication list identifies December 21, 2022. Not a matching Liberia–Guinea/Côte d’Ivoire endpoint.
https://dtm.iom.int/sites/g/files/tmzbdl1461/files/reports/Sierra%20Leone_Cross%20Border%20Mobility_COVID-19_Survey%20Report%2006122022_FINAL_0.pdf: search extract — Direct web and local download failed; full methods and point-specific flows not freshly inspected. No precise official-passage inference.
Earlier source URLs not separately listed in this audit’s retrieval log (historical access notes below are not fresh verification):
https://wiki.unece.org/spaces/CTRBSBC/pages/101548469/Liberia
https://blogs.loc.gov/law/2020/05/liberia-government-measures-to-contain-the-spread-of-covid-19/
https://www.mofa.gov.lr/node/6153
https://www.fragomen.com/a/web/9UeMkBzWKzNZomhXn7hvRp/33Qsvu/new_coronavirus_table_for_news_page_1.4v2.pdf
Earlier recorded access
Source 1: full
Source 2: full
Source 3: indexed excerpt</x:v>
      </x:c>
      <x:c r="P329" s="20" t="n">
        <x:v>1</x:v>
      </x:c>
      <x:c r="Q329" s="4" t="str">
        <x:v>West Africa and Sahel</x:v>
      </x:c>
      <x:c r="R329" s="4" t="str">
        <x:v>Included</x:v>
      </x:c>
    </x:row>
    <x:row r="330" ht="294" hidden="0" customHeight="1">
      <x:c r="A330" s="16" t="str">
        <x:v>W-009</x:v>
      </x:c>
      <x:c r="B330" s="4" t="str">
        <x:v>Mali military authorities post-coup closure</x:v>
      </x:c>
      <x:c r="C330" s="4" t="str">
        <x:v>Mali; Algeria; Mauritania; Senegal; Guinea; Côte d’Ivoire; Burkina Faso; Niger</x:v>
      </x:c>
      <x:c r="D330" s="4" t="str">
        <x:v>Not individually established
Malian-side national border order</x:v>
      </x:c>
      <x:c r="E330" s="4" t="str">
        <x:v>Not separately established
Direction: Not separately established
Exceptions: Not established</x:v>
      </x:c>
      <x:c r="F330" s="4" t="str">
        <x:v>W-009-D1 — Formal policy
Malian authorities' national closure order only
Start: 2020-08-19.
Policy endpoint: 2020-08-21.
Formal policy: 2 calendar-day difference; operational continuity not established</x:v>
      </x:c>
      <x:c r="G330" s="4" t="str">
        <x:v>Power and regime politics / Coups and succession
Security / Unspecified security
Contextual classification of the CNSP border order accompanying the military takeover and curfew. The sources describe security arrangements but do not establish a separate specific border threat.</x:v>
      </x:c>
      <x:c r="H330" s="4" t="str">
        <x:v>Televised CNSP announcement expressly effective 19 August; AMAP retrospective shorthand links closure to the 18 August coup. Reopening permission 21 August did not override ECOWAS restrictions.
W-009-D1: Formal permission, not observed all-route reopening. ECOWAS-side sanctions continued separately.</x:v>
      </x:c>
      <x:c r="I330" s="4" t="str">
        <x:v>Second full-register audit, 26 October 2026: additional source-audited corrections incorporated. See the phase, scope and qualification columns for the accepted findings.</x:v>
      </x:c>
      <x:c r="J330" s="18" t="d">
        <x:v>2026-10-26T00:00:00.000Z</x:v>
      </x:c>
      <x:c r="K330" s="21" t="str">
        <x:f>IFERROR(HYPERLINK("https://amap.ml/2020/08/21/mali-le-cnsp-allege-le-couvre-feu-et-rouvre-les-frontieres-communiques/","AMAP"),"AMAP")</x:f>
        <x:v>AMAP</x:v>
      </x:c>
      <x:c r="L330" s="21" t="str">
        <x:f>IFERROR(HYPERLINK("https://www.myjoyonline.com/malis-military-junta-closes-borders-and-imposes-curfew/","myjoyonline.com"),"myjoyonline.com")</x:f>
        <x:v>myjoyonline.com</x:v>
      </x:c>
      <x:c r="M330" s="21" t="str">
        <x:f>IFERROR(HYPERLINK("https://www.ecoi.net/en/document/2048168.html","ecoi.net"),"ecoi.net")</x:f>
        <x:v>ecoi.net</x:v>
      </x:c>
      <x:c r="N330" s="4" t="str">
        <x:v>https://amap.ml/2020/08/21/mali-le-cnsp-allege-le-couvre-feu-et-rouvre-les-frontieres-communiques/
https://www.myjoyonline.com/malis-military-junta-closes-borders-and-imposes-curfew/
https://www.ecoi.net/en/document/2048168.html</x:v>
      </x:c>
      <x:c r="O330" s="4" t="str">
        <x:v>Second full-register audit source access, 26 October 2026
https://www.myjoyonline.com/malis-military-junta-closes-borders-and-imposes-curfew/: full text (fresh retrieval)
https://amap.ml/2020/08/21/mali-le-cnsp-allege-le-couvre-feu-et-rouvre-les-frontieres-communiques/: full text (fresh retrieval)
Earlier URLs not separately inspected in this second assessment:
https://www.ecoi.net/en/document/2048168.html
Prior audit access record
Full-register audit source access (evidence cutoff 25 October 2026)
https://www.myjoyonline.com/malis-military-junta-closes-borders-and-imposes-curfew/: full text
https://amap.ml/2020/08/21/mali-le-cnsp-allege-le-couvre-feu-et-rouvre-les-frontieres-communiques/: full text
Earlier source URLs not separately listed in this audit’s retrieval log (historical access notes below are not fresh verification):
https://www.ecoi.net/en/document/2048168.html
Earlier recorded access
Source 1: full page
Source 2: access detail is retained in the source catalogue.
Source 3: access detail is retained in the source catalogue.</x:v>
      </x:c>
      <x:c r="P330" s="20" t="n">
        <x:v>1</x:v>
      </x:c>
      <x:c r="Q330" s="4" t="str">
        <x:v>West Africa and Sahel</x:v>
      </x:c>
      <x:c r="R330" s="4" t="str">
        <x:v>Included</x:v>
      </x:c>
    </x:row>
    <x:row r="331" ht="409" hidden="0" customHeight="1">
      <x:c r="A331" s="16" t="str">
        <x:v>W-010</x:v>
      </x:c>
      <x:c r="B331" s="4" t="str">
        <x:v>ECOWAS border sanctions against Mali after 2020 coup</x:v>
      </x:c>
      <x:c r="C331" s="4" t="str">
        <x:v>Mali; Senegal; Guinea; Côte d’Ivoire; Burkina Faso; Niger</x:v>
      </x:c>
      <x:c r="D331" s="4" t="str">
        <x:v>Not individually established
ECOWAS members’ borders with Mali</x:v>
      </x:c>
      <x:c r="E331" s="4" t="str">
        <x:v>Regional border and commercial restrictions; passenger and freight implementation not separately established at each post.
Direction: ECOWAS members’ restrictions concerning Mali; individual member implementation not established.
Exceptions: By August 20, 2020, presidential summit accounts explicitly exempted staple food / essential humanitarian goods, medication, fuel and electricity. This is policy permission, not proof that each shipment crossed, and is not automatically backdated to August 18.</x:v>
      </x:c>
      <x:c r="F331" s="4" t="str">
        <x:v>W-010-D1 — Formal policy
ECOWAS border-sanctions order against Mali
Start: 2020-08-18.
Lifting announcement: 2020-10-06.
The AU separately dates adoption of the lifting declaration to 2020-10-05; exact legal-effect timing remains unresolved.
Announcement chronology: 49 calendar-day difference to October 6; not an exact operational duration.</x:v>
      </x:c>
      <x:c r="G331" s="4" t="str">
        <x:v>Interstate disputes and pressure / Sanctions and coercive pressure
ECOWAS imposed border and commercial sanctions to press for restoration of constitutional government and release of detained officials after the coup. Applies to the regional sanctions order, with essential-goods exemptions.</x:v>
      </x:c>
      <x:c r="H331" s="4" t="str">
        <x:v>W-010-D1: Legal policy period only; not a uniform physical closure or actual crossing restart. Mali's own earlier permission is a different side of the border.
Primary Burkina Faso and Nigerian presidential accounts document essential-goods exceptions by August 20. The UN dates the public lifting announcement to October 6; the AU refers to adoption of the declaration on October 5. Preserve this distinction rather than asserting an exact first physical reopening.</x:v>
      </x:c>
      <x:c r="I331" s="4" t="str">
        <x:v>Second full-register audit, 26 October 2026: additional source-audited corrections incorporated. See the phase, scope and qualification columns for the accepted findings.</x:v>
      </x:c>
      <x:c r="J331" s="18" t="d">
        <x:v>2026-10-26T00:00:00.000Z</x:v>
      </x:c>
      <x:c r="K331" s="21" t="str">
        <x:f>IFERROR(HYPERLINK("https://amap.ml/2020/08/19/mutinerie-la-cedeao-suspend-le-mali-et-ferme-ses-frontieres-terrestres-et-aeriennes-communique-integral/","AMAP"),"AMAP")</x:f>
        <x:v>AMAP</x:v>
      </x:c>
      <x:c r="L331" s="21" t="str">
        <x:f>IFERROR(HYPERLINK("https://www.ecoi.net/en/file/local/2048839/S_2020_1281_E.pdf","UN via ecoi.net"),"UN via ecoi.net")</x:f>
        <x:v>UN via ecoi.net</x:v>
      </x:c>
      <x:c r="M331" s="21" t="str">
        <x:f>IFERROR(HYPERLINK("https://www.ecreee.org/ecowas-condemns-the-military-putsch-in-mali/","ecreee.org"),"ecreee.org")</x:f>
        <x:v>ecreee.org</x:v>
      </x:c>
      <x:c r="N331" s="4" t="str">
        <x:v>https://amap.ml/2020/08/19/mutinerie-la-cedeao-suspend-le-mali-et-ferme-ses-frontieres-terrestres-et-aeriennes-communique-integral/
https://www.ecoi.net/en/file/local/2048839/S_2020_1281_E.pdf
https://www.ecreee.org/ecowas-condemns-the-military-putsch-in-mali/
https://www.ecoi.net/en/document/2048168.html
https://ny1.com/nyc/queens/ap-online/2020/10/06/west-african-regional-bloc-lifts-sanctions-against-mali
https://www.securitycouncilreport.org/monthly-forecast/2020-10/mali-11.php
https://digitallibrary.un.org/nanna/record/3895975/files/S_2020_1282-EN.pdf?registerDownload=1&amp;version=1&amp;withMetadata=0&amp;withWatermark=0
https://www.presidencedufaso.bf/sommet-extraordinaire-de-la-cedeao-2/
https://statehouse.gov.ng/president-buhari-supports-ecowas-decision-on-return-to-constitutional-order-in-mali/
https://www.au.int/en/pressreleases/20201009/communique-954th-meeting-psc</x:v>
      </x:c>
      <x:c r="O331" s="4" t="str">
        <x:v>Second full-register audit source access, 26 October 2026
https://amap.ml/2020/08/19/mutinerie-la-cedeao-suspend-le-mali-et-ferme-ses-frontieres-terrestres-et-aeriennes-communique-integral/: full text (fresh retrieval)
https://www.presidencedufaso.bf/sommet-extraordinaire-de-la-cedeao-2/: full text (fresh retrieval)
https://www.au.int/en/pressreleases/20201009/communique-954th-meeting-psc: full text (fresh retrieval)
https://www.ecoi.net/en/file/local/2048839/S_2020_1281_E.pdf: full text (fresh retrieval)
Earlier URLs not separately inspected in this second assessment:
https://www.ecreee.org/ecowas-condemns-the-military-putsch-in-mali/
https://www.ecoi.net/en/document/2048168.html
https://ny1.com/nyc/queens/ap-online/2020/10/06/west-african-regional-bloc-lifts-sanctions-against-mali
https://www.securitycouncilreport.org/monthly-forecast/2020-10/mali-11.php
https://digitallibrary.un.org/nanna/record/3895975/files/S_2020_1282-EN.pdf?registerDownload=1&amp;version=1&amp;withMetadata=0&amp;withWatermark=0
https://statehouse.gov.ng/president-buhari-supports-ecowas-decision-on-return-to-constitutional-order-in-mali/
Prior audit access record
Full-register audit source access (evidence cutoff 25 October 2026)
https://amap.ml/2020/08/19/mutinerie-la-cedeao-suspend-le-mali-et-ferme-ses-frontieres-terrestres-et-aeriennes-communique-integral/: full text
https://www.ecoi.net/en/file/local/2048839/S_2020_1281_E.pdf: full text
https://www.presidencedufaso.bf/sommet-extraordinaire-de-la-cedeao-2/: full text
https://statehouse.gov.ng/president-buhari-supports-ecowas-decision-on-return-to-constitutional-order-in-mali/: full text
https://www.au.int/en/pressreleases/20201009/communique-954th-meeting-psc: search extract — Indexed substantive passage; not a fresh original ECOWAS declaration.
Earlier source URLs not separately listed in this audit’s retrieval log (historical access notes below are not fresh verification):
https://www.ecreee.org/ecowas-condemns-the-military-putsch-in-mali/
https://www.ecoi.net/en/document/2048168.html
https://ny1.com/nyc/queens/ap-online/2020/10/06/west-african-regional-bloc-lifts-sanctions-against-mali
https://www.securitycouncilreport.org/monthly-forecast/2020-10/mali-11.php
https://digitallibrary.un.org/nanna/record/3895975/files/S_2020_1282-EN.pdf?registerDownload=1&amp;version=1&amp;withMetadata=0&amp;withWatermark=0
Earlier recorded access
Source 1: full page
Source 2: full PDF relevant passage
Source 3: access detail is retained in the source catalogue.</x:v>
      </x:c>
      <x:c r="P331" s="20" t="n">
        <x:v>1</x:v>
      </x:c>
      <x:c r="Q331" s="4" t="str">
        <x:v>West Africa and Sahel</x:v>
      </x:c>
      <x:c r="R331" s="4" t="str">
        <x:v>Included</x:v>
      </x:c>
    </x:row>
    <x:row r="332" ht="409" hidden="0" customHeight="1">
      <x:c r="A332" s="16" t="str">
        <x:v>W-005</x:v>
      </x:c>
      <x:c r="B332" s="4" t="str">
        <x:v>Guinea closure of Senegal border before election</x:v>
      </x:c>
      <x:c r="C332" s="4" t="str">
        <x:v>Guinea; Senegal</x:v>
      </x:c>
      <x:c r="D332" s="4" t="str">
        <x:v>Not individually established
Guinean side of bilateral land frontier</x:v>
      </x:c>
      <x:c r="E332" s="4" t="str">
        <x:v>Not separately established
Direction: Not separately established
Exceptions: Not established</x:v>
      </x:c>
      <x:c r="F332" s="4" t="str">
        <x:v>W-005-R1 — Formal policy
Guinea-imposed general land-border restriction facing Senegal
Start: 2020-09-01 to 2020-09-29.
Policy endpoint: 2021-09-29.
Formal policy: 365–393 calendar-day difference; operational continuity not established</x:v>
      </x:c>
      <x:c r="G332" s="4" t="str">
        <x:v>Security / Unspecified security
An unnamed government official quoted by AFP attributed the restriction to security without further detail; the security minister was not reached.
Electoral politics / Election administration and security
Power and regime politics / Opposition and political reform
These remain contextual interpretations of reporting on the coming election, diaspora opposition and Alpha Condé’s disputed third term, rather than additional established official reasons.</x:v>
      </x:c>
      <x:c r="H332" s="4" t="str">
        <x:v>W-005-R1: Onset kept within September and no later than contemporary 29 September report. Exceptions/permeability unquantified. Coup overlay belongs to W-008 and is not additive.</x:v>
      </x:c>
      <x:c r="I332" s="4" t="str">
        <x:v>Second full-register audit, 26 October 2026: additional source-audited corrections incorporated. See the phase, scope and qualification columns for the accepted findings.</x:v>
      </x:c>
      <x:c r="J332" s="18" t="d">
        <x:v>2026-10-26T00:00:00.000Z</x:v>
      </x:c>
      <x:c r="K332" s="21" t="str">
        <x:f>IFERROR(HYPERLINK("https://www.seneplus.com/article/la-guinee-ferme-ses-frontieres-avec-le-senegal-et-la-guinee-bissau","SenePlus / AFP"),"SenePlus / AFP")</x:f>
        <x:v>SenePlus / AFP</x:v>
      </x:c>
      <x:c r="L332" s="21" t="str">
        <x:f>IFERROR(HYPERLINK("https://guineenews.org/2021/09/13/guinee-la-junte-annonce-la-reouverture-graduelle-des-frontieres-terrestres/","Guinéenews"),"Guinéenews")</x:f>
        <x:v>Guinéenews</x:v>
      </x:c>
      <x:c r="M332" s="21" t="str">
        <x:f>IFERROR(HYPERLINK("https://afrique.le360.ma/senegal-guinee/politique/2021/09/30/35586-guinee-senegal-la-junte-acheve-la-reouverture-des-frontieres-35586/","Le360 Afrique"),"Le360 Afrique")</x:f>
        <x:v>Le360 Afrique</x:v>
      </x:c>
      <x:c r="N332" s="4" t="str">
        <x:v>https://www.seneplus.com/article/la-guinee-ferme-ses-frontieres-avec-le-senegal-et-la-guinee-bissau
https://guineenews.org/2021/09/13/guinee-la-junte-annonce-la-reouverture-graduelle-des-frontieres-terrestres/
https://afrique.le360.ma/senegal-guinee/politique/2021/09/30/35586-guinee-senegal-la-junte-acheve-la-reouverture-des-frontieres-35586/
https://www.guinee360.com/27/07/2021/reouverture-de-frontieres-nous-attendons-nos-amis-senegalais-aladji-cellou/
https://guineenews.org/2021/09/28/les-frontieres-guineo-senegalaises-rouvertes-a-partir-de-ce-mercredi-communique-de-la-junte/
https://kytisa.com/communique-n041/
https://www.afrik.com/la-frontiere-entre-la-guinee-et-le-senegal-rouverte
https://www.sbc.sc/news/guinea-closes-borders-with-guinea-bissau-senegal-ahead-of-vote/
https://senego.com/59e-session-cedeao-le-senegal-et-la-guinee-rouvrent-leurs-frontieres_1286142.html</x:v>
      </x:c>
      <x:c r="O332" s="4" t="str">
        <x:v>Second full-register audit source access, 26 October 2026
https://www.seneplus.com/article/la-guinee-ferme-ses-frontieres-avec-le-senegal-et-la-guinee-bissau: full text (fresh retrieval)
https://www.guinee360.com/27/07/2021/reouverture-de-frontieres-nous-attendons-nos-amis-senegalais-aladji-cellou/: full text (fresh retrieval)
https://guineenews.org/2021/09/28/les-frontieres-guineo-senegalaises-rouvertes-a-partir-de-ce-mercredi-communique-de-la-junte/: full text (fresh retrieval)
Earlier URLs not separately inspected in this second assessment:
https://guineenews.org/2021/09/13/guinee-la-junte-annonce-la-reouverture-graduelle-des-frontieres-terrestres/
https://afrique.le360.ma/senegal-guinee/politique/2021/09/30/35586-guinee-senegal-la-junte-acheve-la-reouverture-des-frontieres-35586/
https://kytisa.com/communique-n041/
https://www.afrik.com/la-frontiere-entre-la-guinee-et-le-senegal-rouverte
https://www.sbc.sc/news/guinea-closes-borders-with-guinea-bissau-senegal-ahead-of-vote/
https://senego.com/59e-session-cedeao-le-senegal-et-la-guinee-rouvrent-leurs-frontieres_1286142.html
Prior audit access record
Full-register audit source access (evidence cutoff 25 October 2026)
https://www.seneplus.com/article/la-guinee-ferme-ses-frontieres-avec-le-senegal-et-la-guinee-bissau: full text
https://guineenews.org/2021/09/28/les-frontieres-guineo-senegalaises-rouvertes-a-partir-de-ce-mercredi-communique-de-la-junte/: full text
https://www.guinee360.com/27/07/2021/reouverture-de-frontieres-nous-attendons-nos-amis-senegalais-aladji-cellou/: full text
Earlier source URLs not separately listed in this audit’s retrieval log (historical access notes below are not fresh verification):
https://guineenews.org/2021/09/13/guinee-la-junte-annonce-la-reouverture-graduelle-des-frontieres-terrestres/
https://afrique.le360.ma/senegal-guinee/politique/2021/09/30/35586-guinee-senegal-la-junte-acheve-la-reouverture-des-frontieres-35586/
https://kytisa.com/communique-n041/
https://www.afrik.com/la-frontiere-entre-la-guinee-et-le-senegal-rouverte
https://www.sbc.sc/news/guinea-closes-borders-with-guinea-bissau-senegal-ahead-of-vote/
https://senego.com/59e-session-cedeao-le-senegal-et-la-guinee-rouvrent-leurs-frontieres_1286142.html
Earlier recorded access
Source 1: full; full text
Source 2: full
Source 3: full</x:v>
      </x:c>
      <x:c r="P332" s="20" t="n">
        <x:v>1</x:v>
      </x:c>
      <x:c r="Q332" s="4" t="str">
        <x:v>West Africa and Sahel</x:v>
      </x:c>
      <x:c r="R332" s="4" t="str">
        <x:v>Included</x:v>
      </x:c>
    </x:row>
    <x:row r="333" ht="409" hidden="0" customHeight="1">
      <x:c r="A333" s="16" t="str">
        <x:v>W-006</x:v>
      </x:c>
      <x:c r="B333" s="4" t="str">
        <x:v>Guinea closure of Guinea-Bissau border before election</x:v>
      </x:c>
      <x:c r="C333" s="4" t="str">
        <x:v>Guinea; Guinea-Bissau</x:v>
      </x:c>
      <x:c r="D333" s="4" t="str">
        <x:v>Not individually established
Guinean side of bilateral land frontier</x:v>
      </x:c>
      <x:c r="E333" s="4" t="str">
        <x:v>General restriction affected people and goods; September 28, 2021 field reporting directly observes a dried-fish truck returning from Guinea-Bissau into Guinea at Saare Bhoydho/Kandikka.
Direction: Guinea-side bilateral restriction; observed reopening into Guinea.
Conditions at reopening: vaccination and vehicle inspection. Earlier exceptions are not quantified.</x:v>
      </x:c>
      <x:c r="F333" s="4" t="str">
        <x:v>W-006-R1 — Formal policy
Guinea-imposed general restriction facing Guinea-Bissau
Start: 2020-09-27.
Policy endpoint: 2021-09-27 to 2021-09-28.
Formal policy: 365–366 calendar-day difference; operational continuity not established</x:v>
      </x:c>
      <x:c r="G333" s="4" t="str">
        <x:v>Security / Unspecified security
Attributed official justification
AFP quotes an unnamed Guinean government official citing unspecified security reasons for the closures. This is an attributed reason, not an independently established cause.
Electoral politics / Election administration and security
Analytical interpretation of reported context
The closure occurred before the presidential election; this contextual interpretation is distinct from the official security explanation.</x:v>
      </x:c>
      <x:c r="H333" s="4" t="str">
        <x:v>W-006-R1: The formal endpoint remains bounded September 27–28 because Guineenews reports the 27th while reproductions of communiqué 039 specify Tuesday September 28. The actual field observation is September 28, 2021: a dried-fish truck crossed into Guinea after the barrier was removed at the Saare Bhoydho/Kandikka post. Vaccination and vehicle inspection remained required. The source does not establish actual traffic on September 27. No uniform national operational interval or first passage at other posts is inferred; the coup overlay is not additive.</x:v>
      </x:c>
      <x:c r="I333" s="4" t="str">
        <x:v>Second full-register audit, 26 October 2026: additional source-audited corrections incorporated. See the phase, scope and qualification columns for the accepted findings.</x:v>
      </x:c>
      <x:c r="J333" s="18" t="d">
        <x:v>2026-10-26T00:00:00.000Z</x:v>
      </x:c>
      <x:c r="K333" s="21" t="str">
        <x:f>IFERROR(HYPERLINK("https://www.seneplus.com/article/la-guinee-ferme-ses-frontieres-avec-le-senegal-et-la-guinee-bissau","SenePlus"),"SenePlus")</x:f>
        <x:v>SenePlus</x:v>
      </x:c>
      <x:c r="L333" s="21" t="str">
        <x:f>IFERROR(HYPERLINK("https://guineenews.org/2021/09/13/guinee-la-junte-annonce-la-reouverture-graduelle-des-frontieres-terrestres/","Guinéenews"),"Guinéenews")</x:f>
        <x:v>Guinéenews</x:v>
      </x:c>
      <x:c r="M333" s="21" t="str">
        <x:f>IFERROR(HYPERLINK("https://afrique.le360.ma/senegal-guinee/politique/2021/09/30/35586-guinee-senegal-la-junte-acheve-la-reouverture-des-frontieres-35586/","Le360 Afrique"),"Le360 Afrique")</x:f>
        <x:v>Le360 Afrique</x:v>
      </x:c>
      <x:c r="N333" s="4" t="str">
        <x:v>https://www.seneplus.com/article/la-guinee-ferme-ses-frontieres-avec-le-senegal-et-la-guinee-bissau
https://guineenews.org/2021/09/13/guinee-la-junte-annonce-la-reouverture-graduelle-des-frontieres-terrestres/
https://afrique.le360.ma/senegal-guinee/politique/2021/09/30/35586-guinee-senegal-la-junte-acheve-la-reouverture-des-frontieres-35586/
https://kytisa.com/communique-n039/
https://guineenews.org/2021/09/27/la-frontiere-de-la-guinee-avec-la-guinee-bissau-reouverte/
https://www.africaguinee.com/ouverture-des-frontieres-aucun-ennemi-ne-viendra-de-la-guinee/
https://www.sbc.sc/news/guinea-closes-borders-with-guinea-bissau-senegal-ahead-of-vote/
https://guineeminesnature.com/la-guinee-ouvre-ses-frontieres-avec-la-guinee-bissau-ce-mardi-28-septembre-2021communique/</x:v>
      </x:c>
      <x:c r="O333" s="4" t="str">
        <x:v>Second full-register audit source access, 26 October 2026
https://www.seneplus.com/article/la-guinee-ferme-ses-frontieres-avec-le-senegal-et-la-guinee-bissau: full text (fresh retrieval)
https://guineenews.org/2021/09/27/la-frontiere-de-la-guinee-avec-la-guinee-bissau-reouverte/: full text (fresh retrieval)
https://guineeminesnature.com/la-guinee-ouvre-ses-frontieres-avec-la-guinee-bissau-ce-mardi-28-septembre-2021communique/: full text (fresh retrieval)
https://www.africaguinee.com/ouverture-des-frontieres-aucun-ennemi-ne-viendra-de-la-guinee/: full text (fresh retrieval)
Earlier URLs not separately inspected in this second assessment:
https://guineenews.org/2021/09/13/guinee-la-junte-annonce-la-reouverture-graduelle-des-frontieres-terrestres/
https://afrique.le360.ma/senegal-guinee/politique/2021/09/30/35586-guinee-senegal-la-junte-acheve-la-reouverture-des-frontieres-35586/
https://kytisa.com/communique-n039/
https://www.sbc.sc/news/guinea-closes-borders-with-guinea-bissau-senegal-ahead-of-vote/
Prior audit access record
Full-register audit source access (evidence cutoff 25 October 2026)
https://www.seneplus.com/article/la-guinee-ferme-ses-frontieres-avec-le-senegal-et-la-guinee-bissau: full text
https://guineenews.org/2021/09/27/la-frontiere-de-la-guinee-avec-la-guinee-bissau-reouverte/: full text
https://kytisa.com/communique-n039/: full text — Secondary legal transcription, not original official publication.
https://guineeminesnature.com/la-guinee-ouvre-ses-frontieres-avec-la-guinee-bissau-ce-mardi-28-septembre-2021communique/: full text
https://www.africaguinee.com/ouverture-des-frontieres-aucun-ennemi-ne-viendra-de-la-guinee/: full text
Earlier source URLs not separately listed in this audit’s retrieval log (historical access notes below are not fresh verification):
https://guineenews.org/2021/09/13/guinee-la-junte-annonce-la-reouverture-graduelle-des-frontieres-terrestres/
https://afrique.le360.ma/senegal-guinee/politique/2021/09/30/35586-guinee-senegal-la-junte-acheve-la-reouverture-des-frontieres-35586/
https://www.sbc.sc/news/guinea-closes-borders-with-guinea-bissau-senegal-ahead-of-vote/
Earlier recorded access
Source 1: full
Source 2: full
Source 3: full</x:v>
      </x:c>
      <x:c r="P333" s="20" t="n">
        <x:v>1</x:v>
      </x:c>
      <x:c r="Q333" s="4" t="str">
        <x:v>West Africa and Sahel</x:v>
      </x:c>
      <x:c r="R333" s="4" t="str">
        <x:v>Included</x:v>
      </x:c>
    </x:row>
    <x:row r="334" ht="409" hidden="0" customHeight="1">
      <x:c r="A334" s="16" t="str">
        <x:v>W-008</x:v>
      </x:c>
      <x:c r="B334" s="4" t="str">
        <x:v>Guinea post-coup national closure</x:v>
      </x:c>
      <x:c r="C334" s="4" t="str">
        <x:v>Guinea; Guinea-Bissau; Senegal; Mali; Côte d’Ivoire; Liberia; Sierra Leone</x:v>
      </x:c>
      <x:c r="D334" s="4" t="str">
        <x:v>Not individually established
National order; Senegal/Bissau already closed</x:v>
      </x:c>
      <x:c r="E334" s="4" t="str">
        <x:v>Pamelap crossing users; individual traffic categories and direction-specific effects are not fully established.
Exceptions: A broad September 6 commercial/humanitarian permission was announced nationally; its implementation at Pamelap is not established by that announcement.</x:v>
      </x:c>
      <x:c r="F334" s="4" t="str">
        <x:v>W-008-REV1 — Observed operation
Guinea-side Pamelap crossing with Sierra Leone as described by the local reopening correspondent
Start: 2021-09-05.
Reported local reopening implementation: 2021-09-17 from 06:00. This is the correspondent’s implementation account, not an exact first-traveller log.
12 calendar-day difference; scoped endpoint only; sustained &gt;24-hour restriction supported.</x:v>
      </x:c>
      <x:c r="G334" s="4" t="str">
        <x:v>Power and regime politics / Coups and succession
Analytical interpretation of reported context
Applies to: September 2021 closure
The closure followed the military takeover and suspension of the previous government.
Security / Unspecified security
Analytical interpretation of reported context
Applies to: The same episode
Immediate post-coup control provides the security context. The later CNRD reopening order separately cited security and health assessments and retained heightened vigilance.</x:v>
      </x:c>
      <x:c r="H334" s="4" t="str">
        <x:v>Reuters reported a broad September 6 announcement allowing commercial and humanitarian exchanges. A September 13 timetable envisaged Sierra Leone reopening before September 15; subsequent CNRD authorization was issued September 16. The Pamelap correspondent reports local implementation from 06:00 on September 17. Announcements and planned dates do not replace this scoped local account. Exact onset hour, exception implementation and category coverage remain unknown. Earlier Senegal and Guinea-Bissau restrictions must not be assigned a new September 5 onset or joined into a uniform national interval.</x:v>
      </x:c>
      <x:c r="I334" s="4" t="str">
        <x:v>Second full-register audit, 26 October 2026: additional source-audited corrections incorporated. See the phase, scope and qualification columns for the accepted findings.</x:v>
      </x:c>
      <x:c r="J334" s="18" t="d">
        <x:v>2026-10-26T00:00:00.000Z</x:v>
      </x:c>
      <x:c r="K334" s="21" t="str">
        <x:f>IFERROR(HYPERLINK("https://guineenews.org/2021/09/13/guinee-la-junte-annonce-la-reouverture-graduelle-des-frontieres-terrestres/","Guinéenews"),"Guinéenews")</x:f>
        <x:v>Guinéenews</x:v>
      </x:c>
      <x:c r="L334" s="21" t="str">
        <x:f>IFERROR(HYPERLINK("https://guineenews.org/2021/09/16/la-frontiere-guineo-sierra-leonaise-reouverte-a-compter-de-ce-jeudi-cnrd/","Guinéenews"),"Guinéenews")</x:f>
        <x:v>Guinéenews</x:v>
      </x:c>
      <x:c r="M334" s="21" t="str">
        <x:f>IFERROR(HYPERLINK("https://www.boursorama.com/bourse/actualites/incertitude-en-guinee-qui-rouvre-ses-frontieres-au-lendemain-du-coup-d-etat-15f907bd75469b72f6396f2e7f53e35f","boursorama.com"),"boursorama.com")</x:f>
        <x:v>boursorama.com</x:v>
      </x:c>
      <x:c r="N334" s="4" t="str">
        <x:v>https://guineenews.org/2021/09/13/guinee-la-junte-annonce-la-reouverture-graduelle-des-frontieres-terrestres/
https://guineenews.org/2021/09/16/la-frontiere-guineo-sierra-leonaise-reouverte-a-compter-de-ce-jeudi-cnrd/
https://www.boursorama.com/bourse/actualites/incertitude-en-guinee-qui-rouvre-ses-frontieres-au-lendemain-du-coup-d-etat-15f907bd75469b72f6396f2e7f53e35f
https://laguinee.info/2021/09/17/la-frontiere-terrestre-guinee-sierra-leone-ouverte-la-zone-sous-haute-securite/
https://guineenews.org/2021/09/17/guinee-les-frontieres-avec-le-liberia-a-nouveau-ouvertes-cnrd/
https://afrique.le360.ma/senegal-guinee/politique/2021/09/30/35586-guinee-senegal-la-junte-acheve-la-reouverture-des-frontieres-35586/</x:v>
      </x:c>
      <x:c r="O334" s="4" t="str">
        <x:v>Second full-register audit source access, 26 October 2026
https://laguinee.info/2021/09/17/la-frontiere-terrestre-guinee-sierra-leone-ouverte-la-zone-sous-haute-securite/: full text (fresh retrieval)
https://guineenews.org/2021/09/16/la-frontiere-guineo-sierra-leonaise-reouverte-a-compter-de-ce-jeudi-cnrd/: full text (fresh retrieval)
https://guineenews.org/2021/09/13/guinee-la-junte-annonce-la-reouverture-graduelle-des-frontieres-terrestres/: full text (fresh retrieval)
https://www.boursorama.com/bourse/actualites/incertitude-en-guinee-qui-rouvre-ses-frontieres-au-lendemain-du-coup-d-etat-15f907bd75469b72f6396f2e7f53e35f: full text (fresh retrieval)
Earlier URLs not separately inspected in this second assessment:
https://guineenews.org/2021/09/17/guinee-les-frontieres-avec-le-liberia-a-nouveau-ouvertes-cnrd/
https://afrique.le360.ma/senegal-guinee/politique/2021/09/30/35586-guinee-senegal-la-junte-acheve-la-reouverture-des-frontieres-35586/
Prior audit access record
Full-register audit source access (evidence cutoff 25 October 2026)
https://guineenews.org/2021/09/13/guinee-la-junte-annonce-la-reouverture-graduelle-des-frontieres-terrestres/: full text — Prospective reopening timetable, not observed gate-level implementation.
https://guineenews.org/2021/09/16/la-frontiere-guineo-sierra-leonaise-reouverte-a-compter-de-ce-jeudi-cnrd/: full text — Formal instruction reported late in the evening; not the next morning's operation.
https://www.boursorama.com/bourse/actualites/incertitude-en-guinee-qui-rouvre-ses-frontieres-au-lendemain-du-coup-d-etat-15f907bd75469b72f6396f2e7f53e35f: full text — Full relevant body inspected at lines 1141–1156. Announcement does not demonstrate implementation at Pamelap.
https://laguinee.info/2021/09/17/la-frontiere-terrestre-guinee-sierra-leone-ouverte-la-zone-sous-haute-securite/: full text — Single local correspondent; exact onset hour and individual exceptions are absent.
Earlier source URLs not separately listed in this audit’s retrieval log (historical access notes below are not fresh verification):
https://guineenews.org/2021/09/17/guinee-les-frontieres-avec-le-liberia-a-nouveau-ouvertes-cnrd/
https://afrique.le360.ma/senegal-guinee/politique/2021/09/30/35586-guinee-senegal-la-junte-acheve-la-reouverture-des-frontieres-35586/
Earlier recorded access
Source 1: full
Source 2: indexed excerpt; full
Source 3: full</x:v>
      </x:c>
      <x:c r="P334" s="20" t="n">
        <x:v>1</x:v>
      </x:c>
      <x:c r="Q334" s="4" t="str">
        <x:v>West Africa and Sahel</x:v>
      </x:c>
      <x:c r="R334" s="4" t="str">
        <x:v>Included</x:v>
      </x:c>
    </x:row>
    <x:row r="335" ht="409" hidden="0" customHeight="1">
      <x:c r="A335" s="16" t="str">
        <x:v>W-011</x:v>
      </x:c>
      <x:c r="B335" s="4" t="str">
        <x:v>ECOWAS border sanctions against Mali over transition delay</x:v>
      </x:c>
      <x:c r="C335" s="4" t="str">
        <x:v>Mali; Senegal; Guinea; Côte d’Ivoire; Burkina Faso; Niger</x:v>
      </x:c>
      <x:c r="D335" s="4" t="str">
        <x:v>Not individually established
Regional order; implementation varied</x:v>
      </x:c>
      <x:c r="E335" s="4" t="str">
        <x:v>Not separately established
Direction: Not separately established
Exceptions: Food, pharmaceutical and medical products, petroleum products and electricity exempt from commercial sanctions.
Additional scoped exceptions: Tengrela/Nigouni reporting describes clinker-truck permission and passage into Mali from Saturday March 12, 2022; timber and other goods remained excluded. A June 29 report describes permission for 5,500 sheep and 300 cattle from Mali to Côte d’Ivoire during June 27–July 9 for Tabaski; this does not establish that all planned animals crossed.</x:v>
      </x:c>
      <x:c r="F335" s="4" t="str">
        <x:v>W-011-D1 — Formal policy
ECOWAS sanctions border-closure policy against Mali, excluding any inference of member-by-member compliance
Start: 2022-01-09.
Policy endpoint: 2022-07-03.
Formal policy: 175 calendar-day difference; operational continuity not established</x:v>
      </x:c>
      <x:c r="G335" s="4" t="str">
        <x:v>Interstate disputes and pressure / Sanctions and coercive pressure
Reported reason
Applies to: Recorded episode; exact overlap not separately established
ECOWAS pressure for an election timetable is distinguished from election-day border administration.
Electoral politics / Electoral disputes and transitions
Reported reason
Applies to: Recorded episode; exact overlap not separately established
ECOWAS pressure for an election timetable is distinguished from election-day border administration.</x:v>
      </x:c>
      <x:c r="H335" s="4" t="str">
        <x:v>W-011-D1: Guinea refused implementation; essential-goods exemptions and reciprocal measures varied. Policy dates do not describe continuous effective closure or every post's restart. Official attachment was not accessible.
March 14 field reporting dates a Tengrela clinker-truck exception to March 12 and describes formalities, barrier lifting and entry into Mali. This is a local commodity exception, not lifting of all sanctions. The June 27–July 9 livestock permission is a separate seasonal and directional exception. Neither creates a general reopening date. July 4 transport comments do not identify the first resumed ordinary passage at each post.</x:v>
      </x:c>
      <x:c r="I335" s="4" t="str">
        <x:v>Second full-register audit, 26 October 2026: qualified. January 9–July 3 Mali sanctions and all recorded exceptions verified, including actual March clinker entry and planned June livestock permission.</x:v>
      </x:c>
      <x:c r="J335" s="18" t="d">
        <x:v>2026-10-26T00:00:00.000Z</x:v>
      </x:c>
      <x:c r="K335" s="21" t="str">
        <x:f>IFERROR(HYPERLINK("https://www.marketscreener.com/news/latest/West-African-leaders-lift-economic-and-financial-sanctions-on-Mali-40887617/","MarketScreener"),"MarketScreener")</x:f>
        <x:v>MarketScreener</x:v>
      </x:c>
      <x:c r="L335" s="21" t="str">
        <x:f>IFERROR(HYPERLINK("https://www.modernghana.com/news/1169053/relief-in-mali-as-post-coup-sanctions-are-lifted.html","Modern Ghana"),"Modern Ghana")</x:f>
        <x:v>Modern Ghana</x:v>
      </x:c>
      <x:c r="M335" s="21" t="str">
        <x:f>IFERROR(HYPERLINK("https://press.un.org/en/2022/sc14762.doc.htm","UN Meetings Coverage"),"UN Meetings Coverage")</x:f>
        <x:v>UN Meetings Coverage</x:v>
      </x:c>
      <x:c r="N335" s="4" t="str">
        <x:v>https://www.marketscreener.com/news/latest/West-African-leaders-lift-economic-and-financial-sanctions-on-Mali-40887617/
https://www.modernghana.com/news/1169053/relief-in-mali-as-post-coup-sanctions-are-lifted.html
https://press.un.org/en/2022/sc14762.doc.htm
https://www.aa.com.tr/en/africa/ecowas-imposes-further-sanctions-on-mali/2469634
https://www.ecowas.int/final-communique-ecowas-extraordinary-summit-on-mali/
https://y94.com/2022/01/21/at-mali-border-with-ivory-coast-lines-of-trucks-held-up-by-sanctions/
https://www.thecable.ng/ecowas-lifts-economic-sanctions-on-mali-after-six-months/
https://www.africanews.com/2022/01/11/guinea-keeps-borders-open-with-mali-hit-by-ecowas-sanctions/
https://digitallibrary.un.org/record/3984440/files/S_2022_542-EN.pdf
https://press.un.org/en/2022/sc14761.doc.htm
https://www.securitycouncilreport.org/atf/cf/%7B65BFCF9B-6D27-4E9C-8CD3-CF6E4FF96FF9%7D/S_2022_278.pdf
https://news.abidjan.net/articles/705424/cote-divoire-tengrela-frontiere-avec-le-mali-levee-des-sanctions-cedeao-uemoa-pour-les-camions-bennes-charges-de-clinker
https://www.koaci.com/index.php/article/2022/06/29/cote-divoire/societe/cote-divoire-en-prelude-a-la-tabaski-la-frontiere-malienne-ouverte-pour-le-convoyage-des-moutons_161161.html</x:v>
      </x:c>
      <x:c r="O335" s="4" t="str">
        <x:v>Second full-register audit source access, 26 October 2026
https://www.aa.com.tr/en/africa/ecowas-imposes-further-sanctions-on-mali/2469634: full text (fresh retrieval)
https://www.marketscreener.com/news/latest/West-African-leaders-lift-economic-and-financial-sanctions-on-Mali-40887617/: full text (fresh retrieval)
https://www.africanews.com/2022/01/11/guinea-keeps-borders-open-with-mali-hit-by-ecowas-sanctions/: full text (fresh retrieval)
https://news.abidjan.net/articles/705424/cote-divoire-tengrela-frontiere-avec-le-mali-levee-des-sanctions-cedeao-uemoa-pour-les-camions-bennes-charges-de-clinker: full text (fresh retrieval)
https://www.koaci.com/index.php/article/2022/06/29/cote-divoire/societe/cote-divoire-en-prelude-a-la-tabaski-la-frontiere-malienne-ouverte-pour-le-convoyage-des-moutons_161161.html: full text (fresh retrieval)
Earlier URLs not separately inspected in this second assessment:
https://www.modernghana.com/news/1169053/relief-in-mali-as-post-coup-sanctions-are-lifted.html
https://press.un.org/en/2022/sc14762.doc.htm
https://www.ecowas.int/final-communique-ecowas-extraordinary-summit-on-mali/
https://y94.com/2022/01/21/at-mali-border-with-ivory-coast-lines-of-trucks-held-up-by-sanctions/
https://www.thecable.ng/ecowas-lifts-economic-sanctions-on-mali-after-six-months/
https://digitallibrary.un.org/record/3984440/files/S_2022_542-EN.pdf
https://press.un.org/en/2022/sc14761.doc.htm
https://www.securitycouncilreport.org/atf/cf/%7B65BFCF9B-6D27-4E9C-8CD3-CF6E4FF96FF9%7D/S_2022_278.pdf
Prior audit access record
Full-register audit source access (evidence cutoff 25 October 2026)
https://www.aa.com.tr/en/africa/ecowas-imposes-further-sanctions-on-mali/2469634: full text
https://www.africanews.com/2022/01/11/guinea-keeps-borders-open-with-mali-hit-by-ecowas-sanctions/: full text
https://www.marketscreener.com/news/latest/West-African-leaders-lift-economic-and-financial-sanctions-on-Mali-40887617/: full text
https://www.modernghana.com/news/1169053/relief-in-mali-as-post-coup-sanctions-are-lifted.html: full text
https://news.abidjan.net/articles/705424/cote-divoire-tengrela-frontiere-avec-le-mali-levee-des-sanctions-cedeao-uemoa-pour-les-camions-bennes-charges-de-clinker: full text
https://www.koaci.com/index.php/article/2022/06/29/cote-divoire/societe/cote-divoire-en-prelude-a-la-tabaski-la-frontiere-malienne-ouverte-pour-le-convoyage-des-moutons_161161.html: full text — Permission and reported launch, not verification that all scheduled animals crossed.
Earlier source URLs not separately listed in this audit’s retrieval log (historical access notes below are not fresh verification):
https://press.un.org/en/2022/sc14762.doc.htm
https://www.ecowas.int/final-communique-ecowas-extraordinary-summit-on-mali/
https://y94.com/2022/01/21/at-mali-border-with-ivory-coast-lines-of-trucks-held-up-by-sanctions/
https://www.thecable.ng/ecowas-lifts-economic-sanctions-on-mali-after-six-months/
https://digitallibrary.un.org/record/3984440/files/S_2022_542-EN.pdf
https://press.un.org/en/2022/sc14761.doc.htm
https://www.securitycouncilreport.org/atf/cf/%7B65BFCF9B-6D27-4E9C-8CD3-CF6E4FF96FF9%7D/S_2022_278.pdf
Earlier recorded access
Source 1: full page
Source 2: full page
Source 3: search extract</x:v>
      </x:c>
      <x:c r="P335" s="20" t="n">
        <x:v>1</x:v>
      </x:c>
      <x:c r="Q335" s="4" t="str">
        <x:v>West Africa and Sahel</x:v>
      </x:c>
      <x:c r="R335" s="4" t="str">
        <x:v>Included</x:v>
      </x:c>
    </x:row>
    <x:row r="336" ht="409" hidden="0" customHeight="1">
      <x:c r="A336" s="16" t="str">
        <x:v>W-012</x:v>
      </x:c>
      <x:c r="B336" s="4" t="str">
        <x:v>Burkina Faso January coup border closure</x:v>
      </x:c>
      <x:c r="C336" s="4" t="str">
        <x:v>Burkina Faso; Mali; Niger; Benin; Togo; Ghana; Côte d’Ivoire</x:v>
      </x:c>
      <x:c r="D336" s="4" t="str">
        <x:v>Not individually established
All national borders</x:v>
      </x:c>
      <x:c r="E336" s="4" t="str">
        <x:v>Not separately established
Direction: Not separately established
Exceptions: 25 January humanitarian vehicles, essential goods, and defence/security supplies exempt.</x:v>
      </x:c>
      <x:c r="F336" s="4" t="str">
        <x:v>W-012-D1 — Formal policy
Burkina Faso national land-border closure order
Start: 2022-01-24.
Policy endpoint: 2022-02-02.
Formal policy: 9 calendar-day difference; operational continuity not established</x:v>
      </x:c>
      <x:c r="G336" s="4" t="str">
        <x:v>Power and regime politics / Coups and succession
Security / Unspecified security
Contextual classification of the MPSR border order accompanying the January military takeover. Later humanitarian, essential-goods and defence exemptions limit its traffic scope.</x:v>
      </x:c>
      <x:c r="H336" s="4" t="str">
        <x:v>W-012-D1: Humanitarian, essential and military cargo exemptions applied from January 25. Repeal is not an observed first crossing; reports of the same decree are not independent operational confirmations.</x:v>
      </x:c>
      <x:c r="I336" s="4" t="str">
        <x:v>Second full-register audit, 26 October 2026: additional source-audited corrections incorporated. See the phase, scope and qualification columns for the accepted findings.</x:v>
      </x:c>
      <x:c r="J336" s="18" t="d">
        <x:v>2026-10-26T00:00:00.000Z</x:v>
      </x:c>
      <x:c r="K336" s="21" t="str">
        <x:f>IFERROR(HYPERLINK("https://www.sidwaya.info/burkina-les-frontieres-aeriennes-sont-rouvertes-communique/","Sidwaya"),"Sidwaya")</x:f>
        <x:v>Sidwaya</x:v>
      </x:c>
      <x:c r="L336" s="21" t="str">
        <x:f>IFERROR(HYPERLINK("https://www.auswaertiges-amt.de/en/newsroom/news/burkina-faso-2508234","German Foreign Office"),"German Foreign Office")</x:f>
        <x:v>German Foreign Office</x:v>
      </x:c>
      <x:c r="M336" s="21" t="str">
        <x:f>IFERROR(HYPERLINK("https://www.aujourd8.net/burkina-faso-levees-du-couvre-feu-et-de-la-fermeture-des-frontieres-terrestres/","Aujourd’hui au Faso"),"Aujourd’hui au Faso")</x:f>
        <x:v>Aujourd’hui au Faso</x:v>
      </x:c>
      <x:c r="N336" s="4" t="str">
        <x:v>https://www.sidwaya.info/burkina-les-frontieres-aeriennes-sont-rouvertes-communique/
https://www.auswaertiges-amt.de/en/newsroom/news/burkina-faso-2508234
https://www.aujourd8.net/burkina-faso-levees-du-couvre-feu-et-de-la-fermeture-des-frontieres-terrestres/
https://www.wakatsera.com/burkina-nominations-dans-larmee-et-reouverture-des-frontieres-terrestres/
https://standardmedia.co.ke/amp/article/2001435460/burkina-faso-army-deposes-president-in-west-africas-latest-coup
https://www.sidwaya.info/2022/01/25/burkina-les-frontieres-aeriennes-sont-rouvertes-communique/
https://www.aa.com.tr/fr/afrique/burkina-faso-la-junte-annonce-la-r%C3%A9ouverture-des-fronti%C3%A8res-a%C3%A9riennes/2485215</x:v>
      </x:c>
      <x:c r="O336" s="4" t="str">
        <x:v>Second full-register audit source access, 26 October 2026
https://www.wakatsera.com/burkina-nominations-dans-larmee-et-reouverture-des-frontieres-terrestres/: full text (fresh retrieval)
https://www.aujourd8.net/burkina-faso-levees-du-couvre-feu-et-de-la-fermeture-des-frontieres-terrestres/: full text (fresh retrieval)
https://www.aa.com.tr/fr/afrique/burkina-faso-la-junte-annonce-la-r%C3%A9ouverture-des-fronti%C3%A8res-a%C3%A9riennes/2485215: full text (fresh retrieval)
Earlier URLs not separately inspected in this second assessment:
https://www.sidwaya.info/burkina-les-frontieres-aeriennes-sont-rouvertes-communique/
https://www.auswaertiges-amt.de/en/newsroom/news/burkina-faso-2508234
https://standardmedia.co.ke/amp/article/2001435460/burkina-faso-army-deposes-president-in-west-africas-latest-coup
https://www.sidwaya.info/2022/01/25/burkina-les-frontieres-aeriennes-sont-rouvertes-communique/
Prior audit access record
Full-register audit source access (evidence cutoff 25 October 2026)
https://standardmedia.co.ke/amp/article/2001435460/burkina-faso-army-deposes-president-in-west-africas-latest-coup: full text
https://www.aa.com.tr/fr/afrique/burkina-faso-la-junte-annonce-la-r%C3%A9ouverture-des-fronti%C3%A8res-a%C3%A9riennes/2485215: full text
https://www.aujourd8.net/burkina-faso-levees-du-couvre-feu-et-de-la-fermeture-des-frontieres-terrestres/: full text
https://www.wakatsera.com/burkina-nominations-dans-larmee-et-reouverture-des-frontieres-terrestres/: full text
Earlier source URLs not separately listed in this audit’s retrieval log (historical access notes below are not fresh verification):
https://www.sidwaya.info/burkina-les-frontieres-aeriennes-sont-rouvertes-communique/
https://www.auswaertiges-amt.de/en/newsroom/news/burkina-faso-2508234
https://www.sidwaya.info/2022/01/25/burkina-les-frontieres-aeriennes-sont-rouvertes-communique/
Earlier recorded access
Source 1: search extract
Source 2: full page
Source 3: full page</x:v>
      </x:c>
      <x:c r="P336" s="20" t="n">
        <x:v>1</x:v>
      </x:c>
      <x:c r="Q336" s="4" t="str">
        <x:v>West Africa and Sahel</x:v>
      </x:c>
      <x:c r="R336" s="4" t="str">
        <x:v>Included</x:v>
      </x:c>
    </x:row>
    <x:row r="337" ht="409" hidden="0" customHeight="1">
      <x:c r="A337" s="16" t="str">
        <x:v>W-013</x:v>
      </x:c>
      <x:c r="B337" s="4" t="str">
        <x:v>Burkina Faso September coup border closure</x:v>
      </x:c>
      <x:c r="C337" s="4" t="str">
        <x:v>Burkina Faso; Mali; Niger; Benin; Togo; Ghana; Côte d’Ivoire</x:v>
      </x:c>
      <x:c r="D337" s="4" t="str">
        <x:v>Not individually established
National border order</x:v>
      </x:c>
      <x:c r="E337" s="4" t="str">
        <x:v>Not separately established
Direction: Not separately established
Exceptions: Night October 1–2 communiqué exempted humanitarian vehicles, freight, and vehicles carrying defence/security products and equipment.</x:v>
      </x:c>
      <x:c r="F337" s="4" t="str">
        <x:v>W-013-D1 — Formal policy
Burkina Faso national border-closure order following the September coup
Start: 2022-09-30 to 2022-10-01.
Policy endpoint: 2022-10-04.
Formal policy: 3–4 calendar-day difference; operational continuity not established</x:v>
      </x:c>
      <x:c r="G337" s="4" t="str">
        <x:v>Power and regime politics / Coups and succession
Security / Unspecified security
Contextual classification of the border order announced with Ibrahim Traoré’s takeover and new curfew. The reported order does not identify a separate specific cross-border threat.</x:v>
      </x:c>
      <x:c r="H337" s="4" t="str">
        <x:v>September 30 announcement; effective midnight wording conflicts between September 30 and October 1. Contemporary October 4 report explicitly lifts land closure. October 1–2 goods exceptions and air easing do not establish final land reopening.
W-013-D1: October 1–2 freight, humanitarian and defence exceptions; no observed all-post reopening. Start bound preserves contradictory date wording.</x:v>
      </x:c>
      <x:c r="I337" s="4" t="str">
        <x:v>Second full-register audit, 26 October 2026: additional source-audited corrections incorporated. See the phase, scope and qualification columns for the accepted findings.</x:v>
      </x:c>
      <x:c r="J337" s="18" t="d">
        <x:v>2026-10-26T00:00:00.000Z</x:v>
      </x:c>
      <x:c r="K337" s="21" t="str">
        <x:f>IFERROR(HYPERLINK("https://www.africanews.com/2023/01/24/timeline-from-a-year-of-political-turmoil-in-burkina-faso-in-2022/","Africanews"),"Africanews")</x:f>
        <x:v>Africanews</x:v>
      </x:c>
      <x:c r="L337" s="21" t="str">
        <x:f>IFERROR(HYPERLINK("https://www.latribune.fr/depeches/reuters/KBN2QV23C/burkina-faso-des-militaires-annoncent-le-limogeage-du-chef-de-la-junte.html","La Tribune"),"La Tribune")</x:f>
        <x:v>La Tribune</x:v>
      </x:c>
      <x:c r="M337" s="21" t="str">
        <x:f>IFERROR(HYPERLINK("https://burkina24.com/2022/10/02/burkina-le-capitaine-traore-convoque-les-sg-des-ministeres-et-donne-des-precisions-sur-la-fermeture-des-frontieres-terrestres/","Burkina24"),"Burkina24")</x:f>
        <x:v>Burkina24</x:v>
      </x:c>
      <x:c r="N337" s="4" t="str">
        <x:v>https://www.africanews.com/2023/01/24/timeline-from-a-year-of-political-turmoil-in-burkina-faso-in-2022/
https://www.latribune.fr/depeches/reuters/KBN2QV23C/burkina-faso-des-militaires-annoncent-le-limogeage-du-chef-de-la-junte.html
https://burkina24.com/2022/10/02/burkina-le-capitaine-traore-convoque-les-sg-des-ministeres-et-donne-des-precisions-sur-la-fermeture-des-frontieres-terrestres/
https://www.koaci.com/article/2022/10/04/burkina-faso/politique/burkina-faso-le-capitaine-traore-assure-aux-manifestants-que-leurs-messages-ont-ete-entendus-et-guideront-nos-actions_163686.html
https://www.sidwaya.info/burkina-faso-changement-de-tete-au-sommet-de-letat/
https://information.tv5monde.com/international/direct-burkina-faso-le-chef-de-la-junte-paul-henri-sandaogo-damiba-demis-de-ses
https://www.leparisien.fr/international/burkina-deuxieme-coup-detat-en-huit-mois-les-putschistes-annoncent-la-fermeture-des-frontieres-30-09-2022-QGIIK3Z76VF3PLMAF2CEJ66YTI.php?ts=1664702430068
https://burkina24.com/2022/10/05/burkina-la-fermeture-des-frontieres-terrestres-a-ete-levee-pour-compter-de-ce-4-octobre-2022/</x:v>
      </x:c>
      <x:c r="O337" s="4" t="str">
        <x:v>Second full-register audit source access, 26 October 2026
https://www.leparisien.fr/international/burkina-deuxieme-coup-detat-en-huit-mois-les-putschistes-annoncent-la-fermeture-des-frontieres-30-09-2022-QGIIK3Z76VF3PLMAF2CEJ66YTI.php?ts=1664702430068: search extract (fresh retrieval)
https://burkina24.com/2022/10/02/burkina-le-capitaine-traore-convoque-les-sg-des-ministeres-et-donne-des-precisions-sur-la-fermeture-des-frontieres-terrestres/: full text (fresh retrieval)
https://burkina24.com/2022/10/05/burkina-la-fermeture-des-frontieres-terrestres-a-ete-levee-pour-compter-de-ce-4-octobre-2022/: full text (fresh retrieval) — Body is an image; title independently explicit.
Earlier URLs not separately inspected in this second assessment:
https://www.africanews.com/2023/01/24/timeline-from-a-year-of-political-turmoil-in-burkina-faso-in-2022/
https://www.latribune.fr/depeches/reuters/KBN2QV23C/burkina-faso-des-militaires-annoncent-le-limogeage-du-chef-de-la-junte.html
https://www.koaci.com/article/2022/10/04/burkina-faso/politique/burkina-faso-le-capitaine-traore-assure-aux-manifestants-que-leurs-messages-ont-ete-entendus-et-guideront-nos-actions_163686.html
https://www.sidwaya.info/burkina-faso-changement-de-tete-au-sommet-de-letat/
https://information.tv5monde.com/international/direct-burkina-faso-le-chef-de-la-junte-paul-henri-sandaogo-damiba-demis-de-ses
Prior audit access record
Full-register audit source access (evidence cutoff 25 October 2026)
https://www.latribune.fr/depeches/reuters/KBN2QV23C/burkina-faso-des-militaires-annoncent-le-limogeage-du-chef-de-la-junte.html: full text
https://www.leparisien.fr/international/burkina-deuxieme-coup-detat-en-huit-mois-les-putschistes-annoncent-la-fermeture-des-frontieres-30-09-2022-QGIIK3Z76VF3PLMAF2CEJ66YTI.php?ts=1664702430068: search extract — Substantive indexed text only; retain existing September 30–October 1 bound.
https://burkina24.com/2022/10/02/burkina-le-capitaine-traore-convoque-les-sg-des-ministeres-et-donne-des-precisions-sur-la-fermeture-des-frontieres-terrestres/: search extract — Direct page mostly navigation; no fresh image transcription.
https://www.koaci.com/article/2022/10/04/burkina-faso/politique/burkina-faso-le-capitaine-traore-assure-aux-manifestants-que-leurs-messages-ont-ete-entendus-et-guideront-nos-actions_163686.html: full text
Earlier source URLs not separately listed in this audit’s retrieval log (historical access notes below are not fresh verification):
https://www.africanews.com/2023/01/24/timeline-from-a-year-of-political-turmoil-in-burkina-faso-in-2022/
https://www.sidwaya.info/burkina-faso-changement-de-tete-au-sommet-de-letat/
https://information.tv5monde.com/international/direct-burkina-faso-le-chef-de-la-junte-paul-henri-sandaogo-damiba-demis-de-ses
https://burkina24.com/2022/10/05/burkina-la-fermeture-des-frontieres-terrestres-a-ete-levee-pour-compter-de-ce-4-octobre-2022/
Earlier recorded access
Source 1: full page
Source 2: full page
Source 3: full page</x:v>
      </x:c>
      <x:c r="P337" s="20" t="n">
        <x:v>1</x:v>
      </x:c>
      <x:c r="Q337" s="4" t="str">
        <x:v>West Africa and Sahel</x:v>
      </x:c>
      <x:c r="R337" s="4" t="str">
        <x:v>Included</x:v>
      </x:c>
    </x:row>
    <x:row r="338" ht="409" hidden="0" customHeight="1">
      <x:c r="A338" s="16" t="str">
        <x:v>W-019</x:v>
      </x:c>
      <x:c r="B338" s="4" t="str">
        <x:v>Nigeria 2023 presidential election closure</x:v>
      </x:c>
      <x:c r="C338" s="4" t="str">
        <x:v>Nigeria; Benin; Niger; Cameroon; Chad</x:v>
      </x:c>
      <x:c r="D338" s="4" t="str">
        <x:v>Not individually established
All land borders</x:v>
      </x:c>
      <x:c r="E338" s="4" t="str">
        <x:v>People crossing land borders; cargo treatment is not separately detailed.
Direction: General prohibition across national borders; entry and exit are not separately described.
Exceptions: Not established</x:v>
      </x:c>
      <x:c r="F338" s="4" t="str">
        <x:v>W-019-R1 — Announced window
Nigeria external land borders covered by election order
Start: 2023-02-25.
Scheduled endpoint: 2023-02-26.
Ordered window: 1 calendar-day difference; actual end not established</x:v>
      </x:c>
      <x:c r="G338" s="4" t="str">
        <x:v>Electoral politics / Election administration and security
Attributed official justification
Applies to: February 25–26 ordered election window
Interior Minister’s February 24 explanation links the closure to preventing external electoral disruption and protecting lives and property at the borders; electoral and public-safety purposes coexist.
Security / Public order and immediate safety
Attributed official justification
Applies to: February 25–26 ordered election window
Interior Minister’s February 24 explanation links the closure to preventing external electoral disruption and protecting lives and property at the borders; electoral and public-safety purposes coexist.</x:v>
      </x:c>
      <x:c r="H338" s="4" t="str">
        <x:v>W-019-R1: Reported circular provides a scheduled 24-hour window only.</x:v>
      </x:c>
      <x:c r="I338" s="4" t="str">
        <x:v>Second full-register audit, 26 October 2026: additional source-audited corrections incorporated. See the phase, scope and qualification columns for the accepted findings.</x:v>
      </x:c>
      <x:c r="J338" s="18" t="d">
        <x:v>2026-10-26T00:00:00.000Z</x:v>
      </x:c>
      <x:c r="K338" s="21" t="str">
        <x:f>IFERROR(HYPERLINK("https://www.channelstv.com/2023/02/23/2023-elections-immigration-boss-idris-orders-24-hour-border-closure/","Channels Television"),"Channels Television")</x:f>
        <x:v>Channels Television</x:v>
      </x:c>
      <x:c r="L338" s="21" t="str">
        <x:f>IFERROR(HYPERLINK("https://www.bamf.de/SharedDocs/Anlagen/EN/Behoerde/Informationszentrum/BriefingNotes/2023/Zusammenfassungen/briefingnotes-zf-hj-1-2023-nigeria.pdf?__blob=publicationFile&amp;v=4","bamf.de"),"bamf.de")</x:f>
        <x:v>bamf.de</x:v>
      </x:c>
      <x:c r="M338" s="21" t="str">
        <x:f>IFERROR(HYPERLINK("https://africacheck.org/fact-checks/meta-programme-fact-checks/nigerias-vital-seme-land-border-benin-reopened-2020-not-2023","africacheck.org"),"africacheck.org")</x:f>
        <x:v>africacheck.org</x:v>
      </x:c>
      <x:c r="N338" s="4" t="str">
        <x:v>https://www.channelstv.com/2023/02/23/2023-elections-immigration-boss-idris-orders-24-hour-border-closure/
https://www.bamf.de/SharedDocs/Anlagen/EN/Behoerde/Informationszentrum/BriefingNotes/2023/Zusammenfassungen/briefingnotes-zf-hj-1-2023-nigeria.pdf?__blob=publicationFile&amp;v=4
https://africacheck.org/fact-checks/meta-programme-fact-checks/nigerias-vital-seme-land-border-benin-reopened-2020-not-2023
https://punchng.com/elections-fg-orders-closure-of-national-borders/</x:v>
      </x:c>
      <x:c r="O338" s="4" t="str">
        <x:v>Second full-register audit source access, 26 October 2026
https://www.channelstv.com/2023/02/23/2023-elections-immigration-boss-idris-orders-24-hour-border-closure/: full text (fresh retrieval)
https://punchng.com/elections-fg-orders-closure-of-national-borders/: full text (fresh retrieval)
https://africacheck.org/fact-checks/meta-programme-fact-checks/nigerias-vital-seme-land-border-benin-reopened-2020-not-2023: search extract (fresh retrieval) — Indexed substantive text inspected; direct open returned 403 in batch124. Different episode; not an election reopening.
Earlier URLs not separately inspected in this second assessment:
https://www.bamf.de/SharedDocs/Anlagen/EN/Behoerde/Informationszentrum/BriefingNotes/2023/Zusammenfassungen/briefingnotes-zf-hj-1-2023-nigeria.pdf?__blob=publicationFile&amp;v=4
Prior audit access record
Full-register audit source access (evidence cutoff 25 October 2026)
https://www.channelstv.com/2023/02/23/2023-elections-immigration-boss-idris-orders-24-hour-border-closure/: full text
https://africacheck.org/fact-checks/meta-programme-fact-checks/nigerias-vital-seme-land-border-benin-reopened-2020-not-2023: inaccessible — 403; no operational endpoint inferred from unrelated 2020 opening material.
Earlier source URLs not separately listed in this audit’s retrieval log (historical access notes below are not fresh verification):
https://www.bamf.de/SharedDocs/Anlagen/EN/Behoerde/Informationszentrum/BriefingNotes/2023/Zusammenfassungen/briefingnotes-zf-hj-1-2023-nigeria.pdf?__blob=publicationFile&amp;v=4
https://punchng.com/elections-fg-orders-closure-of-national-borders/
Earlier recorded access
Source 1: full; full text
Source 2: indexed excerpt
Source 3: indexed excerpt</x:v>
      </x:c>
      <x:c r="P338" s="20" t="n">
        <x:v>1</x:v>
      </x:c>
      <x:c r="Q338" s="4" t="str">
        <x:v>West Africa and Sahel</x:v>
      </x:c>
      <x:c r="R338" s="4" t="str">
        <x:v>Included</x:v>
      </x:c>
    </x:row>
    <x:row r="339" ht="138" hidden="0" customHeight="1">
      <x:c r="A339" s="16" t="str">
        <x:v>W-028</x:v>
      </x:c>
      <x:c r="B339" s="4" t="str">
        <x:v>Nigeria 2023 state election closure</x:v>
      </x:c>
      <x:c r="C339" s="4" t="str">
        <x:v>Nigeria; Benin; Niger; Cameroon; Chad</x:v>
      </x:c>
      <x:c r="D339" s="4" t="str">
        <x:v>Not individually established
All land borders</x:v>
      </x:c>
      <x:c r="E339" s="4" t="str">
        <x:v>Not separately established
Direction: Not separately established
Exceptions: Not established</x:v>
      </x:c>
      <x:c r="F339" s="4" t="str">
        <x:v>W-028-R1 — Announced window
Nigeria external land borders covered by election order
Start: 2023-03-18.
Scheduled endpoint: 2023-03-19.
Ordered window: 1 calendar-day difference; actual end not established</x:v>
      </x:c>
      <x:c r="G339"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x:v>
      </x:c>
      <x:c r="H339" s="4" t="str">
        <x:v>W-028-R1: Ordered 18 March 00:00 to 19 March 00:00 local time; endpoint date exclusive. National external land borders are separate from domestic state movement restrictions. Actual enforcement/reopening unverified.</x:v>
      </x:c>
      <x:c r="I339" s="4" t="str">
        <x:v>Second full-register audit, 26 October 2026: qualified. The quoted immigration directive supports exactly 24 scheduled hours, without a verified actual reopening.</x:v>
      </x:c>
      <x:c r="J339" s="18" t="d">
        <x:v>2026-10-26T00:00:00.000Z</x:v>
      </x:c>
      <x:c r="K339" s="21" t="str">
        <x:f>IFERROR(HYPERLINK("https://punchng.com/election-immigration-chief-orders-24-hour-border-closure/","Punch"),"Punch")</x:f>
        <x:v>Punch</x:v>
      </x:c>
      <x:c r="L339" s="21"/>
      <x:c r="M339" s="21"/>
      <x:c r="N339" s="4" t="str">
        <x:v>https://punchng.com/election-immigration-chief-orders-24-hour-border-closure/</x:v>
      </x:c>
      <x:c r="O339" s="4" t="str">
        <x:v>Second full-register audit source access, 26 October 2026
https://punchng.com/election-immigration-chief-orders-24-hour-border-closure/: full text (fresh retrieval)
Prior audit access record
Full-register audit source access (evidence cutoff 25 October 2026)
https://punchng.com/election-immigration-chief-orders-24-hour-border-closure/: full text
Earlier recorded access
Source 1: full</x:v>
      </x:c>
      <x:c r="P339" s="20" t="n">
        <x:v>1</x:v>
      </x:c>
      <x:c r="Q339" s="4" t="str">
        <x:v>West Africa and Sahel</x:v>
      </x:c>
      <x:c r="R339" s="4" t="str">
        <x:v>Included</x:v>
      </x:c>
    </x:row>
    <x:row r="340" ht="330" hidden="0" customHeight="1">
      <x:c r="A340" s="16" t="str">
        <x:v>W-014</x:v>
      </x:c>
      <x:c r="B340" s="4" t="str">
        <x:v>Niger coup authorities national closure</x:v>
      </x:c>
      <x:c r="C340" s="4" t="str">
        <x:v>Niger; Algeria; Libya; Chad; Nigeria; Benin; Burkina Faso; Mali</x:v>
      </x:c>
      <x:c r="D340" s="4" t="str">
        <x:v>Not individually established
Niger-side national border order</x:v>
      </x:c>
      <x:c r="E340" s="4" t="str">
        <x:v>Not separately established
Direction: Not separately established
Exceptions: Not established</x:v>
      </x:c>
      <x:c r="F340" s="4" t="str">
        <x:v>W-014-D1 — Formal policy
Niger-side closure order as applied to Algeria, Burkina Faso, Libya, Mali and Chad
Start: 2023-07-26.
Policy endpoint: 2023-08-01.
Formal policy: 6 calendar-day difference; operational continuity not established</x:v>
      </x:c>
      <x:c r="G340" s="4" t="str">
        <x:v>Power and regime politics / Coups and succession
Analytical interpretation of reported context: the CNSP announced the closure while removing President Mohamed Bazoum in the July 2023 coup.
Security / Unspecified security
Analytical interpretation of the reported coup and regional confrontation context. A separate closure-specific security justification is not established.</x:v>
      </x:c>
      <x:c r="H340" s="4" t="str">
        <x:v>W-014-D1: Partial policy reversal only. Excludes Nigeria and Benin; no observed traffic or claim about all Niger borders.</x:v>
      </x:c>
      <x:c r="I340" s="4" t="str">
        <x:v>Second full-register audit, 26 October 2026: additional source-audited corrections incorporated. See the phase, scope and qualification columns for the accepted findings.</x:v>
      </x:c>
      <x:c r="J340" s="18" t="d">
        <x:v>2026-10-26T00:00:00.000Z</x:v>
      </x:c>
      <x:c r="K340" s="21" t="str">
        <x:f>IFERROR(HYPERLINK("https://www.africanews.com/2023/08/02/coup-niger-reopens-borders-with-five-neighbouring-countries/","Africanews"),"Africanews")</x:f>
        <x:v>Africanews</x:v>
      </x:c>
      <x:c r="L340" s="21" t="str">
        <x:f>IFERROR(HYPERLINK("https://www.arnnewscentre.ae/en/news/international/niger-reopens-borders-with-several-neighbours-a-week-after-coup/","ARN News Centre"),"ARN News Centre")</x:f>
        <x:v>ARN News Centre</x:v>
      </x:c>
      <x:c r="M340" s="21" t="str">
        <x:f>IFERROR(HYPERLINK("https://anp.ne/niger-les-frontieres-terrestres-et-aeriennes-avec-algerie-burkina-faso-libye-mali-et-le-tchad-reouvertes/","anp.ne"),"anp.ne")</x:f>
        <x:v>anp.ne</x:v>
      </x:c>
      <x:c r="N340" s="4" t="str">
        <x:v>https://www.africanews.com/2023/08/02/coup-niger-reopens-borders-with-five-neighbouring-countries/
https://www.arnnewscentre.ae/en/news/international/niger-reopens-borders-with-several-neighbours-a-week-after-coup/
https://anp.ne/niger-les-frontieres-terrestres-et-aeriennes-avec-algerie-burkina-faso-libye-mali-et-le-tchad-reouvertes/</x:v>
      </x:c>
      <x:c r="O340" s="4" t="str">
        <x:v>Second full-register audit source access, 26 October 2026
https://anp.ne/niger-les-frontieres-terrestres-et-aeriennes-avec-algerie-burkina-faso-libye-mali-et-le-tchad-reouvertes/: full text (fresh retrieval) — Weekday typo does not alter the independently corroborated date.
https://www.arnnewscentre.ae/en/news/international/niger-reopens-borders-with-several-neighbours-a-week-after-coup/: full text (fresh retrieval)
https://www.africanews.com/2023/08/02/coup-niger-reopens-borders-with-five-neighbouring-countries/: full text (fresh retrieval) — Later site update is not a new event date.
Prior audit access record
Full-register audit source access (evidence cutoff 25 October 2026)
https://anp.ne/niger-les-frontieres-terrestres-et-aeriennes-avec-algerie-burkina-faso-libye-mali-et-le-tchad-reouvertes/: full text — Article incorrectly calls August 1 Monday; date independently corroborated by Reuters.
https://www.arnnewscentre.ae/en/news/international/niger-reopens-borders-with-several-neighbours-a-week-after-coup/: full text
Earlier source URLs not separately listed in this audit’s retrieval log (historical access notes below are not fresh verification):
https://www.africanews.com/2023/08/02/coup-niger-reopens-borders-with-five-neighbouring-countries/
Earlier recorded access
Source 1: search extract
Source 2: full page
Source 3: access detail is retained in the source catalogue.</x:v>
      </x:c>
      <x:c r="P340" s="20" t="n">
        <x:v>1</x:v>
      </x:c>
      <x:c r="Q340" s="4" t="str">
        <x:v>West Africa and Sahel</x:v>
      </x:c>
      <x:c r="R340" s="4" t="str">
        <x:v>Included</x:v>
      </x:c>
    </x:row>
    <x:row r="341" ht="409" hidden="0" customHeight="1">
      <x:c r="A341" s="16" t="str">
        <x:v>W-017</x:v>
      </x:c>
      <x:c r="B341" s="4" t="str">
        <x:v>Niger Benin continued closure after regional sanctions lifted</x:v>
      </x:c>
      <x:c r="C341" s="4" t="str">
        <x:v>Niger; Benin</x:v>
      </x:c>
      <x:c r="D341" s="4" t="str">
        <x:v>Gaya–Malanville road bridge
Niger-side official road crossing restriction; informal river routes treated separately.</x:v>
      </x:c>
      <x:c r="E341" s="4" t="str">
        <x:v>Regular road passengers and commercial goods at the Gaya–Malanville bridge.
Direction: Niger-side official restriction after Benin reopened its side; separately quantified directional exemptions are not established.
Exceptions and alternative routes: informal river crossings continued. They do not establish reopening of the official road bridge.</x:v>
      </x:c>
      <x:c r="F341" s="4" t="str">
        <x:v>W-017-R1 — Formal policy / dated status reports
Niger-side continued official restriction at the Gaya–Malanville road bridge after ECOWAS lifting.
Continuation phase begins: 2024-02-24; this is not the original 2023 closure onset.
Dated status confirmations include 2024-02-26 and 2026-08-05.
Later reported status: 2026-10-20, when DW stated that Niger’s side remained closed despite diplomatic efforts.
General reopening is not established. These observations do not measure uninterrupted gate-level enforcement or an exact operational duration.</x:v>
      </x:c>
      <x:c r="G341" s="4" t="str">
        <x:v>Interstate disputes and pressure / Diplomatic disputes and retaliation
Reported context: Niger did not reciprocate Benin’s reopening after regional sanctions ended; bilateral tensions and subsequent negotiations continued.
Security / Armed conflict and military confrontation
Attributed security claim: Niger accused Benin of hosting French bases intended to destabilise Niger. This allegation is not independently verified and does not establish that combat occurred at the crossing.</x:v>
      </x:c>
      <x:c r="H341" s="4" t="str">
        <x:v>W-017-R1: The original sanctions phase overlaps W-015 and is excluded here. Informal river traffic continued; the bridge restriction does not mean all routes or all persons were physically barred. A March 11, 2024 L’Economiste article claims barriers were lifted on March 10, while same-day reporting citing Malanville’s deputy mayor and a police source says they remained in place. Ordinary resumed traffic was not established, so this unresolved contradiction is not treated as a general reopening or silently erased.
The August 5, 2026 spokesperson statement is distinct from its August 7 publication date. DW’s October 20, 2026 article supplies a later contemporary status report that Niger’s side remained closed despite diplomacy; its 2023 photographs are not fresh observations. The latest report does not prove continuous enforcement between all snapshots, and negotiations or committee reports do not establish operational reopening.</x:v>
      </x:c>
      <x:c r="I341" s="4" t="str">
        <x:v>Second full-register audit, 26 October 2026: additional source-audited corrections incorporated. See the phase, scope and qualification columns for the accepted findings.</x:v>
      </x:c>
      <x:c r="J341" s="18" t="d">
        <x:v>2026-10-26T00:00:00.000Z</x:v>
      </x:c>
      <x:c r="K341" s="21" t="str">
        <x:f>IFERROR(HYPERLINK("https://www.channelstv.com/2024/02/26/niger-border-closed-despite-ecowas-sanctions-being-lifted/","Channels TV"),"Channels TV")</x:f>
        <x:v>Channels TV</x:v>
      </x:c>
      <x:c r="L341" s="21" t="str">
        <x:f>IFERROR(HYPERLINK("https://riskbulletins.globalinitiative.net/wea-obs-011/04-benin-niger-border-closure-drives-surge-migrant-smuggling-profits.html","GI-TOC"),"GI-TOC")</x:f>
        <x:v>GI-TOC</x:v>
      </x:c>
      <x:c r="M341" s="21" t="str">
        <x:f>IFERROR(HYPERLINK("https://www.africanews.com/2026/06/18/benin-and-niger-formalise-commitment-to-reopening-shared-border/","Africanews"),"Africanews")</x:f>
        <x:v>Africanews</x:v>
      </x:c>
      <x:c r="N341" s="4" t="str">
        <x:v>https://www.channelstv.com/2024/02/26/niger-border-closed-despite-ecowas-sanctions-being-lifted/
https://riskbulletins.globalinitiative.net/wea-obs-011/04-benin-niger-border-closure-drives-surge-migrant-smuggling-profits.html
https://www.africanews.com/2026/06/18/benin-and-niger-formalise-commitment-to-reopening-shared-border/
https://banouto.bj/index.php/politique/article/20260807-frontiere-benin-niger-ce-qui-retarde-encore-la-reouverture-selon-wilfried-houngbedji
https://leconomisteniger.com/2024/03/11/le-niger-leve-les-barrieres-de-sa-frontiere-avec-le-benin/
https://www.les4verites.bj/la-frontiere-reste-toujours-fermee-cote-niger/
https://www.lanation.bj/actualites/reouverture-de-la-frontiere-avec-le-niger-le-gouvernement-reste-optimiste
https://guardian.ng/news/niger-reopens-border-with-nigeria/
https://www.gouv.ne/index.php/90-autres-actualites/1198-reouverture-de-la-frontiere-benin-niger-les-deux-comites-d-experts-charges-d-examiner-la-question-remettent-leurs-rapports-a-leurs-chefs-d-etat-respectifs
https://issafrica.org/iss-today/niger-benin-a-narrow-window-for-diplomatic-reset
https://sorvatrade.com/actualites/2026-09-benin-niger-corridor-kamba
https://amp.dw.com/fr/aes-cedeao-b%C3%A9nin-niger-port-cotonou-fronti%C3%A8re/a-79710813</x:v>
      </x:c>
      <x:c r="O341" s="4" t="str">
        <x:v>Second full-register audit source access, 26 October 2026
https://www.channelstv.com/2024/02/26/niger-border-closed-despite-ecowas-sanctions-being-lifted/: full text (fresh retrieval)
https://riskbulletins.globalinitiative.net/wea-obs-011/04-benin-niger-border-closure-drives-surge-migrant-smuggling-profits.html: full text (fresh retrieval) — Original research supports extended restriction, not absolute impermeability.
https://leconomisteniger.com/2024/03/11/le-niger-leve-les-barrieres-de-sa-frontiere-avec-le-benin/: search extract (fresh retrieval) — Direct opening timed out; substantive indexed article recovered; report conflicts with local officials.
https://www.les4verites.bj/la-frontiere-reste-toujours-fermee-cote-niger/: full text (fresh retrieval)
https://banouto.bj/index.php/politique/article/20260807-frontiere-benin-niger-ce-qui-retarde-encore-la-reouverture-selon-wilfried-houngbedji: full text (fresh retrieval)
https://www.gouv.ne/index.php/90-autres-actualites/1198-reouverture-de-la-frontiere-benin-niger-les-deux-comites-d-experts-charges-d-examiner-la-question-remettent-leurs-rapports-a-leurs-chefs-d-etat-respectifs: full text (fresh retrieval) — Neither permission nor first actual return is established.
https://www.africanews.com/2026/06/18/benin-and-niger-formalise-commitment-to-reopening-shared-border/: full text (fresh retrieval) — Allegation not independently verified; vague retrospective sanctions timing is superseded by exact ECOWAS primary dates.
https://amp.dw.com/fr/aes-cedeao-b%C3%A9nin-niger-port-cotonou-fronti%C3%A8re/a-79710813: full text (fresh retrieval) — 2023 photographs do not constitute fresh gate observation.
Earlier URLs not separately inspected in this second assessment:
https://www.lanation.bj/actualites/reouverture-de-la-frontiere-avec-le-niger-le-gouvernement-reste-optimiste
https://guardian.ng/news/niger-reopens-border-with-nigeria/
https://issafrica.org/iss-today/niger-benin-a-narrow-window-for-diplomatic-reset
https://sorvatrade.com/actualites/2026-09-benin-niger-corridor-kamba
Prior audit access record
Full-register audit source access (evidence cutoff 25 October 2026)
https://www.channelstv.com/2024/02/26/niger-border-closed-despite-ecowas-sanctions-being-lifted/: full text
https://riskbulletins.globalinitiative.net/wea-obs-011/04-benin-niger-border-closure-drives-surge-migrant-smuggling-profits.html: full text
https://banouto.bj/index.php/politique/article/20260807-frontiere-benin-niger-ce-qui-retarde-encore-la-reouverture-selon-wilfried-houngbedji: full text
https://amp.dw.com/fr/aes-cedeao-b%C3%A9nin-niger-port-cotonou-fronti%C3%A8re/a-79710813: full text — Photographs date to 2023 and are not fresh visual evidence; text is a dated status report, not gate-by-gate observation.
https://leconomisteniger.com/2024/03/11/le-niger-leve-les-barrieres-de-sa-frontiere-avec-le-benin/: full text
https://www.les4verites.bj/la-frontiere-reste-toujours-fermee-cote-niger/: full text
Earlier source URLs not separately listed in this audit’s retrieval log (historical access notes below are not fresh verification):
https://www.africanews.com/2026/06/18/benin-and-niger-formalise-commitment-to-reopening-shared-border/
https://www.lanation.bj/actualites/reouverture-de-la-frontiere-avec-le-niger-le-gouvernement-reste-optimiste
https://guardian.ng/news/niger-reopens-border-with-nigeria/
https://www.gouv.ne/index.php/90-autres-actualites/1198-reouverture-de-la-frontiere-benin-niger-les-deux-comites-d-experts-charges-d-examiner-la-question-remettent-leurs-rapports-a-leurs-chefs-d-etat-respectifs
https://issafrica.org/iss-today/niger-benin-a-narrow-window-for-diplomatic-reset
https://sorvatrade.com/actualites/2026-09-benin-niger-corridor-kamba
Earlier recorded access
Source 1: full
Source 2: full
Source 3: full</x:v>
      </x:c>
      <x:c r="P341" s="20" t="n">
        <x:v>1</x:v>
      </x:c>
      <x:c r="Q341" s="4" t="str">
        <x:v>West Africa and Sahel</x:v>
      </x:c>
      <x:c r="R341" s="4" t="str">
        <x:v>Included</x:v>
      </x:c>
    </x:row>
    <x:row r="342" ht="409" hidden="0" customHeight="1">
      <x:c r="A342" s="16" t="str">
        <x:v>W-015</x:v>
      </x:c>
      <x:c r="B342" s="4" t="str">
        <x:v>ECOWAS sanctions closure against Niger</x:v>
      </x:c>
      <x:c r="C342" s="4" t="str">
        <x:v>Niger; Nigeria; Benin; Burkina Faso; Mali</x:v>
      </x:c>
      <x:c r="D342" s="4" t="str">
        <x:v>Not individually established
Regional order; Burkina Faso/Mali implementation must not be assumed</x:v>
      </x:c>
      <x:c r="E342" s="4" t="str">
        <x:v>Regional land/air and commercial sanctions; individual post implementation and passenger/freight scope varied.
Direction: Restrictions between ECOWAS members and Niger; member compliance is not assumed.
Humanitarian qualification: On December 12, 2023, an international NGO statement reported that the Benin–Niger road remained blocked to aid and requested legally clear exemptions; alternative air and Burkina Faso routes were being used. ECOWAS’s president separately said medical/humanitarian access had been provided but Niger authorities refused it. This dispute does not establish a universally effective exemption or total exclusion of all humanitarian traffic.</x:v>
      </x:c>
      <x:c r="F342" s="4" t="str">
        <x:v>W-015-D1 — Formal policy
ECOWAS formal border-sanctions order against Niger
Start: 2023-07-30.
Policy endpoint: 2024-02-24.
Formal policy: 209 calendar-day difference; operational continuity not established</x:v>
      </x:c>
      <x:c r="G342" s="4" t="str">
        <x:v>Interstate disputes and pressure / Sanctions and coercive pressure
Attributed official justification: the July 30, 2023 ECOWAS communiqué sought the release and reinstatement of President Mohamed Bazoum and restoration of constitutional order. Border closure formed part of the immediate sanctions package.</x:v>
      </x:c>
      <x:c r="H342" s="4" t="str">
        <x:v>W-015-D1: Legal period, not uniform implementation. Burkina Faso/Mali compliance is not assumed; Nigeria and Benin operational restrictions and Niger's own side had different endpoints. Nested implementation records are not independent regional policy events.
December 2023 humanitarian access was disputed. The NGO statement and ECOWAS president’s contrary explanation are retained as attributed positions, not resolved into an invented blanket exception. NRC’s URL includes 2024, but the article itself is dated December 12, 2023. The February 24 communiqué is the formal lifting; later Nigerian and Nigerien gate actions remain separate.</x:v>
      </x:c>
      <x:c r="I342" s="4" t="str">
        <x:v>Second full-register audit, 26 October 2026: additional source-audited corrections incorporated. See the phase, scope and qualification columns for the accepted findings.</x:v>
      </x:c>
      <x:c r="J342" s="18" t="d">
        <x:v>2026-10-26T00:00:00.000Z</x:v>
      </x:c>
      <x:c r="K342" s="21" t="str">
        <x:f>IFERROR(HYPERLINK("https://statehouse.gov.ng/first-extraordinary-summit-of-the-ecowas-authority-heads-of-state-and-government-on-the-political-situation-in-niger/","State House Nigeria"),"State House Nigeria")</x:f>
        <x:v>State House Nigeria</x:v>
      </x:c>
      <x:c r="L342" s="21" t="str">
        <x:f>IFERROR(HYPERLINK("https://ecowas.int/wp-content/uploads/2024/02/EXT-ORD-SUMMIT-FINAL-COMMUNIQUE-ENGLISH-_240225_160529.pdf","ECOWAS"),"ECOWAS")</x:f>
        <x:v>ECOWAS</x:v>
      </x:c>
      <x:c r="M342" s="21" t="str">
        <x:f>IFERROR(HYPERLINK("https://guardian.ng/news/niger-reopens-border-with-nigeria/","Guardian Nigeria"),"Guardian Nigeria")</x:f>
        <x:v>Guardian Nigeria</x:v>
      </x:c>
      <x:c r="N342" s="4" t="str">
        <x:v>https://statehouse.gov.ng/first-extraordinary-summit-of-the-ecowas-authority-heads-of-state-and-government-on-the-political-situation-in-niger/
https://ecowas.int/wp-content/uploads/2024/02/EXT-ORD-SUMMIT-FINAL-COMMUNIQUE-ENGLISH-_240225_160529.pdf
https://guardian.ng/news/niger-reopens-border-with-nigeria/
https://punchng.com/customs-reopen-niger-republic-land-border/
https://demo2.acresal.gov.ng/news/first-extraordinary-summit-of-the-ecowas-authority-heads-of-state-and-government-on-the-political-situation-in-niger/
https://www.ecowas.int/wp-content/uploads/2024/02/EXT-ORD-SUMMIT-FINAL-COMMUNIQUE-ENGLISH-_240225_160529.pdf
https://ecowas.int/wp-content/uploads/2023/07/Final-Communique_ENG-2_230730_161029.pdf
https://www.nrc.no/news/2024/december/joint-statement-ecowas-failure-to-adopt-exemptions-to-niger-sanctions-puts-lives-of-millions-of-nigeriens-at-risk
https://www.africanews.com/2023/12/12/niger-ngos-call-on-ecowas-to-let-in-humanitarian-aid/</x:v>
      </x:c>
      <x:c r="O342" s="4" t="str">
        <x:v>Second full-register audit source access, 26 October 2026
https://statehouse.gov.ng/first-extraordinary-summit-of-the-ecowas-authority-heads-of-state-and-government-on-the-political-situation-in-niger/: full text (fresh retrieval)
https://ecowas.int/wp-content/uploads/2024/02/EXT-ORD-SUMMIT-FINAL-COMMUNIQUE-ENGLISH-_240225_160529.pdf: full text (fresh retrieval) — Policy repeal is not evidence that every gate opened.
https://www.nrc.no/news/2024/december/joint-statement-ecowas-failure-to-adopt-exemptions-to-niger-sanctions-puts-lives-of-millions-of-nigeriens-at-risk: full text (fresh retrieval) — URL year differs from explicit publication date; NGO account attributed.
https://www.africanews.com/2023/12/12/niger-ngos-call-on-ecowas-to-let-in-humanitarian-aid/: full text (fresh retrieval) — Does not establish a universal effective exception.
Earlier URLs not separately inspected in this second assessment:
https://guardian.ng/news/niger-reopens-border-with-nigeria/
https://punchng.com/customs-reopen-niger-republic-land-border/
https://demo2.acresal.gov.ng/news/first-extraordinary-summit-of-the-ecowas-authority-heads-of-state-and-government-on-the-political-situation-in-niger/
https://www.ecowas.int/wp-content/uploads/2024/02/EXT-ORD-SUMMIT-FINAL-COMMUNIQUE-ENGLISH-_240225_160529.pdf
https://ecowas.int/wp-content/uploads/2023/07/Final-Communique_ENG-2_230730_161029.pdf
Prior audit access record
Full-register audit source access (evidence cutoff 25 October 2026)
https://statehouse.gov.ng/first-extraordinary-summit-of-the-ecowas-authority-heads-of-state-and-government-on-the-political-situation-in-niger/: full text
https://www.ecowas.int/wp-content/uploads/2024/02/EXT-ORD-SUMMIT-FINAL-COMMUNIQUE-ENGLISH-_240225_160529.pdf: full text
https://www.nrc.no/news/2024/december/joint-statement-ecowas-failure-to-adopt-exemptions-to-niger-sanctions-puts-lives-of-millions-of-nigeriens-at-risk: full text — URL path says 2024 but article explicitly dates December 12, 2023.
https://www.africanews.com/2023/12/12/niger-ngos-call-on-ecowas-to-let-in-humanitarian-aid/: full text — Later site update label is not a new event date.
Earlier source URLs not separately listed in this audit’s retrieval log (historical access notes below are not fresh verification):
https://ecowas.int/wp-content/uploads/2024/02/EXT-ORD-SUMMIT-FINAL-COMMUNIQUE-ENGLISH-_240225_160529.pdf
https://guardian.ng/news/niger-reopens-border-with-nigeria/
https://punchng.com/customs-reopen-niger-republic-land-border/
https://demo2.acresal.gov.ng/news/first-extraordinary-summit-of-the-ecowas-authority-heads-of-state-and-government-on-the-political-situation-in-niger/
https://ecowas.int/wp-content/uploads/2023/07/Final-Communique_ENG-2_230730_161029.pdf
Earlier recorded access
Source 1: full page
Source 2: full page
Source 3: full page</x:v>
      </x:c>
      <x:c r="P342" s="20" t="n">
        <x:v>1</x:v>
      </x:c>
      <x:c r="Q342" s="4" t="str">
        <x:v>West Africa and Sahel</x:v>
      </x:c>
      <x:c r="R342" s="4" t="str">
        <x:v>Included</x:v>
      </x:c>
    </x:row>
    <x:row r="343" ht="409" hidden="0" customHeight="1">
      <x:c r="A343" s="16" t="str">
        <x:v>W-016</x:v>
      </x:c>
      <x:c r="B343" s="4" t="str">
        <x:v>Nigeria Niger implementation and staggered reopening of sanctions closure</x:v>
      </x:c>
      <x:c r="C343" s="4" t="str">
        <x:v>Nigeria; Niger</x:v>
      </x:c>
      <x:c r="D343" s="4" t="str">
        <x:v>Illela/Birni N’Konni; Dan Issa reported
Bilateral land frontier</x:v>
      </x:c>
      <x:c r="E343" s="4" t="str">
        <x:v>People and commercial road traffic; detailed exemptions not established
Direction: Initially constrained on both sides; resumed traffic in both directions reported 22 March.
Exceptions: Customs chief at Illela on 4 August 2023 said returning Nigerians were allowed to enter; duration and application at other posts not established.</x:v>
      </x:c>
      <x:c r="F343" s="4" t="str">
        <x:v>W-016-R1 — Formal policy
Nigeria-side Illela regular crossing sanctions restriction
Start: 2023-07-30 to 2023-08-04.
Policy endpoint: 2024-03-14.
Formal policy: 223–228 calendar-day difference; operational continuity not established
W-016-R2 — Observed operation
Niger-side continued denial at regular Illela–Birni N'Konni road route after Nigerian-side reopening
Start: 2024-03-14.
Observed scoped reopening: 2024-03-22.
8 calendar-day difference; scoped endpoint only</x:v>
      </x:c>
      <x:c r="G343" s="4" t="str">
        <x:v>Interstate disputes and pressure / Sanctions and coercive pressure
Reported reason: Nigerian customs linked the closure to the ECOWAS response to Niger’s coup and the effort to restore democratic rule. Niger’s later refusal to reciprocate Nigeria’s reopening is recorded as a separate continuation phase; an additional official justification for that interval is not established.</x:v>
      </x:c>
      <x:c r="H343" s="4" t="str">
        <x:v>W-016-R1: THISDAY’s August 4 report quotes the Illela customs chief allowing returning Nigerians to enter; its application throughout the phase or at other posts is unquantified. The reported seven-month closure does not establish an exact onset. ICIR’s investigation, published February 15, 2024, describes an August 24, 2023 visit with the regular gate barricaded while unofficial routes remained permeable. W-015 overlaps and is not additive.
W-016-R2: March 14 begins this continuation after Nigeria’s permission, not Niger’s original closure. AFP reported actual traffic in both directions on March 22; its witness placed reopening at midnight, whereas Punch quoted a community source saying noon. The calendar date is supported, but the precise hour is unresolved. This scoped return does not establish reopening of every Nigeria–Niger gate or closure of all informal routes.</x:v>
      </x:c>
      <x:c r="I343" s="4" t="str">
        <x:v>Second full-register audit, 26 October 2026: additional source-audited corrections incorporated. See the phase, scope and qualification columns for the accepted findings.</x:v>
      </x:c>
      <x:c r="J343" s="18" t="d">
        <x:v>2026-10-26T00:00:00.000Z</x:v>
      </x:c>
      <x:c r="K343" s="21" t="str">
        <x:f>IFERROR(HYPERLINK("https://statehouse.gov.ng/first-extraordinary-summit-of-the-ecowas-authority-heads-of-state-and-government-on-the-political-situation-in-niger/","Nigeria State House"),"Nigeria State House")</x:f>
        <x:v>Nigeria State House</x:v>
      </x:c>
      <x:c r="L343" s="21" t="str">
        <x:f>IFERROR(HYPERLINK("https://tribuneonlineng.com/illela-border-closed-on-presidents-order-acting-cg-custom/","Nigerian Tribune"),"Nigerian Tribune")</x:f>
        <x:v>Nigerian Tribune</x:v>
      </x:c>
      <x:c r="M343" s="21" t="str">
        <x:f>IFERROR(HYPERLINK("https://punchng.com/customs-reopen-niger-republic-land-border/","Punch"),"Punch")</x:f>
        <x:v>Punch</x:v>
      </x:c>
      <x:c r="N343" s="4" t="str">
        <x:v>https://statehouse.gov.ng/first-extraordinary-summit-of-the-ecowas-authority-heads-of-state-and-government-on-the-political-situation-in-niger/
https://tribuneonlineng.com/illela-border-closed-on-presidents-order-acting-cg-custom/
https://punchng.com/customs-reopen-niger-republic-land-border/
https://www.icirnigeria.org/niger-coup-with-n3000-smugglers-in-nigerias-illela-border-enjoy-free-pass-despite-closure/?tztc=1
https://www.thisdaylive.com/2023/08/04/coup-nigeria-closes-border-with-niger-republic/
https://guardian.ng/news/niger-reopens-border-with-nigeria/
https://www.channelstv.com/2023/08/04/fg-closes-borders-with-niger-republic-says-decision-in-countries-interest/
https://punchng.com/just-in-niger-republic-opens-land-border-with-nigeria/</x:v>
      </x:c>
      <x:c r="O343" s="4" t="str">
        <x:v>Second full-register audit source access, 26 October 2026
https://www.thisdaylive.com/2023/08/04/coup-nigeria-closes-border-with-niger-republic/: full text (fresh retrieval)
https://tribuneonlineng.com/illela-border-closed-on-presidents-order-acting-cg-custom/: search extract (fresh retrieval) — Direct page failed; substantive indexed text does not itself include the returning-citizen exception.
https://punchng.com/customs-reopen-niger-republic-land-border/: full text (fresh retrieval)
https://guardian.ng/news/niger-reopens-border-with-nigeria/: full text (fresh retrieval)
https://punchng.com/just-in-niger-republic-opens-land-border-with-nigeria/: full text (fresh retrieval) — Hour conflicts with AFP; calendar day agrees.
https://www.icirnigeria.org/niger-coup-with-n3000-smugglers-in-nigerias-illela-border-enjoy-free-pass-despite-closure/?tztc=1: full text (fresh retrieval) — Publication date is not observation date.
https://statehouse.gov.ng/first-extraordinary-summit-of-the-ecowas-authority-heads-of-state-and-government-on-the-political-situation-in-niger/: full text (fresh retrieval)
Earlier URLs not separately inspected in this second assessment:
https://www.channelstv.com/2023/08/04/fg-closes-borders-with-niger-republic-says-decision-in-countries-interest/
Prior audit access record
Full-register audit source access (evidence cutoff 25 October 2026)
https://tribuneonlineng.com/illela-border-closed-on-presidents-order-acting-cg-custom/: inaccessible — Direct and AMP recovery failed; search found only an unattributed forum reproduction, not sufficient verification.
https://www.channelstv.com/2023/08/04/fg-closes-borders-with-niger-republic-says-decision-in-countries-interest/: full text
https://punchng.com/customs-reopen-niger-republic-land-border/: full text
https://guardian.ng/news/niger-reopens-border-with-nigeria/: full text
https://punchng.com/just-in-niger-republic-opens-land-border-with-nigeria/: full text
https://www.icirnigeria.org/niger-coup-with-n3000-smugglers-in-nigerias-illela-border-enjoy-free-pass-despite-closure/?tztc=1: full text
Earlier source URLs not separately listed in this audit’s retrieval log (historical access notes below are not fresh verification):
https://statehouse.gov.ng/first-extraordinary-summit-of-the-ecowas-authority-heads-of-state-and-government-on-the-political-situation-in-niger/
https://www.thisdaylive.com/2023/08/04/coup-nigeria-closes-border-with-niger-republic/
Earlier recorded access
Source 1: indexed excerpt
Source 2: full; indexed excerpt
Source 3: full</x:v>
      </x:c>
      <x:c r="P343" s="20" t="n">
        <x:v>2</x:v>
      </x:c>
      <x:c r="Q343" s="4" t="str">
        <x:v>West Africa and Sahel</x:v>
      </x:c>
      <x:c r="R343" s="4" t="str">
        <x:v>Included</x:v>
      </x:c>
    </x:row>
    <x:row r="344" ht="409" hidden="0" customHeight="1">
      <x:c r="A344" s="16" t="str">
        <x:v>W-020</x:v>
      </x:c>
      <x:c r="B344" s="4" t="str">
        <x:v>Ghana 2024 election closure</x:v>
      </x:c>
      <x:c r="C344" s="4" t="str">
        <x:v>Ghana; Togo; Burkina Faso; Côte d’Ivoire</x:v>
      </x:c>
      <x:c r="D344" s="4" t="str">
        <x:v>Not individually established
All land borders</x:v>
      </x:c>
      <x:c r="E344" s="4" t="str">
        <x:v>Not separately established
Direction: Not separately established
Exceptions: Not established</x:v>
      </x:c>
      <x:c r="F344" s="4" t="str">
        <x:v>W-020-R1 — Announced window
Ghana national land borders under election order
Start: 2024-12-06, with immediate effect; clock time unspecified.
Scheduled endpoint: 2024-12-08 at 18:00.
Ordered window: greater than 24 hours; 2 calendar-day difference. Actual end not established.</x:v>
      </x:c>
      <x:c r="G344"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x:v>
      </x:c>
      <x:c r="H344" s="4" t="str">
        <x:v>W-020-R1: The signed ministry release orders immediate closure on 6 December 2024 until 18:00 on 8 December. This establishes an ordered interval greater than 24 hours, but not an exact 48-hour duration because the start clock is unspecified. First enforcement and actual reopening are not independently established.</x:v>
      </x:c>
      <x:c r="I344" s="4" t="str">
        <x:v>Second full-register audit, 26 October 2026: additional source-audited corrections incorporated. See the phase, scope and qualification columns for the accepted findings.</x:v>
      </x:c>
      <x:c r="J344" s="18" t="d">
        <x:v>2026-10-26T00:00:00.000Z</x:v>
      </x:c>
      <x:c r="K344" s="21" t="str">
        <x:f>IFERROR(HYPERLINK("https://gna.org.gh/2024/12/ghana-closes-land-borders-ahead-of-december-7-elections/","Ghana News Agency"),"Ghana News Agency")</x:f>
        <x:v>Ghana News Agency</x:v>
      </x:c>
      <x:c r="L344" s="21" t="str">
        <x:f>IFERROR(HYPERLINK("https://wanep.org/wanep/wp-content/uploads/2024/12/B_Media-Final-Opening-of-Polls-Statement-7-12-2024-.pdf","WANEP"),"WANEP")</x:f>
        <x:v>WANEP</x:v>
      </x:c>
      <x:c r="M344" s="21" t="str">
        <x:f>IFERROR(HYPERLINK("https://yen.com.gh/ghana/272861-ghana-election-interior-ministry-closes-land-borders-december-7-polls/","yen.com.gh"),"yen.com.gh")</x:f>
        <x:v>yen.com.gh</x:v>
      </x:c>
      <x:c r="N344" s="4" t="str">
        <x:v>https://gna.org.gh/2024/12/ghana-closes-land-borders-ahead-of-december-7-elections/
https://wanep.org/wanep/wp-content/uploads/2024/12/B_Media-Final-Opening-of-Polls-Statement-7-12-2024-.pdf
https://yen.com.gh/ghana/272861-ghana-election-interior-ministry-closes-land-borders-december-7-polls/
https://www.graphic.com.gh/news/general-news/ghana-shuts-land-borders-for-24-hours-for-election-2024.html
https://gna.org.gh/web/wp-content/uploads/2024/12/Press-Release_Closure-of-Land-Borders_Media.pdf</x:v>
      </x:c>
      <x:c r="O344" s="4" t="str">
        <x:v>Second full-register audit source access, 26 October 2026
https://gna.org.gh/web/wp-content/uploads/2024/12/Press-Release_Closure-of-Land-Borders_Media.pdf: full text (fresh retrieval) — Signed one-page PDF visually inspected through screenshot; text extraction was empty. Schedule only.
https://gna.org.gh/2024/12/ghana-closes-land-borders-ahead-of-december-7-elections/: full text (fresh retrieval)
https://www.graphic.com.gh/news/general-news/ghana-shuts-land-borders-for-24-hours-for-election-2024.html: full text (fresh retrieval) — Headline exact duration not adopted; body reproduces immediate start and 18:00 endpoint.
Earlier URLs not separately inspected in this second assessment:
https://wanep.org/wanep/wp-content/uploads/2024/12/B_Media-Final-Opening-of-Polls-Statement-7-12-2024-.pdf
https://yen.com.gh/ghana/272861-ghana-election-interior-ministry-closes-land-borders-december-7-polls/
Prior audit access record
Full-register audit source access (evidence cutoff 25 October 2026)
https://gna.org.gh/2024/12/ghana-closes-land-borders-ahead-of-december-7-elections/: full text
https://www.graphic.com.gh/news/general-news/ghana-shuts-land-borders-for-24-hours-for-election-2024.html: search extract — Headline’s 48-hour description does not supply a precise start time.
https://wanep.org/wanep/wp-content/uploads/2024/12/B_Media-Final-Opening-of-Polls-Statement-7-12-2024-.pdf: inaccessible — 403; GNA attachment click also failed.
Earlier source URLs not separately listed in this audit’s retrieval log (historical access notes below are not fresh verification):
https://yen.com.gh/ghana/272861-ghana-election-interior-ministry-closes-land-borders-december-7-polls/
Earlier recorded access
Source 1: full
Source 2: indexed excerpt; failed
Source 3: indexed excerpt</x:v>
      </x:c>
      <x:c r="P344" s="20" t="n">
        <x:v>1</x:v>
      </x:c>
      <x:c r="Q344" s="4" t="str">
        <x:v>West Africa and Sahel</x:v>
      </x:c>
      <x:c r="R344" s="4" t="str">
        <x:v>Included</x:v>
      </x:c>
    </x:row>
    <x:row r="345" ht="409" hidden="0" customHeight="1">
      <x:c r="A345" s="16" t="str">
        <x:v>W-025</x:v>
      </x:c>
      <x:c r="B345" s="4" t="str">
        <x:v>Yenga Koindu Nongoa crossing closure</x:v>
      </x:c>
      <x:c r="C345" s="4" t="str">
        <x:v>Guinea; Sierra Leone</x:v>
      </x:c>
      <x:c r="D345" s="4" t="str">
        <x:v>Yenga–Koindu–Nongoa, Kissi Teng Chiefdom
Local Makona River crossing</x:v>
      </x:c>
      <x:c r="E345" s="4" t="str">
        <x:v>Cross-border residents and traders; agricultural goods.
Direction: Civilian entry and exit at the Nongoa crossing were reported prohibited. Later observed trade operated in both directions.
Exceptions: No authorised exceptions established; clandestine passage was reported during the restriction.</x:v>
      </x:c>
      <x:c r="F345" s="4" t="str">
        <x:v>W-025-R1 — Formal policy
Official Koindu–Nongoa crossing restriction at Yenga along Makona River
Start: 2025-04-27 to 2025-04-28.
Policy endpoint: 2026-06-24.
Formal policy: 422–423 calendar-day difference; operational continuity not established</x:v>
      </x:c>
      <x:c r="G345" s="4" t="str">
        <x:v>Security / Armed conflict and military confrontation
Analytical interpretation of reported context
Applies to: Recorded episode; exact overlap not separately established
The territorial dispute is an attributed contextual classification. The original closure order remains unavailable.
Interstate disputes and pressure / Territorial and frontier disputes
Analytical interpretation of reported context
Applies to: Recorded episode; exact overlap not separately established
The territorial dispute is an attributed contextual classification. The original closure order remains unavailable.</x:v>
      </x:c>
      <x:c r="H345" s="4" t="str">
        <x:v>Contemporary Africa Guinee May 2 report dates Nongoa landing/civilian closure April 27, whereas later official-notice chronology uses April 28. Formal June 24 reopening remains notice-attributed; independent field movement observed August 28. No exact operational interval certified.
W-025-R1: Onset conflict retained; initial order unavailable. Exact endpoint follows one notice lineage. Clandestine passage occurred; no zero-passage interval asserted.</x:v>
      </x:c>
      <x:c r="I345" s="4" t="str">
        <x:v>Second full-register audit, 26 October 2026: additional source-audited corrections incorporated. See the phase, scope and qualification columns for the accepted findings.</x:v>
      </x:c>
      <x:c r="J345" s="18" t="d">
        <x:v>2026-10-26T00:00:00.000Z</x:v>
      </x:c>
      <x:c r="K345" s="21" t="str">
        <x:f>IFERROR(HYPERLINK("https://sierraloaded.sl/news/sierra-leone-guinea-reopen-yenga-border/","Sierraloaded"),"Sierraloaded")</x:f>
        <x:v>Sierraloaded</x:v>
      </x:c>
      <x:c r="L345" s="21" t="str">
        <x:f>IFERROR(HYPERLINK("https://www.africaguinee.com/guinee-sierra-leone-a-nongoa-la-reouverture-de-la-frontiere-fait-revivre-les-echanges-et-les-liens-familiaux-immersion/","Africa Guinee"),"Africa Guinee")</x:f>
        <x:v>Africa Guinee</x:v>
      </x:c>
      <x:c r="M345" s="21" t="str">
        <x:f>IFERROR(HYPERLINK("https://www.africaguinee.com/litige-autour-de-yenga-la-frontiere-guinee-sierra-leone-aurait-ete-fermee-a-nongoa/","africaguinee.com"),"africaguinee.com")</x:f>
        <x:v>africaguinee.com</x:v>
      </x:c>
      <x:c r="N345" s="4" t="str">
        <x:v>https://sierraloaded.sl/news/sierra-leone-guinea-reopen-yenga-border/
https://www.africaguinee.com/guinee-sierra-leone-a-nongoa-la-reouverture-de-la-frontiere-fait-revivre-les-echanges-et-les-liens-familiaux-immersion/
https://www.africaguinee.com/litige-autour-de-yenga-la-frontiere-guinee-sierra-leone-aurait-ete-fermee-a-nongoa/
https://ons.gov.sl/news/ons-hosts-ecowas-fact-finding-delegation-on-the-yenga-border-dispute
https://www.guinee360.com/06/07/2026/differends-frontaliers-la-sierra-leone-et-la-guinee-rouvrent-le-poste-frontalier-de-yenga/
https://apanews.net/sierra-leone-and-guinea-reopen-yenga-borde/</x:v>
      </x:c>
      <x:c r="O345" s="4" t="str">
        <x:v>Second full-register audit source access, 26 October 2026
https://sierraloaded.sl/news/sierra-leone-guinea-reopen-yenga-border/: full text (fresh retrieval) — Reproduces ministry notice; not independent observation of first reopening.
https://www.africaguinee.com/guinee-sierra-leone-a-nongoa-la-reouverture-de-la-frontiere-fait-revivre-les-echanges-et-les-liens-familiaux-immersion/: full text (fresh retrieval) — Full body continued in batch125 and publication metadata in batch127; visit explicitly August 28.
https://www.africaguinee.com/litige-autour-de-yenga-la-frontiere-guinee-sierra-leone-aurait-ete-fermee-a-nongoa/: full text (fresh retrieval)
https://ons.gov.sl/news/ons-hosts-ecowas-fact-finding-delegation-on-the-yenga-border-dispute: full text (fresh retrieval) — Meeting event August 26, 2025; does not independently date the closure or reopening.
Earlier URLs not separately inspected in this second assessment:
https://www.guinee360.com/06/07/2026/differends-frontaliers-la-sierra-leone-et-la-guinee-rouvrent-le-poste-frontalier-de-yenga/
https://apanews.net/sierra-leone-and-guinea-reopen-yenga-borde/
Prior audit access record
Full-register audit source access (evidence cutoff 25 October 2026)
https://www.africaguinee.com/litige-autour-de-yenga-la-frontiere-guinee-sierra-leone-aurait-ete-fermee-a-nongoa/: full text
https://apanews.net/sierra-leone-and-guinea-reopen-yenga-borde/: full text
https://www.africaguinee.com/guinee-sierra-leone-a-nongoa-la-reouverture-de-la-frontiere-fait-revivre-les-echanges-et-les-liens-familiaux-immersion/: full text
https://ons.gov.sl/news/ons-hosts-ecowas-fact-finding-delegation-on-the-yenga-border-dispute: full text
https://sierraloaded.sl/news/sierra-leone-guinea-reopen-yenga-border/: inaccessible — Timeout; APA recovers attributed notice chronology.
Earlier source URLs not separately listed in this audit’s retrieval log (historical access notes below are not fresh verification):
https://www.guinee360.com/06/07/2026/differends-frontaliers-la-sierra-leone-et-la-guinee-rouvrent-le-poste-frontalier-de-yenga/
Earlier recorded access
Source 1: full
Source 2: full
Source 3: access detail is retained in the source catalogue.</x:v>
      </x:c>
      <x:c r="P345" s="20" t="n">
        <x:v>1</x:v>
      </x:c>
      <x:c r="Q345" s="4" t="str">
        <x:v>West Africa and Sahel</x:v>
      </x:c>
      <x:c r="R345" s="4" t="str">
        <x:v>Included</x:v>
      </x:c>
    </x:row>
    <x:row r="346" ht="409" hidden="0" customHeight="1">
      <x:c r="A346" s="16" t="str">
        <x:v>W-027</x:v>
      </x:c>
      <x:c r="B346" s="4" t="str">
        <x:v>Guinea 2025 presidential election closure</x:v>
      </x:c>
      <x:c r="C346" s="4" t="str">
        <x:v>Guinea; Senegal; Guinea-Bissau; Mali; Côte d’Ivoire; Liberia; Sierra Leone</x:v>
      </x:c>
      <x:c r="D346" s="4" t="str">
        <x:v>Not individually established
All land borders</x:v>
      </x:c>
      <x:c r="E346" s="4" t="str">
        <x:v>Not separately established
Direction: Not separately established
Exceptions: Not established</x:v>
      </x:c>
      <x:c r="F346" s="4" t="str">
        <x:v>W-027-R1 — Announced window
Guinea land and maritime borders under presidential-election decree
Start: 2025-12-28.
Scheduled endpoint: 2025-12-29.
Ordered window: 1 calendar-day difference; actual end not established</x:v>
      </x:c>
      <x:c r="G346" s="4" t="str">
        <x:v>Electoral politics / Election administration and security
Officially stated reason
Applies to: The December 2025 presidential-election order
The signed ministerial order sets security measures for the presidential election.
Security / Public order and immediate safety
Officially stated reason
Applies to: The same order
The order provides for protection of voters, candidates, electoral personnel and equipment during the poll.</x:v>
      </x:c>
      <x:c r="H346" s="4" t="str">
        <x:v>W-027-R1: The intended 24-hour land/maritime polling-day window is interpreted as December 28 00:00 to December 29 00:00, following Anadolu. The signed December 27 ministerial order A/2025/1397/MATD/CAB/SGG was freshly recovered as a two-page scan hosted by Le Lynx and visually inspected. Article 2 uses the same Saturday-midnight to Sunday-midnight wording as the embassy report; air closure is separately 05:00–20:00 Sunday. Domestic vehicle restrictions and their exceptions remain separate.
An independent LégisGuinée transcription describes different all-mode hours and article numbering; its underlying alleged Journal officiel page was not recovered. No evidence establishes that text as an amendment, so it does not replace the inspected signed order. Actual gate reopening and exact operational duration remain unobserved.
Source provenance: the embassy-hosted article explicitly credits Bhoye Barry for Guinee7.com. It is a news republication, not an independent government statement; the signed ministerial scan is the primary policy evidence.</x:v>
      </x:c>
      <x:c r="I346" s="4" t="str">
        <x:v>Second full-register audit, 26 October 2026: additional source-audited corrections incorporated. See the phase, scope and qualification columns for the accepted findings.</x:v>
      </x:c>
      <x:c r="J346" s="18" t="d">
        <x:v>2026-10-26T00:00:00.000Z</x:v>
      </x:c>
      <x:c r="K346" s="21" t="str">
        <x:f>IFERROR(HYPERLINK("https://de.ambaguinee.org/?p=106309","Guinea Embassy in Germany"),"Guinea Embassy in Germany")</x:f>
        <x:v>Guinea Embassy in Germany</x:v>
      </x:c>
      <x:c r="L346" s="21" t="str">
        <x:f>IFERROR(HYPERLINK("https://www.aa.com.tr/en/africa/guinea-shuts-borders-restricts-vehicles-ahead-of-1st-post-coup-presidential-election/3782873","Anadolu"),"Anadolu")</x:f>
        <x:v>Anadolu</x:v>
      </x:c>
      <x:c r="M346" s="21" t="str">
        <x:f>IFERROR(HYPERLINK("https://guineevote.ablogui.org/actualites/le-ministere-de-ladministration-du-territoire-fixe-les-mesures-de-securite-pour-le-scrutin-presidentiel","guineevote.ablogui.org"),"guineevote.ablogui.org")</x:f>
        <x:v>guineevote.ablogui.org</x:v>
      </x:c>
      <x:c r="N346" s="4" t="str">
        <x:v>https://de.ambaguinee.org/?p=106309
https://www.aa.com.tr/en/africa/guinea-shuts-borders-restricts-vehicles-ahead-of-1st-post-coup-presidential-election/3782873
https://guineevote.ablogui.org/actualites/le-ministere-de-ladministration-du-territoire-fixe-les-mesures-de-securite-pour-le-scrutin-presidentiel
https://lelynx.net/wp-content/uploads/2025/12/Arrete-de-fermeture-temporaire.pdf
https://www.legisguinee.com/textes/arrete-2025-1397-fermeture-frontieres-election-presidentielle</x:v>
      </x:c>
      <x:c r="O346" s="4" t="str">
        <x:v>Second full-register audit source access, 26 October 2026
https://lelynx.net/wp-content/uploads/2025/12/Arrete-de-fermeture-temporaire.pdf: full text (fresh retrieval) — Downloaded and visually inspected; midnight wording remains interpreted, no gate observations.
https://de.ambaguinee.org/?p=106309: full text (fresh retrieval)
Earlier URLs not separately inspected in this second assessment:
https://www.aa.com.tr/en/africa/guinea-shuts-borders-restricts-vehicles-ahead-of-1st-post-coup-presidential-election/3782873
https://guineevote.ablogui.org/actualites/le-ministere-de-ladministration-du-territoire-fixe-les-mesures-de-securite-pour-le-scrutin-presidentiel
https://www.legisguinee.com/textes/arrete-2025-1397-fermeture-frontieres-election-presidentielle
Prior audit access record
Full-register audit source access (evidence cutoff 25 October 2026)
https://de.ambaguinee.org/?p=106309: full text
https://www.aa.com.tr/en/africa/guinea-shuts-borders-restricts-vehicles-ahead-of-1st-post-coup-presidential-election/3782873: full text
https://lelynx.net/wp-content/uploads/2025/12/Arrete-de-fermeture-temporaire.pdf: full text — Primary scan from newspaper host; saved raw/africa/W-027-order-1397.pdf. Web screenshot returned markers, so actual inspection used local rendered images.
https://www.legisguinee.com/textes/arrete-2025-1397-fermeture-frontieres-election-presidentielle: full text — Underlying alleged Journal officiel page requires account; transcription discrepancy unresolved and not adopted.
Earlier source URLs not separately listed in this audit’s retrieval log (historical access notes below are not fresh verification):
https://guineevote.ablogui.org/actualites/le-ministere-de-ladministration-du-territoire-fixe-les-mesures-de-securite-pour-le-scrutin-presidentiel
Earlier recorded access
Source 1: full
Source 2: full
Source 3: access detail is retained in the source catalogue.</x:v>
      </x:c>
      <x:c r="P346" s="20" t="n">
        <x:v>1</x:v>
      </x:c>
      <x:c r="Q346" s="4" t="str">
        <x:v>West Africa and Sahel</x:v>
      </x:c>
      <x:c r="R346" s="4" t="str">
        <x:v>Included</x:v>
      </x:c>
    </x:row>
    <x:row r="347" ht="409" hidden="0" customHeight="1">
      <x:c r="A347" s="16" t="str">
        <x:v>W-007</x:v>
      </x:c>
      <x:c r="B347" s="4" t="str">
        <x:v>Guinea Sierra Leone security closure preceding February 2021 agreement</x:v>
      </x:c>
      <x:c r="C347" s="4" t="str">
        <x:v>Guinea; Sierra Leone</x:v>
      </x:c>
      <x:c r="D347" s="4" t="str">
        <x:v>Pamelap operational reopening observed; broader bilateral frontier covered by agreement
Guinean side of bilateral frontier</x:v>
      </x:c>
      <x:c r="E347" s="4" t="str">
        <x:v>Not separately established
Direction: Not separately established
Exceptions: Not established</x:v>
      </x:c>
      <x:c r="F347" s="4" t="str">
        <x:v>W-007-REV1 — Formal policy
Guinea-side national security restriction facing Sierra Leone; formal policy phase
Start: 2020-09-01 to 2020-09-30.
Policy endpoint: 2021-02-18.
Formal policy: 141–170 calendar-day difference; operational continuity not established</x:v>
      </x:c>
      <x:c r="G347" s="4" t="str">
        <x:v>Security / Unspecified security
The bilateral communiqué attributes Guinea’s reopening to mutual security reassurances and reassessment of its security situation. The earlier COVID and contemporaneous Ebola controls are separate from this Guinea-side national security restriction.</x:v>
      </x:c>
      <x:c r="H347" s="4" t="str">
        <x:v>W-007-REV1: Formal Guinea-side policy only. September onset bounded, not September 1 asserted. October Pamelap retrospective remains unresolved, so no matched gate-level operational spell is inferred. Earlier COVID and contemporaneous Ebola controls are not assumed lifted on both sides. Local February 18 observation corroborates implementation at Pamelap only; later September coup is separate.</x:v>
      </x:c>
      <x:c r="I347" s="4" t="str">
        <x:v>Second full-register audit, 26 October 2026: additional source-audited corrections incorporated. See the phase, scope and qualification columns for the accepted findings.</x:v>
      </x:c>
      <x:c r="J347" s="18" t="d">
        <x:v>2026-10-26T00:00:00.000Z</x:v>
      </x:c>
      <x:c r="K347" s="21" t="str">
        <x:f>IFERROR(HYPERLINK("https://guineenews.org/2021/02/10/guinee-sierra-leone-voici-les-prealables-a-la-reouverture-des-frontieres/","Guinéenews"),"Guinéenews")</x:f>
        <x:v>Guinéenews</x:v>
      </x:c>
      <x:c r="L347" s="21" t="str">
        <x:f>IFERROR(HYPERLINK("https://www.securitycouncilreport.org/atf/cf/%7B65BFCF9B-6D27-4E9C-8CD3-CF6E4FF96FF9%7D/S_2021_612.pdf","United Nations"),"United Nations")</x:f>
        <x:v>United Nations</x:v>
      </x:c>
      <x:c r="M347" s="21" t="str">
        <x:f>IFERROR(HYPERLINK("https://www.thesierraleonetelegraph.com/presidents-of-sierra-leone-and-guinea-sign-communique-after-meeting-in-conakry/","Sierra Leone Telegraph"),"Sierra Leone Telegraph")</x:f>
        <x:v>Sierra Leone Telegraph</x:v>
      </x:c>
      <x:c r="N347" s="4" t="str">
        <x:v>https://guineenews.org/2021/02/10/guinee-sierra-leone-voici-les-prealables-a-la-reouverture-des-frontieres/
https://www.securitycouncilreport.org/atf/cf/%7B65BFCF9B-6D27-4E9C-8CD3-CF6E4FF96FF9%7D/S_2021_612.pdf
https://www.thesierraleonetelegraph.com/presidents-of-sierra-leone-and-guinea-sign-communique-after-meeting-in-conakry/
https://conakrynews.org/index.php/cooperation-la-reouverture-de-la-frontiere-guineo-sierra-leonaise-est-maintenant-effective/
https://digitallibrary.un.org/record/3930688/files/S_2021_612-FR.pdf
https://www.ecdc.europa.eu/sites/default/files/documents/Ebola-virus-disease-outbreak-in-Guinea-2021.pdf
https://guineenews.org/2021/09/16/la-frontiere-guineo-sierra-leonaise-reouverte-a-compter-de-ce-jeudi-cnrd/
https://www.exteriores.gob.es/es/Comunicacion/Comunicados/Paginas/2021_COMUNICADOS/20210216_COMU013.aspx
https://exteriores.gob.es/es/Comunicacion/Comunicados/Paginas/2021_COMUNICADOS/20210216_COMU013.aspx
https://www.ecoi.net/en/file/local/2055478/S_2021_612_E.pdf</x:v>
      </x:c>
      <x:c r="O347" s="4" t="str">
        <x:v>Second full-register audit source access, 26 October 2026
https://www.ecoi.net/en/file/local/2055478/S_2021_612_E.pdf: full text (fresh retrieval)
https://www.thesierraleonetelegraph.com/presidents-of-sierra-leone-and-guinea-sign-communique-after-meeting-in-conakry/: full text (fresh retrieval)
https://conakrynews.org/index.php/cooperation-la-reouverture-de-la-frontiere-guineo-sierra-leonaise-est-maintenant-effective/: full text (fresh retrieval)
Earlier URLs not separately inspected in this second assessment:
https://guineenews.org/2021/02/10/guinee-sierra-leone-voici-les-prealables-a-la-reouverture-des-frontieres/
https://www.securitycouncilreport.org/atf/cf/%7B65BFCF9B-6D27-4E9C-8CD3-CF6E4FF96FF9%7D/S_2021_612.pdf
https://digitallibrary.un.org/record/3930688/files/S_2021_612-FR.pdf
https://www.ecdc.europa.eu/sites/default/files/documents/Ebola-virus-disease-outbreak-in-Guinea-2021.pdf
https://guineenews.org/2021/09/16/la-frontiere-guineo-sierra-leonaise-reouverte-a-compter-de-ce-jeudi-cnrd/
https://www.exteriores.gob.es/es/Comunicacion/Comunicados/Paginas/2021_COMUNICADOS/20210216_COMU013.aspx
https://exteriores.gob.es/es/Comunicacion/Comunicados/Paginas/2021_COMUNICADOS/20210216_COMU013.aspx
Prior audit access record
Full-register audit source access (evidence cutoff 25 October 2026)
https://guineenews.org/2021/02/10/guinee-sierra-leone-voici-les-prealables-a-la-reouverture-des-frontieres/: full text
https://www.thesierraleonetelegraph.com/presidents-of-sierra-leone-and-guinea-sign-communique-after-meeting-in-conakry/: full text
https://conakrynews.org/index.php/cooperation-la-reouverture-de-la-frontiere-guineo-sierra-leonaise-est-maintenant-effective/: full text
https://www.securitycouncilreport.org/atf/cf/%7B65BFCF9B-6D27-4E9C-8CD3-CF6E4FF96FF9%7D/S_2021_612.pdf: full text — Not used as fresh support for the border-specific claim.
Earlier source URLs not separately listed in this audit’s retrieval log (historical access notes below are not fresh verification):
https://digitallibrary.un.org/record/3930688/files/S_2021_612-FR.pdf
https://www.ecdc.europa.eu/sites/default/files/documents/Ebola-virus-disease-outbreak-in-Guinea-2021.pdf
https://guineenews.org/2021/09/16/la-frontiere-guineo-sierra-leonaise-reouverte-a-compter-de-ce-jeudi-cnrd/
https://www.exteriores.gob.es/es/Comunicacion/Comunicados/Paginas/2021_COMUNICADOS/20210216_COMU013.aspx
https://exteriores.gob.es/es/Comunicacion/Comunicados/Paginas/2021_COMUNICADOS/20210216_COMU013.aspx
Earlier recorded access
Source 1: full
Source 2: indexed excerpt
Source 3: full</x:v>
      </x:c>
      <x:c r="P347" s="20" t="n">
        <x:v>1</x:v>
      </x:c>
      <x:c r="Q347" s="4" t="str">
        <x:v>West Africa and Sahel</x:v>
      </x:c>
      <x:c r="R347" s="4" t="str">
        <x:v>Included</x:v>
      </x:c>
    </x:row>
    <x:row r="348" ht="366" hidden="0" customHeight="1">
      <x:c r="A348" s="16" t="str">
        <x:v>W-021</x:v>
      </x:c>
      <x:c r="B348" s="4" t="str">
        <x:v>Guinea-Bissau partial Senegal frontier closure after communal clashes</x:v>
      </x:c>
      <x:c r="C348" s="4" t="str">
        <x:v>Guinea-Bissau; Senegal</x:v>
      </x:c>
      <x:c r="D348" s="4" t="str">
        <x:v>Not individually established
Part of frontier near Medina Gounass</x:v>
      </x:c>
      <x:c r="E348" s="4" t="str">
        <x:v>Passenger movement on an unspecified part of the Guinea-Bissau–Senegal frontier.
Direction: The president’s stated aim was to prevent Guinea-Bissau-based reinforcements crossing into Senegal to join the Médina Gounass clashes; broader directional implementation is not established.
Exceptions and goods treatment: Not established.</x:v>
      </x:c>
      <x:c r="F348" s="4" t="str">
        <x:v>W-021-FU1 — Formal policy
Unspecified part of Guinea-Bissau–Senegal border near Medina Gounass; exact posts unknown
Start: 2024-06-17 to 2024-06-19.
Last confirmed: 2024-06-19. Reopening is not established.
Formal policy: dated evidence; numeric duration withheld; see qualification</x:v>
      </x:c>
      <x:c r="G348" s="4" t="str">
        <x:v>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348" s="4" t="str">
        <x:v>W-021-FU1: The order followed June 17 clashes and was reported as enforced by June 19, giving onset bounds only. Xinhua dates the order to Wednesday June 19; AFP’s wording retrospectively links the decision to Monday’s violence. The president attributed it to preventing reinforcements and further violence. Exact posts and wider traffic scope remain unidentified. No matched reopening or gate-level evidence was recovered. June 19 is a dated official-confirmation observation, not proof of an indefinite continuing restriction or a complete duration.</x:v>
      </x:c>
      <x:c r="I348" s="4" t="str">
        <x:v>Second full-register audit, 26 October 2026: qualified. The partial Guinea-Bissau closure is supported, but the existing 17–19 June 2024 onset range remains appropriate and no matched reopening was located.</x:v>
      </x:c>
      <x:c r="J348" s="18" t="d">
        <x:v>2026-10-26T00:00:00.000Z</x:v>
      </x:c>
      <x:c r="K348" s="21" t="str">
        <x:f>IFERROR(HYPERLINK("https://www.channelstv.com/2024/06/19/guinea-bissau-part-closes-senegal-border-over-clashes/","Channels Television"),"Channels Television")</x:f>
        <x:v>Channels Television</x:v>
      </x:c>
      <x:c r="L348" s="21" t="str">
        <x:f>IFERROR(HYPERLINK("https://africacenter.org/spotlight/senegal-building-trust-violent-extremism/","Africa Center"),"Africa Center")</x:f>
        <x:v>Africa Center</x:v>
      </x:c>
      <x:c r="M348" s="21" t="str">
        <x:f>IFERROR(HYPERLINK("https://french.xinhuanet.com/20240620/b17c0fa749e941de9986cbc64bd9b887/c.html","french.xinhuanet.com"),"french.xinhuanet.com")</x:f>
        <x:v>french.xinhuanet.com</x:v>
      </x:c>
      <x:c r="N348" s="4" t="str">
        <x:v>https://www.channelstv.com/2024/06/19/guinea-bissau-part-closes-senegal-border-over-clashes/
https://africacenter.org/spotlight/senegal-building-trust-violent-extremism/
https://french.xinhuanet.com/20240620/b17c0fa749e941de9986cbc64bd9b887/c.html
https://www.igfm.sn/ui/covid-19-la-guinee-bissau-et-le-senegal-ont-finalement-ferme-leurs-frontieres</x:v>
      </x:c>
      <x:c r="O348" s="4" t="str">
        <x:v>Second full-register audit source access, 26 October 2026
https://www.channelstv.com/2024/06/19/guinea-bissau-part-closes-senegal-border-over-clashes/: full text (fresh retrieval)
https://french.xinhuanet.com/20240620/b17c0fa749e941de9986cbc64bd9b887/c.html: full text (fresh retrieval) — The text’s 300 m frontier-length typo is not adopted; no reopening evidence.
Earlier URLs not separately inspected in this second assessment:
https://africacenter.org/spotlight/senegal-building-trust-violent-extremism/
https://www.igfm.sn/ui/covid-19-la-guinee-bissau-et-le-senegal-ont-finalement-ferme-leurs-frontieres
Prior audit access record
Full-register audit source access (evidence cutoff 25 October 2026)
https://www.channelstv.com/2024/06/19/guinea-bissau-part-closes-senegal-border-over-clashes/: full text
https://french.xinhuanet.com/20240620/b17c0fa749e941de9986cbc64bd9b887/c.html: full text — Article’s 300-metre frontier length is an obvious unit error and is not adopted.
Earlier source URLs not separately listed in this audit’s retrieval log (historical access notes below are not fresh verification):
https://africacenter.org/spotlight/senegal-building-trust-violent-extremism/
https://www.igfm.sn/ui/covid-19-la-guinee-bissau-et-le-senegal-ont-finalement-ferme-leurs-frontieres
Earlier recorded access
Source 1: full
Source 2: indexed excerpt; full
Source 3: indexed excerpt</x:v>
      </x:c>
      <x:c r="P348" s="20" t="n">
        <x:v>1</x:v>
      </x:c>
      <x:c r="Q348" s="4" t="str">
        <x:v>West Africa and Sahel</x:v>
      </x:c>
      <x:c r="R348" s="4" t="str">
        <x:v>Included</x:v>
      </x:c>
    </x:row>
    <x:row r="349" ht="409" hidden="0" customHeight="1">
      <x:c r="A349" s="16" t="str">
        <x:v>W-031</x:v>
      </x:c>
      <x:c r="B349" s="4" t="str">
        <x:v>Gambia December 2016 presidential election closure</x:v>
      </x:c>
      <x:c r="C349" s="4" t="str">
        <x:v>Gambia; Senegal</x:v>
      </x:c>
      <x:c r="D349" s="4" t="str">
        <x:v>Not individually established
Land frontier with Senegal</x:v>
      </x:c>
      <x:c r="E349" s="4" t="str">
        <x:v>Not separately established
Direction: Not separately established
Exceptions: Not established</x:v>
      </x:c>
      <x:c r="F349" s="4" t="str">
        <x:v>W-031-FU1 — Reported closure observation
Gambia–Senegal election-period land-border closure; individual affected posts not established.
Reported observation: 2016-12-01. Reuters’ diplomatic-source account was not independently verified at the gates.
Later scoped access observation: 2017-01-21, a named returning Gambian journalist describes entering via the Karang area with a passport stamped by Gambian immigration.
Exact general reopening and a continuous operational interval are not established; numeric duration withheld.</x:v>
      </x:c>
      <x:c r="G349" s="4" t="str">
        <x:v>Electoral politics / Election administration and security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349" s="4" t="str">
        <x:v>W-031-FU1: The December 1 closure remains a reported observation, not an independently observed shutdown at every gate. The complete Reuters report was recovered in the December 2 Barbados Advocate, page 25; it explicitly says the diplomatic-source claim could not be independently verified.
Sheriff Bojang Jr’s first-person account dates his Karang-area return and Gambian immigration stamp to January 21, 2017 at about 10:00. The relevant passage was freshly inspected through indexed text after direct retrieval failed. VOA’s January 26 report says its reporter accompanied his Dakar-to-Banjul journey and corroborates the immigration interaction; it does not separately supply the exact January 21 date. This establishes later scoped civilian access, not first general reopening or uninterrupted December–January closure. May 2016 blockade reopening and telecommunications restoration do not date this election restriction’s end.</x:v>
      </x:c>
      <x:c r="I349" s="4" t="str">
        <x:v>Second full-register audit, 26 October 2026: additional source-audited corrections incorporated. See the phase, scope and qualification columns for the accepted findings.</x:v>
      </x:c>
      <x:c r="J349" s="18" t="d">
        <x:v>2026-10-26T00:00:00.000Z</x:v>
      </x:c>
      <x:c r="K349" s="21" t="str">
        <x:f>IFERROR(HYPERLINK("https://www.modernghana.com/news/740508/shock-defeat-for-gambias-jammeh-in-historic-presidential-po.html","ModernGhana / AFP"),"ModernGhana / AFP")</x:f>
        <x:v>ModernGhana / AFP</x:v>
      </x:c>
      <x:c r="L349" s="21" t="str">
        <x:f>IFERROR(HYPERLINK("https://jollofnews.gm/gambia-2016-internet-shut-down-as-voting-begins/","JollofNews"),"JollofNews")</x:f>
        <x:v>JollofNews</x:v>
      </x:c>
      <x:c r="M349" s="21" t="str">
        <x:f>IFERROR(HYPERLINK("https://www.voaafrique.com/a/la-gambie-et-le-senegal-rouvrent-leur-frontiere/3345531.html","voaafrique.com"),"voaafrique.com")</x:f>
        <x:v>voaafrique.com</x:v>
      </x:c>
      <x:c r="N349" s="4" t="str">
        <x:v>https://www.modernghana.com/news/740508/shock-defeat-for-gambias-jammeh-in-historic-presidential-po.html
https://jollofnews.gm/gambia-2016-internet-shut-down-as-voting-begins/
https://www.voaafrique.com/a/la-gambie-et-le-senegal-rouvrent-leur-frontiere/3345531.html
https://ufdcimages.uflib.ufl.edu/UF/00/09/89/64/04224/12-02-2016.pdf
https://www.modernghana.com/news/740508/shock-defeat-for-gambias-jammeh-in-historic-presi.html
https://www.digitaljournal.com/world/heavy-security-as-opposition-takes-banjul-in-gambia-vote/article/480895
https://thepeninsulaqatar.com/article/02/12/2016/Gambia%E2%80%99s-Jammeh-dealt-shock-election-loss-after-22-year-rule
https://jollofnews.gm/gambia-exile-ends-emotional-scars-deepen-sheriff-bojang-jr-shares-his-story/
https://www.voanews.com/a/journalist-returns-to-gamia-after-ten-years-away/3695020.html</x:v>
      </x:c>
      <x:c r="O349" s="4" t="str">
        <x:v>Second full-register audit source access, 26 October 2026
https://ufdcimages.uflib.ufl.edu/UF/00/09/89/64/04224/12-02-2016.pdf: full text (fresh retrieval) — Downloaded complete issue; relevant page 25 text inspected.
https://jollofnews.gm/gambia-exile-ends-emotional-scars-deepen-sheriff-bojang-jr-shares-his-story/: search extract (fresh retrieval) — Direct request failed; substantive indexed passage inspected.
https://www.voanews.com/a/journalist-returns-to-gamia-after-ten-years-away/3695020.html: full text (fresh retrieval) — Does not itself establish exact January 21 date.
Earlier URLs not separately inspected in this second assessment:
https://www.modernghana.com/news/740508/shock-defeat-for-gambias-jammeh-in-historic-presidential-po.html
https://jollofnews.gm/gambia-2016-internet-shut-down-as-voting-begins/
https://www.voaafrique.com/a/la-gambie-et-le-senegal-rouvrent-leur-frontiere/3345531.html
https://www.modernghana.com/news/740508/shock-defeat-for-gambias-jammeh-in-historic-presi.html
https://www.digitaljournal.com/world/heavy-security-as-opposition-takes-banjul-in-gambia-vote/article/480895
https://thepeninsulaqatar.com/article/02/12/2016/Gambia%E2%80%99s-Jammeh-dealt-shock-election-loss-after-22-year-rule
Prior audit access record
Full-register audit source access (evidence cutoff 25 October 2026)
https://ufdcimages.uflib.ufl.edu/UF/00/09/89/64/04224/12-02-2016.pdf: search extract — Full PDF exceeds tool limit; substantive indexed page text recovered.
https://thepeninsulaqatar.com/article/02/12/2016/Gambia%E2%80%99s-Jammeh-dealt-shock-election-loss-after-22-year-rule: search extract — Direct initial metadata/body recovered but later relevant-range retrieval returned 403.
https://jollofnews.gm/gambia-exile-ends-emotional-scars-deepen-sheriff-bojang-jr-shares-his-story/: search extract — Initial page establishes byline/date; relevant substantive passage indexed, later direct retrieval 503. No blanket reopening inferred.
https://www.voaafrique.com/a/la-gambie-et-le-senegal-rouvrent-leur-frontiere/3345531.html: full text
Earlier source URLs not separately listed in this audit’s retrieval log (historical access notes below are not fresh verification):
https://www.modernghana.com/news/740508/shock-defeat-for-gambias-jammeh-in-historic-presidential-po.html
https://jollofnews.gm/gambia-2016-internet-shut-down-as-voting-begins/
https://www.modernghana.com/news/740508/shock-defeat-for-gambias-jammeh-in-historic-presi.html
https://www.digitaljournal.com/world/heavy-security-as-opposition-takes-banjul-in-gambia-vote/article/480895
Earlier recorded access
Source 1: full page
Source 2: indexed excerpt; failed
Source 3: indexed excerpt</x:v>
      </x:c>
      <x:c r="P349" s="20" t="n">
        <x:v>1</x:v>
      </x:c>
      <x:c r="Q349" s="4" t="str">
        <x:v>West Africa and Sahel</x:v>
      </x:c>
      <x:c r="R349" s="4" t="str">
        <x:v>Included</x:v>
      </x:c>
    </x:row>
    <x:row r="350" ht="409" hidden="0" customHeight="1">
      <x:c r="A350" s="16" t="str">
        <x:v>W-032</x:v>
      </x:c>
      <x:c r="B350" s="4" t="str">
        <x:v>Benin COVID restriction of nonessential land crossings</x:v>
      </x:c>
      <x:c r="C350" s="4" t="str">
        <x:v>Benin; Nigeria; Niger; Burkina Faso; Togo</x:v>
      </x:c>
      <x:c r="D350" s="4" t="str">
        <x:v>Not individually established
Land entry and exit limited to strictly indispensable crossings; goods continued under customs account</x:v>
      </x:c>
      <x:c r="E350" s="4" t="str">
        <x:v>Nonessential land travellers; goods continued
Direction: Entry and exit expressly restricted
Exceptions: Strictly indispensable crossings in liaison with neighbouring authorities; goods including relief supplies continued</x:v>
      </x:c>
      <x:c r="F350" s="4" t="str">
        <x:v>W-032-D1 — Formal policy
Benin restriction of nonessential land entry and exit, with indispensable crossings and goods excepted
Start: 2020-03-17.
Last confirmed: 2020-04-30.
Exact first relaxation unknown. Ended by 2022-03-16, inferred from the cabinet’s replacement description of general land entry subject to testing and departures subject to destination-country rules. This is a policy-status bound, not an observed first gate reopening.
The later June 16, 2022 removal of COVID entry documents is a separate health-requirement relaxation. No exact continuous operational duration is established.</x:v>
      </x:c>
      <x:c r="G350" s="4" t="str">
        <x:v>Health and biosecurity / Human disease control
Officially stated reason
Applies to: The March 2020 restriction of nonessential crossings
Benin’s extraordinary cabinet adopted the measure to limit COVID-19 spread.</x:v>
      </x:c>
      <x:c r="H350" s="4" t="str">
        <x:v>March 17 selective restrictions and April 30 customs status are directly supported. The March 16, 2022 cabinet statement expressly describes land, air and sea entry subject to negative PCR or antigen tests, and exits subject to destination-country requirements. It no longer describes eligibility as limited to indispensable journeys. We therefore infer an earlier ended-by bound for the essential-only restriction from this general traveller regime. The statement does not explicitly name a repeal clause or identify the first ordinary passenger crossing.
June 16, 2022 removes later testing/document requirements; it should not prolong the earlier essential-travel closure interval. Neither observation proves continuous enforcement since March 2020. Cargo and indispensable-travel exceptions, and independent neighbouring-country restrictions, remain separate.</x:v>
      </x:c>
      <x:c r="I350" s="4" t="str">
        <x:v>Second full-register audit, 26 October 2026: additional source-audited corrections incorporated. See the phase, scope and qualification columns for the accepted findings.</x:v>
      </x:c>
      <x:c r="J350" s="18" t="d">
        <x:v>2026-10-26T00:00:00.000Z</x:v>
      </x:c>
      <x:c r="K350" s="21" t="str">
        <x:f>IFERROR(HYPERLINK("https://wiki.unece.org/pages/viewpage.action?navigatingVersions=true&amp;pageId=136446981","UNECE Observatory"),"UNECE Observatory")</x:f>
        <x:v>UNECE Observatory</x:v>
      </x:c>
      <x:c r="L350" s="21" t="str">
        <x:f>IFERROR(HYPERLINK("https://www.gouv.bj/article/556/coronavirus-les-11-mesures-prises-par-le-conseil-extraordinaire-des-ministres-au-benin/","Government of Benin"),"Government of Benin")</x:f>
        <x:v>Government of Benin</x:v>
      </x:c>
      <x:c r="M350" s="21" t="str">
        <x:f>IFERROR(HYPERLINK("https://www.gouv.bj/article/556/coronavirus-les-11/","gouv.bj"),"gouv.bj")</x:f>
        <x:v>gouv.bj</x:v>
      </x:c>
      <x:c r="N350" s="4" t="str">
        <x:v>https://wiki.unece.org/pages/viewpage.action?navigatingVersions=true&amp;pageId=136446981
https://www.gouv.bj/article/556/coronavirus-les-11-mesures-prises-par-le-conseil-extraordinaire-des-ministres-au-benin/
https://www.gouv.bj/article/556/coronavirus-les-11/
https://www.wcoomd.org/-/media/wco/public/global/pdf/topics/facilitation/activities-and-programmes/natural-disaster/covid_19/benin_en.pdf?la=en
https://sgg.gouv.bj/cm/2022-06-15/
https://sgg.gouv.bj/cm/2022-03-16/</x:v>
      </x:c>
      <x:c r="O350" s="4" t="str">
        <x:v>Second full-register audit source access, 26 October 2026
https://www.gouv.bj/article/556/coronavirus-les-11-mesures-prises-par-le-conseil-extraordinaire-des-ministres-au-benin/: full text (fresh retrieval)
https://www.wcoomd.org/-/media/wco/public/global/pdf/topics/facilitation/activities-and-programmes/natural-disaster/covid_19/benin_en.pdf?la=en: full text (fresh retrieval)
https://sgg.gouv.bj/cm/2022-03-16/: full text (fresh retrieval)
https://sgg.gouv.bj/cm/2022-06-15/: full text (fresh retrieval)
Earlier URLs not separately inspected in this second assessment:
https://wiki.unece.org/pages/viewpage.action?navigatingVersions=true&amp;pageId=136446981
https://www.gouv.bj/article/556/coronavirus-les-11/
Prior audit access record
Full-register audit source access (evidence cutoff 25 October 2026)
https://www.gouv.bj/article/556/coronavirus-les-11-mesures-prises-par-le-conseil-extraordinaire-des-ministres-au-benin/: full text — Limited to the stated claim and cohort.
https://www.wcoomd.org/-/media/wco/public/global/pdf/topics/facilitation/activities-and-programmes/natural-disaster/covid_19/benin_en.pdf?la=en: full text — Limited to the stated claim and cohort.
https://sgg.gouv.bj/cm/2022-06-15/: full text — Limited to the stated claim and cohort.
Earlier source URLs not separately listed in this audit’s retrieval log (historical access notes below are not fresh verification):
https://wiki.unece.org/pages/viewpage.action?navigatingVersions=true&amp;pageId=136446981
https://www.gouv.bj/article/556/coronavirus-les-11/
Earlier recorded access
Source 1: search extract
Source 2: full page
Source 3: access detail is retained in the source catalogue.</x:v>
      </x:c>
      <x:c r="P350" s="20" t="n">
        <x:v>1</x:v>
      </x:c>
      <x:c r="Q350" s="4" t="str">
        <x:v>West Africa and Sahel</x:v>
      </x:c>
      <x:c r="R350" s="4" t="str">
        <x:v>Included</x:v>
      </x:c>
    </x:row>
    <x:row r="351" ht="409" hidden="0" customHeight="1">
      <x:c r="A351" s="16" t="str">
        <x:v>R2-AM-001</x:v>
      </x:c>
      <x:c r="B351" s="4" t="str">
        <x:v>Colombia congressional-election frontier closure March 2018</x:v>
      </x:c>
      <x:c r="C351" s="4" t="str">
        <x:v>Colombia; Venezuela; Ecuador; Peru; Brazil</x:v>
      </x:c>
      <x:c r="D351" s="4" t="str">
        <x:v>Authorised land and river border-control posts</x:v>
      </x:c>
      <x:c r="E351" s="4" t="str">
        <x:v>People and passenger and freight vehicles at authorized land and river posts; observed Rumichaca effects included pedestrians, cars, buses and freight vehicles.
Direction: Entry and exit at the authorized posts; both directions expressly observed at Rumichaca.
Exceptions: Transit required by fortuitous events or force majeure.</x:v>
      </x:c>
      <x:c r="F351" s="4" t="str">
        <x:v>R2-AM-001-R1 — Announced window
Colombia authorized land and river border posts
Start: 2018-03-08.
Scheduled endpoint: 2018-03-11.
Ordered window: 3 calendar-day difference; actual end not established
R2-AM-001-C3 — Observed operation
Ordinary authorized passage of people and vehicles at the Rumichaca bridge between Ecuador and Colombia; both directions.
Start: 2018-03-08.
Observed scoped reopening: 2018-03-11.
3 calendar-day difference; scoped endpoint only
Clock-time detail: the national ordered window was 8 March 2018 at 18:00 to 11 March at 16:00 (70 hours). The Rumichaca reopening was observed at 16:03 on 11 March; the report describes about 70 hours of interruption.</x:v>
      </x:c>
      <x:c r="G351" s="4" t="str">
        <x:v>Electoral politics / Election administration and security
Reported reason
Applies to: The March 2018 election-related closure order
Authorities ordered the border restrictions to support the congressional election.
Security / Public order and immediate safety
Reported reason
Applies to: The same order
The decree frames the measures as preserving public order during the election.</x:v>
      </x:c>
      <x:c r="H351" s="4" t="str">
        <x:v>National dates remain an ordered window; newly observed Rumichaca reopening is represented only in its separately scoped operational phase.
R2-AM-001-R1: Scheduled window only; actual continuous enforcement and reopening are not established. Force-majeure exceptions apply.
R2-AM-001-C3: Local bridge interval only. The legal force-majeure exception remains; informal routes and other national posts are outside this interval. Calendar-date arithmetic must not be presented as precise elapsed hours.
national operational endpoint: Rumichaca observation does not establish reopening of all posts covered by the national order.</x:v>
      </x:c>
      <x:c r="I351" s="4" t="str">
        <x:v>Second full-register audit, 26 October 2026: additional source-audited corrections incorporated. See the phase, scope and qualification columns for the accepted findings.</x:v>
      </x:c>
      <x:c r="J351" s="18" t="d">
        <x:v>2026-10-26T00:00:00.000Z</x:v>
      </x:c>
      <x:c r="K351" s="21" t="str">
        <x:f>IFERROR(HYPERLINK("https://www.cancilleria.gov.co/en/sala-de-prensa/noticias/pasos-terrestres-y-fluviales-de-frontera-fueron-cerrados-partir-del-8-de-marzo-para-garantizar-el-normal-desarrollo-de-las-elecciones-de-congreso","Colombia Cancillería"),"Colombia Cancillería")</x:f>
        <x:v>Colombia Cancillería</x:v>
      </x:c>
      <x:c r="L351" s="21" t="str">
        <x:f>IFERROR(HYPERLINK("https://www.elcomercio.com/actualidad/ecuador/viajeros-apertura-frontera-colombia-rumichaca/","elcomercio.com"),"elcomercio.com")</x:f>
        <x:v>elcomercio.com</x:v>
      </x:c>
      <x:c r="M351" s="21" t="str">
        <x:f>IFERROR(HYPERLINK("https://caracol.com.co/emisora/2018/03/09/pasto/1520595908_172307.html","caracol.com.co"),"caracol.com.co")</x:f>
        <x:v>caracol.com.co</x:v>
      </x:c>
      <x:c r="N351" s="4" t="str">
        <x:v>https://www.cancilleria.gov.co/en/sala-de-prensa/noticias/pasos-terrestres-y-fluviales-de-frontera-fueron-cerrados-partir-del-8-de-marzo-para-garantizar-el-normal-desarrollo-de-las-elecciones-de-congreso
https://www.elcomercio.com/actualidad/ecuador/viajeros-apertura-frontera-colombia-rumichaca/
https://caracol.com.co/emisora/2018/03/09/pasto/1520595908_172307.html
https://www.eluniversal.com.co/colombia/2018/03/09/colombia-cierra-sus-fronteras-para-elecciones-legislativas-del-domingo/
https://cancilleria.gov.co/en/sala-de-prensa/noticias/pasos-terrestres-y-fluviales-de-frontera-fueron-cerrados-partir-del-8-de-marzo-para-garantizar-el-normal-desarrollo-de-las-elecciones-de-congreso
https://www1.funcionpublica.gov.co/eva/gestornormativo/norma.php?i=85599
https://www.elcomercio.com/actualidad/ecuador/cambistas-dinero-taxistas-tenderos-rumichaca/
https://www.funcionpublica.gov.co/eva/gestornormativo/norma.php?i=85599</x:v>
      </x:c>
      <x:c r="O351" s="4" t="str">
        <x:v>Second full-register audit source access, 26 October 2026
https://www.funcionpublica.gov.co/eva/gestornormativo/norma.php?i=85599: search extract (fresh retrieval) — Direct open timed out.
https://www.elcomercio.com/actualidad/ecuador/viajeros-apertura-frontera-colombia-rumichaca/: full text (fresh retrieval) — Rendered publication/update date is October 25, 2026; event date is explicitly 2018.
Earlier URLs not separately inspected in this second assessment:
https://www.cancilleria.gov.co/en/sala-de-prensa/noticias/pasos-terrestres-y-fluviales-de-frontera-fueron-cerrados-partir-del-8-de-marzo-para-garantizar-el-normal-desarrollo-de-las-elecciones-de-congreso
https://caracol.com.co/emisora/2018/03/09/pasto/1520595908_172307.html
https://www.eluniversal.com.co/colombia/2018/03/09/colombia-cierra-sus-fronteras-para-elecciones-legislativas-del-domingo/
https://cancilleria.gov.co/en/sala-de-prensa/noticias/pasos-terrestres-y-fluviales-de-frontera-fueron-cerrados-partir-del-8-de-marzo-para-garantizar-el-normal-desarrollo-de-las-elecciones-de-congreso
https://www1.funcionpublica.gov.co/eva/gestornormativo/norma.php?i=85599
https://www.elcomercio.com/actualidad/ecuador/cambistas-dinero-taxistas-tenderos-rumichaca/
Prior audit access record
Full-register audit source access (evidence cutoff 25 October 2026)
https://www.funcionpublica.gov.co/eva/gestornormativo/norma.php?i=85599: search extract — www1 URL failed; official www indexed text recovered.
https://www.elcomercio.com/actualidad/ecuador/viajeros-apertura-frontera-colombia-rumichaca/: full text — Page metadata says 2026; article body explicitly dates the event 2018 and indexed original publication is 12 March 2018.
Earlier source URLs not separately listed in this audit’s retrieval log (historical access notes below are not fresh verification):
https://www.cancilleria.gov.co/en/sala-de-prensa/noticias/pasos-terrestres-y-fluviales-de-frontera-fueron-cerrados-partir-del-8-de-marzo-para-garantizar-el-normal-desarrollo-de-las-elecciones-de-congreso
https://caracol.com.co/emisora/2018/03/09/pasto/1520595908_172307.html
https://www.eluniversal.com.co/colombia/2018/03/09/colombia-cierra-sus-fronteras-para-elecciones-legislativas-del-domingo/
https://cancilleria.gov.co/en/sala-de-prensa/noticias/pasos-terrestres-y-fluviales-de-frontera-fueron-cerrados-partir-del-8-de-marzo-para-garantizar-el-normal-desarrollo-de-las-elecciones-de-congreso
https://www1.funcionpublica.gov.co/eva/gestornormativo/norma.php?i=85599
https://www.elcomercio.com/actualidad/ecuador/cambistas-dinero-taxistas-tenderos-rumichaca/
Earlier recorded access
Source 1: indexed excerpt; failed
Source 2: access detail is retained in the source catalogue.
Source 3: access detail is retained in the source catalogue.</x:v>
      </x:c>
      <x:c r="P351" s="20" t="n">
        <x:v>2</x:v>
      </x:c>
      <x:c r="Q351" s="4" t="str">
        <x:v>Americas</x:v>
      </x:c>
      <x:c r="R351" s="4" t="str">
        <x:v>Included</x:v>
      </x:c>
    </x:row>
    <x:row r="352" ht="409" hidden="0" customHeight="1">
      <x:c r="A352" s="16" t="str">
        <x:v>R2-AM-002</x:v>
      </x:c>
      <x:c r="B352" s="4" t="str">
        <x:v>Colombia presidential-election frontier closure May 2018</x:v>
      </x:c>
      <x:c r="C352" s="4" t="str">
        <x:v>Colombia; Venezuela; Ecuador; Peru; Brazil</x:v>
      </x:c>
      <x:c r="D352" s="4" t="str">
        <x:v>Land and river posts; longer Venezuela phase</x:v>
      </x:c>
      <x:c r="E352" s="4" t="str">
        <x:v>See geographic and movement scope.
Direction: Not separately established.
Exceptions: Force-majeure transit.</x:v>
      </x:c>
      <x:c r="F352" s="4" t="str">
        <x:v>R2-AM-002-R1 — Announced window
Colombia–Venezuela authorized land and river posts
Start: 2018-05-24.
Scheduled endpoint: 2018-05-28.
Ordered window: 4 calendar-day difference; actual end not established
R2-AM-002-R2 — Announced window
Other Colombian authorized land and river frontiers, including Ecuador, Peru and Brazil
Start: 2018-05-26.
Scheduled endpoint: 2018-05-27.
Ordered window: 1 calendar-day difference; actual end not established
Clock-time detail: the Venezuela schedule ran from 24 May 2018 at 00:00 to 28 May at 00:00 (96 hours); the other frontiers from 26 May at 00:00 to 27 May at 16:00 (40 hours). These are ordered windows, not independently observed complete closures.</x:v>
      </x:c>
      <x:c r="G352" s="4" t="str">
        <x:v>Electoral politics / Election administration and security
Reported reason
Applies to: The presidential-election border order
The government ordered the restrictions in connection with the presidential election.
Security / Public order and immediate safety
Reported reason
Applies to: The same order
Decree 847 describes the measures as preserving public order for the election.</x:v>
      </x:c>
      <x:c r="H352" s="4" t="str">
        <x:v>R2-AM-002-R1: Scheduled 24 May 00:00 to 28 May 00:00 Colombian time (UTC−5); endpoint date exclusive. Force-majeure exceptions retained; no actual national reopening inferred.
R2-AM-002-R2: Scheduled 26 May 00:00 to 27 May 16:00 Colombian time (UTC−5); endpoint is a partial day and cannot be counted as a full closed day. Force-majeure exceptions retained; actual enforcement/reopening unverified.
continuity: May 2018 legal schedules distinguish Venezuela from other frontiers; targeted follow-up did not supply actual all-post reopening or uninterrupted implementation.</x:v>
      </x:c>
      <x:c r="I352" s="4" t="str">
        <x:v>Second full-register audit, 26 October 2026: additional source-audited corrections incorporated. See the phase, scope and qualification columns for the accepted findings.</x:v>
      </x:c>
      <x:c r="J352" s="18" t="d">
        <x:v>2026-10-26T00:00:00.000Z</x:v>
      </x:c>
      <x:c r="K352" s="21" t="str">
        <x:f>IFERROR(HYPERLINK("https://www.cancilleria.gov.co/sites/default/files/Normograma/docs/decreto_0847_2018.htm","Colombia Ministry of Foreign Affairs"),"Colombia Ministry of Foreign Affairs")</x:f>
        <x:v>Colombia Ministry of Foreign Affairs</x:v>
      </x:c>
      <x:c r="L352" s="21" t="str">
        <x:f>IFERROR(HYPERLINK("https://www.canalinstitucional.tv/noticias/colombia-cierra-sus-fronteras-por-elecciones-presidenciales","Canal Institucional"),"Canal Institucional")</x:f>
        <x:v>Canal Institucional</x:v>
      </x:c>
      <x:c r="M352" s="21" t="str">
        <x:f>IFERROR(HYPERLINK("https://www.minrel.gob.cl/minrel/cierre-de-pasos-terrestres-y-fluviales-por-elecciones-presidenciales-en","Chile Ministry of Foreign Affairs"),"Chile Ministry of Foreign Affairs")</x:f>
        <x:v>Chile Ministry of Foreign Affairs</x:v>
      </x:c>
      <x:c r="N352" s="4" t="str">
        <x:v>https://www.cancilleria.gov.co/sites/default/files/Normograma/docs/decreto_0847_2018.htm
https://www.canalinstitucional.tv/noticias/colombia-cierra-sus-fronteras-por-elecciones-presidenciales
https://www.minrel.gob.cl/minrel/cierre-de-pasos-terrestres-y-fluviales-por-elecciones-presidenciales-en
https://www.eltiempo.com/colombia/otras-ciudades/cierre-de-frontera-por-elecciones-presidenciales-en-colombia-220628
https://www.cancilleria.gov.co/normograma/compilacion/docs/decreto_0847_2018.htm</x:v>
      </x:c>
      <x:c r="O352" s="4" t="str">
        <x:v>Second full-register audit source access, 26 October 2026
https://www.cancilleria.gov.co/normograma/compilacion/docs/decreto_0847_2018.htm: search extract (fresh retrieval) — Direct opening returned 403; complete relevant indexed article inspected.
Earlier URLs not separately inspected in this second assessment:
https://www.cancilleria.gov.co/sites/default/files/Normograma/docs/decreto_0847_2018.htm
https://www.canalinstitucional.tv/noticias/colombia-cierra-sus-fronteras-por-elecciones-presidenciales
https://www.minrel.gob.cl/minrel/cierre-de-pasos-terrestres-y-fluviales-por-elecciones-presidenciales-en
https://www.eltiempo.com/colombia/otras-ciudades/cierre-de-frontera-por-elecciones-presidenciales-en-colombia-220628
Prior audit access record
Full-register audit source access (evidence cutoff 25 October 2026)
https://www.cancilleria.gov.co/normograma/compilacion/docs/decreto_0847_2018.htm: search extract — Old source URL returned 403; indexed successor text recovered.
https://www.minrel.gob.cl/minrel/cierre-de-pasos-terrestres-y-fluviales-por-elecciones-presidenciales-en: full text
Earlier source URLs not separately listed in this audit’s retrieval log (historical access notes below are not fresh verification):
https://www.cancilleria.gov.co/sites/default/files/Normograma/docs/decreto_0847_2018.htm
https://www.canalinstitucional.tv/noticias/colombia-cierra-sus-fronteras-por-elecciones-presidenciales
https://www.eltiempo.com/colombia/otras-ciudades/cierre-de-frontera-por-elecciones-presidenciales-en-colombia-220628
Earlier recorded access
Source 1: full
Source 2: indexed excerpt
Source 3: indexed excerpt</x:v>
      </x:c>
      <x:c r="P352" s="20" t="n">
        <x:v>2</x:v>
      </x:c>
      <x:c r="Q352" s="4" t="str">
        <x:v>Americas</x:v>
      </x:c>
      <x:c r="R352" s="4" t="str">
        <x:v>Included</x:v>
      </x:c>
    </x:row>
    <x:row r="353" ht="409" hidden="0" customHeight="1">
      <x:c r="A353" s="16" t="str">
        <x:v>R2-AM-003</x:v>
      </x:c>
      <x:c r="B353" s="4" t="str">
        <x:v>Colombia presidential-runoff frontier closure June 2018</x:v>
      </x:c>
      <x:c r="C353" s="4" t="str">
        <x:v>Colombia; Venezuela; Ecuador; Peru; Brazil</x:v>
      </x:c>
      <x:c r="D353" s="4" t="str">
        <x:v>Land and river posts; longer Venezuela phase</x:v>
      </x:c>
      <x:c r="E353" s="4" t="str">
        <x:v>Nationals and foreigners at specified migration posts.
Direction: Not separately established.
Exceptions: Force-majeure transit.</x:v>
      </x:c>
      <x:c r="F353" s="4" t="str">
        <x:v>R2-AM-003-R1 — Announced window
Colombia–Venezuela authorized land and river posts
Start: 2018-06-14.
Scheduled endpoint: 2018-06-18.
Ordered window: 4 calendar-day difference; actual end not established
R2-AM-003-R2 — Announced window
Other Colombian authorized land and river frontiers, including Ecuador, Peru and Brazil
Start: 2018-06-16.
Scheduled endpoint: 2018-06-17.
Ordered window: 1 calendar-day difference; actual end not established
Clock-time detail: the Venezuela schedule ran from 14 June 2018 at 00:00 to 18 June at 00:00 (96 hours); the other frontiers from 16 June at 00:00 to 17 June at 16:00 (40 hours). These are ordered windows, not independently observed complete closures.</x:v>
      </x:c>
      <x:c r="G353" s="4" t="str">
        <x:v>Electoral politics / Election administration and security
Reported reason
Applies to: The presidential-election border order
The government ordered the restrictions in connection with the presidential election.
Security / Public order and immediate safety
Reported reason
Applies to: The same order
Decree 847 describes the measures as preserving public order for the election.</x:v>
      </x:c>
      <x:c r="H353" s="4" t="str">
        <x:v>R2-AM-003-R1: Scheduled window only; actual continuous enforcement and reopening are not established. Force-majeure exceptions apply.
R2-AM-003-R2: Scheduled window only; actual continuous enforcement and reopening are not established. Force-majeure exceptions apply.
continuity: June 2018 legal schedules and the migration announcement describe planned two-stage implementation; completed all-post resumption remains unverified.</x:v>
      </x:c>
      <x:c r="I353" s="4" t="str">
        <x:v>Second full-register audit, 26 October 2026: additional source-audited corrections incorporated. See the phase, scope and qualification columns for the accepted findings.</x:v>
      </x:c>
      <x:c r="J353" s="18" t="d">
        <x:v>2026-10-26T00:00:00.000Z</x:v>
      </x:c>
      <x:c r="K353" s="21" t="str">
        <x:f>IFERROR(HYPERLINK("https://www.cancilleria.gov.co/sites/default/files/Normograma/docs/decreto_0847_2018.htm","Colombia Foreign Ministry"),"Colombia Foreign Ministry")</x:f>
        <x:v>Colombia Foreign Ministry</x:v>
      </x:c>
      <x:c r="L353" s="21" t="str">
        <x:f>IFERROR(HYPERLINK("https://www.bancaynegocios.com/frontera-colombo-venezolana-cerrara-por-elecciones-presidenciales/","Banca y Negocios"),"Banca y Negocios")</x:f>
        <x:v>Banca y Negocios</x:v>
      </x:c>
      <x:c r="M353" s="21" t="str">
        <x:f>IFERROR(HYPERLINK("https://caracol.com.co/noticias/actualidad/desde-el-jueves-habra-cierre-de-fronteras-con-venezuela/20180612/nota/3761048.aspx","Caracol Radio"),"Caracol Radio")</x:f>
        <x:v>Caracol Radio</x:v>
      </x:c>
      <x:c r="N353" s="4" t="str">
        <x:v>https://www.cancilleria.gov.co/sites/default/files/Normograma/docs/decreto_0847_2018.htm
https://www.bancaynegocios.com/frontera-colombo-venezolana-cerrara-por-elecciones-presidenciales/
https://caracol.com.co/noticias/actualidad/desde-el-jueves-habra-cierre-de-fronteras-con-venezuela/20180612/nota/3761048.aspx
https://www.elcomercio.com/actualidad/mundo/colombia-cerrara-fronteras-venezuela-elecciones/
https://www.elcomercio.com/actualidad/ecuador/frontera-ecuador-colombia-eleccionespresidenciales-cierre/
https://www.cancilleria.gov.co/normograma/compilacion/docs/decreto_0847_2018.htm
https://www.minrel.gob.cl/minrel/cierre-de-pasos-terrestres-y-fluviales-por-elecciones-presidenciales-en</x:v>
      </x:c>
      <x:c r="O353" s="4" t="str">
        <x:v>Second full-register audit source access, 26 October 2026
https://www.cancilleria.gov.co/normograma/compilacion/docs/decreto_0847_2018.htm: search extract (fresh retrieval) — Direct opening returned 403; complete relevant indexed article inspected.
Earlier URLs not separately inspected in this second assessment:
https://www.cancilleria.gov.co/sites/default/files/Normograma/docs/decreto_0847_2018.htm
https://www.bancaynegocios.com/frontera-colombo-venezolana-cerrara-por-elecciones-presidenciales/
https://caracol.com.co/noticias/actualidad/desde-el-jueves-habra-cierre-de-fronteras-con-venezuela/20180612/nota/3761048.aspx
https://www.elcomercio.com/actualidad/mundo/colombia-cerrara-fronteras-venezuela-elecciones/
https://www.elcomercio.com/actualidad/ecuador/frontera-ecuador-colombia-eleccionespresidenciales-cierre/
https://www.minrel.gob.cl/minrel/cierre-de-pasos-terrestres-y-fluviales-por-elecciones-presidenciales-en
Prior audit access record
Full-register audit source access (evidence cutoff 25 October 2026)
https://www.cancilleria.gov.co/normograma/compilacion/docs/decreto_0847_2018.htm: search extract — Old source URL returned 403; indexed successor text recovered.
https://www.minrel.gob.cl/minrel/cierre-de-pasos-terrestres-y-fluviales-por-elecciones-presidenciales-en: full text
Earlier source URLs not separately listed in this audit’s retrieval log (historical access notes below are not fresh verification):
https://www.cancilleria.gov.co/sites/default/files/Normograma/docs/decreto_0847_2018.htm
https://www.bancaynegocios.com/frontera-colombo-venezolana-cerrara-por-elecciones-presidenciales/
https://caracol.com.co/noticias/actualidad/desde-el-jueves-habra-cierre-de-fronteras-con-venezuela/20180612/nota/3761048.aspx
https://www.elcomercio.com/actualidad/mundo/colombia-cerrara-fronteras-venezuela-elecciones/
https://www.elcomercio.com/actualidad/ecuador/frontera-ecuador-colombia-eleccionespresidenciales-cierre/
Earlier recorded access
Source 1: full
Source 2: full
Source 3: indexed excerpt</x:v>
      </x:c>
      <x:c r="P353" s="20" t="n">
        <x:v>2</x:v>
      </x:c>
      <x:c r="Q353" s="4" t="str">
        <x:v>Americas</x:v>
      </x:c>
      <x:c r="R353" s="4" t="str">
        <x:v>Included</x:v>
      </x:c>
    </x:row>
    <x:row r="354" ht="409" hidden="0" customHeight="1">
      <x:c r="A354" s="16" t="str">
        <x:v>R2-AM-006</x:v>
      </x:c>
      <x:c r="B354" s="4" t="str">
        <x:v>Brazil Pacaraima judicial suspension of Venezuelan migrant entry August 2018</x:v>
      </x:c>
      <x:c r="C354" s="4" t="str">
        <x:v>Brazil; Venezuela</x:v>
      </x:c>
      <x:c r="D354" s="4" t="str">
        <x:v>Pacaraima–Santa Elena de Uairén
Pacaraima crossing on Brazilian side</x:v>
      </x:c>
      <x:c r="E354" s="4" t="str">
        <x:v>Venezuelan migrants seeking formal admission to Brazil; no demonstrated general goods prohibition.
Direction: Venezuelan migrants entering Brazil.
Exceptions: AFP explicitly reports Brazilians and other nationalities continued normally; Venezuelan departures permitted. Goods treatment not established.</x:v>
      </x:c>
      <x:c r="F354" s="4" t="str">
        <x:v>R2-AM-006-D1 — Observed operation
Formal admission of Venezuelan migrants entering Brazil at Pacaraima; no demonstrated general goods prohibition.
Start: 2018-08-06, reported by AFP at 17:00.
Observed scoped reopening: 2018-08-07 in the morning; Agência Brasil reports implementation around 10:00.
Under 24 hours despite the one-calendar-day date difference.</x:v>
      </x:c>
      <x:c r="G354" s="4" t="str">
        <x:v>Migration / Entry and asylum control
Reported reason
Applies to: The judicial suspension of Venezuelan migrant admission
The federal judge linked admission to relocation of more Venezuelan migrants elsewhere in Brazil and humanitarian reception capacity in Roraima. Federal police implemented the admission restriction and lifted it following the appellate decision.</x:v>
      </x:c>
      <x:c r="H354" s="4" t="str">
        <x:v>R2-AM-006-D1: Temporary suspension of formal Venezuelan migrant admission, not a general border or goods closure. AFP reports onset on the afternoon of 6 August; PF confirms lifting the measures on the morning of 7 August after a TRF1 decision. Agência Brasil reports implementation around 10:00 on 7 August. This overnight episode was under 24 hours despite its one-calendar-day date difference; precise elapsed hours differ between reports. Other nationalities and Venezuelan departures were exempt. UNHCR's field team reported unfinished immigration procedures without pushbacks, while its attribution of the legal reversal to the Supreme Court conflicts with PF's TRF1 account. The separate Supreme Court rejection of a state closure request must not be conflated with this appellate reversal.</x:v>
      </x:c>
      <x:c r="I354" s="4" t="str">
        <x:v>Second full-register audit, 26 October 2026: additional source-audited corrections incorporated. See the phase, scope and qualification columns for the accepted findings.</x:v>
      </x:c>
      <x:c r="J354" s="18" t="d">
        <x:v>2026-10-26T00:00:00.000Z</x:v>
      </x:c>
      <x:c r="K354" s="21" t="str">
        <x:f>IFERROR(HYPERLINK("https://noticias.uol.com.br/ultimas-noticias/agencia-brasil/2018/08/07/fronteira-com-a-venezuela-e-reaberta.htm","UOL"),"UOL")</x:f>
        <x:v>UOL</x:v>
      </x:c>
      <x:c r="L354" s="21" t="str">
        <x:f>IFERROR(HYPERLINK("https://www1.folha.uol.com.br/mundo/2018/08/apos-15-horas-fechada-fronteira-com-a-venezuela-e-reaberta-em-roraima.shtml","Folha de S.Paulo"),"Folha de S.Paulo")</x:f>
        <x:v>Folha de S.Paulo</x:v>
      </x:c>
      <x:c r="M354" s="21" t="str">
        <x:f>IFERROR(HYPERLINK("https://www.cliquef5.com.br/geral/policia-federal/nota-a-imprensa-acesso-de-venezuelanos/154846","Cliquef5"),"Cliquef5")</x:f>
        <x:v>Cliquef5</x:v>
      </x:c>
      <x:c r="N354" s="4" t="str">
        <x:v>https://noticias.uol.com.br/ultimas-noticias/agencia-brasil/2018/08/07/fronteira-com-a-venezuela-e-reaberta.htm
https://www1.folha.uol.com.br/mundo/2018/08/apos-15-horas-fechada-fronteira-com-a-venezuela-e-reaberta-em-roraima.shtml
https://www.cliquef5.com.br/geral/policia-federal/nota-a-imprensa-acesso-de-venezuelanos/154846
https://trf1.jus.br/trf1/noticias/?id=8875
https://noticias.uol.com.br/ultimas-noticias/afp/2018/08/06/entrada-por-terra-de-venezuelanos-ao-brasil-e-suspensa.htm
https://www.unhcr.org/news/briefing-notes/unhcr-welcomes-reopening-brazil-venezuela-border-after-brief-closure
https://www.unhcr.org/africa/news/briefing/2018/8/5b695a654/unhcr-welcomes-reopening-brazil-venezuela-border-brief-closure.html</x:v>
      </x:c>
      <x:c r="O354" s="4" t="str">
        <x:v>Second full-register audit source access, 26 October 2026
https://noticias.uol.com.br/ultimas-noticias/afp/2018/08/06/entrada-por-terra-de-venezuelanos-ao-brasil-e-suspensa.htm: full text (fresh retrieval)
https://www.cliquef5.com.br/geral/policia-federal/nota-a-imprensa-acesso-de-venezuelanos/154846: full text (fresh retrieval)
https://noticias.uol.com.br/ultimas-noticias/agencia-brasil/2018/08/07/fronteira-com-a-venezuela-e-reaberta.htm: full text (fresh retrieval)
https://www.unhcr.org/news/briefing-notes/unhcr-welcomes-reopening-brazil-venezuela-border-after-brief-closure: search extract (fresh retrieval) — Direct opening returned 429.
Earlier URLs not separately inspected in this second assessment:
https://www1.folha.uol.com.br/mundo/2018/08/apos-15-horas-fechada-fronteira-com-a-venezuela-e-reaberta-em-roraima.shtml
https://trf1.jus.br/trf1/noticias/?id=8875
https://www.unhcr.org/africa/news/briefing/2018/8/5b695a654/unhcr-welcomes-reopening-brazil-venezuela-border-brief-closure.html
Prior audit access record
Full-register audit source access (evidence cutoff 25 October 2026)
https://noticias.uol.com.br/ultimas-noticias/afp/2018/08/06/entrada-por-terra-de-venezuelanos-ao-brasil-e-suspensa.htm: search extract
https://www.cliquef5.com.br/geral/policia-federal/nota-a-imprensa-acesso-de-venezuelanos/154846: full text
https://noticias.uol.com.br/ultimas-noticias/agencia-brasil/2018/08/07/fronteira-com-a-venezuela-e-reaberta.htm: full text
https://www.unhcr.org/news/briefing-notes/unhcr-welcomes-reopening-brazil-venezuela-border-after-brief-closure: search extract — Direct 429; Supreme Court attribution conflicts with PF/TRF1 account.
https://trf1.jus.br/trf1/noticias/?id=8875: inaccessible — Only navigation retrieved.
Earlier source URLs not separately listed in this audit’s retrieval log (historical access notes below are not fresh verification):
https://www1.folha.uol.com.br/mundo/2018/08/apos-15-horas-fechada-fronteira-com-a-venezuela-e-reaberta-em-roraima.shtml
https://www.unhcr.org/africa/news/briefing/2018/8/5b695a654/unhcr-welcomes-reopening-brazil-venezuela-border-brief-closure.html
Earlier recorded access
Source 1: full relevant page text
Source 2: full relevant page text
Source 3: full relevant article body opened</x:v>
      </x:c>
      <x:c r="P354" s="20" t="n">
        <x:v>1</x:v>
      </x:c>
      <x:c r="Q354" s="4" t="str">
        <x:v>Americas</x:v>
      </x:c>
      <x:c r="R354" s="4" t="str">
        <x:v>Included</x:v>
      </x:c>
    </x:row>
    <x:row r="355" ht="306" hidden="0" customHeight="1">
      <x:c r="A355" s="16" t="str">
        <x:v>R2-AM-007</x:v>
      </x:c>
      <x:c r="B355" s="4" t="str">
        <x:v>San Ysidro emergency security-hardening suspension November 19 2018</x:v>
      </x:c>
      <x:c r="C355" s="4" t="str">
        <x:v>United States; Mexico</x:v>
      </x:c>
      <x:c r="D355" s="4" t="str">
        <x:v>San Ysidro vehicle lanes; PedEast
San Ysidro northbound vehicles and PedEast northbound pedestrians</x:v>
      </x:c>
      <x:c r="E355" s="4" t="str">
        <x:v>See geographic and movement scope.
Direction: Northbound into United States.
Exceptions: PedWest and southbound vehicle lanes were unaffected.</x:v>
      </x:c>
      <x:c r="F355" s="4" t="str">
        <x:v>R2-AM-007-D1 — Observed operation
San Ysidro northbound vehicles and PedEast northbound pedestrians on November 19, 2018.
Start: 2018-11-19, about 03:15 local time.
Observed scoped reopening: 2018-11-19, approximately 06:25 local time, for PedEast and vehicle lanes 6–11, 13–18 and 20–23.
About 3 hours 10 minutes to partial restoration; vehicle lanes 1–5, 12, 19 and 24–26 remained closed.</x:v>
      </x:c>
      <x:c r="G355" s="4" t="str">
        <x:v>Migration / Entry and asylum control
Reported reason
Applies to: The November 19 emergency suspension
CBP said it was preparing to prevent unlawful group entry following reports of a possible caravan attempt.
Security / Public order and immediate safety
Reported reason
Applies to: The same suspension
Operations paused to install barriers and concertina wire safely. CBP explicitly said no attempted rush materialized after its response.</x:v>
      </x:c>
      <x:c r="H355" s="4" t="str">
        <x:v>R2-AM-007-D1: The approximately 03:15–06:25 initial suspension lasted less than 24 hours. PedEast and selected vehicle lanes resumed processing, while ten vehicle lanes remained closed. Their first reopening is not established; no full-facility reopening or continuous link to later incidents is inferred. PedWest and southbound vehicle lanes were unaffected. This was emergency security hardening, not ordinary construction.</x:v>
      </x:c>
      <x:c r="I355" s="4" t="str">
        <x:v>Second full-register audit, 26 October 2026: additional source-audited corrections incorporated. See the phase, scope and qualification columns for the accepted findings.</x:v>
      </x:c>
      <x:c r="J355" s="18" t="d">
        <x:v>2026-10-26T00:00:00.000Z</x:v>
      </x:c>
      <x:c r="K355" s="21" t="str">
        <x:f>IFERROR(HYPERLINK("https://www.aila.org/aila-files/C8477BFB-EDF9-429A-BA3E-A1517DD8CF5E/18111934.pdf","US Customs and Border Protection / AILA"),"US Customs and Border Protection / AILA")</x:f>
        <x:v>US Customs and Border Protection / AILA</x:v>
      </x:c>
      <x:c r="L355" s="21" t="str">
        <x:f>IFERROR(HYPERLINK("https://timesofsandiego.com/crime/2018/11/19/cbp-officials-temporarily-close-traffic-lanes-at-san-ysidro-port-of-entry/","Times of San Diego / City News Service"),"Times of San Diego / City News Service")</x:f>
        <x:v>Times of San Diego / City News Service</x:v>
      </x:c>
      <x:c r="M355" s="21" t="str">
        <x:f>IFERROR(HYPERLINK("https://www.flickr.com/photos/cbpphotos/44140791610","flickr.com"),"flickr.com")</x:f>
        <x:v>flickr.com</x:v>
      </x:c>
      <x:c r="N355" s="4" t="str">
        <x:v>https://www.aila.org/aila-files/C8477BFB-EDF9-429A-BA3E-A1517DD8CF5E/18111934.pdf
https://timesofsandiego.com/crime/2018/11/19/cbp-officials-temporarily-close-traffic-lanes-at-san-ysidro-port-of-entry/
https://www.flickr.com/photos/cbpphotos/44140791610</x:v>
      </x:c>
      <x:c r="O355" s="4" t="str">
        <x:v>Second full-register audit source access, 26 October 2026
https://www.aila.org/aila-files/C8477BFB-EDF9-429A-BA3E-A1517DD8CF5E/18111934.pdf: full text (fresh retrieval)
Earlier URLs not separately inspected in this second assessment:
https://timesofsandiego.com/crime/2018/11/19/cbp-officials-temporarily-close-traffic-lanes-at-san-ysidro-port-of-entry/
https://www.flickr.com/photos/cbpphotos/44140791610
Prior audit access record
Full-register audit source access (evidence cutoff 25 October 2026)
https://www.aila.org/aila-files/C8477BFB-EDF9-429A-BA3E-A1517DD8CF5E/18111934.pdf: full text
https://timesofsandiego.com/crime/2018/11/19/cbp-officials-temporarily-close-traffic-lanes-at-san-ysidro-port-of-entry/: full text — City News Service relays CBP; not independent official origin.
Earlier source URLs not separately listed in this audit’s retrieval log (historical access notes below are not fresh verification):
https://www.flickr.com/photos/cbpphotos/44140791610
Earlier recorded access
Source 1: full text
Source 2: full text
Source 3: access detail is retained in the source catalogue.</x:v>
      </x:c>
      <x:c r="P355" s="20" t="n">
        <x:v>1</x:v>
      </x:c>
      <x:c r="Q355" s="4" t="str">
        <x:v>Americas</x:v>
      </x:c>
      <x:c r="R355" s="4" t="str">
        <x:v>Included</x:v>
      </x:c>
    </x:row>
    <x:row r="356" ht="186" hidden="0" customHeight="1">
      <x:c r="A356" s="16" t="str">
        <x:v>R2-AM-008</x:v>
      </x:c>
      <x:c r="B356" s="4" t="str">
        <x:v>San Ysidro closure during migrant confrontation November 25 2018</x:v>
      </x:c>
      <x:c r="C356" s="4" t="str">
        <x:v>United States; Mexico</x:v>
      </x:c>
      <x:c r="D356" s="4" t="str">
        <x:v>San Ysidro / El Chaparral
San Ysidro pedestrian and vehicle crossing</x:v>
      </x:c>
      <x:c r="E356" s="4" t="str">
        <x:v>See geographic and movement scope.
Direction: Northbound and southbound.
Exceptions: Otay Mesa remained open.</x:v>
      </x:c>
      <x:c r="F356" s="4" t="str">
        <x:v>R2-AM-008-D1 — Observed operation
San Ysidro November 25, 2018 incident, excluding five lanes already closed for earlier hardening.
Start: 2018-11-25, reported at 11:30 local time.
Observed scoped reopening: pedestrians in both directions at 15:45; southbound vehicles at 17:00 and northbound vehicles minutes later, all on 2018-11-25.
Same-day interruption under 24 hours; reopening was staggered by mode.</x:v>
      </x:c>
      <x:c r="G356" s="4" t="str">
        <x:v>Migration / Entry and asylum control
Attributed official justification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Attributed official justification
Applies to: Recorded episode; exact overlap not separately established
The recorded rationale and claim assessment support the selected subcategories. All applicable broad categories are retained together; no primary rationale is imposed.</x:v>
      </x:c>
      <x:c r="H356" s="4" t="str">
        <x:v>R2-AM-008-D1: Shown as an episode occurring on this date, not a whole-day closure. Reopening covers lanes stopped in this incident, not five lanes already closed for earlier hardening.</x:v>
      </x:c>
      <x:c r="I356" s="4" t="str">
        <x:v>Second full-register audit, 26 October 2026: additional source-audited corrections incorporated. See the phase, scope and qualification columns for the accepted findings.</x:v>
      </x:c>
      <x:c r="J356" s="18" t="d">
        <x:v>2026-10-26T00:00:00.000Z</x:v>
      </x:c>
      <x:c r="K356" s="21" t="str">
        <x:f>IFERROR(HYPERLINK("https://www.kpbs.org/news/border-immigration/2018/11/25/officials-close-san-ysidro-border-crossing-amid-ca","KPBS"),"KPBS")</x:f>
        <x:v>KPBS</x:v>
      </x:c>
      <x:c r="L356" s="21" t="str">
        <x:f>IFERROR(HYPERLINK("https://laprensa.org/tijuana-border-crossers-stranded-san-ysidro","laprensa.org"),"laprensa.org")</x:f>
        <x:v>laprensa.org</x:v>
      </x:c>
      <x:c r="M356" s="21"/>
      <x:c r="N356" s="4" t="str">
        <x:v>https://www.kpbs.org/news/border-immigration/2018/11/25/officials-close-san-ysidro-border-crossing-amid-ca
https://laprensa.org/tijuana-border-crossers-stranded-san-ysidro</x:v>
      </x:c>
      <x:c r="O356" s="4" t="str">
        <x:v>Second full-register audit source access, 26 October 2026
https://www.kpbs.org/news/border-immigration/2018/11/25/officials-close-san-ysidro-border-crossing-amid-ca: full text (fresh retrieval)
https://laprensa.org/tijuana-border-crossers-stranded-san-ysidro: full text (fresh retrieval)
Prior audit access record
Full-register audit source access (evidence cutoff 25 October 2026)
https://www.kpbs.org/news/border-immigration/2018/11/25/officials-close-san-ysidro-border-crossing-amid-ca: full text
https://laprensa.org/tijuana-border-crossers-stranded-san-ysidro: full text
Earlier recorded access
Source 1: full relevant page text
Source 2: access detail is retained in the source catalogue.</x:v>
      </x:c>
      <x:c r="P356" s="20" t="n">
        <x:v>1</x:v>
      </x:c>
      <x:c r="Q356" s="4" t="str">
        <x:v>Americas</x:v>
      </x:c>
      <x:c r="R356" s="4" t="str">
        <x:v>Included</x:v>
      </x:c>
    </x:row>
    <x:row r="357" ht="390" hidden="0" customHeight="1">
      <x:c r="A357" s="16" t="str">
        <x:v>R2-AM-004</x:v>
      </x:c>
      <x:c r="B357" s="4" t="str">
        <x:v>Colombia regional-election international-river closure October 2019</x:v>
      </x:c>
      <x:c r="C357" s="4" t="str">
        <x:v>Colombia; Venezuela; Ecuador; Peru; Brazil</x:v>
      </x:c>
      <x:c r="D357" s="4" t="str">
        <x:v>International river transit controlled by Arauca, Puerto Inírida, Puerto Carreño, Puerto Leguízamo and Leticia port captaincies</x:v>
      </x:c>
      <x:c r="E357" s="4" t="str">
        <x:v>Colombian-flag and foreign-flag vessels requiring departure permits.
Direction: Boat departures requiring Colombian port authorization; the source does not establish every direction of incoming traffic.
Exceptions: DIMAR says fortuitous or humanitarian departures require authorization from the relevant captaincy. The underlying Decree 1916 also exempts already-authorized international customs transit whose legal transit deadlines require crossing; this is not an exemption for all freight.</x:v>
      </x:c>
      <x:c r="F357" s="4" t="str">
        <x:v>R2-AM-004-R1 — Announced window
Venezuela river frontier under Arauca, Puerto Inírida and Puerto Carreño captaincies
Start: 2019-10-24.
Scheduled endpoint: 2019-10-27.
Ordered window: 3 calendar-day difference; actual end not established
R2-AM-004-R2 — Announced window
River frontiers under Puerto Leguízamo and Leticia captaincies: Peru, Ecuador and Brazil
Start: 2019-10-26.
Scheduled endpoint: 2019-10-27.
Ordered window: 1 calendar-day difference; actual end not established
Clock-time detail: the Venezuela river-frontier schedule was 24 October 2019 at 00:00 to 27 October at 16:00 (88 hours); the other named river-frontier schedule was 26 October at 00:00 to 27 October at 16:00 (40 hours). These concern vessel departures requiring Colombian authorization.</x:v>
      </x:c>
      <x:c r="G357"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357" s="4" t="str">
        <x:v>R2-AM-004-R1 and R2: These are ordered river-departure authorization windows. DIMAR names fortuitous or humanitarian departures subject to captaincy authorization; the underlying decree also contains a limited authorized international customs-transit exception. Actual implementation of individual exceptions and restart at all affected river ports are not established. Do not expand these river phases to land crossings or treat scheduled expiry as independently observed reopening.</x:v>
      </x:c>
      <x:c r="I357" s="4" t="str">
        <x:v>Second full-register audit, 26 October 2026: additional source-audited corrections incorporated. See the phase, scope and qualification columns for the accepted findings.</x:v>
      </x:c>
      <x:c r="J357" s="18" t="d">
        <x:v>2026-10-26T00:00:00.000Z</x:v>
      </x:c>
      <x:c r="K357" s="21" t="str">
        <x:f>IFERROR(HYPERLINK("https://www.dimar.mil.co/restriccion-zarpes-fluvial-en-las-fronteras-colombianas-por-elecciones-regionales","Dirección General Marítima, Colombia"),"Dirección General Marítima, Colombia")</x:f>
        <x:v>Dirección General Marítima, Colombia</x:v>
      </x:c>
      <x:c r="L357" s="21" t="str">
        <x:f>IFERROR(HYPERLINK("https://www.elheraldo.co/colombia/2019/10/22/en-video-gobierno-anuncia-cierre-de-fronteras-durante-la-jornada-electoral-de-este-domingo-674540/","El Heraldo"),"El Heraldo")</x:f>
        <x:v>El Heraldo</x:v>
      </x:c>
      <x:c r="M357" s="21" t="str">
        <x:f>IFERROR(HYPERLINK("https://sidn.ramajudicial.gov.co/Legislacion/BusquedaExtendidaFuenteNormativa?NumeroResultados=100&amp;page=21","Rama Judicial, Colombia"),"Rama Judicial, Colombia")</x:f>
        <x:v>Rama Judicial, Colombia</x:v>
      </x:c>
      <x:c r="N357" s="4" t="str">
        <x:v>https://www.dimar.mil.co/restriccion-zarpes-fluvial-en-las-fronteras-colombianas-por-elecciones-regionales
https://www.elheraldo.co/colombia/2019/10/22/en-video-gobierno-anuncia-cierre-de-fronteras-durante-la-jornada-electoral-de-este-domingo-674540/
https://sidn.ramajudicial.gov.co/Legislacion/BusquedaExtendidaFuenteNormativa?NumeroResultados=100&amp;page=21
https://sidn.ramajudicial.gov.co/SIDN/NORMATIVA/TEXTOS_COMPLETOS/5_DECRETOS/DECRETOS%202019/Decreto%201916%20de%202019%20%28Adopta%20medidas%20para%20la%20conservaci%C3%B3n%20del%20orden%20p%C3%BAblico%20para%20las%20elecciones%202019%29.pdf</x:v>
      </x:c>
      <x:c r="O357" s="4" t="str">
        <x:v>Second full-register audit source access, 26 October 2026
https://www.dimar.mil.co/restriccion-zarpes-fluvial-en-las-fronteras-colombianas-por-elecciones-regionales: full text (fresh retrieval)
https://sidn.ramajudicial.gov.co/SIDN/NORMATIVA/TEXTOS_COMPLETOS/5_DECRETOS/DECRETOS%202019/Decreto%201916%20de%202019%20%28Adopta%20medidas%20para%20la%20conservaci%C3%B3n%20del%20orden%20p%C3%BAblico%20para%20las%20elecciones%202019%29.pdf: search extract (fresh retrieval) — Direct PDF opening returned 403; relevant indexed decree text inspected.
Earlier URLs not separately inspected in this second assessment:
https://www.elheraldo.co/colombia/2019/10/22/en-video-gobierno-anuncia-cierre-de-fronteras-durante-la-jornada-electoral-de-este-domingo-674540/
https://sidn.ramajudicial.gov.co/Legislacion/BusquedaExtendidaFuenteNormativa?NumeroResultados=100&amp;page=21
Prior audit access record
Full-register audit source access (evidence cutoff 25 October 2026)
https://www.dimar.mil.co/restriccion-zarpes-fluvial-en-las-fronteras-colombianas-por-elecciones-regionales: full text
Earlier source URLs not separately listed in this audit’s retrieval log (historical access notes below are not fresh verification):
https://www.elheraldo.co/colombia/2019/10/22/en-video-gobierno-anuncia-cierre-de-fronteras-durante-la-jornada-electoral-de-este-domingo-674540/
https://sidn.ramajudicial.gov.co/Legislacion/BusquedaExtendidaFuenteNormativa?NumeroResultados=100&amp;page=21
Earlier recorded access
Source 1: full; full text
Source 2: indexed excerpt
Source 3: partial metadata</x:v>
      </x:c>
      <x:c r="P357" s="20" t="n">
        <x:v>2</x:v>
      </x:c>
      <x:c r="Q357" s="4" t="str">
        <x:v>Americas</x:v>
      </x:c>
      <x:c r="R357" s="4" t="str">
        <x:v>Included</x:v>
      </x:c>
    </x:row>
    <x:row r="358" ht="409" hidden="0" customHeight="1">
      <x:c r="A358" s="16" t="str">
        <x:v>R2-AM-005</x:v>
      </x:c>
      <x:c r="B358" s="4" t="str">
        <x:v>Colombia pre-national-strike land and river closure November 2019</x:v>
      </x:c>
      <x:c r="C358" s="4" t="str">
        <x:v>Colombia; Venezuela; Ecuador; Peru; Brazil</x:v>
      </x:c>
      <x:c r="D358" s="4" t="str">
        <x:v>12 named land and river migration-control posts</x:v>
      </x:c>
      <x:c r="E358" s="4" t="str">
        <x:v>See geographic and movement scope.
Direction: Not separately established.
Exceptions: Fortuitous circumstances or force-majeure transit.</x:v>
      </x:c>
      <x:c r="F358" s="4" t="str">
        <x:v>R2-AM-005-R1 — Announced window
Twelve listed Colombian migration posts with Venezuela, Brazil, Peru and Ecuador
Start: 2019-11-20.
Scheduled endpoint: 2019-11-22.
Ordered window: 2 calendar-day difference; actual end not established
Clock-time detail: the ordered window was 20 November 2019 at 00:00 to 22 November at 05:00 (53 hours). Radio Ipiales reported the Rumichaca closure from 20 November in its 21 November account; the actual reopening was not established.</x:v>
      </x:c>
      <x:c r="G358" s="4" t="str">
        <x:v>Security / Public order and immediate safety
Reported reason
Applies to: The November 2019 twelve-post restriction
Migración Colombia said the closure was intended to support orderly demonstrations during the November 21 national strike and peaceful participation by foreign nationals.</x:v>
      </x:c>
      <x:c r="H358" s="4" t="str">
        <x:v>R2-AM-005-R1: Ordered 53-hour window: November 20 00:00 to November 22 05:00 local time. Actual uninterrupted enforcement and physical reopening are unverified. Fortuitous/force-majeure transit exempt; both terrestrial and fluvial posts are included.
continuity: November 2019 reporting includes a local closure observation but the national reopening remains prospective; no uninterrupted countrywide spell is verified.</x:v>
      </x:c>
      <x:c r="I358" s="4" t="str">
        <x:v>Second full-register audit, 26 October 2026: additional source-audited corrections incorporated. See the phase, scope and qualification columns for the accepted findings.</x:v>
      </x:c>
      <x:c r="J358" s="18" t="d">
        <x:v>2026-10-26T00:00:00.000Z</x:v>
      </x:c>
      <x:c r="K358" s="21" t="str">
        <x:f>IFERROR(HYPERLINK("https://www.elpais.com.co/amp/colombia/ordenan-cierre-de-fronteras-de-por-paro-nacional-del-21-de-noviembre.html","El País Cali"),"El País Cali")</x:f>
        <x:v>El País Cali</x:v>
      </x:c>
      <x:c r="L358" s="21" t="str">
        <x:f>IFERROR(HYPERLINK("https://www.elcomercio.com/actualidad/mundo/colombia-cierre-frontera-paro-protestas/","El Comercio"),"El Comercio")</x:f>
        <x:v>El Comercio</x:v>
      </x:c>
      <x:c r="M358" s="21" t="str">
        <x:f>IFERROR(HYPERLINK("https://www.aa.com.tr/es/mundo/colombia-cierra-todas-sus-fronteras-por-movilizaciones-del-21-de-noviembre/1650331","Anadolu"),"Anadolu")</x:f>
        <x:v>Anadolu</x:v>
      </x:c>
      <x:c r="N358" s="4" t="str">
        <x:v>https://www.elpais.com.co/amp/colombia/ordenan-cierre-de-fronteras-de-por-paro-nacional-del-21-de-noviembre.html
https://www.elcomercio.com/actualidad/mundo/colombia-cierre-frontera-paro-protestas/
https://www.aa.com.tr/es/mundo/colombia-cierra-todas-sus-fronteras-por-movilizaciones-del-21-de-noviembre/1650331
https://www.eluniverso.com/noticias/2019/11/19/nota/7611629/colombia-rumichaca-ecuador-protestas-marchas-21-noviembre/
https://www.radioipiales.co/2019/11/comercio-afectado-por-cierre-fronterizo/</x:v>
      </x:c>
      <x:c r="O358" s="4" t="str">
        <x:v>Second full-register audit source access, 26 October 2026
https://www.elpais.com.co/amp/colombia/ordenan-cierre-de-fronteras-de-por-paro-nacional-del-21-de-noviembre.html: full text (fresh retrieval)
https://www.radioipiales.co/2019/11/comercio-afectado-por-cierre-fronterizo/: full text (fresh retrieval)
Earlier URLs not separately inspected in this second assessment:
https://www.elcomercio.com/actualidad/mundo/colombia-cierre-frontera-paro-protestas/
https://www.aa.com.tr/es/mundo/colombia-cierra-todas-sus-fronteras-por-movilizaciones-del-21-de-noviembre/1650331
https://www.eluniverso.com/noticias/2019/11/19/nota/7611629/colombia-rumichaca-ecuador-protestas-marchas-21-noviembre/
Prior audit access record
Full-register audit source access (evidence cutoff 25 October 2026)
https://www.elpais.com.co/amp/colombia/ordenan-cierre-de-fronteras-de-por-paro-nacional-del-21-de-noviembre.html: full text
https://www.radioipiales.co/2019/11/comercio-afectado-por-cierre-fronterizo/: full text
Earlier source URLs not separately listed in this audit’s retrieval log (historical access notes below are not fresh verification):
https://www.elcomercio.com/actualidad/mundo/colombia-cierre-frontera-paro-protestas/
https://www.aa.com.tr/es/mundo/colombia-cierra-todas-sus-fronteras-por-movilizaciones-del-21-de-noviembre/1650331
https://www.eluniverso.com/noticias/2019/11/19/nota/7611629/colombia-rumichaca-ecuador-protestas-marchas-21-noviembre/
Earlier recorded access
Source 1: full
Source 2: indexed excerpt
Source 3: full relevant page text</x:v>
      </x:c>
      <x:c r="P358" s="20" t="n">
        <x:v>1</x:v>
      </x:c>
      <x:c r="Q358" s="4" t="str">
        <x:v>Americas</x:v>
      </x:c>
      <x:c r="R358" s="4" t="str">
        <x:v>Included</x:v>
      </x:c>
    </x:row>
    <x:row r="359" ht="409" hidden="0" customHeight="1">
      <x:c r="A359" s="16" t="str">
        <x:v>R2-AM-009</x:v>
      </x:c>
      <x:c r="B359" s="4" t="str">
        <x:v>PedWest pandemic facility closure persisting beyond national entry ban</x:v>
      </x:c>
      <x:c r="C359" s="4" t="str">
        <x:v>United States; Mexico</x:v>
      </x:c>
      <x:c r="D359" s="4" t="str">
        <x:v>PedWest
PedWest local pedestrian facility within San Ysidro</x:v>
      </x:c>
      <x:c r="E359" s="4" t="str">
        <x:v>See geographic and movement scope.
Direction: Closure at facility; endpoint specifically northbound into United States.
Exceptions: PedEast remained available. PedWest briefly processed Ukrainian refugees in 2022; ordinary northbound service resumed 9 January 2023 at 06:00–14:00, without full southbound or 24-hour restoration.</x:v>
      </x:c>
      <x:c r="F359" s="4" t="str">
        <x:v>R2-AM-009-D1 — Observed operation
Ordinary northbound pedestrian service at PedWest only
Start: 2020-04-05.
Observed scoped reopening: 2023-01-09.
1009 calendar-day difference; scoped endpoint only</x:v>
      </x:c>
      <x:c r="G35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59" s="4" t="str">
        <x:v>R2-AM-009-D1: Contemporary reporting dates the suspension to 5 April 2020. Brief Ukrainian-refugee processing in 2022 is excluded from the ordinary-service scope; PedEast remained available. Endpoint restores limited northbound 06:00–14:00 service, not all-category, southbound or 24-hour service. The initial pandemic-related closure persisted after national nonessential-entry restrictions ended; this does not establish one unchanged rationale throughout.</x:v>
      </x:c>
      <x:c r="I359" s="4" t="str">
        <x:v>Second full-register audit, 26 October 2026: qualified. The ordinary-service scope correctly explains why limited Ukrainian-refugee processing did not end this interval. April 5, 2020 and January 9, 2023 remain supported.</x:v>
      </x:c>
      <x:c r="J359" s="18" t="d">
        <x:v>2026-10-26T00:00:00.000Z</x:v>
      </x:c>
      <x:c r="K359" s="21" t="str">
        <x:f>IFERROR(HYPERLINK("https://www.kpbs.org/news/border-immigration/2024/10/18/partial-closure-of-pedwest-crossing-still-hurting-cross-border-economy","KPBS"),"KPBS")</x:f>
        <x:v>KPBS</x:v>
      </x:c>
      <x:c r="L359" s="21" t="str">
        <x:f>IFERROR(HYPERLINK("https://www.10news.com/news/local-news/pedwest-border-crossing-in-san-ysidro-set-to-reopen-after-nearly-3-year-closure","10News KGTV"),"10News KGTV")</x:f>
        <x:v>10News KGTV</x:v>
      </x:c>
      <x:c r="M359" s="21" t="str">
        <x:f>IFERROR(HYPERLINK("https://www.kpbs.org/news/border-immigration/2023/01/09/pedwest-opens-to-the-delight-of-cross-border-commuters","KPBS"),"KPBS")</x:f>
        <x:v>KPBS</x:v>
      </x:c>
      <x:c r="N359" s="4" t="str">
        <x:v>https://www.kpbs.org/news/border-immigration/2024/10/18/partial-closure-of-pedwest-crossing-still-hurting-cross-border-economy
https://www.10news.com/news/local-news/pedwest-border-crossing-in-san-ysidro-set-to-reopen-after-nearly-3-year-closure
https://www.kpbs.org/news/border-immigration/2023/01/09/pedwest-opens-to-the-delight-of-cross-border-commuters
https://www.10news.com/news/local-news/pedwest-border-crossing-at-san-ysidro-port-of-entry-reopens
https://www.govserv.org/US/San-Diego/1800964173470951/PedWest-Border-Crossing
https://travel.stackexchange.com/questions/159536/is-the-san-ysidro-pedwest-crossing-closed/159544
https://www.cbp.gov/newsroom/local-media-release/san-diego-cbp-officials-are-announcing-changes-hours-operations-select
https://www.sandiegouniontribune.com/news/border-baja-california/story/2020-04-04/pedwest-crossing-temporarily-closed-as-part-of-changes-at-the-california-mexico-border
https://voiceofsandiego.org/2020/05/07/essential-workers-are-waiting-hours-to-cross-the-border/</x:v>
      </x:c>
      <x:c r="O359" s="4" t="str">
        <x:v>Second full-register audit source access, 26 October 2026
https://voiceofsandiego.org/2020/05/07/essential-workers-are-waiting-hours-to-cross-the-border/: full text (fresh retrieval)
https://www.kpbs.org/news/border-immigration/2023/01/09/pedwest-opens-to-the-delight-of-cross-border-commuters: full text (fresh retrieval)
https://www.10news.com/news/local-news/pedwest-border-crossing-at-san-ysidro-port-of-entry-reopens: full text (fresh retrieval)
Earlier URLs not separately inspected in this second assessment:
https://www.kpbs.org/news/border-immigration/2024/10/18/partial-closure-of-pedwest-crossing-still-hurting-cross-border-economy
https://www.10news.com/news/local-news/pedwest-border-crossing-in-san-ysidro-set-to-reopen-after-nearly-3-year-closure
https://www.govserv.org/US/San-Diego/1800964173470951/PedWest-Border-Crossing
https://travel.stackexchange.com/questions/159536/is-the-san-ysidro-pedwest-crossing-closed/159544
https://www.cbp.gov/newsroom/local-media-release/san-diego-cbp-officials-are-announcing-changes-hours-operations-select
https://www.sandiegouniontribune.com/news/border-baja-california/story/2020-04-04/pedwest-crossing-temporarily-closed-as-part-of-changes-at-the-california-mexico-border
Prior audit access record
Full-register audit source access (evidence cutoff 25 October 2026)
https://voiceofsandiego.org/2020/05/07/essential-workers-are-waiting-hours-to-cross-the-border/: full text
https://www.kpbs.org/news/border-immigration/2023/01/09/pedwest-opens-to-the-delight-of-cross-border-commuters: full text
https://www.10news.com/news/local-news/pedwest-border-crossing-at-san-ysidro-port-of-entry-reopens: full text
https://www.kpbs.org/news/border-immigration/2024/10/18/partial-closure-of-pedwest-crossing-still-hurting-cross-border-economy: full text
Earlier source URLs not separately listed in this audit’s retrieval log (historical access notes below are not fresh verification):
https://www.10news.com/news/local-news/pedwest-border-crossing-in-san-ysidro-set-to-reopen-after-nearly-3-year-closure
https://www.govserv.org/US/San-Diego/1800964173470951/PedWest-Border-Crossing
https://travel.stackexchange.com/questions/159536/is-the-san-ysidro-pedwest-crossing-closed/159544
https://www.cbp.gov/newsroom/local-media-release/san-diego-cbp-officials-are-announcing-changes-hours-operations-select
https://www.sandiegouniontribune.com/news/border-baja-california/story/2020-04-04/pedwest-crossing-temporarily-closed-as-part-of-changes-at-the-california-mexico-border
Earlier recorded access
Source 1: full article returned in search extraction
Source 2: full article returned in search extraction
Source 3: full text</x:v>
      </x:c>
      <x:c r="P359" s="20" t="n">
        <x:v>1</x:v>
      </x:c>
      <x:c r="Q359" s="4" t="str">
        <x:v>Americas</x:v>
      </x:c>
      <x:c r="R359" s="4" t="str">
        <x:v>Included</x:v>
      </x:c>
    </x:row>
    <x:row r="360" ht="409" hidden="0" customHeight="1">
      <x:c r="A360" s="16" t="str">
        <x:v>R2-AM-010</x:v>
      </x:c>
      <x:c r="B360" s="4" t="str">
        <x:v>PedWest migrant-processing redeployment closure September 2023</x:v>
      </x:c>
      <x:c r="C360" s="4" t="str">
        <x:v>United States; Mexico</x:v>
      </x:c>
      <x:c r="D360" s="4" t="str">
        <x:v>PedWest
PedWest northbound pedestrian service</x:v>
      </x:c>
      <x:c r="E360" s="4" t="str">
        <x:v>See geographic and movement scope.
Direction: Northbound into United States; southbound was already not operating.
Exceptions: PedEast and Otay Mesa services remained available. CBP One appointment processing at PedWest was explicitly unaffected by the suspension.</x:v>
      </x:c>
      <x:c r="F360" s="4" t="str">
        <x:v>R2-AM-010-D1 — Observed operation
Ordinary northbound pedestrian service at PedWest, excluding CBP One appointments
Start: 2023-09-14; CBP announced suspension effective at 06:00 local time.
Observed scoped reopening: 2023-11-16, restoring northbound service during 06:00–14:00 daily.
63 calendar-day difference; scoped endpoint only</x:v>
      </x:c>
      <x:c r="G360" s="4" t="str">
        <x:v>Migration / Processing capacity
Reported reason
Applies to: Recorded episode; exact overlap not separately established
The recorded rationale and claim assessment support the selected subcategories. All applicable broad categories are retained together; no primary rationale is imposed.</x:v>
      </x:c>
      <x:c r="H360" s="4" t="str">
        <x:v>R2-AM-010-D1: CBP One appointment processing continued and PedEast/Otay Mesa were alternatives. Southbound was already closed and remained so; endpoint is limited northbound service. Reopening text/caption, not the video itself, was inspected.</x:v>
      </x:c>
      <x:c r="I360" s="4" t="str">
        <x:v>Second full-register audit, 26 October 2026: additional source-audited corrections incorporated. See the phase, scope and qualification columns for the accepted findings.</x:v>
      </x:c>
      <x:c r="J360" s="18" t="d">
        <x:v>2026-10-26T00:00:00.000Z</x:v>
      </x:c>
      <x:c r="K360" s="21" t="str">
        <x:f>IFERROR(HYPERLINK("https://www.kpbs.org/news/border-immigration/2023/09/14/decision-to-close-pedwest-will-do-more-damage-to-cross-border-economy-experts-say","KPBS"),"KPBS")</x:f>
        <x:v>KPBS</x:v>
      </x:c>
      <x:c r="L360" s="21" t="str">
        <x:f>IFERROR(HYPERLINK("https://www.uniradioinforma.com/gobierno/cbp-suspende-temporalmente-operaciones-cruce-peatonal-ped-west-n695259","Uniradio Informa / CBP"),"Uniradio Informa / CBP")</x:f>
        <x:v>Uniradio Informa / CBP</x:v>
      </x:c>
      <x:c r="M360" s="21" t="str">
        <x:f>IFERROR(HYPERLINK("https://www.nmas.com.mx/baja-california/sociedad/tijuana-reabren-cruce-pedwest/","N+"),"N+")</x:f>
        <x:v>N+</x:v>
      </x:c>
      <x:c r="N360" s="4" t="str">
        <x:v>https://www.kpbs.org/news/border-immigration/2023/09/14/decision-to-close-pedwest-will-do-more-damage-to-cross-border-economy-experts-say
https://www.uniradioinforma.com/gobierno/cbp-suspende-temporalmente-operaciones-cruce-peatonal-ped-west-n695259
https://www.nmas.com.mx/baja-california/sociedad/tijuana-reabren-cruce-pedwest/
https://www.shorenewsnetwork.com/cbp-to-resume-limited-operations-at-san-ysidro-port-of-entrys-pedestrian-west-facility/
https://jornadabc.com.mx/region/reabren-el-cruce-peatonal-pedwest-despues-de-dos-meses-de-cierre/</x:v>
      </x:c>
      <x:c r="O360" s="4" t="str">
        <x:v>Second full-register audit source access, 26 October 2026
https://www.uniradioinforma.com/gobierno/cbp-suspende-temporalmente-operaciones-cruce-peatonal-ped-west-n695259: full text (fresh retrieval)
https://jornadabc.com.mx/region/reabren-el-cruce-peatonal-pedwest-despues-de-dos-meses-de-cierre/: full text (fresh retrieval)
Earlier URLs not separately inspected in this second assessment:
https://www.kpbs.org/news/border-immigration/2023/09/14/decision-to-close-pedwest-will-do-more-damage-to-cross-border-economy-experts-say
https://www.nmas.com.mx/baja-california/sociedad/tijuana-reabren-cruce-pedwest/
https://www.shorenewsnetwork.com/cbp-to-resume-limited-operations-at-san-ysidro-port-of-entrys-pedestrian-west-facility/
Prior audit access record
Full-register audit source access (evidence cutoff 25 October 2026)
https://www.uniradioinforma.com/gobierno/cbp-suspende-temporalmente-operaciones-cruce-peatonal-ped-west-n695259: full text
https://www.kpbs.org/news/border-immigration/2023/09/14/decision-to-close-pedwest-will-do-more-damage-to-cross-border-economy-experts-say: full text
https://jornadabc.com.mx/region/reabren-el-cruce-peatonal-pedwest-despues-de-dos-meses-de-cierre/: full text
Earlier source URLs not separately listed in this audit’s retrieval log (historical access notes below are not fresh verification):
https://www.nmas.com.mx/baja-california/sociedad/tijuana-reabren-cruce-pedwest/
https://www.shorenewsnetwork.com/cbp-to-resume-limited-operations-at-san-ysidro-port-of-entrys-pedestrian-west-facility/
Earlier recorded access
Source 1: full text
Source 2: full text
Source 3: full page text/caption; video not inspected</x:v>
      </x:c>
      <x:c r="P360" s="20" t="n">
        <x:v>1</x:v>
      </x:c>
      <x:c r="Q360" s="4" t="str">
        <x:v>Americas</x:v>
      </x:c>
      <x:c r="R360" s="4" t="str">
        <x:v>Included</x:v>
      </x:c>
    </x:row>
    <x:row r="361" ht="409" hidden="0" customHeight="1">
      <x:c r="A361" s="16" t="str">
        <x:v>R2-AM-012</x:v>
      </x:c>
      <x:c r="B361" s="4" t="str">
        <x:v>Eagle Pass Bridge I vehicle suspension September 2023</x:v>
      </x:c>
      <x:c r="C361" s="4" t="str">
        <x:v>United States; Mexico</x:v>
      </x:c>
      <x:c r="D361" s="4" t="str">
        <x:v>Eagle Pass International Bridge I
Vehicle processing at Eagle Pass Bridge I</x:v>
      </x:c>
      <x:c r="E361" s="4" t="str">
        <x:v>CBP motor-vehicle processing at Eagle Pass International Bridge I.
Direction: Northbound entry into the United States is explicitly supported by the contemporary operational memo; a matching southbound suspension is not established.
Exceptions and alternatives: Pedestrian passage and Bridge II remained available. Railway processing was a separately timed suspension.</x:v>
      </x:c>
      <x:c r="F361" s="4" t="str">
        <x:v>R2-AM-012-R1 — Observed operation
CBP motor-vehicle processing at Eagle Pass International Bridge I
Start: 2023-09-20 in the afternoon.
Observed scoped reopening: 2023-10-16 at 07:00 local time.
26 calendar-day difference; scoped endpoint only</x:v>
      </x:c>
      <x:c r="G361" s="4" t="str">
        <x:v>Migration / Processing capacity
Reported reason
Applies to: Recorded episode; exact overlap not separately established
The recorded rationale and claim assessment support the selected subcategories. All applicable broad categories are retained together; no primary rationale is imposed.</x:v>
      </x:c>
      <x:c r="H361" s="4" t="str">
        <x:v>R2-AM-012-R1: Suspension began September 20 afternoon; completed opening October 16 at 07:00. Pedestrians, railway and Bridge II excluded; no claim all Eagle Pass crossings closed.</x:v>
      </x:c>
      <x:c r="I361" s="4" t="str">
        <x:v>Second full-register audit, 26 October 2026: additional source-audited corrections incorporated. See the phase, scope and qualification columns for the accepted findings.</x:v>
      </x:c>
      <x:c r="J361" s="18" t="d">
        <x:v>2026-10-26T00:00:00.000Z</x:v>
      </x:c>
      <x:c r="K361" s="21" t="str">
        <x:f>IFERROR(HYPERLINK("https://content.govdelivery.com/accounts/USDHSCBP/bulletins/37187cd","US Customs and Border Protection"),"US Customs and Border Protection")</x:f>
        <x:v>US Customs and Border Protection</x:v>
      </x:c>
      <x:c r="L361" s="21" t="str">
        <x:f>IFERROR(HYPERLINK("https://www.eltiempomx.com/noticia/2023/jefe-del-cbp-da-la-bienvenida-a-usuarios-del-puente-internacional-i.html","El Tiempo de Piedras Negras"),"El Tiempo de Piedras Negras")</x:f>
        <x:v>El Tiempo de Piedras Negras</x:v>
      </x:c>
      <x:c r="M361" s="21" t="str">
        <x:f>IFERROR(HYPERLINK("https://mexico-now.com/eagle-pass-bridge-system-succeeds-in-collaborating-with-cbp-to-reopen-bridge-1-in-eagle-pass/","MexicoNow"),"MexicoNow")</x:f>
        <x:v>MexicoNow</x:v>
      </x:c>
      <x:c r="N361" s="4" t="str">
        <x:v>https://content.govdelivery.com/accounts/USDHSCBP/bulletins/37187cd
https://www.eltiempomx.com/noticia/2023/jefe-del-cbp-da-la-bienvenida-a-usuarios-del-puente-internacional-i.html
https://mexico-now.com/eagle-pass-bridge-system-succeeds-in-collaborating-with-cbp-to-reopen-bridge-1-in-eagle-pass/
https://www.kgns.tv/2023/10/16/cbp-resume-vehicle-processing-bridge-one-eagle-pass/
https://www.tyt.com.mx/nota/vuelve-a-la-normalidad-cruce-vehicular-en-puente-eagle-pass
https://mexico-now.com/piedras-negras-eagle-pass-crossing-reopened-after-five-weeks/
https://www.carmnet.com/special-memo-to-clients-issue-23-019-september-21-2023/</x:v>
      </x:c>
      <x:c r="O361" s="4" t="str">
        <x:v>Second full-register audit source access, 26 October 2026
https://content.govdelivery.com/accounts/USDHSCBP/bulletins/37187cd: full text (fresh retrieval)
https://www.eltiempomx.com/noticia/2023/jefe-del-cbp-da-la-bienvenida-a-usuarios-del-puente-internacional-i.html: full text (fresh retrieval)
https://www.carmnet.com/special-memo-to-clients-issue-23-019-september-21-2023/: full text (fresh retrieval) — Secondary operational summary; not a complete southbound history.
Earlier URLs not separately inspected in this second assessment:
https://mexico-now.com/eagle-pass-bridge-system-succeeds-in-collaborating-with-cbp-to-reopen-bridge-1-in-eagle-pass/
https://www.kgns.tv/2023/10/16/cbp-resume-vehicle-processing-bridge-one-eagle-pass/
https://www.tyt.com.mx/nota/vuelve-a-la-normalidad-cruce-vehicular-en-puente-eagle-pass
https://mexico-now.com/piedras-negras-eagle-pass-crossing-reopened-after-five-weeks/
Prior audit access record
Full-register audit source access (evidence cutoff 25 October 2026)
https://content.govdelivery.com/accounts/USDHSCBP/bulletins/37187cd: full text
https://www.eltiempomx.com/noticia/2023/jefe-del-cbp-da-la-bienvenida-a-usuarios-del-puente-internacional-i.html: full text
https://www.carmnet.com/special-memo-to-clients-issue-23-019-september-21-2023/: full text — Secondary operational summary cannot establish all direction-specific gate histories.
Earlier source URLs not separately listed in this audit’s retrieval log (historical access notes below are not fresh verification):
https://mexico-now.com/eagle-pass-bridge-system-succeeds-in-collaborating-with-cbp-to-reopen-bridge-1-in-eagle-pass/
https://www.kgns.tv/2023/10/16/cbp-resume-vehicle-processing-bridge-one-eagle-pass/
https://www.tyt.com.mx/nota/vuelve-a-la-normalidad-cruce-vehicular-en-puente-eagle-pass
https://mexico-now.com/piedras-negras-eagle-pass-crossing-reopened-after-five-weeks/
Earlier recorded access
Source 1: full; full text
Source 2: full; full text
Source 3: full; indexed excerpt</x:v>
      </x:c>
      <x:c r="P361" s="20" t="n">
        <x:v>1</x:v>
      </x:c>
      <x:c r="Q361" s="4" t="str">
        <x:v>Americas</x:v>
      </x:c>
      <x:c r="R361" s="4" t="str">
        <x:v>Included</x:v>
      </x:c>
    </x:row>
    <x:row r="362" ht="402" hidden="0" customHeight="1">
      <x:c r="A362" s="16" t="str">
        <x:v>R2-AM-013</x:v>
      </x:c>
      <x:c r="B362" s="4" t="str">
        <x:v>Eagle Pass international railway suspension September 2023</x:v>
      </x:c>
      <x:c r="C362" s="4" t="str">
        <x:v>United States; Mexico</x:v>
      </x:c>
      <x:c r="D362" s="4" t="str">
        <x:v>Eagle Pass international railway bridge
Eagle Pass international railway interchange</x:v>
      </x:c>
      <x:c r="E362" s="4" t="str">
        <x:v>International rail freight.
Direction: Northbound and southbound rail traffic was affected; Union Pacific reported trains held on both sides of the border. Its five other international gateways remained open.</x:v>
      </x:c>
      <x:c r="F362" s="4" t="str">
        <x:v>R2-AM-013-D1 — Observed operation
Eagle Pass international railway interchange; northbound and southbound international rail freight.
Start: 2023-09-20 in the afternoon.
Observed scoped reopening: 2023-09-23 at 00:00, according to Union Pacific.
3 calendar-day difference, not 72 exact closed hours; carrier network embargo dates remain separate.</x:v>
      </x:c>
      <x:c r="G362" s="4" t="str">
        <x:v>Migration / Processing capacity
Reported reason
Applies to: Recorded episode; exact overlap not separately established
The recorded rationale and claim assessment support the selected subcategories. All applicable broad categories are retained together; no primary rationale is imposed.</x:v>
      </x:c>
      <x:c r="H362" s="4" t="str">
        <x:v>R2-AM-013-D1: Carrier network embargoes before September 20 or lifted later are not substituted for this crossing’s closure dates.</x:v>
      </x:c>
      <x:c r="I362" s="4" t="str">
        <x:v>Second full-register audit, 26 October 2026: additional source-audited corrections incorporated. See the phase, scope and qualification columns for the accepted findings.</x:v>
      </x:c>
      <x:c r="J362" s="18" t="d">
        <x:v>2026-10-26T00:00:00.000Z</x:v>
      </x:c>
      <x:c r="K362" s="21" t="str">
        <x:f>IFERROR(HYPERLINK("https://content.govdelivery.com/accounts/USDHSCBP/bulletins/37187cd","U.S. Customs and Border Protection"),"U.S. Customs and Border Protection")</x:f>
        <x:v>U.S. Customs and Border Protection</x:v>
      </x:c>
      <x:c r="L362" s="21" t="str">
        <x:f>IFERROR(HYPERLINK("https://www.up.com/customers/announcements/customernews/allcustomernews/CN2023-57.html","Union Pacific"),"Union Pacific")</x:f>
        <x:v>Union Pacific</x:v>
      </x:c>
      <x:c r="M362" s="21" t="str">
        <x:f>IFERROR(HYPERLINK("https://www.up.com/news/people/southern-border-humanitarian-it-230922","up.com"),"up.com")</x:f>
        <x:v>up.com</x:v>
      </x:c>
      <x:c r="N362" s="4" t="str">
        <x:v>https://content.govdelivery.com/accounts/USDHSCBP/bulletins/37187cd
https://www.up.com/customers/announcements/customernews/allcustomernews/CN2023-57.html
https://www.up.com/news/people/southern-border-humanitarian-it-230922
https://www.bnsf.com/news-media/customer-notifications/notification.page?notId=embargo-affecting-ferromex-interchanges-at-eagle-pass-and-el-paso-cancelled</x:v>
      </x:c>
      <x:c r="O362" s="4" t="str">
        <x:v>Second full-register audit source access, 26 October 2026
https://content.govdelivery.com/accounts/USDHSCBP/bulletins/37187cd: full text (fresh retrieval)
https://www.up.com/customers/announcements/customernews/allcustomernews/CN2023-57.html: full text (fresh retrieval)
https://www.up.com/news/people/southern-border-humanitarian-it-230922: full text (fresh retrieval) — Page includes later update; contemporary September 23 customer bulletin anchors the endpoint.
Earlier URLs not separately inspected in this second assessment:
https://www.bnsf.com/news-media/customer-notifications/notification.page?notId=embargo-affecting-ferromex-interchanges-at-eagle-pass-and-el-paso-cancelled
Prior audit access record
Full-register audit source access (evidence cutoff 25 October 2026)
https://content.govdelivery.com/accounts/USDHSCBP/bulletins/37187cd: full text
https://www.up.com/customers/announcements/customernews/allcustomernews/CN2023-57.html: full text
https://www.up.com/news/people/southern-border-humanitarian-it-230922: full text — September 22 dated page includes later reopening update.
Earlier source URLs not separately listed in this audit’s retrieval log (historical access notes below are not fresh verification):
https://www.bnsf.com/news-media/customer-notifications/notification.page?notId=embargo-affecting-ferromex-interchanges-at-eagle-pass-and-el-paso-cancelled
Earlier recorded access
Source 1: full text
Source 2: full text
Source 3: access detail is retained in the source catalogue.</x:v>
      </x:c>
      <x:c r="P362" s="20" t="n">
        <x:v>1</x:v>
      </x:c>
      <x:c r="Q362" s="4" t="str">
        <x:v>Americas</x:v>
      </x:c>
      <x:c r="R362" s="4" t="str">
        <x:v>Included</x:v>
      </x:c>
    </x:row>
    <x:row r="363" ht="354" hidden="0" customHeight="1">
      <x:c r="A363" s="16" t="str">
        <x:v>R2-AM-014</x:v>
      </x:c>
      <x:c r="B363" s="4" t="str">
        <x:v>Eagle Pass Bridge I northbound passenger suspension November 2023</x:v>
      </x:c>
      <x:c r="C363" s="4" t="str">
        <x:v>United States; Mexico</x:v>
      </x:c>
      <x:c r="D363" s="4" t="str">
        <x:v>Eagle Pass International Bridge I
Bridge I northbound passenger vehicles</x:v>
      </x:c>
      <x:c r="E363" s="4" t="str">
        <x:v>Passenger vehicles.
Direction: Northbound into the United States at Eagle Pass Bridge I.
Exceptions: Southbound vehicles and pedestrian traffic at Bridge I were unaffected. Bridge II cargo operations continued.</x:v>
      </x:c>
      <x:c r="F363" s="4" t="str">
        <x:v>R2-AM-014-D1 — Observed operation
Eagle Pass Bridge I northbound passenger vehicles entering the United States.
Start: 2023-11-27 at 15:00 local time.
Observed scoped reopening: 2024-01-04.
38 calendar-day difference; scoped endpoint only.</x:v>
      </x:c>
      <x:c r="G363" s="4" t="str">
        <x:v>Migration / Processing capacity
Reported reason
Applies to: Recorded episode; exact overlap not separately established
The recorded rationale and claim assessment support the selected subcategories. All applicable broad categories are retained together; no primary rationale is imposed.</x:v>
      </x:c>
      <x:c r="H363" s="4" t="str">
        <x:v>R2-AM-014-D1: Northbound passenger vehicle suspension began at 15:00 on 27 November 2023; southbound vehicles and pedestrian traffic were unaffected. Bridge II cargo operations continued. Enhanced truck inspections and queues are not classified as a cargo border closure. The 4 January 2024 reopening applies to Bridge I passenger service.</x:v>
      </x:c>
      <x:c r="I363" s="4" t="str">
        <x:v>Second full-register audit, 26 October 2026: additional source-audited corrections incorporated. See the phase, scope and qualification columns for the accepted findings.</x:v>
      </x:c>
      <x:c r="J363" s="18" t="d">
        <x:v>2026-10-26T00:00:00.000Z</x:v>
      </x:c>
      <x:c r="K363" s="21" t="str">
        <x:f>IFERROR(HYPERLINK("https://www.freightwaves.com/news/cbp-reopens-4-southwest-ports-of-entry-after-weekslong-closures","FreightWaves"),"FreightWaves")</x:f>
        <x:v>FreightWaves</x:v>
      </x:c>
      <x:c r="L363" s="21" t="str">
        <x:f>IFERROR(HYPERLINK("https://www.federalregister.gov/documents/2024/06/07/2024-12435/securing-the-border","FederalRegister.gov"),"FederalRegister.gov")</x:f>
        <x:v>FederalRegister.gov</x:v>
      </x:c>
      <x:c r="M363" s="21" t="str">
        <x:f>IFERROR(HYPERLINK("https://www.ksat.com/news/local/2023/11/28/eagle-pass-bridge-1-closed-to-vehicles-coming-into-the-us-until-further-notice/","ksat.com"),"ksat.com")</x:f>
        <x:v>ksat.com</x:v>
      </x:c>
      <x:c r="N363" s="4" t="str">
        <x:v>https://www.freightwaves.com/news/cbp-reopens-4-southwest-ports-of-entry-after-weekslong-closures
https://www.federalregister.gov/documents/2024/06/07/2024-12435/securing-the-border
https://www.ksat.com/news/local/2023/11/28/eagle-pass-bridge-1-closed-to-vehicles-coming-into-the-us-until-further-notice/</x:v>
      </x:c>
      <x:c r="O363" s="4" t="str">
        <x:v>Second full-register audit source access, 26 October 2026
https://www.ksat.com/news/local/2023/11/28/eagle-pass-bridge-1-closed-to-vehicles-coming-into-the-us-until-further-notice/: full text (fresh retrieval) — Updated November 30; URL carries November 28.
https://www.freightwaves.com/news/cbp-reopens-4-southwest-ports-of-entry-after-weekslong-closures: full text (fresh retrieval) — Broad lead wording is qualified by body.
Earlier URLs not separately inspected in this second assessment:
https://www.federalregister.gov/documents/2024/06/07/2024-12435/securing-the-border
Prior audit access record
Full-register audit source access (evidence cutoff 25 October 2026)
https://www.ksat.com/news/local/2023/11/28/eagle-pass-bridge-1-closed-to-vehicles-coming-into-the-us-until-further-notice/: full text
https://www.freightwaves.com/news/cbp-reopens-4-southwest-ports-of-entry-after-weekslong-closures: full text — Headline commercial/full operations broad, body specifically distinguishes passenger Bridge I and cargo Bridge II.
Earlier source URLs not separately listed in this audit’s retrieval log (historical access notes below are not fresh verification):
https://www.federalregister.gov/documents/2024/06/07/2024-12435/securing-the-border
Earlier recorded access
Source 1: full relevant page text
Source 2: full relevant section text
Source 3: access detail is retained in the source catalogue.</x:v>
      </x:c>
      <x:c r="P363" s="20" t="n">
        <x:v>1</x:v>
      </x:c>
      <x:c r="Q363" s="4" t="str">
        <x:v>Americas</x:v>
      </x:c>
      <x:c r="R363" s="4" t="str">
        <x:v>Included</x:v>
      </x:c>
    </x:row>
    <x:row r="364" ht="409" hidden="0" customHeight="1">
      <x:c r="A364" s="16" t="str">
        <x:v>R2-AM-011</x:v>
      </x:c>
      <x:c r="B364" s="4" t="str">
        <x:v>PedWest second migrant-processing closure December 2023</x:v>
      </x:c>
      <x:c r="C364" s="4" t="str">
        <x:v>United States; Mexico</x:v>
      </x:c>
      <x:c r="D364" s="4" t="str">
        <x:v>PedWest
PedWest pedestrian service</x:v>
      </x:c>
      <x:c r="E364" s="4" t="str">
        <x:v>See geographic and movement scope.
Direction: Facility closure; reopened northbound 06:00–14:00 and southbound 15:00–23:00.</x:v>
      </x:c>
      <x:c r="F364" s="4" t="str">
        <x:v>R2-AM-011-D1 — Observed operation
PedWest ordinary pedestrian service during the December redeployment suspension
Start: 2023-12-09.
Observed scoped reopening: 2024-01-04.
26 calendar-day difference; scoped endpoint only</x:v>
      </x:c>
      <x:c r="G364" s="4" t="str">
        <x:v>Migration / Processing capacity
Reported reason
Applies to: Recorded episode; exact overlap not separately established
The recorded rationale and claim assessment support the selected subcategories. All applicable broad categories are retained together; no primary rationale is imposed.</x:v>
      </x:c>
      <x:c r="H364" s="4" t="str">
        <x:v>R2-AM-011-D1: Endpoint restores limited direction-specific hours: northbound 06:00–14:00 and southbound 15:00–23:00, not 24-hour service. Do not apply grouped reporting to Eagle Pass rail or construction-closed Morley.</x:v>
      </x:c>
      <x:c r="I364" s="4" t="str">
        <x:v>Second full-register audit, 26 October 2026: qualified. December suspension and January 4 actual limited reopening remain corroborated by contemporaneous reporting, traveler interviews and the December 22 CBP status.</x:v>
      </x:c>
      <x:c r="J364" s="18" t="d">
        <x:v>2026-10-26T00:00:00.000Z</x:v>
      </x:c>
      <x:c r="K364" s="21" t="str">
        <x:f>IFERROR(HYPERLINK("https://www.kpbs.org/news/border-immigration/2023/12/08/cbp-to-close-pedwest-border-crossing-during-busy-holiday-season","KPBS"),"KPBS")</x:f>
        <x:v>KPBS</x:v>
      </x:c>
      <x:c r="L364" s="21" t="str">
        <x:f>IFERROR(HYPERLINK("https://www.kpbs.org/news/local/2024/01/03/san-ysidro-pedwest-border-crossing-to-resume-limited-operations","KPBS"),"KPBS")</x:f>
        <x:v>KPBS</x:v>
      </x:c>
      <x:c r="M364" s="21" t="str">
        <x:f>IFERROR(HYPERLINK("https://www.federalregister.gov/documents/2024/06/07/2024-12435/securing-the-border","FederalRegister.gov"),"FederalRegister.gov")</x:f>
        <x:v>FederalRegister.gov</x:v>
      </x:c>
      <x:c r="N364" s="4" t="str">
        <x:v>https://www.kpbs.org/news/border-immigration/2023/12/08/cbp-to-close-pedwest-border-crossing-during-busy-holiday-season
https://www.kpbs.org/news/local/2024/01/03/san-ysidro-pedwest-border-crossing-to-resume-limited-operations
https://www.federalregister.gov/documents/2024/06/07/2024-12435/securing-the-border
https://content.govdelivery.com/accounts/USDHSCBP/bulletins/3816791
https://ny1.com/nyc/all-boroughs/transportation/2024/01/04/vital-pedestrian-crossing-reopens-at-san-diego-border
https://www.freightwaves.com/news/cbp-reopens-4-southwest-ports-of-entry-after-weekslong-closures</x:v>
      </x:c>
      <x:c r="O364" s="4" t="str">
        <x:v>Second full-register audit source access, 26 October 2026
https://www.kpbs.org/news/border-immigration/2023/12/08/cbp-to-close-pedwest-border-crossing-during-busy-holiday-season: full text (fresh retrieval)
https://www.kpbs.org/news/local/2024/01/03/san-ysidro-pedwest-border-crossing-to-resume-limited-operations: full text (fresh retrieval) — Introduction remains prospective; body is updated.
https://ny1.com/nyc/all-boroughs/transportation/2024/01/04/vital-pedestrian-crossing-reopens-at-san-diego-border: full text (fresh retrieval)
https://content.govdelivery.com/accounts/USDHSCBP/bulletins/3816791: full text (fresh retrieval)
Earlier URLs not separately inspected in this second assessment:
https://www.federalregister.gov/documents/2024/06/07/2024-12435/securing-the-border
https://www.freightwaves.com/news/cbp-reopens-4-southwest-ports-of-entry-after-weekslong-closures
Prior audit access record
Full-register audit source access (evidence cutoff 25 October 2026)
https://www.kpbs.org/news/border-immigration/2023/12/08/cbp-to-close-pedwest-border-crossing-during-busy-holiday-season: full text
https://www.kpbs.org/news/local/2024/01/03/san-ysidro-pedwest-border-crossing-to-resume-limited-operations: full text — January 3 publication updated January 24; video introduction remains future tense, body says reopened.
https://ny1.com/nyc/all-boroughs/transportation/2024/01/04/vital-pedestrian-crossing-reopens-at-san-diego-border: full text
https://content.govdelivery.com/accounts/USDHSCBP/bulletins/3816791: full text
Earlier source URLs not separately listed in this audit’s retrieval log (historical access notes below are not fresh verification):
https://www.federalregister.gov/documents/2024/06/07/2024-12435/securing-the-border
https://www.freightwaves.com/news/cbp-reopens-4-southwest-ports-of-entry-after-weekslong-closures
Earlier recorded access
Source 1: full text
Source 2: full text
Source 3: full relevant section text</x:v>
      </x:c>
      <x:c r="P364" s="20" t="n">
        <x:v>1</x:v>
      </x:c>
      <x:c r="Q364" s="4" t="str">
        <x:v>Americas</x:v>
      </x:c>
      <x:c r="R364" s="4" t="str">
        <x:v>Included</x:v>
      </x:c>
    </x:row>
    <x:row r="365" ht="409" hidden="0" customHeight="1">
      <x:c r="A365" s="16" t="str">
        <x:v>R2-SC-006</x:v>
      </x:c>
      <x:c r="B365" s="4" t="str">
        <x:v>Kyrgyz–Tajik local routes closed after March 2019 Vorukh-area clashes</x:v>
      </x:c>
      <x:c r="C365" s="4" t="str">
        <x:v>Kyrgyzstan; Tajikistan</x:v>
      </x:c>
      <x:c r="D365" s="4" t="str">
        <x:v>Isfara–Vorukh route; Ak-Sai/Kok-Tash border area
Disputed local border section and access routes around Vorukh</x:v>
      </x:c>
      <x:c r="E365" s="4" t="str">
        <x:v>Residents and cross-border road users.
Direction: Not directionally disaggregated in retrieved evidence
Exceptions: Not established</x:v>
      </x:c>
      <x:c r="F365" s="4" t="str">
        <x:v>R2-SC-006-D1 — Observed operation
Disputed local border section and access routes around Vorukh; Residents and cross-border road users.; Not directionally disaggregated in retrieved evidence
Start: 2019-03-13.
Observed scoped reopening: 2019-03-18.
5 calendar-day difference; scoped endpoint only</x:v>
      </x:c>
      <x:c r="G365"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Territorial and frontier disputes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365" s="4" t="str">
        <x:v>R2-SC-006-D1: Detailed attribution of violence contested; no claim that every Kyrgyz–Tajik crossing shut. Exact reopening scope follows local RFE/RL report. Not established</x:v>
      </x:c>
      <x:c r="I365" s="4" t="str">
        <x:v>Second full-register audit, 26 October 2026: qualified. The March 13–18 local-route episode is supported. Fresh RFE/RL restoration reporting and inspected cached CABAR body substantiate reciprocal Vorukh/Batken access blockades, without extending to every national crossing.</x:v>
      </x:c>
      <x:c r="J365" s="18" t="d">
        <x:v>2026-10-26T00:00:00.000Z</x:v>
      </x:c>
      <x:c r="K365" s="21" t="str">
        <x:f>IFERROR(HYPERLINK("https://www.rferl.org/a/kyrgyz-tajik-negotiators-reach-agreement-reopen-border-crossing-after-deadly-clashes/29828634.html","Radio Free Europe/Radio Liberty"),"Radio Free Europe/Radio Liberty")</x:f>
        <x:v>Radio Free Europe/Radio Liberty</x:v>
      </x:c>
      <x:c r="L365" s="21" t="str">
        <x:f>IFERROR(HYPERLINK("https://www.qubodiyon.tj/node/312","Qubodiyon district government / NIAT Khovar"),"Qubodiyon district government / NIAT Khovar")</x:f>
        <x:v>Qubodiyon district government / NIAT Khovar</x:v>
      </x:c>
      <x:c r="M365" s="21" t="str">
        <x:f>IFERROR(HYPERLINK("https://www.qubodiyon.tj/node/314","Qubodiyon district government / NIAT Khovar"),"Qubodiyon district government / NIAT Khovar")</x:f>
        <x:v>Qubodiyon district government / NIAT Khovar</x:v>
      </x:c>
      <x:c r="N365" s="4" t="str">
        <x:v>https://www.rferl.org/a/kyrgyz-tajik-negotiators-reach-agreement-reopen-border-crossing-after-deadly-clashes/29828634.html
https://www.qubodiyon.tj/node/312
https://www.qubodiyon.tj/node/314
https://shahrituz.tj/node/324
https://cabar.asia/en/the-road-of-contention-the-authorities-of-kyrgyzstan-and-tajikistan-begin-negotiations-after-a-border-conflict
https://www.azattyqasia.org/a/kyrgyzstan-tajikistan-border-open/29828220.html
https://khuroson.tj/en/2019/03/14/press-statement-of-the-main-directorate-of-the-border-troops-of-the-state-committee-for-national-security-of-tajikistan/
https://24.kg/english/112254_Road_on_Kyrgyzstan-Tajikistan_border_opened_situation_is_stable/</x:v>
      </x:c>
      <x:c r="O365" s="4" t="str">
        <x:v>Second full-register audit source access, 26 October 2026
https://www.rferl.org/a/kyrgyz-tajik-negotiators-reach-agreement-reopen-border-crossing-after-deadly-clashes/29828634.html: full text (fresh retrieval)
https://cabar.asia/en/the-road-of-contention-the-authorities-of-kyrgyzstan-and-tajikistan-begin-negotiations-after-a-border-conflict: full text (previously retrieved text re-examined) — Fresh lead recovered but body continuation timed out; cached original full article inspected.
https://24.kg/english/112254_Road_on_Kyrgyzstan-Tajikistan_border_opened_situation_is_stable/: inaccessible (fresh retrieval) — 403.
Earlier URLs not separately inspected in this second assessment:
https://www.qubodiyon.tj/node/312
https://www.qubodiyon.tj/node/314
https://shahrituz.tj/node/324
https://www.azattyqasia.org/a/kyrgyzstan-tajikistan-border-open/29828220.html
https://khuroson.tj/en/2019/03/14/press-statement-of-the-main-directorate-of-the-border-troops-of-the-state-committee-for-national-security-of-tajikistan/
Prior audit access record
Full-register audit source access (evidence cutoff 25 October 2026)
https://www.rferl.org/a/kyrgyz-tajik-negotiators-reach-agreement-reopen-border-crossing-after-deadly-clashes/29828634.html: full text
https://cabar.asia/en/the-road-of-contention-the-authorities-of-kyrgyzstan-and-tajikistan-begin-negotiations-after-a-border-conflict: full text
https://24.kg/english/112254_Road_on_Kyrgyzstan-Tajikistan_border_opened_situation_is_stable/: inaccessible — 403
Earlier source URLs not separately listed in this audit’s retrieval log (historical access notes below are not fresh verification):
https://www.qubodiyon.tj/node/312
https://www.qubodiyon.tj/node/314
https://shahrituz.tj/node/324
https://www.azattyqasia.org/a/kyrgyzstan-tajikistan-border-open/29828220.html
https://khuroson.tj/en/2019/03/14/press-statement-of-the-main-directorate-of-the-border-troops-of-the-state-committee-for-national-security-of-tajikistan/
Earlier recorded access
Source 1: full page
Source 2: failed: timeout
Source 3: failed: timeout</x:v>
      </x:c>
      <x:c r="P365" s="20" t="n">
        <x:v>1</x:v>
      </x:c>
      <x:c r="Q365" s="4" t="str">
        <x:v>Central Asia and Caucasus</x:v>
      </x:c>
      <x:c r="R365" s="4" t="str">
        <x:v>Included</x:v>
      </x:c>
    </x:row>
    <x:row r="366" ht="198" hidden="0" customHeight="1">
      <x:c r="A366" s="16" t="str">
        <x:v>R2-SC-005</x:v>
      </x:c>
      <x:c r="B366" s="4" t="str">
        <x:v>South Ossetian de facto authorities order crossing closure for June 2019 election</x:v>
      </x:c>
      <x:c r="C366" s="4" t="str">
        <x:v>Georgia</x:v>
      </x:c>
      <x:c r="D366" s="4" t="str">
        <x:v>Simplified ABL crossings; Civil Georgia names Sinaguri, Karzmani, Zardiaantkari, Ergneti and Odzisi in contextual list
Simplified crossings with Tbilisi-administered Georgia</x:v>
      </x:c>
      <x:c r="E366" s="4" t="str">
        <x:v>People using simplified crossings.
Direction: Not directionally disaggregated in retrieved evidence
Exceptions: Not established</x:v>
      </x:c>
      <x:c r="F366" s="4" t="str">
        <x:v>R2-SC-005-R1 — Announced window
Simplified crossing points between South Ossetia and Georgian-administered territory covered by the election security order
Start: 2019-06-08.
Scheduled endpoint: 2019-06-11.
Ordered window: 3 calendar-day difference; actual end not established</x:v>
      </x:c>
      <x:c r="G366"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366" s="4" t="str">
        <x:v>R2-SC-005-R1: 06:00 to 06:00 Moscow time. Does not prove enforcement or actual reopening. Announcement enumeration of five posts may include already non-operating routes.
continuity: KGB election schedule is June 8 06:00 to June 11 06:00. Sources establish the announced citizen-crossing suspension, not observed reopening or activity at every nominal crossing.</x:v>
      </x:c>
      <x:c r="I366" s="4" t="str">
        <x:v>Second full-register audit, 26 October 2026: qualified. Fresh reporting confirms the 8–11 June 2019 election security schedule, 06:00 Moscow time at both ends. A June 8 report repeats implementation status, but actual reopening remains unverified.</x:v>
      </x:c>
      <x:c r="J366" s="18" t="d">
        <x:v>2026-10-26T00:00:00.000Z</x:v>
      </x:c>
      <x:c r="K366" s="21" t="str">
        <x:f>IFERROR(HYPERLINK("https://civil.ge/archives/307477","Civil Georgia"),"Civil Georgia")</x:f>
        <x:v>Civil Georgia</x:v>
      </x:c>
      <x:c r="L366" s="21" t="str">
        <x:f>IFERROR(HYPERLINK("https://www.eng.kavkaz-uzel.eu/articles/47403","Caucasian Knot"),"Caucasian Knot")</x:f>
        <x:v>Caucasian Knot</x:v>
      </x:c>
      <x:c r="M366" s="21"/>
      <x:c r="N366" s="4" t="str">
        <x:v>https://civil.ge/archives/307477
https://www.eng.kavkaz-uzel.eu/articles/47403
https://www.eurasiandaily.ru/ru/ampnews/2019/06/08/granicu-yuzhnoy-osetii-s-gruziey-zakryli-na-vremya-vyborov-v-parlament</x:v>
      </x:c>
      <x:c r="O366" s="4" t="str">
        <x:v>Second full-register audit source access, 26 October 2026
https://civil.ge/archives/307477: full text (fresh retrieval)
https://www.eng.kavkaz-uzel.eu/articles/47403: full text (fresh retrieval)
https://www.eurasiandaily.ru/ru/ampnews/2019/06/08/granicu-yuzhnoy-osetii-s-gruziey-zakryli-na-vremya-vyborov-v-parlament: search extract (fresh retrieval) — Repeats KGB future-tense wording; no operational endpoint.
Prior audit access record
Full-register audit source access (evidence cutoff 25 October 2026)
https://www.eng.kavkaz-uzel.eu/articles/47403: full text — Future tense, not observed end
https://civil.ge/archives/307477: full text — Same KGB announcement
Earlier recorded access
Source 1: indexed excerpt; full; full text
Source 2: indexed excerpt; full; full text</x:v>
      </x:c>
      <x:c r="P366" s="20" t="n">
        <x:v>1</x:v>
      </x:c>
      <x:c r="Q366" s="4" t="str">
        <x:v>Central Asia and Caucasus</x:v>
      </x:c>
      <x:c r="R366" s="4" t="str">
        <x:v>Included</x:v>
      </x:c>
    </x:row>
    <x:row r="367" ht="330" hidden="0" customHeight="1">
      <x:c r="A367" s="16" t="str">
        <x:v>R2-SC-007</x:v>
      </x:c>
      <x:c r="B367" s="4" t="str">
        <x:v>Vorukh-access and Batken corridor traffic halted in July 2019 border clash</x:v>
      </x:c>
      <x:c r="C367" s="4" t="str">
        <x:v>Kyrgyzstan; Tajikistan</x:v>
      </x:c>
      <x:c r="D367" s="4" t="str">
        <x:v>Isfara–Vorukh; Batken–Isfana corridor (Interfax names Batken–Isfara)
Cross-border/enclave-access road traffic</x:v>
      </x:c>
      <x:c r="E367" s="4" t="str">
        <x:v>Cross-border/enclave-access road traffic
Direction: Not directionally disaggregated in retrieved evidence
Exceptions: Not established</x:v>
      </x:c>
      <x:c r="F367" s="4" t="str">
        <x:v>R2-SC-007-D1 — Observed operation
Isfara–Vorukh enclave-access road traffic only
Start: 2019-07-22.
Observed scoped reopening: 2019-07-25.
3 calendar-day difference; scoped endpoint only</x:v>
      </x:c>
      <x:c r="G367"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367" s="4" t="str">
        <x:v>R2-SC-007-D1: Official operational account, not independent daily observation. Excludes the differently named Batken/Isfana–Osh corridor reported unblocked late July 24; route-name discrepancies are retained rather than averaged.</x:v>
      </x:c>
      <x:c r="I367" s="4" t="str">
        <x:v>Second full-register audit, 26 October 2026: qualified. The Isfara–Vorukh 22–25 July 2019 phase is directly supported, including reported early July 25 medical evacuation. Distinct Batken/Isfana–Osh route naming and the July 24 recovery must remain separate.</x:v>
      </x:c>
      <x:c r="J367" s="18" t="d">
        <x:v>2026-10-26T00:00:00.000Z</x:v>
      </x:c>
      <x:c r="K367" s="21" t="str">
        <x:f>IFERROR(HYPERLINK("https://interfax.com/newsroom/top-stories/19603/","Interfax"),"Interfax")</x:f>
        <x:v>Interfax</x:v>
      </x:c>
      <x:c r="L367" s="21" t="str">
        <x:f>IFERROR(HYPERLINK("https://for.kg/news-591535-en.html","24.kg via for.kg"),"24.kg via for.kg")</x:f>
        <x:v>24.kg via for.kg</x:v>
      </x:c>
      <x:c r="M367" s="21" t="str">
        <x:f>IFERROR(HYPERLINK("https://akipress.com/news%3A622557%3ABatken-Isfana_and_Isfara-Vorukh_roads_reopened/","AKIpress"),"AKIpress")</x:f>
        <x:v>AKIpress</x:v>
      </x:c>
      <x:c r="N367" s="4" t="str">
        <x:v>https://interfax.com/newsroom/top-stories/19603/
https://for.kg/news-591535-en.html
https://akipress.com/news%3A622557%3ABatken-Isfana_and_Isfara-Vorukh_roads_reopened/
https://asiaplus.news/en/2019/07/25/vorukh-isfara-road-reopens-tajik-authorities-take-seriously-wounded-persons-out-of-vorukh/</x:v>
      </x:c>
      <x:c r="O367" s="4" t="str">
        <x:v>Second full-register audit source access, 26 October 2026
https://interfax.com/newsroom/top-stories/19603/: full text (fresh retrieval)
https://asiaplus.news/en/2019/07/25/vorukh-isfara-road-reopens-tajik-authorities-take-seriously-wounded-persons-out-of-vorukh/: full text (fresh retrieval)
Earlier URLs not separately inspected in this second assessment:
https://for.kg/news-591535-en.html
https://akipress.com/news%3A622557%3ABatken-Isfana_and_Isfara-Vorukh_roads_reopened/
Prior audit access record
Full-register audit source access (evidence cutoff 25 October 2026)
https://interfax.com/newsroom/top-stories/19603/: full text
https://for.kg/news-591535-en.html: full text — Syndication, not independent origin
https://asiaplus.news/en/2019/07/25/vorukh-isfara-road-reopens-tajik-authorities-take-seriously-wounded-persons-out-of-vorukh/: full text
Earlier source URLs not separately listed in this audit’s retrieval log (historical access notes below are not fresh verification):
https://akipress.com/news%3A622557%3ABatken-Isfana_and_Isfara-Vorukh_roads_reopened/
Earlier recorded access
Source 1: full page
Source 2: full page
Source 3: search-indexed text; direct page blocked</x:v>
      </x:c>
      <x:c r="P367" s="20" t="n">
        <x:v>1</x:v>
      </x:c>
      <x:c r="Q367" s="4" t="str">
        <x:v>Central Asia and Caucasus</x:v>
      </x:c>
      <x:c r="R367" s="4" t="str">
        <x:v>Included</x:v>
      </x:c>
    </x:row>
    <x:row r="368" ht="354" hidden="0" customHeight="1">
      <x:c r="A368" s="16" t="str">
        <x:v>R2-SC-011</x:v>
      </x:c>
      <x:c r="B368" s="4" t="str">
        <x:v>South Ossetian de facto authorities close Ruk crossing with Russia during COVID</x:v>
      </x:c>
      <x:c r="C368" s="4" t="str">
        <x:v>Georgia; Russia</x:v>
      </x:c>
      <x:c r="D368" s="4" t="str">
        <x:v>Ruk/Roki
Ruk/Roki checkpoint to Russia, with evolving exceptions</x:v>
      </x:c>
      <x:c r="E368" s="4" t="str">
        <x:v>Ruk/Roki checkpoint to Russia, with evolving exceptions
Direction: Not directionally disaggregated in retrieved evidence
Exceptions: April extension exempted returnees, official/diplomatic delegations, Russian servicemen, bereavement travel and authorised medical cases.</x:v>
      </x:c>
      <x:c r="F368" s="4" t="str">
        <x:v>R2-SC-011-D1 — Formal policy
Ruk/Roki crossing restriction for Russian and South Ossetian citizens, subject to evolving exceptions
Start: 2020-04-05.
Policy endpoint: 2020-09-15.
Formal policy: 163 calendar-day difference; operational continuity not established</x:v>
      </x:c>
      <x:c r="G36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68" s="4" t="str">
        <x:v>R2-SC-011-D1: Policy period, not a universal physical closure. Returnees, official/diplomatic groups, servicemen, bereavement and authorised medical cases were exempt; third-country restrictions persisted. Overlapping Russian policy is not additional closed-days.</x:v>
      </x:c>
      <x:c r="I368" s="4" t="str">
        <x:v>Second full-register audit, 26 October 2026: qualified. Fresh de facto authority reporting and Interfax support the April–September 2020 policy restriction with exemptions and a bilateral-citizen endpoint. Third-country restrictions did not end with that cohort.</x:v>
      </x:c>
      <x:c r="J368" s="18" t="d">
        <x:v>2026-10-26T00:00:00.000Z</x:v>
      </x:c>
      <x:c r="K368" s="21" t="str">
        <x:f>IFERROR(HYPERLINK("https://cominf.org/en/archive/all/2020/4/6","RES"),"RES")</x:f>
        <x:v>RES</x:v>
      </x:c>
      <x:c r="L368" s="21" t="str">
        <x:f>IFERROR(HYPERLINK("https://www.interfax-russia.ru/military/news_eng/344769","Interfax"),"Interfax")</x:f>
        <x:v>Interfax</x:v>
      </x:c>
      <x:c r="M368" s="21" t="str">
        <x:f>IFERROR(HYPERLINK("https://cominf.org/en/node/1166532610","RES"),"RES")</x:f>
        <x:v>RES</x:v>
      </x:c>
      <x:c r="N368" s="4" t="str">
        <x:v>https://cominf.org/en/archive/all/2020/4/6
https://www.interfax-russia.ru/military/news_eng/344769
https://cominf.org/en/node/1166532610
https://www.rferl.org/a/russia-reopens-de-facto-border-with-georgia-s-breakaway-region-of-south-ossetia/30839708.html
https://cominf.org/en/node/1166529153
https://rsogov.org/news/609</x:v>
      </x:c>
      <x:c r="O368" s="4" t="str">
        <x:v>Second full-register audit source access, 26 October 2026
https://cominf.org/en/node/1166529153: full text (fresh retrieval)
https://www.interfax-russia.ru/military/news_eng/344769: full text (fresh retrieval)
https://cominf.org/en/node/1166532610: full text (fresh retrieval)
https://www.rferl.org/a/russia-reopens-de-facto-border-with-georgia-s-breakaway-region-of-south-ossetia/30839708.html: full text (fresh retrieval)
Earlier URLs not separately inspected in this second assessment:
https://cominf.org/en/archive/all/2020/4/6
https://rsogov.org/news/609
Prior audit access record
Full-register audit source access (evidence cutoff 25 October 2026)
https://cominf.org/en/node/1166529153: full text
https://cominf.org/en/node/1166532610: full text
https://www.rferl.org/a/russia-reopens-de-facto-border-with-georgia-s-breakaway-region-of-south-ossetia/30839708.html: full text
Earlier source URLs not separately listed in this audit’s retrieval log (historical access notes below are not fresh verification):
https://cominf.org/en/archive/all/2020/4/6
https://www.interfax-russia.ru/military/news_eng/344769
https://rsogov.org/news/609
Earlier recorded access
Source 1: search extract
Source 2: search extract
Source 3: search extract</x:v>
      </x:c>
      <x:c r="P368" s="20" t="n">
        <x:v>1</x:v>
      </x:c>
      <x:c r="Q368" s="4" t="str">
        <x:v>Central Asia and Caucasus</x:v>
      </x:c>
      <x:c r="R368" s="4" t="str">
        <x:v>Included</x:v>
      </x:c>
    </x:row>
    <x:row r="369" ht="409" hidden="0" customHeight="1">
      <x:c r="A369" s="16" t="str">
        <x:v>R2-SC-012</x:v>
      </x:c>
      <x:c r="B369" s="4" t="str">
        <x:v>Iran halts ordinary bilateral trade at Dogharoun and Mahiroud during July 2021 advance</x:v>
      </x:c>
      <x:c r="C369" s="4" t="str">
        <x:v>Iran; Afghanistan</x:v>
      </x:c>
      <x:c r="D369" s="4" t="str">
        <x:v>Dogharoun–Islam Qala; Mahiroud–Abu Nasr Farahi
Ordinary bilateral trade at two Afghan crossings; TIR transit treated separately</x:v>
      </x:c>
      <x:c r="E369" s="4" t="str">
        <x:v>Trade/international road-transport activity at two Afghan crossings
Direction: Not directionally disaggregated in retrieved evidence
Exceptions: Milak–Zaranj remained available for international road transport.</x:v>
      </x:c>
      <x:c r="F369" s="4" t="str">
        <x:v>R2-SC-012-D1 — Observed operation
Dogharoun–Islam Qala ordinary commercial goods from Iran to Afghanistan; mainly Afghan carriers, excluding any separately continuing formal TIR/transport permissions.
Start: 2021-07-08.
Observed scoped reopening: 2021-07-10 to 2021-07-15.
Last confirmed observation: 2021-07-10.
2–7 calendar-day difference; scoped endpoint only
R2-SC-012-C3 — Observed operation
Mahiroud–Abu Nasr Farahi ordinary Iranian commercial goods exported in Afghan trucks
Start: 2021-07-08.
Observed scoped reopening: 2021-07-10.
2 calendar-day difference; scoped endpoint only</x:v>
      </x:c>
      <x:c r="G369"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369" s="4" t="str">
        <x:v>Ordinary export restoration is split: Mahiroud on July 10, Dogharoun bounded July 10–15. The prior joint July 11 closure inference is withdrawn. Formal transport/TIR permissions and the later holiday closure are distinct.
R2-SC-012-D1: Bounded first partial cargo restoration, not normal capacity or formal repeal. July 11 generic closed-post update cannot establish joint ordinary-trade continuity after Mahiroud resumed July 10. Later holiday closure separate.
R2-SC-012-C3: First limited export restoration; normality reported July 11. Excludes other direction, TIR-specific rules and later holiday closure.</x:v>
      </x:c>
      <x:c r="I369" s="4" t="str">
        <x:v>Second full-register audit, 26 October 2026: qualified. Fresh Persian and English articles support the existing separate Mahiroud and Dogharoun ordinary-export endpoints. The July 11 transport circular cannot override reported July 10 cargo passage at Mahiroud.</x:v>
      </x:c>
      <x:c r="J369" s="18" t="d">
        <x:v>2026-10-26T00:00:00.000Z</x:v>
      </x:c>
      <x:c r="K369" s="21" t="str">
        <x:f>IFERROR(HYPERLINK("https://www.tasnimnews.ir/en/news/2021/07/10/2535473/iran-s-borders-with-afghanistan-safe-spokesman","Tasnim"),"Tasnim")</x:f>
        <x:v>Tasnim</x:v>
      </x:c>
      <x:c r="L369" s="21" t="str">
        <x:f>IFERROR(HYPERLINK("https://wiki.unece.org/spaces/CTRBSBC/pages/101548399/Afghanistan","UNECE Observatory"),"UNECE Observatory")</x:f>
        <x:v>UNECE Observatory</x:v>
      </x:c>
      <x:c r="M369" s="21" t="str">
        <x:f>IFERROR(HYPERLINK("https://old.iranintl.com/en/world/iran-official-says-taliban-ready-resume-cross-border-transport","old.iranintl.com"),"old.iranintl.com")</x:f>
        <x:v>old.iranintl.com</x:v>
      </x:c>
      <x:c r="N369" s="4" t="str">
        <x:v>https://www.tasnimnews.ir/en/news/2021/07/10/2535473/iran-s-borders-with-afghanistan-safe-spokesman
https://wiki.unece.org/spaces/CTRBSBC/pages/101548399/Afghanistan
https://old.iranintl.com/en/world/iran-official-says-taliban-ready-resume-cross-border-transport
https://armaneghtesadi.com/653406/1400/04/19/آخرین-خبر-از-مرز-ایران-و-افغانستان/
https://khatebazar.ir/برقراری-تجارت-مرزی-با-افغانستان-و-لغو-م/
https://iranpress.com/content/44122/iran-afghanistan-borders-closed-for-days
https://m.aa.com.tr/en/middle-east/iran-halts-trade-through-key-afghanistan-border-posts-captured-by-taliban/2299615
https://irannewsdaily.com/wp-content/uploads/2021/07/1400-4-29.pdf
https://wiki.unece.org/pages/viewpage.action?navigatingVersions=true&amp;pageId=136446653
https://www.aa.com.tr/en/middle-east/iran-halts-trade-through-key-afghanistan-border-posts-captured-by-taliban/2299615
https://armaneghtesadi.com/653406/1400/04/19/%D8%A2%D8%AE%D8%B1%DB%8C%D9%86-%D8%AE%D8%A8%D8%B1-%D8%A7%D8%B2-%D9%85%D8%B1%D8%B2-%D8%A7%DB%8C%D8%B1%D8%A7%D9%86-%D9%88-%D8%A7%D9%81%D8%BA%D8%A7%D9%86%D8%B3%D8%AA%D8%A7%D9%86/
https://khatebazar.ir/%D8%A8%D8%B1%D9%82%D8%B1%D8%A7%D8%B1%DB%8C-%D8%AA%D8%AC%D8%A7%D8%B1%D8%AA-%D9%85%D8%B1%D8%B2%DB%8C-%D8%A8%D8%A7-%D8%A7%D9%81%D8%BA%D8%A7%D9%86%D8%B3%D8%AA%D8%A7%D9%86-%D9%88-%D9%84%D8%BA%D9%88-%D9%85/</x:v>
      </x:c>
      <x:c r="O369" s="4" t="str">
        <x:v>Second full-register audit source access, 26 October 2026
https://www.tasnimnews.ir/en/news/2021/07/10/2535473/iran-s-borders-with-afghanistan-safe-spokesman: full text (fresh retrieval)
https://www.aa.com.tr/en/middle-east/iran-halts-trade-through-key-afghanistan-border-posts-captured-by-taliban/2299615: full text (fresh retrieval)
https://armaneghtesadi.com/653406/1400/04/19/آخرین-خبر-از-مرز-ایران-و-افغانستان/: full text (fresh retrieval)
https://old.iranintl.com/en/world/iran-official-says-taliban-ready-resume-cross-border-transport: full text (fresh retrieval)
https://khatebazar.ir/برقراری-تجارت-مرزی-با-افغانستان-و-لغو-م/: full text (fresh retrieval)
Earlier URLs not separately inspected in this second assessment:
https://wiki.unece.org/spaces/CTRBSBC/pages/101548399/Afghanistan
https://iranpress.com/content/44122/iran-afghanistan-borders-closed-for-days
https://m.aa.com.tr/en/middle-east/iran-halts-trade-through-key-afghanistan-border-posts-captured-by-taliban/2299615
https://irannewsdaily.com/wp-content/uploads/2021/07/1400-4-29.pdf
https://wiki.unece.org/pages/viewpage.action?navigatingVersions=true&amp;pageId=136446653
https://armaneghtesadi.com/653406/1400/04/19/%D8%A2%D8%AE%D8%B1%DB%8C%D9%86-%D8%AE%D8%A8%D8%B1-%D8%A7%D8%B2-%D9%85%D8%B1%D8%B2-%D8%A7%DB%8C%D8%B1%D8%A7%D9%86-%D9%88-%D8%A7%D9%81%D8%BA%D8%A7%D9%86%D8%B3%D8%AA%D8%A7%D9%86/
https://khatebazar.ir/%D8%A8%D8%B1%D9%82%D8%B1%D8%A7%D8%B1%DB%8C-%D8%AA%D8%AC%D8%A7%D8%B1%D8%AA-%D9%85%D8%B1%D8%B2%DB%8C-%D8%A8%D8%A7-%D8%A7%D9%81%D8%BA%D8%A7%D9%86%D8%B3%D8%AA%D8%A7%D9%86-%D9%88-%D9%84%D8%BA%D9%88-%D9%85/
Prior audit access record
Full-register audit source access (evidence cutoff 25 October 2026)
https://www.tasnimnews.ir/en/news/2021/07/10/2535473/iran-s-borders-with-afghanistan-safe-spokesman: full text
https://armaneghtesadi.com/653406/1400/04/19/آخرین-خبر-از-مرز-ایران-و-افغانستان/: full text
https://old.iranintl.com/en/world/iran-official-says-taliban-ready-resume-cross-border-transport: full text
https://khatebazar.ir/برقراری-تجارت-مرزی-با-افغانستان-و-لغو-م/: full text
Earlier source URLs not separately listed in this audit’s retrieval log (historical access notes below are not fresh verification):
https://wiki.unece.org/spaces/CTRBSBC/pages/101548399/Afghanistan
https://iranpress.com/content/44122/iran-afghanistan-borders-closed-for-days
https://m.aa.com.tr/en/middle-east/iran-halts-trade-through-key-afghanistan-border-posts-captured-by-taliban/2299615
https://irannewsdaily.com/wp-content/uploads/2021/07/1400-4-29.pdf
https://wiki.unece.org/pages/viewpage.action?navigatingVersions=true&amp;pageId=136446653
https://www.aa.com.tr/en/middle-east/iran-halts-trade-through-key-afghanistan-border-posts-captured-by-taliban/2299615
https://armaneghtesadi.com/653406/1400/04/19/%D8%A2%D8%AE%D8%B1%DB%8C%D9%86-%D8%AE%D8%A8%D8%B1-%D8%A7%D8%B2-%D9%85%D8%B1%D8%B2-%D8%A7%DB%8C%D8%B1%D8%A7%D9%86-%D9%88-%D8%A7%D9%81%D8%BA%D8%A7%D9%86%D8%B3%D8%AA%D8%A7%D9%86/
https://khatebazar.ir/%D8%A8%D8%B1%D9%82%D8%B1%D8%A7%D8%B1%DB%8C-%D8%AA%D8%AC%D8%A7%D8%B1%D8%AA-%D9%85%D8%B1%D8%B2%DB%8C-%D8%A8%D8%A7-%D8%A7%D9%81%D8%BA%D8%A7%D9%86%D8%B3%D8%AA%D8%A7%D9%86-%D9%88-%D9%84%D8%BA%D9%88-%D9%85/
Earlier recorded access
Source 1: search extract
Source 2: search extract
Source 3: access detail is retained in the source catalogue.</x:v>
      </x:c>
      <x:c r="P369" s="20" t="n">
        <x:v>2</x:v>
      </x:c>
      <x:c r="Q369" s="4" t="str">
        <x:v>Central Asia and Caucasus</x:v>
      </x:c>
      <x:c r="R369" s="4" t="str">
        <x:v>Included</x:v>
      </x:c>
    </x:row>
    <x:row r="370" ht="409" hidden="0" customHeight="1">
      <x:c r="A370" s="16" t="str">
        <x:v>R2-SC-010</x:v>
      </x:c>
      <x:c r="B370" s="4" t="str">
        <x:v>Kara-Suu/Karasu inherited closure partially lifted in September 2024</x:v>
      </x:c>
      <x:c r="C370" s="4" t="str">
        <x:v>Kyrgyzstan; Uzbekistan</x:v>
      </x:c>
      <x:c r="D370" s="4" t="str">
        <x:v>Kara-Suu / Karasu, Osh–Andijan frontier
Kara-Suu/Karasu checkpoint, partial bilateral citizen reopening.</x:v>
      </x:c>
      <x:c r="E370" s="4" t="str">
        <x:v>Kyrgyz/Uzbek citizens on foot at reopening; original freight scope unresolved.
Direction: Not directionally disaggregated in retrieved evidence
Exceptions: Daylight bilateral citizen passage; vehicles, animals and cargo prohibited except personal goods.</x:v>
      </x:c>
      <x:c r="F370" s="4" t="str">
        <x:v>R2-SC-010-R1 — Observed operation
Kara-Suu/Korasuv checkpoint, limited to ordinary pedestrian passage by citizens of Kyrgyzstan and Uzbekistan that was restored on 12 September 2024
Start: 2010-02-06 to 2010-03-01.
Observed scoped reopening: 2024-09-12.
5309–5332 calendar-day difference; scoped endpoint only</x:v>
      </x:c>
      <x:c r="G370" s="4" t="str">
        <x:v>Interstate disputes and pressure / Sanctions and coercive pressure
Analytical interpretation of reported context
Applies to: Original 2010 onset; persistence of motive not established
Official explanations relayed as low traffic or renovation; political motive remains interpretation, not established government admission.</x:v>
      </x:c>
      <x:c r="H370" s="4" t="str">
        <x:v>Contemporary reports narrow initial restriction transition to February 6–March 1 2010, with home-return exceptions first; motive disputed. Partial September 12 2024 pedestrian reopening only.
R2-SC-010-R1: Onset bound covers an evolving returnee exception, not one exact universal closure instant. Fourteen/fifteen-year rounded conflict retained. Endpoint only daytime bilateral-citizen pedestrians. Alleged renovation was not observed at March 4 visit; original motive remains contested.</x:v>
      </x:c>
      <x:c r="I370" s="4" t="str">
        <x:v>Second full-register audit, 26 October 2026: qualified. Contemporary Russian reporting supports the evolving 6 February–1 March 2010 restriction, and September 2024 sources support only daytime bilateral-citizen pedestrian restoration. No new date correction is warranted.</x:v>
      </x:c>
      <x:c r="J370" s="18" t="d">
        <x:v>2026-10-26T00:00:00.000Z</x:v>
      </x:c>
      <x:c r="K370" s="21" t="str">
        <x:f>IFERROR(HYPERLINK("https://www.azattyqasia.org/a/na-kyrgyzsko-uzbekskoy-granitse-otkrylsya-ne-rabotavshiy-s-2010-goda-punkt-propuska-kara-suu-/33117033.html","Azattyk / RFE/RL"),"Azattyk / RFE/RL")</x:f>
        <x:v>Azattyk / RFE/RL</x:v>
      </x:c>
      <x:c r="L370" s="21" t="str">
        <x:f>IFERROR(HYPERLINK("https://economist.kg/society/2024/09/12/obnovliennyi-punkt-propuska-kara-suu-budiet-rabotat-tolko-dniem-poghranichnaia-sluzhba/","Economist.kg"),"Economist.kg")</x:f>
        <x:v>Economist.kg</x:v>
      </x:c>
      <x:c r="M370" s="21" t="str">
        <x:f>IFERROR(HYPERLINK("https://www.rferl.org/a/Checkpoint_On_KyrgyzUzbek_Border_Closed_/1973876.html","RFE/RL"),"RFE/RL")</x:f>
        <x:v>RFE/RL</x:v>
      </x:c>
      <x:c r="N370" s="4" t="str">
        <x:v>https://www.azattyqasia.org/a/na-kyrgyzsko-uzbekskoy-granitse-otkrylsya-ne-rabotavshiy-s-2010-goda-punkt-propuska-kara-suu-/33117033.html
https://economist.kg/society/2024/09/12/obnovliennyi-punkt-propuska-kara-suu-budiet-rabotat-tolko-dniem-poghranichnaia-sluzhba/
https://www.rferl.org/a/Checkpoint_On_KyrgyzUzbek_Border_Closed_/1973876.html
https://russian.eurasianet.org/node/58083
https://www.iica.uz/en/news/2024/09/12/qorasu-chegara-posti-15-yildan-keyin-qayta-ochildi
https://kun.uz/en/news/2024/09/12/kara-suu-border-crossing-between-uzbekistan-and-kyrgyzstan-reopens-after-14-years-closure
https://24.kg/english/304865_Kara-Suu_checkpoint_opened_on_Kyrgyzstan_-_Uzbekistan_border/
https://www.gov.kg/ru/post/s/24530-kyrgyzstan-menen-ozbekstandyn-mamlekettik-cek-arasyndagy-kara-suu-unaazol-kozomoldoo-otkoruu-punktu-kairadan-iske-kirgizildi</x:v>
      </x:c>
      <x:c r="O370" s="4" t="str">
        <x:v>Second full-register audit source access, 26 October 2026
https://www.rferl.org/a/Checkpoint_On_KyrgyzUzbek_Border_Closed_/1973876.html: full text (fresh retrieval)
https://russian.eurasianet.org/node/58083: full text (fresh retrieval)
https://economist.kg/society/2024/09/12/obnovliennyi-punkt-propuska-kara-suu-budiet-rabotat-tolko-dniem-poghranichnaia-sluzhba/: full text (fresh retrieval)
https://www.azattyqasia.org/a/na-kyrgyzsko-uzbekskoy-granitse-otkrylsya-ne-rabotavshiy-s-2010-goda-punkt-propuska-kara-suu-/33117033.html: full text (fresh retrieval)
Earlier URLs not separately inspected in this second assessment:
https://www.iica.uz/en/news/2024/09/12/qorasu-chegara-posti-15-yildan-keyin-qayta-ochildi
https://kun.uz/en/news/2024/09/12/kara-suu-border-crossing-between-uzbekistan-and-kyrgyzstan-reopens-after-14-years-closure
https://24.kg/english/304865_Kara-Suu_checkpoint_opened_on_Kyrgyzstan_-_Uzbekistan_border/
https://www.gov.kg/ru/post/s/24530-kyrgyzstan-menen-ozbekstandyn-mamlekettik-cek-arasyndagy-kara-suu-unaazol-kozomoldoo-otkoruu-punktu-kairadan-iske-kirgizildi
Prior audit access record
Full-register audit source access (evidence cutoff 25 October 2026)
https://www.rferl.org/a/Checkpoint_On_KyrgyzUzbek_Border_Closed_/1973876.html: full text
https://russian.eurasianet.org/node/58083: full text
https://economist.kg/society/2024/09/12/obnovliennyi-punkt-propuska-kara-suu-budiet-rabotat-tolko-dniem-poghranichnaia-sluzhba/: full text
https://www.azattyqasia.org/a/na-kyrgyzsko-uzbekskoy-granitse-otkrylsya-ne-rabotavshiy-s-2010-goda-punkt-propuska-kara-suu-/33117033.html: full text
Earlier source URLs not separately listed in this audit’s retrieval log (historical access notes below are not fresh verification):
https://www.iica.uz/en/news/2024/09/12/qorasu-chegara-posti-15-yildan-keyin-qayta-ochildi
https://kun.uz/en/news/2024/09/12/kara-suu-border-crossing-between-uzbekistan-and-kyrgyzstan-reopens-after-14-years-closure
https://24.kg/english/304865_Kara-Suu_checkpoint_opened_on_Kyrgyzstan_-_Uzbekistan_border/
https://www.gov.kg/ru/post/s/24530-kyrgyzstan-menen-ozbekstandyn-mamlekettik-cek-arasyndagy-kara-suu-unaazol-kozomoldoo-otkoruu-punktu-kairadan-iske-kirgizildi
Earlier recorded access
Source 1: full; full text
Source 2: full; full text
Source 3: full text</x:v>
      </x:c>
      <x:c r="P370" s="20" t="n">
        <x:v>1</x:v>
      </x:c>
      <x:c r="Q370" s="4" t="str">
        <x:v>Central Asia and Caucasus</x:v>
      </x:c>
      <x:c r="R370" s="4" t="str">
        <x:v>Included</x:v>
      </x:c>
    </x:row>
    <x:row r="371" ht="409" hidden="0" customHeight="1">
      <x:c r="A371" s="16" t="str">
        <x:v>R2-EA-013</x:v>
      </x:c>
      <x:c r="B371" s="4" t="str">
        <x:v>Mong Cai–Dongxing ordinary passenger pandemic suspension</x:v>
      </x:c>
      <x:c r="C371" s="4" t="str">
        <x:v>Vietnam; China</x:v>
      </x:c>
      <x:c r="D371" s="4" t="str">
        <x:v>Mong Cai–Dongxing international passenger crossing</x:v>
      </x:c>
      <x:c r="E371" s="4" t="str">
        <x:v>Ordinary cross-border passengers; not cargo.
Direction: Bilateral passenger processing.
Exceptions: Home-return access preceded February endpoint; group tours resumed later. Valid travel and health documents required.</x:v>
      </x:c>
      <x:c r="F371" s="4" t="str">
        <x:v>R2-EA-013-R1 — Formal policy
Mong Cai–Dongxing, ordinary individual visitors excluded while citizens' home returns allowed
Start: 2023-01-08.
Policy endpoint: 2023-02-21.
Formal policy: 44 calendar-day difference; operational continuity not established
R2-EA-013-R2 — Formal policy
Mong Cai–Dongxing, organised tourist groups excluded while individual entry/exit allowed
Start: 2023-02-21.
Policy endpoint: 2023-03-15.
Formal policy: 22 calendar-day difference; operational continuity not established</x:v>
      </x:c>
      <x:c r="G37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71" s="4" t="str">
        <x:v>R2-EA-013-R1: January 8 repatriation phase, not original pandemic onset. Individual permissions start February 21 at 07:00 Vietnam time; travel documents and health conditions remain. Provincial direct open timed out; official indexed text inspected.
R2-EA-013-R2: Organised Chinese outbound group tours to Vietnam start March 15, with arrivals observed that morning. Endpoint is category relaxation, not all-day closure; exact first group crossing time unavailable. Individuals already permitted.</x:v>
      </x:c>
      <x:c r="I371" s="4" t="str">
        <x:v>Second full-register audit, 26 October 2026: qualified. The two 2023 passenger-permission phases match official-source reporting; January 8 is a limited return-home stage, not the 2020 closure onset.</x:v>
      </x:c>
      <x:c r="J371" s="18" t="d">
        <x:v>2026-10-26T00:00:00.000Z</x:v>
      </x:c>
      <x:c r="K371" s="21" t="str">
        <x:f>IFERROR(HYPERLINK("https://www.quangninh.gov.vn/Sites/en-us/Trang/ChiTietTinTuc.aspx?nid=6251","Quang Ninh provincial government"),"Quang Ninh provincial government")</x:f>
        <x:v>Quang Ninh provincial government</x:v>
      </x:c>
      <x:c r="L371" s="21" t="str">
        <x:f>IFERROR(HYPERLINK("https://en.nhandan.vn/mong-cai-dongxing-international-border-gate-resumes-entry-exit-activities-post122731.html","Nhan Dan / VNA"),"Nhan Dan / VNA")</x:f>
        <x:v>Nhan Dan / VNA</x:v>
      </x:c>
      <x:c r="M371" s="21" t="str">
        <x:f>IFERROR(HYPERLINK("https://mongcai.gov.vn/vi-vn/tin/khoi-phuc-hoat-dong-xuat-nhap-canh-qua-cap-cua-khau-mong-caidong-hung-p24021-c58053-n702279","Mong Cai government"),"Mong Cai government")</x:f>
        <x:v>Mong Cai government</x:v>
      </x:c>
      <x:c r="N371" s="4" t="str">
        <x:v>https://www.quangninh.gov.vn/Sites/en-us/Trang/ChiTietTinTuc.aspx?nid=6251
https://en.nhandan.vn/mong-cai-dongxing-international-border-gate-resumes-entry-exit-activities-post122731.html
https://mongcai.gov.vn/vi-vn/tin/khoi-phuc-hoat-dong-xuat-nhap-canh-qua-cap-cua-khau-mong-caidong-hung-p24021-c58053-n702279
https://en.vietnamplus.vn/mong-cai-dongxing-international-border-gate-resumes-entry-exit-activities-post248687.vnp
https://vietnamnet.vn/en/vietnam-news-headlines-february-21-2023-2112638.html
https://en.vietnamplus.vn/mong-cai-intl-border-gate-welcomes-first-foreign-tourist-group-post-covid-19-post249901.vnp
https://mongcai.gov.vn/vi-vn/tin/ngay-dau-khoi-phuc-hoat-dong-co-333-nguoi-xuat-nhap-canh-qua-cua-khau-quoc-te-mong-cai-p475179-c58053-n279384</x:v>
      </x:c>
      <x:c r="O371" s="4" t="str">
        <x:v>Second full-register audit source access, 26 October 2026
https://en.vietnamplus.vn/mong-cai-intl-border-gate-welcomes-first-foreign-tourist-group-post-covid-19-post249901.vnp: full text (fresh retrieval) — Group-tour cohort is Chinese visitors entering Vietnam.
https://en.vietnamplus.vn/mong-cai-dongxing-international-border-gate-resumes-entry-exit-activities-post248687.vnp: full text (previously retrieved text re-examined) — Cached actual article inspected; applicants/entrants and permission dates distinguished.
Earlier URLs not separately inspected in this second assessment:
https://www.quangninh.gov.vn/Sites/en-us/Trang/ChiTietTinTuc.aspx?nid=6251
https://en.nhandan.vn/mong-cai-dongxing-international-border-gate-resumes-entry-exit-activities-post122731.html
https://mongcai.gov.vn/vi-vn/tin/khoi-phuc-hoat-dong-xuat-nhap-canh-qua-cap-cua-khau-mong-caidong-hung-p24021-c58053-n702279
https://vietnamnet.vn/en/vietnam-news-headlines-february-21-2023-2112638.html
https://mongcai.gov.vn/vi-vn/tin/ngay-dau-khoi-phuc-hoat-dong-co-333-nguoi-xuat-nhap-canh-qua-cua-khau-quoc-te-mong-cai-p475179-c58053-n279384
Prior audit access record
Full-register audit source access (evidence cutoff 25 October 2026)
https://en.vietnamplus.vn/mong-cai-dongxing-international-border-gate-resumes-entry-exit-activities-post248687.vnp: full text — See specific claim qualifications.
https://en.vietnamplus.vn/mong-cai-intl-border-gate-welcomes-first-foreign-tourist-group-post-covid-19-post249901.vnp: full text — See specific claim qualifications.
Earlier source URLs not separately listed in this audit’s retrieval log (historical access notes below are not fresh verification):
https://www.quangninh.gov.vn/Sites/en-us/Trang/ChiTietTinTuc.aspx?nid=6251
https://en.nhandan.vn/mong-cai-dongxing-international-border-gate-resumes-entry-exit-activities-post122731.html
https://mongcai.gov.vn/vi-vn/tin/khoi-phuc-hoat-dong-xuat-nhap-canh-qua-cap-cua-khau-mong-caidong-hung-p24021-c58053-n702279
https://vietnamnet.vn/en/vietnam-news-headlines-february-21-2023-2112638.html
https://mongcai.gov.vn/vi-vn/tin/ngay-dau-khoi-phuc-hoat-dong-co-333-nguoi-xuat-nhap-canh-qua-cua-khau-quoc-te-mong-cai-p475179-c58053-n279384
Earlier recorded access
Source 1: indexed excerpt
Source 2: indexed excerpt
Source 3: indexed excerpt</x:v>
      </x:c>
      <x:c r="P371" s="20" t="n">
        <x:v>2</x:v>
      </x:c>
      <x:c r="Q371" s="4" t="str">
        <x:v>East and Southeast Asia and Oceania</x:v>
      </x:c>
      <x:c r="R371" s="4" t="str">
        <x:v>Included</x:v>
      </x:c>
    </x:row>
    <x:row r="372" ht="409" hidden="0" customHeight="1">
      <x:c r="A372" s="16" t="str">
        <x:v>R2-EA-002</x:v>
      </x:c>
      <x:c r="B372" s="4" t="str">
        <x:v>Thai same-day Three Pagodas local crossing closure</x:v>
      </x:c>
      <x:c r="C372" s="4" t="str">
        <x:v>Thailand; Myanmar</x:v>
      </x:c>
      <x:c r="D372" s="4" t="str">
        <x:v>Three Pagodas local crossing area; exact points not itemised</x:v>
      </x:c>
      <x:c r="E372" s="4" t="str">
        <x:v>Local cross-border movement.
Direction: Unknown.
Exceptions: Other informal crossing routes remained open according to IMNA; exact route of reported same-day reopening unknown.</x:v>
      </x:c>
      <x:c r="F372" s="4" t="str">
        <x:v>No admissible dated phase. Duration and reopening remain unresolved.</x:v>
      </x:c>
      <x:c r="G372" s="4" t="str">
        <x:v>Security / Smuggling and illicit trafficking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Territorial and frontier disputes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372" s="4" t="str">
        <x:v>The Irrawaddy reports Thai authorities closed local routes on Tuesday February 25 2020 and reopened them later that day, but does not identify the exact gate. IMNA separately dates concrete barriers at the Thai BGF checkpoint to February 25 at 10:00 and reports that checkpoint still blocked when the Myanmar Nyaung Ben Dout gate reopened on March 3. These may be different routes or conflicting accounts; their identity remains unresolved. Do not assign the Myanmar worker-gate reopening to the Thai BGF checkpoint or treat the latter as a same-day closure. Other informal routes remained passable. No combined duration or continuous border-wide closure is established.</x:v>
      </x:c>
      <x:c r="I372" s="4" t="str">
        <x:v>Second full-register audit, 26 October 2026: qualified. The two accounts still cannot be reconciled to one Thai checkpoint: unnamed same-day reopening and persistent named BGF barriers must remain separate.</x:v>
      </x:c>
      <x:c r="J372" s="18" t="d">
        <x:v>2026-10-26T00:00:00.000Z</x:v>
      </x:c>
      <x:c r="K372" s="21" t="str">
        <x:f>IFERROR(HYPERLINK("https://monnews.org/2020/02/28/two-illegal-border-gates-in-three-pagodas-pass-closed/","Independent Mon News Agency"),"Independent Mon News Agency")</x:f>
        <x:v>Independent Mon News Agency</x:v>
      </x:c>
      <x:c r="L372" s="21" t="str">
        <x:f>IFERROR(HYPERLINK("https://www.bnionline.net/en/news/three-pagoda-pass-thai-myanmar-border-reopened","BNI / IMNA"),"BNI / IMNA")</x:f>
        <x:v>BNI / IMNA</x:v>
      </x:c>
      <x:c r="M372" s="21" t="str">
        <x:f>IFERROR(HYPERLINK("https://www.irrawaddy.com/news/burma/myanmar-authorities-close-thai-border-1000s-unable-work-textile-factories.html","Irrawaddy"),"Irrawaddy")</x:f>
        <x:v>Irrawaddy</x:v>
      </x:c>
      <x:c r="N372" s="4" t="str">
        <x:v>https://monnews.org/2020/02/28/two-illegal-border-gates-in-three-pagodas-pass-closed/
https://www.bnionline.net/en/news/three-pagoda-pass-thai-myanmar-border-reopened
https://www.irrawaddy.com/news/burma/myanmar-authorities-close-thai-border-1000s-unable-work-textile-factories.html
https://www.bnionline.net/en/news/two-illegal-border-gates-three-pagodas-pass-closed
https://monnews.org/2020/03/03/three-pagoda-pass-thai-myanmar-border-reopened/</x:v>
      </x:c>
      <x:c r="O372" s="4" t="str">
        <x:v>Second full-register audit source access, 26 October 2026
https://www.irrawaddy.com/news/burma/myanmar-authorities-close-thai-border-1000s-unable-work-textile-factories.html: full text (fresh retrieval) — Unnamed Thai routes must not be conflated with the Myanmar gate.
https://monnews.org/2020/03/03/three-pagoda-pass-thai-myanmar-border-reopened/: search extract (fresh retrieval) — Direct original fetch 403. Indexed original establishes March 3; BNI March 4 is a reprint.
https://www.bnionline.net/en/news/two-illegal-border-gates-three-pagodas-pass-closed: full text (previously retrieved text re-examined) — Cached actual full article inspected; same IMNA reporting lineage.
Earlier URLs not separately inspected in this second assessment:
https://monnews.org/2020/02/28/two-illegal-border-gates-in-three-pagodas-pass-closed/
https://www.bnionline.net/en/news/three-pagoda-pass-thai-myanmar-border-reopened
Prior audit access record
Full-register audit source access (evidence cutoff 25 October 2026)
https://www.irrawaddy.com/news/burma/myanmar-authorities-close-thai-border-1000s-unable-work-textile-factories.html: full text — See specific claim qualifications.
https://www.bnionline.net/en/news/three-pagoda-pass-thai-myanmar-border-reopened: full text — Reprint of March 3 original; relative early-this-morning text must be anchored to original publication.
https://www.bnionline.net/en/news/two-illegal-border-gates-three-pagodas-pass-closed: full text — Reprint of February 28 original, same source lineage.
https://monnews.org/2020/03/03/three-pagoda-pass-thai-myanmar-border-reopened/: search extract — Substantial indexed original inspected; direct fetch forbidden 403.
https://monnews.org/2020/02/28/two-illegal-border-gates-in-three-pagodas-pass-closed/: search extract — Substantial indexed original inspected; direct fetch forbidden 403.
Earlier recorded access
Source 1: indexed excerpt
Source 2: indexed excerpt; full
Source 3: full</x:v>
      </x:c>
      <x:c r="P372" s="20" t="n">
        <x:v>0</x:v>
      </x:c>
      <x:c r="Q372" s="4" t="str">
        <x:v>East and Southeast Asia and Oceania</x:v>
      </x:c>
      <x:c r="R372" s="4" t="str">
        <x:v>Included</x:v>
      </x:c>
    </x:row>
    <x:row r="373" ht="409" hidden="0" customHeight="1">
      <x:c r="A373" s="16" t="str">
        <x:v>R2-EA-001</x:v>
      </x:c>
      <x:c r="B373" s="4" t="str">
        <x:v>Myanmar blocks Three Pagodas local workers during border dispute</x:v>
      </x:c>
      <x:c r="C373" s="4" t="str">
        <x:v>Myanmar; Thailand</x:v>
      </x:c>
      <x:c r="D373" s="4" t="str">
        <x:v>Three Pagodas / Payathonzu local crossings; reopening evidenced specifically at Nyaung Ben Dout</x:v>
      </x:c>
      <x:c r="E373" s="4" t="str">
        <x:v>Local workers and traders.
Direction: Myanmar residents departing for Thailand.
Exceptions: Schoolchildren permitted on February 28.</x:v>
      </x:c>
      <x:c r="F373" s="4" t="str">
        <x:v>R2-EA-001-D1 — Observed operation
Myanmar adult workers departing for Thailand through Nyaung Ben Dout
Start: 2020-02-26.
Observed scoped reopening: 2020-03-03.
6 calendar-day difference; scoped endpoint only</x:v>
      </x:c>
      <x:c r="G373" s="4" t="str">
        <x:v>Interstate disputes and pressure / Territorial and frontier disputes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Security / Unspecified security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373" s="4" t="str">
        <x:v>R2-EA-001-D1: Original publication date governs the same-origin report. Adult-worker Myanmar gate scope excludes schoolchildren, other informal routes and the still-blocked Thai BGF checkpoint.</x:v>
      </x:c>
      <x:c r="I373" s="4" t="str">
        <x:v>Second full-register audit, 26 October 2026: qualified. The Myanmar adult-worker closure at Nyaung Ben Dout is supported from February 26 to March 3, 2020; nearby Thai barriers were a separate restriction.</x:v>
      </x:c>
      <x:c r="J373" s="18" t="d">
        <x:v>2026-10-26T00:00:00.000Z</x:v>
      </x:c>
      <x:c r="K373" s="21" t="str">
        <x:f>IFERROR(HYPERLINK("https://www.irrawaddy.com/news/burma/myanmar-authorities-close-thai-border-1000s-unable-work-textile-factories.html","The Irrawaddy"),"The Irrawaddy")</x:f>
        <x:v>The Irrawaddy</x:v>
      </x:c>
      <x:c r="L373" s="21" t="str">
        <x:f>IFERROR(HYPERLINK("https://www.bnionline.net/en/news/three-pagoda-pass-thai-myanmar-border-reopened","Burma News International"),"Burma News International")</x:f>
        <x:v>Burma News International</x:v>
      </x:c>
      <x:c r="M373" s="21" t="str">
        <x:f>IFERROR(HYPERLINK("https://www.bnionline.net/en/news/two-illegal-border-gates-three-pagodas-pass-closed","BNI / Independent Mon News Agency"),"BNI / Independent Mon News Agency")</x:f>
        <x:v>BNI / Independent Mon News Agency</x:v>
      </x:c>
      <x:c r="N373" s="4" t="str">
        <x:v>https://www.irrawaddy.com/news/burma/myanmar-authorities-close-thai-border-1000s-unable-work-textile-factories.html
https://www.bnionline.net/en/news/three-pagoda-pass-thai-myanmar-border-reopened
https://www.bnionline.net/en/news/two-illegal-border-gates-three-pagodas-pass-closed
https://monnews.org/2020/03/03/three-pagoda-pass-thai-myanmar-border-reopened/
https://monnews.org/2020/02/28/two-illegal-border-gates-in-three-pagodas-pass-closed/</x:v>
      </x:c>
      <x:c r="O373" s="4" t="str">
        <x:v>Second full-register audit source access, 26 October 2026
https://www.irrawaddy.com/news/burma/myanmar-authorities-close-thai-border-1000s-unable-work-textile-factories.html: full text (fresh retrieval) — Unnamed Thai routes must not be conflated with the Myanmar gate.
https://monnews.org/2020/03/03/three-pagoda-pass-thai-myanmar-border-reopened/: search extract (fresh retrieval) — Direct original fetch 403. Indexed original establishes March 3; BNI March 4 is a reprint.
https://www.bnionline.net/en/news/two-illegal-border-gates-three-pagodas-pass-closed: full text (previously retrieved text re-examined) — Cached actual full article inspected; same IMNA reporting lineage.
Earlier URLs not separately inspected in this second assessment:
https://www.bnionline.net/en/news/three-pagoda-pass-thai-myanmar-border-reopened
https://monnews.org/2020/02/28/two-illegal-border-gates-in-three-pagodas-pass-closed/
Prior audit access record
Full-register audit source access (evidence cutoff 25 October 2026)
https://www.irrawaddy.com/news/burma/myanmar-authorities-close-thai-border-1000s-unable-work-textile-factories.html: full text — See specific claim qualifications.
https://www.bnionline.net/en/news/three-pagoda-pass-thai-myanmar-border-reopened: full text — Reprint of March 3 original; relative early-this-morning text must be anchored to original publication.
https://www.bnionline.net/en/news/two-illegal-border-gates-three-pagodas-pass-closed: full text — Reprint of February 28 original, same source lineage.
https://monnews.org/2020/03/03/three-pagoda-pass-thai-myanmar-border-reopened/: search extract — Substantial indexed original inspected; direct fetch forbidden 403.
https://monnews.org/2020/02/28/two-illegal-border-gates-in-three-pagodas-pass-closed/: search extract — Substantial indexed original inspected; direct fetch forbidden 403.
Earlier recorded access
Source 1: full page
Source 2: full page
Source 3: full relevant article text</x:v>
      </x:c>
      <x:c r="P373" s="20" t="n">
        <x:v>1</x:v>
      </x:c>
      <x:c r="Q373" s="4" t="str">
        <x:v>East and Southeast Asia and Oceania</x:v>
      </x:c>
      <x:c r="R373" s="4" t="str">
        <x:v>Included</x:v>
      </x:c>
    </x:row>
    <x:row r="374" ht="409" hidden="0" customHeight="1">
      <x:c r="A374" s="16" t="str">
        <x:v>R2-EA-005</x:v>
      </x:c>
      <x:c r="B374" s="4" t="str">
        <x:v>Myanmar suspends foreign visitor entry at land checkpoints</x:v>
      </x:c>
      <x:c r="C374" s="4" t="str">
        <x:v>Myanmar; China; India; Bangladesh; Thailand; Laos</x:v>
      </x:c>
      <x:c r="D374" s="4" t="str">
        <x:v>All open land checkpoints with neighbouring countries</x:v>
      </x:c>
      <x:c r="E374" s="4" t="str">
        <x:v>Foreign nationals holding entry visas; not a general goods embargo.
Direction: Foreign entry prohibited; visa-holding foreigners directed to designated airports for entry/exit.
Exceptions: Local border populations retained entry and exit, subject to health screening.</x:v>
      </x:c>
      <x:c r="F374" s="4" t="str">
        <x:v>R2-EA-005-FU1 — Formal policy
Open Myanmar border checkpoints with neighbouring countries: national suspension of ordinary foreign entry.
Formal effective start: 2020-03-19, explicitly reported by the Ministry of Information.
Last initial-policy confirmation: 2020-03-19.
Partial later-access bound: 2023-03-07, when passport/visa entry including third-country visitors resumed at Kawthoung–Ranong. This bounds the original blanket restriction, not every frontier or a nationwide repeal.
Numeric duration withheld: uninterrupted nationwide operation is not established.</x:v>
      </x:c>
      <x:c r="G37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74" s="4" t="str">
        <x:v>The Ministry of Information explicitly gives March 19, 2020 as the policy start; the Foreign Ministry notice supports foreign-entry scope and local border-population exceptions. This is a formal effective date, not observation at every gate.
Eleven Media reports passport and visa passage at Kawthoung–Ranong from March 7, 2023, including third-country visitors. The blanket suspension therefore no longer described all Myanmar border checkpoints by that date. A nationwide repeal and complete operational chronology remain unknown. Do not infer uninterrupted nationwide closure between these dates.
The official eVisa FAQ lists Kawthaung as an eligible entry point. September 2026 state reporting distinguishes Tachilek’s subsequent June 2023 scam-control restriction from qualified package-tour access. Those narrower regimes are not continuation of the original COVID blanket suspension.
A tour operator’s firsthand account also documents crossing the Mae Sai–Tachileik Friendship Bridge on March 10, 2023 using a passport and day-entry permit. This establishes limited visitor access at that land bridge by that date; it does not establish ordinary visa access nationwide, the first reopening day or repeal of the March 2020 notice.</x:v>
      </x:c>
      <x:c r="I374" s="4" t="str">
        <x:v>Second full-register audit, 26 October 2026: additional source-audited corrections incorporated. See the phase, scope and qualification columns for the accepted findings.</x:v>
      </x:c>
      <x:c r="J374" s="18" t="d">
        <x:v>2026-10-26T00:00:00.000Z</x:v>
      </x:c>
      <x:c r="K374" s="21" t="str">
        <x:f>IFERROR(HYPERLINK("https://www.mofa.gov.mm/notification-on-temporary-suspension-of-entry-of-foreign-nationals-with-entry-visa-through-border-check-points/","Myanmar MOFA"),"Myanmar MOFA")</x:f>
        <x:v>Myanmar MOFA</x:v>
      </x:c>
      <x:c r="L374" s="21" t="str">
        <x:f>IFERROR(HYPERLINK("https://www.moi.gov.mm/moi:eng/news/952","Myanmar MOI / GNLM"),"Myanmar MOI / GNLM")</x:f>
        <x:v>Myanmar MOI / GNLM</x:v>
      </x:c>
      <x:c r="M374" s="21" t="str">
        <x:f>IFERROR(HYPERLINK("https://mdn.gov.mm/index.php/en/tachilek-opens-third-country-tourists-package-trips","Myanmar Digital News"),"Myanmar Digital News")</x:f>
        <x:v>Myanmar Digital News</x:v>
      </x:c>
      <x:c r="N374" s="4" t="str">
        <x:v>https://www.mofa.gov.mm/notification-on-temporary-suspension-of-entry-of-foreign-nationals-with-entry-visa-through-border-check-points/
https://www.moi.gov.mm/moi:eng/news/952
https://mdn.gov.mm/index.php/en/tachilek-opens-third-country-tourists-package-trips
https://www.nationthailand.com/thailand/general/40025038
https://mdn.gov.mm/index.php/my/node/212651
https://elevenmyanmar.com/news/myanmar-reopens-kawthoung-ranong-border-gate-as-international-gateway
https://evisa.moip.gov.mm/common-items/faq
https://mdn.gov.mm/en/tachilek-opens-third-country-tourists-package-trips
https://www.chiangmai-alacarte.com/blog/return-to-tachileik-in-myanmar/</x:v>
      </x:c>
      <x:c r="O374" s="4" t="str">
        <x:v>Second full-register audit source access, 26 October 2026
https://www.mofa.gov.mm/notification-on-temporary-suspension-of-entry-of-foreign-nationals-with-entry-visa-through-border-check-points/: full text (fresh retrieval) — Formal notice, not every-gate operational observation.
https://www.moi.gov.mm/moi:eng/news/952: full text (previously retrieved text re-examined) — Cached actual text inspected; explicit effective date.
https://elevenmyanmar.com/news/myanmar-reopens-kawthoung-ranong-border-gate-as-international-gateway: full text (fresh retrieval) — Specific gate; permission and observed travellers, not nationwide repeal.
https://evisa.moip.gov.mm/common-items/faq: search extract (fresh retrieval) — Undated current FAQ; direct fetch returned no text.
https://mdn.gov.mm/en/tachilek-opens-third-country-tourists-package-trips: full text (fresh retrieval) — World Tourism Day year unspecified; current exceptions cannot be backdated.
https://www.chiangmai-alacarte.com/blog/return-to-tachileik-in-myanmar/: full text (fresh retrieval) — Firsthand account with later page updates. Day permit only; nationality not independently established; longer-visa speculation excluded.
Earlier URLs not separately inspected in this second assessment:
https://mdn.gov.mm/index.php/en/tachilek-opens-third-country-tourists-package-trips
https://www.nationthailand.com/thailand/general/40025038
https://mdn.gov.mm/index.php/my/node/212651
Prior audit access record
Full-register audit source access (evidence cutoff 25 October 2026)
https://www.mofa.gov.mm/notification-on-temporary-suspension-of-entry-of-foreign-nationals-with-entry-visa-through-border-check-points/: full text — See specific claim qualifications.
https://www.moi.gov.mm/moi:eng/news/952: full text — See specific claim qualifications.
https://elevenmyanmar.com/news/myanmar-reopens-kawthoung-ranong-border-gate-as-international-gateway: full text — See specific claim qualifications.
https://evisa.moip.gov.mm/common-items/faq: search extract — Direct page had no extractable text; indexed official FAQ inspected. Current eligibility is not historical continuity.
https://mdn.gov.mm/index.php/en/tachilek-opens-third-country-tourists-package-trips: full text — See specific claim qualifications.
Earlier source URLs not separately listed in this audit’s retrieval log (historical access notes below are not fresh verification):
https://www.nationthailand.com/thailand/general/40025038
https://mdn.gov.mm/index.php/my/node/212651
Earlier recorded access
Source 1: indexed excerpt
Source 2: full
Source 3: indexed excerpt; full</x:v>
      </x:c>
      <x:c r="P374" s="20" t="n">
        <x:v>1</x:v>
      </x:c>
      <x:c r="Q374" s="4" t="str">
        <x:v>East and Southeast Asia and Oceania</x:v>
      </x:c>
      <x:c r="R374" s="4" t="str">
        <x:v>Included</x:v>
      </x:c>
    </x:row>
    <x:row r="375" ht="409" hidden="0" customHeight="1">
      <x:c r="A375" s="16" t="str">
        <x:v>R2-EA-012</x:v>
      </x:c>
      <x:c r="B375" s="4" t="str">
        <x:v>Singapore COVID short-term visitor land-entry restrictions</x:v>
      </x:c>
      <x:c r="C375" s="4" t="str">
        <x:v>Singapore; Malaysia</x:v>
      </x:c>
      <x:c r="D375" s="4" t="str">
        <x:v>Singapore land frontier with Malaysia: Woodlands and Tuas</x:v>
      </x:c>
      <x:c r="E375" s="4" t="str">
        <x:v>Short-term visitors and non-essential work-pass entrants.
Direction: Entry into Singapore; not a Singapore exit prohibition.
Exceptions: Residents and approved essential workers; goods facilitated. Limited travel channels preceded broad vaccinated reopening.</x:v>
      </x:c>
      <x:c r="F375" s="4" t="str">
        <x:v>R2-EA-012-AUDIT20261025-1 — Formal policy
Short-term visitors prohibited from entry and transit into Singapore, including land admission, under the Ministry of Health announcement.
Start: 2020-03-23 at 23:59. Endpoint unknown for this original all-origin policy.
Citizens, permanent residents and permitted long-term-pass holders retain conditioned return channels; essential-work admission is restricted and goods transport facilitated. Later route-specific exceptions prevent a single continuous all-visitor closure interval. Numeric duration withheld.
Later scoped relaxation: from 2022-03-31 at 23:59, fully vaccinated travellers and children aged 12 or below regardless of vaccination were permitted to enter via the land border, including private vehicles. Actual broader traveller clearance at Woodlands and Tuas is confirmed on 2022-04-01. This is a later access bound for eligible travellers, not proof of uninterrupted all-visitor closure since March 2020 or the first earlier exception.
R2-EA-012-R1 — Formal policy
Designated VTL land buses into Singapore: Malaysian short-term visitors without Singapore residence/long-term-pass eligibility
Start: 2021-11-29.
Policy endpoint: 2021-12-20.
Formal policy: 21 calendar-day difference; operational continuity not established</x:v>
      </x:c>
      <x:c r="G37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75" s="4" t="str">
        <x:v>R2-EA-012-R1: Only VTL route eligibility; other approved Safe Travel Lanes may exist. December 20 is announced effective permission, not first observed traveller.
The March 2020 initial visitor prohibition and November 2021 VTL eligibility window are distinct phases. The first policy’s complete exception and amendment chain is not reconstructed; no continuous 2020–2022 duration is inferred.
The March 24, 2022 trade ministry announcement broadens land entry from March 31 at 23:59 for fully vaccinated travellers and children aged 12 or below. ICA reports more than 11,000 travellers cleared at Woodlands and Tuas by 07:00 on April 1. The total is not broken down by immigration category or direction. Travel-document requirements and specified work-pass approvals remained; this is scoped easing, not removal of every entry condition.</x:v>
      </x:c>
      <x:c r="I375" s="4" t="str">
        <x:v>Second full-register audit, 26 October 2026: additional source-audited corrections incorporated. See the phase, scope and qualification columns for the accepted findings.</x:v>
      </x:c>
      <x:c r="J375" s="18" t="d">
        <x:v>2026-10-26T00:00:00.000Z</x:v>
      </x:c>
      <x:c r="K375" s="21" t="str">
        <x:f>IFERROR(HYPERLINK("https://www.pmo.gov.sg/newsroom/singapore-and-malaysia-to-launch-vtl-land-nov-2021/","Singapore PMO"),"Singapore PMO")</x:f>
        <x:v>Singapore PMO</x:v>
      </x:c>
      <x:c r="L375" s="21" t="str">
        <x:f>IFERROR(HYPERLINK("https://amcham.com.my/wp-content/uploads/MEDIA-RELEASE_ALL-CATEGORIES-OF-TRAVELLERS-WHO-ARE-MALAYSIAN-AND-SINGAPOREAN-CITIZENS-AND-PERMANENT-RESIDENTS-WILL-BE-ELIGIBLE-UNDER-VTL-LAND-EFFECTIVE-20-DECEMBER-2021_FINAL_14-DECEMBER-2021.pdf","Malaysia MITI"),"Malaysia MITI")</x:f>
        <x:v>Malaysia MITI</x:v>
      </x:c>
      <x:c r="M375" s="21" t="str">
        <x:f>IFERROR(HYPERLINK("https://www.miti.gov.my/index.php/pages/view/8230","miti.gov.my"),"miti.gov.my")</x:f>
        <x:v>miti.gov.my</x:v>
      </x:c>
      <x:c r="N375" s="4" t="str">
        <x:v>https://www.pmo.gov.sg/newsroom/singapore-and-malaysia-to-launch-vtl-land-nov-2021/
https://amcham.com.my/wp-content/uploads/MEDIA-RELEASE_ALL-CATEGORIES-OF-TRAVELLERS-WHO-ARE-MALAYSIAN-AND-SINGAPOREAN-CITIZENS-AND-PERMANENT-RESIDENTS-WILL-BE-ELIGIBLE-UNDER-VTL-LAND-EFFECTIVE-20-DECEMBER-2021_FINAL_14-DECEMBER-2021.pdf
https://www.miti.gov.my/index.php/pages/view/8230
https://www.moh.gov.sg/newsroom/additional-border-control-measures-to-reduce-further-importation-of-covid-19-cases/
https://www.ica.gov.sg/news-and-publications/newsroom/media-release/statement-on-clearance-of-travellers-for-land-border-reopening
https://www.mti.gov.sg/newsroom/written-reply-to-pq-on-vtl-1/
https://www.meti.gov.sg/newsroom/reopening-of-land-borders-between-singapore-and-malaysia-from-1-april-2022/
https://www.mti.gov.sg/-/media/MTI/Newsroom/Press-Releases/2021/12/Media-Statement-on-Update-to-VTL-Land-Categories-of-Travellers.pdf
https://www.channelnewsasia.com/singapore/singapore-malaysia-citizens-expanded-land-vtl-december-20-2378591</x:v>
      </x:c>
      <x:c r="O375" s="4" t="str">
        <x:v>Second full-register audit source access, 26 October 2026
https://www.pmo.gov.sg/newsroom/singapore-and-malaysia-to-launch-vtl-land-nov-2021/: full text (fresh retrieval)
https://amcham.com.my/wp-content/uploads/MEDIA-RELEASE_ALL-CATEGORIES-OF-TRAVELLERS-WHO-ARE-MALAYSIAN-AND-SINGAPOREAN-CITIZENS-AND-PERMANENT-RESIDENTS-WILL-BE-ELIGIBLE-UNDER-VTL-LAND-EFFECTIVE-20-DECEMBER-2021_FINAL_14-DECEMBER-2021.pdf: full text (previously retrieved text re-examined) — Cached actual official PDF inspected; announcement effective December 20.
https://www.moh.gov.sg/newsroom/additional-border-control-measures-to-reduce-further-importation-of-covid-19-cases/: full text (previously retrieved text re-examined) — Cached actual official text inspected.
https://www.ica.gov.sg/news-and-publications/newsroom/media-release/statement-on-clearance-of-travellers-for-land-border-reopening: full text (fresh retrieval) — Aggregate travellers; does not break down cohort or direction.
https://www.meti.gov.sg/newsroom/reopening-of-land-borders-between-singapore-and-malaysia-from-1-april-2022/: full text (fresh retrieval) — Effective March 31 at 23:59; specified work-pass approvals and ordinary documents remain.
Earlier URLs not separately inspected in this second assessment:
https://www.miti.gov.my/index.php/pages/view/8230
https://www.mti.gov.sg/newsroom/written-reply-to-pq-on-vtl-1/
https://www.mti.gov.sg/-/media/MTI/Newsroom/Press-Releases/2021/12/Media-Statement-on-Update-to-VTL-Land-Categories-of-Travellers.pdf
https://www.channelnewsasia.com/singapore/singapore-malaysia-citizens-expanded-land-vtl-december-20-2378591
Prior audit access record
Full-register audit source access (evidence cutoff 25 October 2026)
https://www.pmo.gov.sg/newsroom/singapore-and-malaysia-to-launch-vtl-land-nov-2021/: full text — Claim scope as stated
https://amcham.com.my/wp-content/uploads/MEDIA-RELEASE_ALL-CATEGORIES-OF-TRAVELLERS-WHO-ARE-MALAYSIAN-AND-SINGAPOREAN-CITIZENS-AND-PERMANENT-RESIDENTS-WILL-BE-ELIGIBLE-UNDER-VTL-LAND-EFFECTIVE-20-DECEMBER-2021_FINAL_14-DECEMBER-2021.pdf: full text — Claim scope as stated
https://www.moh.gov.sg/newsroom/additional-border-control-measures-to-reduce-further-importation-of-covid-19-cases/: full text — Claim scope as stated
Earlier source URLs not separately listed in this audit’s retrieval log (historical access notes below are not fresh verification):
https://www.miti.gov.my/index.php/pages/view/8230
https://www.ica.gov.sg/news-and-publications/newsroom/media-release/statement-on-clearance-of-travellers-for-land-border-reopening
https://www.mti.gov.sg/newsroom/written-reply-to-pq-on-vtl-1/
https://www.meti.gov.sg/newsroom/reopening-of-land-borders-between-singapore-and-malaysia-from-1-april-2022/
https://www.mti.gov.sg/-/media/MTI/Newsroom/Press-Releases/2021/12/Media-Statement-on-Update-to-VTL-Land-Categories-of-Travellers.pdf
https://www.channelnewsasia.com/singapore/singapore-malaysia-citizens-expanded-land-vtl-december-20-2378591
Earlier recorded access
Source 1: indexed excerpt; full
Source 2: full
Source 3: indexed excerpt</x:v>
      </x:c>
      <x:c r="P375" s="20" t="n">
        <x:v>2</x:v>
      </x:c>
      <x:c r="Q375" s="4" t="str">
        <x:v>East and Southeast Asia and Oceania</x:v>
      </x:c>
      <x:c r="R375" s="4" t="str">
        <x:v>Included</x:v>
      </x:c>
    </x:row>
    <x:row r="376" ht="409" hidden="0" customHeight="1">
      <x:c r="A376" s="16" t="str">
        <x:v>R2-EA-011</x:v>
      </x:c>
      <x:c r="B376" s="4" t="str">
        <x:v>NMSP reinforces closure of informal Three Pagodas returnee routes</x:v>
      </x:c>
      <x:c r="C376" s="4" t="str">
        <x:v>Myanmar; Thailand</x:v>
      </x:c>
      <x:c r="D376" s="4" t="str">
        <x:v>NMSP-controlled Three Pagodas-area routes including Palangjapan and Guu Bar</x:v>
      </x:c>
      <x:c r="E376" s="4" t="str">
        <x:v>Myanmar migrant returnees from Thailand.
Direction: Thailand to Myanmar.
Exceptions: Return redirected to Myawaddy; occasional negotiated entries preceded reinforcement.</x:v>
      </x:c>
      <x:c r="F376" s="4" t="str">
        <x:v>R2-EA-011-FU1 — Formal policy
NMSP-controlled Three Pagodas-area routes including Palangjapan and Guu Bar
Start: unknown.
Last confirmed: 2020-04-25. Reopening is not established.
Formal policy: dated evidence; numeric duration withheld; see qualification</x:v>
      </x:c>
      <x:c r="G37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76" s="4" t="str">
        <x:v>R2-EA-011-FU1: Formal policy observation on April 25, not first onset. Earlier crossings and negotiated entry are expressly reported; unknown end and operational continuity remain.
end: No same-route reopening established by fresh searches. A medical-checkpoint withdrawal is not proof of restoring returnee entry.
duration: April 25 keep-closed policy can be represented with unknown original onset; observed leakage and negotiated passage prohibit a continuous physical-closure duration.
Current onset finding: Irrawaddy quotes the April 25 NMSP instruction to keep crossings locked and redirect returnees to Myawaddy, while describing earlier illegal and negotiated crossings. The formal observation is supported; no continuous operational seal is proven.
Current continuity finding: Irrawaddy quotes the April 25 NMSP instruction to keep crossings locked and redirect returnees to Myawaddy, while describing earlier illegal and negotiated crossings. The formal observation is supported; no continuous operational seal is proven.</x:v>
      </x:c>
      <x:c r="I376" s="4" t="str">
        <x:v>Second full-register audit, 26 October 2026: qualified. The April 25 NMSP keep-closed instruction is supported, but neither later medical-checkpoint removal nor unrelated school reopening establishes reopening of the returnee routes.</x:v>
      </x:c>
      <x:c r="J376" s="18" t="d">
        <x:v>2026-10-26T00:00:00.000Z</x:v>
      </x:c>
      <x:c r="K376" s="21" t="str">
        <x:f>IFERROR(HYPERLINK("https://www.irrawaddy.com/news/burma/new-mon-state-party-agrees-close-thai-myanmar-border-crossings-curb-covid-19.html","The Irrawaddy"),"The Irrawaddy")</x:f>
        <x:v>The Irrawaddy</x:v>
      </x:c>
      <x:c r="L376" s="21" t="str">
        <x:f>IFERROR(HYPERLINK("https://monnews.org/2020/04/27/mon-state-govt-urges-nmsp-to-cooperate-in-response-to-covid-19-returnees-face-challenges-getting-to-their-home-communities/","IMNA"),"IMNA")</x:f>
        <x:v>IMNA</x:v>
      </x:c>
      <x:c r="M376" s="21" t="str">
        <x:f>IFERROR(HYPERLINK("https://monnews.org/2020/05/01/migrant-workers-re-entry-to-myanmar-now-restricted-to-help-contain-spread-of-c-19/","IMNA"),"IMNA")</x:f>
        <x:v>IMNA</x:v>
      </x:c>
      <x:c r="N376" s="4" t="str">
        <x:v>https://www.irrawaddy.com/news/burma/new-mon-state-party-agrees-close-thai-myanmar-border-crossings-curb-covid-19.html
https://monnews.org/2020/04/27/mon-state-govt-urges-nmsp-to-cooperate-in-response-to-covid-19-returnees-face-challenges-getting-to-their-home-communities/
https://monnews.org/2020/05/01/migrant-workers-re-entry-to-myanmar-now-restricted-to-help-contain-spread-of-c-19/
https://monnews.org/2020/05/16/tatmadaw-pressures-nmsp-to-withdraw-c-19-medical-checkpoint-near-tpp-border/</x:v>
      </x:c>
      <x:c r="O376" s="4" t="str">
        <x:v>Second full-register audit source access, 26 October 2026
https://www.irrawaddy.com/news/burma/new-mon-state-party-agrees-close-thai-myanmar-border-crossings-curb-covid-19.html: full text (fresh retrieval) — Formal statement and negotiated exceptions; not every-route observation.
https://monnews.org/2020/05/01/migrant-workers-re-entry-to-myanmar-now-restricted-to-help-contain-spread-of-c-19/: search extract (previously retrieved text re-examined) — Cached actual indexed article inspected; fresh direct fetch forbidden.
https://monnews.org/2020/05/16/tatmadaw-pressures-nmsp-to-withdraw-c-19-medical-checkpoint-near-tpp-border/: search extract (previously retrieved text re-examined) — Cached actual indexed article inspected; removal is a health checkpoint, not proven reopening.
Earlier URLs not separately inspected in this second assessment:
https://monnews.org/2020/04/27/mon-state-govt-urges-nmsp-to-cooperate-in-response-to-covid-19-returnees-face-challenges-getting-to-their-home-communities/
Prior audit access record
Full-register audit source access (evidence cutoff 25 October 2026)
https://www.irrawaddy.com/news/burma/new-mon-state-party-agrees-close-thai-myanmar-border-crossings-curb-covid-19.html: full text — See specific claim qualifications.
https://monnews.org/2020/05/01/migrant-workers-re-entry-to-myanmar-now-restricted-to-help-contain-spread-of-c-19/: search extract — See specific claim qualifications.
https://monnews.org/2020/05/16/tatmadaw-pressures-nmsp-to-withdraw-c-19-medical-checkpoint-near-tpp-border/: search extract — See specific claim qualifications.
Earlier source URLs not separately listed in this audit’s retrieval log (historical access notes below are not fresh verification):
https://monnews.org/2020/04/27/mon-state-govt-urges-nmsp-to-cooperate-in-response-to-covid-19-returnees-face-challenges-getting-to-their-home-communities/
Earlier recorded access
Source 1: full
Source 2: indexed excerpt; failed
Source 3: indexed excerpt</x:v>
      </x:c>
      <x:c r="P376" s="20" t="n">
        <x:v>1</x:v>
      </x:c>
      <x:c r="Q376" s="4" t="str">
        <x:v>East and Southeast Asia and Oceania</x:v>
      </x:c>
      <x:c r="R376" s="4" t="str">
        <x:v>Included</x:v>
      </x:c>
    </x:row>
    <x:row r="377" ht="409" hidden="0" customHeight="1">
      <x:c r="A377" s="16" t="str">
        <x:v>R2-EA-006</x:v>
      </x:c>
      <x:c r="B377" s="4" t="str">
        <x:v>Hekou blocks Vietnamese fresh-fruit imports in 2021</x:v>
      </x:c>
      <x:c r="C377" s="4" t="str">
        <x:v>China; Vietnam</x:v>
      </x:c>
      <x:c r="D377" s="4" t="str">
        <x:v>Hekou–Kim Thanh II road cargo crossing
Narrow calculable phase to refrigerated-container dragon fruit; preserve earlier small-truck fruit resumptions in chronology.</x:v>
      </x:c>
      <x:c r="E377" s="4" t="str">
        <x:v>Refrigerated-container dragon fruit is the calculated restricted cohort; other fruit, cargo and passenger movement are outside that interval.
Direction: Vietnam to China through Hekou–Kim Thanh II.
Exceptions and phased access: Small non-refrigerated fruit trucks were permitted earlier; banana trucks were observed August 29–31, 2021. January 12, 2022 restored limited refrigerated dragon-fruit clearance, not normal capacity.</x:v>
      </x:c>
      <x:c r="F377" s="4" t="str">
        <x:v>R2-EA-006-D1 — Observed operation
Vietnam-to-China refrigerated-container dragon-fruit imports at Hekou–Kim Thanh II; excludes small non-refrigerated fruit trucks and other cargo.
Start: 2021-07-18.
Observed scoped reopening: 2022-01-12.
178 calendar-day difference; scoped endpoint only</x:v>
      </x:c>
      <x:c r="G37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77" s="4" t="str">
        <x:v>R2-EA-006-D1: September 1 reported small non-refrigerated fruit access, including observed banana trucks August 29–31; those movements are excluded. Announced August 17 expiry was conditional, not an observed reopening. January 12 was a few trial clearances, not normal capacity.</x:v>
      </x:c>
      <x:c r="I377" s="4" t="str">
        <x:v>Second full-register audit, 26 October 2026: additional source-audited corrections incorporated. See the phase, scope and qualification columns for the accepted findings.</x:v>
      </x:c>
      <x:c r="J377" s="18" t="d">
        <x:v>2026-10-26T00:00:00.000Z</x:v>
      </x:c>
      <x:c r="K377" s="21" t="str">
        <x:f>IFERROR(HYPERLINK("https://en.vietnamplus.vn/china-reopens-one-more-border-gate-with-vietnam-for-fresh-fruit-imports-post220595.vnp","VietnamPlus"),"VietnamPlus")</x:f>
        <x:v>VietnamPlus</x:v>
      </x:c>
      <x:c r="L377" s="21" t="str">
        <x:f>IFERROR(HYPERLINK("https://tuoitre.vn/cua-khau-mong-cai-va-kim-thanh-chinh-thuc-thong-quan-tro-lai-mat-hang-thanh-long-20220113130524569.htm","Tuoi Tre"),"Tuoi Tre")</x:f>
        <x:v>Tuoi Tre</x:v>
      </x:c>
      <x:c r="M377" s="21" t="str">
        <x:f>IFERROR(HYPERLINK("https://tuoitre.vn/trung-quoc-khoi-phuc-nhap-khau-thanh-long-qua-cua-khau-lao-cai-20220112124059565.htm","Tuoi Tre"),"Tuoi Tre")</x:f>
        <x:v>Tuoi Tre</x:v>
      </x:c>
      <x:c r="N377" s="4" t="str">
        <x:v>https://en.vietnamplus.vn/china-reopens-one-more-border-gate-with-vietnam-for-fresh-fruit-imports-post220595.vnp
https://tuoitre.vn/cua-khau-mong-cai-va-kim-thanh-chinh-thuc-thong-quan-tro-lai-mat-hang-thanh-long-20220113130524569.htm
https://tuoitre.vn/trung-quoc-khoi-phuc-nhap-khau-thanh-long-qua-cua-khau-lao-cai-20220112124059565.htm
https://www.vietnamplus.vn/xuat-khau-thanh-long-qua-cua-khau-lao-cai-van-gap-kho-khan/768003.vnp
https://baoxaydung.vn/thuc-hu-thong-tin-34nhieu-xe-thanh-long-xuat-sang-trung-quoc34-tai-lao-cai-192539058.htm
https://tienphong.vn/trung-quoc-bat-dau-mo-cua-nho-giot-cho-thanh-long-chuoi-qua-cua-khau-lao-cai-post1371978.tpo
https://thuehaiquan.tapchikinhtetaichinh.vn/hai-quan-lao-cai-thong-quan-gan-400-nghin-tan-thanh-long-xuat-khau-124027.html
https://en.nhandan.vn/china-reopens-one-border-gate-with-vietnam-for-fresh-fruit-imports-post109598.html
https://www.producereport.com/article/chinas-hekou-land-port-reopens-vietnamese-fruit?qt-produce_marketplace=1
https://baochinhphu.vn/khuyen-cao-doanh-nghiep-ve-viec-xuat-khau-nong-san-qua-cac-cua-khau-102298075.htm
https://english.vov.vn/en/economy/local-fruit-exports-to-china-face-array-of-hurdles-881515.vov</x:v>
      </x:c>
      <x:c r="O377" s="4" t="str">
        <x:v>Second full-register audit source access, 26 October 2026
https://baochinhphu.vn/khuyen-cao-doanh-nghiep-ve-viec-xuat-khau-nong-san-qua-cac-cua-khau-102298075.htm: full text (fresh retrieval)
https://tienphong.vn/trung-quoc-bat-dau-mo-cua-nho-giot-cho-thanh-long-chuoi-qua-cua-khau-lao-cai-post1371978.tpo: full text (fresh retrieval)
https://www.vietnamplus.vn/xuat-khau-thanh-long-qua-cua-khau-lao-cai-van-gap-kho-khan/768003.vnp: full text (fresh retrieval)
https://tuoitre.vn/cua-khau-mong-cai-va-kim-thanh-chinh-thuc-thong-quan-tro-lai-mat-hang-thanh-long-20220113130524569.htm: full text (fresh retrieval)
Earlier URLs not separately inspected in this second assessment:
https://en.vietnamplus.vn/china-reopens-one-more-border-gate-with-vietnam-for-fresh-fruit-imports-post220595.vnp
https://tuoitre.vn/trung-quoc-khoi-phuc-nhap-khau-thanh-long-qua-cua-khau-lao-cai-20220112124059565.htm
https://baoxaydung.vn/thuc-hu-thong-tin-34nhieu-xe-thanh-long-xuat-sang-trung-quoc34-tai-lao-cai-192539058.htm
https://thuehaiquan.tapchikinhtetaichinh.vn/hai-quan-lao-cai-thong-quan-gan-400-nghin-tan-thanh-long-xuat-khau-124027.html
https://en.nhandan.vn/china-reopens-one-border-gate-with-vietnam-for-fresh-fruit-imports-post109598.html
https://www.producereport.com/article/chinas-hekou-land-port-reopens-vietnamese-fruit?qt-produce_marketplace=1
https://english.vov.vn/en/economy/local-fruit-exports-to-china-face-array-of-hurdles-881515.vov
Prior audit access record
Full-register audit source access (evidence cutoff 25 October 2026)
https://en.vietnamplus.vn/china-reopens-one-more-border-gate-with-vietnam-for-fresh-fruit-imports-post220595.vnp: full text
https://tuoitre.vn/cua-khau-mong-cai-va-kim-thanh-chinh-thuc-thong-quan-tro-lai-mat-hang-thanh-long-20220113130524569.htm: full text
https://tienphong.vn/trung-quoc-bat-dau-mo-cua-nho-giot-cho-thanh-long-chuoi-qua-cua-khau-lao-cai-post1371978.tpo: full text
https://www.vietnamplus.vn/xuat-khau-thanh-long-qua-cua-khau-lao-cai-van-gap-kho-khan/768003.vnp: full text
https://english.vov.vn/en/economy/local-fruit-exports-to-china-face-array-of-hurdles-881515.vov: full text
Earlier source URLs not separately listed in this audit’s retrieval log (historical access notes below are not fresh verification):
https://tuoitre.vn/trung-quoc-khoi-phuc-nhap-khau-thanh-long-qua-cua-khau-lao-cai-20220112124059565.htm
https://baoxaydung.vn/thuc-hu-thong-tin-34nhieu-xe-thanh-long-xuat-sang-trung-quoc34-tai-lao-cai-192539058.htm
https://thuehaiquan.tapchikinhtetaichinh.vn/hai-quan-lao-cai-thong-quan-gan-400-nghin-tan-thanh-long-xuat-khau-124027.html
https://en.nhandan.vn/china-reopens-one-border-gate-with-vietnam-for-fresh-fruit-imports-post109598.html
https://www.producereport.com/article/chinas-hekou-land-port-reopens-vietnamese-fruit?qt-produce_marketplace=1
https://baochinhphu.vn/khuyen-cao-doanh-nghiep-ve-viec-xuat-khau-nong-san-qua-cac-cua-khau-102298075.htm
Earlier recorded access
Source 1: full page
Source 2: full page
Source 3: full page</x:v>
      </x:c>
      <x:c r="P377" s="20" t="n">
        <x:v>1</x:v>
      </x:c>
      <x:c r="Q377" s="4" t="str">
        <x:v>East and Southeast Asia and Oceania</x:v>
      </x:c>
      <x:c r="R377" s="4" t="str">
        <x:v>Included</x:v>
      </x:c>
    </x:row>
    <x:row r="378" ht="402" hidden="0" customHeight="1">
      <x:c r="A378" s="16" t="str">
        <x:v>R2-EA-007</x:v>
      </x:c>
      <x:c r="B378" s="4" t="str">
        <x:v>Hekou–Kim Thanh COVID cargo suspension and differentiated reopening</x:v>
      </x:c>
      <x:c r="C378" s="4" t="str">
        <x:v>China; Vietnam</x:v>
      </x:c>
      <x:c r="D378" s="4" t="str">
        <x:v>Hekou–Kim Thanh II road crossing</x:v>
      </x:c>
      <x:c r="E378" s="4" t="str">
        <x:v>Initial Vietnamese-goods suspension; fresh agricultural produce restriction persisted after limited clearance of other cargo.
Direction: Primarily Vietnam-to-China imports; limited backlog processing had different scope.
Exceptions: Not established.</x:v>
      </x:c>
      <x:c r="F378" s="4" t="str">
        <x:v>R2-EA-007-D1 — Observed operation
New ordinary fresh-fruit/agricultural exports from Vietnam into China at Hekou–Kim Thanh II
Start: 2022-02-17 to 2022-02-18.
Observed scoped reopening: 2022-06-27.
129–130 calendar-day difference; scoped endpoint only</x:v>
      </x:c>
      <x:c r="G37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78" s="4" t="str">
        <x:v>R2-EA-007-D1: Excludes pre-cleared February 17 consignments and other cargo that resumed earlier. June 27 is limited pilot access, not normal all-goods restoration; the date range reflects documented category/day ambiguity, not blanket ±3-day precision.</x:v>
      </x:c>
      <x:c r="I378" s="4" t="str">
        <x:v>Second full-register audit, 26 October 2026: qualified. The February 17–18 to June 27, 2022 fresh-produce suspension remains correctly scoped; April clearance of older consignments is not the endpoint for new produce.</x:v>
      </x:c>
      <x:c r="J378" s="18" t="d">
        <x:v>2026-10-26T00:00:00.000Z</x:v>
      </x:c>
      <x:c r="K378" s="21" t="str">
        <x:f>IFERROR(HYPERLINK("https://baochinhphu.vn/trung-quoc-tam-ngung-nhap-khau-hang-hoa-qua-cua-khau-ha-khau-lao-cai-102220217170434898.htm","Vietnam Government News"),"Vietnam Government News")</x:f>
        <x:v>Vietnam Government News</x:v>
      </x:c>
      <x:c r="L378" s="21" t="str">
        <x:f>IFERROR(HYPERLINK("https://vtv.vn/kinh-te/cua-khau-kim-thanh-ii-thong-quan-tro-lai-20220410072718688.htm","VTV"),"VTV")</x:f>
        <x:v>VTV</x:v>
      </x:c>
      <x:c r="M378" s="21" t="str">
        <x:f>IFERROR(HYPERLINK("https://baochinhphu.vn/trung-quoc-thi-diem-nhap-khau-tro-lai-hoa-qua-tuoi-viet-nam-102220628081108434.htm","Vietnam Government News"),"Vietnam Government News")</x:f>
        <x:v>Vietnam Government News</x:v>
      </x:c>
      <x:c r="N378" s="4" t="str">
        <x:v>https://baochinhphu.vn/trung-quoc-tam-ngung-nhap-khau-hang-hoa-qua-cua-khau-ha-khau-lao-cai-102220217170434898.htm
https://vtv.vn/kinh-te/cua-khau-kim-thanh-ii-thong-quan-tro-lai-20220410072718688.htm
https://baochinhphu.vn/trung-quoc-thi-diem-nhap-khau-tro-lai-hoa-qua-tuoi-viet-nam-102220628081108434.htm
https://baolaocai.vn/tao-thuan-loi-trong-xuat-nhap-khau-post359659.html</x:v>
      </x:c>
      <x:c r="O378" s="4" t="str">
        <x:v>Second full-register audit source access, 26 October 2026
https://baochinhphu.vn/trung-quoc-thi-diem-nhap-khau-tro-lai-hoa-qua-tuoi-viet-nam-102220628081108434.htm: full text (fresh retrieval) — Pilot actual fresh-fruit clearance only.
https://baochinhphu.vn/trung-quoc-tam-ngung-nhap-khau-hang-hoa-qua-cua-khau-ha-khau-lao-cai-102220217170434898.htm: full text (previously retrieved text re-examined) — Cached actual text inspected; precleared-goods exception.
https://vtv.vn/kinh-te/cua-khau-kim-thanh-ii-thong-quan-tro-lai-20220410072718688.htm: full text (previously retrieved text re-examined) — Cached actual text inspected; backlog clearance differs from ordinary new imports.
Earlier URLs not separately inspected in this second assessment:
https://baolaocai.vn/tao-thuan-loi-trong-xuat-nhap-khau-post359659.html
Prior audit access record
Full-register audit source access (evidence cutoff 25 October 2026)
https://baochinhphu.vn/trung-quoc-tam-ngung-nhap-khau-hang-hoa-qua-cua-khau-ha-khau-lao-cai-102220217170434898.htm: full text — See specific claim qualifications.
https://vtv.vn/kinh-te/cua-khau-kim-thanh-ii-thong-quan-tro-lai-20220410072718688.htm: full text — See specific claim qualifications.
https://baochinhphu.vn/trung-quoc-thi-diem-nhap-khau-tro-lai-hoa-qua-tuoi-viet-nam-102220628081108434.htm: full text — See specific claim qualifications.
Earlier source URLs not separately listed in this audit’s retrieval log (historical access notes below are not fresh verification):
https://baolaocai.vn/tao-thuan-loi-trong-xuat-nhap-khau-post359659.html
Earlier recorded access
Source 1: full page
Source 2: full page
Source 3: full page</x:v>
      </x:c>
      <x:c r="P378" s="20" t="n">
        <x:v>1</x:v>
      </x:c>
      <x:c r="Q378" s="4" t="str">
        <x:v>East and Southeast Asia and Oceania</x:v>
      </x:c>
      <x:c r="R378" s="4" t="str">
        <x:v>Included</x:v>
      </x:c>
    </x:row>
    <x:row r="379" ht="409" hidden="0" customHeight="1">
      <x:c r="A379" s="16" t="str">
        <x:v>R2-EA-009</x:v>
      </x:c>
      <x:c r="B379" s="4" t="str">
        <x:v>Bac Phong Sinh–Li He customs suspension</x:v>
      </x:c>
      <x:c r="C379" s="4" t="str">
        <x:v>China; Vietnam</x:v>
      </x:c>
      <x:c r="D379" s="4" t="str">
        <x:v>Bac Phong Sinh (Vietnam)–Li He (China)</x:v>
      </x:c>
      <x:c r="E379" s="4" t="str">
        <x:v>Cargo customs clearance.
Direction: Both-way suspension reported; first observed trucks travelled China to Vietnam.
Exceptions: Not established.</x:v>
      </x:c>
      <x:c r="F379" s="4" t="str">
        <x:v>R2-EA-009-D1 — Observed operation
Bac Phong Sinh (Vietnam)–Li He (China); Cargo customs clearance.; Both-way suspension reported; first observed trucks travelled China to Vietnam.
Start: 2022-02-23 to 2022-02-24.
Observed scoped reopening: 2022-09-26.
214–215 calendar-day difference; scoped endpoint only
R2-EA-009-C3 — Announced window
Bac Phong Sinh–Li Huo cargo customs clearance scheduled suspension
Start: 2022-09-28.
Scheduled endpoint: 2022-10-08.
Last confirmed observation: 2022-09-28.
Ordered window: 10 calendar-day difference; exact actual reopening unestablished.
Later partial-access bound: 2023-01-11. Customs officials report approximately 15 tonnes of exports daily at the crossing; this confirms cargo access by then, not an uninterrupted closure since September 28 or proof that October 8 was the actual restart.</x:v>
      </x:c>
      <x:c r="G37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79" s="4" t="str">
        <x:v>R2-EA-009-D1: The onset differs between February 23 and February 24 in contemporary reporting. Actual inbound trucks on September 26 provide a scoped reopening; this is separate from the renewed September 28 suspension.
R2-EA-009-C3: The September 28–October 7 notice is a scheduled window; October 8 was an anticipated restart, not verified actual reopening. By January 11, 2023, customs officials reported daily exports through the crossing. Use that as a partial later-access bound only. Exact intervening dates, continuous closure and all-category normalization remain unestablished.</x:v>
      </x:c>
      <x:c r="I379" s="4" t="str">
        <x:v>Second full-register audit, 26 October 2026: qualified. The two Bac Phong Sinh cargo suspensions remain distinct: actual September 26 trucks ended the first, while October 8 is only a planned restart for the second.</x:v>
      </x:c>
      <x:c r="J379" s="18" t="d">
        <x:v>2026-10-26T00:00:00.000Z</x:v>
      </x:c>
      <x:c r="K379" s="21" t="str">
        <x:f>IFERROR(HYPERLINK("https://www.quangninh.gov.vn/Sites/en-us/Trang/ChiTietTinTuc.aspx?nid=5993","Quang Ninh government portal"),"Quang Ninh government portal")</x:f>
        <x:v>Quang Ninh government portal</x:v>
      </x:c>
      <x:c r="L379" s="21" t="str">
        <x:f>IFERROR(HYPERLINK("https://baoquangninh.vn/cua-khau-bac-phong-sinh-thong-quan-tro-lai-sau-hon-7-thang-tam-dung-hoat-dong-post3206014.html","baoquangninh.vn"),"baoquangninh.vn")</x:f>
        <x:v>baoquangninh.vn</x:v>
      </x:c>
      <x:c r="M379" s="21" t="str">
        <x:f>IFERROR(HYPERLINK("https://quangninh.gov.vn/chuyen-de/giamdocvoicutri/Trang/ChiTietTinTuc.aspx?nid=117378","quangninh.gov.vn"),"quangninh.gov.vn")</x:f>
        <x:v>quangninh.gov.vn</x:v>
      </x:c>
      <x:c r="N379" s="4" t="str">
        <x:v>https://www.quangninh.gov.vn/Sites/en-us/Trang/ChiTietTinTuc.aspx?nid=5993
https://baoquangninh.vn/cua-khau-bac-phong-sinh-thong-quan-tro-lai-sau-hon-7-thang-tam-dung-hoat-dong-post3206014.html
https://quangninh.gov.vn/chuyen-de/giamdocvoicutri/Trang/ChiTietTinTuc.aspx?nid=117378
https://phunumoi.net.vn/cua-khau-bac-phong-sinh-lai-tam-dung-thong-quan-de-phong-dich-covid-19-d257897.html
https://www.quangninh.gov.vn/Trang/ChiTietTinTuc.aspx?nid=113326
https://thanhnien.vn/trung-quoc-mo-cua-cua-khau-bac-phong-sinh-van-diu-hiu-giua-mua-tieu-thu-nong-san-1851541135.htm
https://quangninh.gov.vn/So/socongthuong/Trang/ChiTietTinTuc.aspx?nid=3725
https://www.vietnamplus.vn/lai-tam-dung-thong-quan-cua-khau-bac-phong-sinh-de-phong-dich-covid-19-post820690.amp</x:v>
      </x:c>
      <x:c r="O379" s="4" t="str">
        <x:v>Second full-register audit source access, 26 October 2026
https://baoquangninh.vn/cua-khau-bac-phong-sinh-thong-quan-tro-lai-sau-hon-7-thang-tam-dung-hoat-dong-post3206014.html: full text (fresh retrieval) — Two actual inbound trucks; no passenger claim.
https://phunumoi.net.vn/cua-khau-bac-phong-sinh-lai-tam-dung-thong-quan-de-phong-dich-covid-19-d257897.html: full text (previously retrieved text re-examined) — Cached actual text inspected; February 23 conflicts with provincial February 24.
https://thanhnien.vn/trung-quoc-mo-cua-cua-khau-bac-phong-sinh-van-diu-hiu-giua-mua-tieu-thu-nong-san-1851541135.htm: full text (previously retrieved text re-examined) — Cached actual text inspected; reported exports despite low activity.
https://www.vietnamplus.vn/lai-tam-dung-thong-quan-cua-khau-bac-phong-sinh-de-phong-dich-covid-19-post820690.amp: search extract (fresh retrieval) — Forecast October 8 only; same report reprinted widely.
Earlier URLs not separately inspected in this second assessment:
https://www.quangninh.gov.vn/Sites/en-us/Trang/ChiTietTinTuc.aspx?nid=5993
https://quangninh.gov.vn/chuyen-de/giamdocvoicutri/Trang/ChiTietTinTuc.aspx?nid=117378
https://www.quangninh.gov.vn/Trang/ChiTietTinTuc.aspx?nid=113326
https://quangninh.gov.vn/So/socongthuong/Trang/ChiTietTinTuc.aspx?nid=3725
Prior audit access record
Full-register audit source access (evidence cutoff 25 October 2026)
https://www.quangninh.gov.vn/Sites/en-us/Trang/ChiTietTinTuc.aspx?nid=5993: full text — See specific claim qualifications.
https://phunumoi.net.vn/cua-khau-bac-phong-sinh-lai-tam-dung-thong-quan-de-phong-dich-covid-19-d257897.html: full text — See specific claim qualifications.
https://thanhnien.vn/trung-quoc-mo-cua-cua-khau-bac-phong-sinh-van-diu-hiu-giua-mua-tieu-thu-nong-san-1851541135.htm: full text — See specific claim qualifications.
https://quangninh.gov.vn/So/socongthuong/Trang/ChiTietTinTuc.aspx?nid=3725: search extract — See specific claim qualifications.
Earlier source URLs not separately listed in this audit’s retrieval log (historical access notes below are not fresh verification):
https://baoquangninh.vn/cua-khau-bac-phong-sinh-thong-quan-tro-lai-sau-hon-7-thang-tam-dung-hoat-dong-post3206014.html
https://quangninh.gov.vn/chuyen-de/giamdocvoicutri/Trang/ChiTietTinTuc.aspx?nid=117378
https://www.quangninh.gov.vn/Trang/ChiTietTinTuc.aspx?nid=113326
Earlier recorded access
Source 1: full page
Source 2: access detail is retained in the source catalogue.
Source 3: access detail is retained in the source catalogue.</x:v>
      </x:c>
      <x:c r="P379" s="20" t="n">
        <x:v>2</x:v>
      </x:c>
      <x:c r="Q379" s="4" t="str">
        <x:v>East and Southeast Asia and Oceania</x:v>
      </x:c>
      <x:c r="R379" s="4" t="str">
        <x:v>Included</x:v>
      </x:c>
    </x:row>
    <x:row r="380" ht="409" hidden="0" customHeight="1">
      <x:c r="A380" s="16" t="str">
        <x:v>R2-EA-008</x:v>
      </x:c>
      <x:c r="B380" s="4" t="str">
        <x:v>Dongxing–Mong Cai suspends Bac Luan II cargo clearance in 2022</x:v>
      </x:c>
      <x:c r="C380" s="4" t="str">
        <x:v>China; Vietnam</x:v>
      </x:c>
      <x:c r="D380" s="4" t="str">
        <x:v>Dongxing–Mong Cai, Bac Luan II bridge</x:v>
      </x:c>
      <x:c r="E380" s="4" t="str">
        <x:v>Cargo and associated vehicles; general passenger admission not established.
Direction: Bilateral cargo clearance.
Exceptions: April 26 reopening was staged, with backlogs and empty vehicles first and non-cold-chain goods next. Cold-chain goods remained excluded at that stage; a separate official agreement restored cold-chain clearance from June 17, 2022.</x:v>
      </x:c>
      <x:c r="F380" s="4" t="str">
        <x:v>R2-EA-008-D1 — Observed operation
Dongxing–Mong Cai, Bac Luan II bridge; Cargo and associated vehicles; general passenger admission not established.; Bilateral cargo clearance.
Start: 2022-02-25.
Observed scoped reopening: 2022-04-26.
60 calendar-day difference; scoped endpoint only
Separate later cold-chain observation: Dongxing’s written agreement restored cold-chain clearance at Bac Luan II and Km3+4 from 2022-06-17. A June 17 Mong Cai official report describes citywide cargo activity as restored. The first actual cold-chain truck at Bac Luan II is not independently timed; this is not a replacement for the April 26 partial endpoint.</x:v>
      </x:c>
      <x:c r="G38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80" s="4" t="str">
        <x:v>R2-EA-008-D1: Contemporary throughput accounts conflict: a shared official/press passage says hundreds, the named border-guard interview says just over 20 by early afternoon and first traffic near noon, and the evening city report records 46 vehicles. These counts are not harmonized or treated as independent confirmation. April 26 establishes first partial cargo restoration, excluding cold-chain goods at that stage. A June 17 city report explicitly records a Dongxing agreement restoring cold-chain clearance at Bac Luan II and Km3+4 from June 17 and reports citywide cargo restoration. The later national-government tonnage figure concerns Km3+4, not Bac Luan II; no exact first refrigerated truck at Bac Luan II is established. Passenger admission remains outside this phase.</x:v>
      </x:c>
      <x:c r="I380" s="4" t="str">
        <x:v>Second full-register audit, 26 October 2026: qualified. Vietnamese official and operational accounts support April 26 partial cargo restoration and separate June 17 cold-chain permission. A misleading English translation must not broaden April access.</x:v>
      </x:c>
      <x:c r="J380" s="18" t="d">
        <x:v>2026-10-26T00:00:00.000Z</x:v>
      </x:c>
      <x:c r="K380" s="21" t="str">
        <x:f>IFERROR(HYPERLINK("https://mongcai.gov.vn/vi-vn/tin/chinh-thuc-thong-quan-tro-lai-cua-khau-cau-bac-luan-ii/402494-58053-284265","Mong Cai local government portal"),"Mong Cai local government portal")</x:f>
        <x:v>Mong Cai local government portal</x:v>
      </x:c>
      <x:c r="L380" s="21" t="str">
        <x:f>IFERROR(HYPERLINK("https://baoxaydung.vn/thua-thot-phuong-tien-ngay-dau-thong-quan-tro-lai-cua-khau-cau-bac-luan-ii-192550394.htm","Bao Giao Thong / Bao Xay Dung"),"Bao Giao Thong / Bao Xay Dung")</x:f>
        <x:v>Bao Giao Thong / Bao Xay Dung</x:v>
      </x:c>
      <x:c r="M380" s="21" t="str">
        <x:f>IFERROR(HYPERLINK("https://quangninh.gov.vn/chuyen-de/giamdocvoicutri/Trang/ChiTietTinTuc.aspx?nid=117378","quangninh.gov.vn"),"quangninh.gov.vn")</x:f>
        <x:v>quangninh.gov.vn</x:v>
      </x:c>
      <x:c r="N380" s="4" t="str">
        <x:v>https://mongcai.gov.vn/vi-vn/tin/chinh-thuc-thong-quan-tro-lai-cua-khau-cau-bac-luan-ii/402494-58053-284265
https://baoxaydung.vn/thua-thot-phuong-tien-ngay-dau-thong-quan-tro-lai-cua-khau-cau-bac-luan-ii-192550394.htm
https://quangninh.gov.vn/chuyen-de/giamdocvoicutri/Trang/ChiTietTinTuc.aspx?nid=117378
https://english.baoquangninh.vn/customs-clearance-via-bac-luan-2-bridge-border-gate-to-be-resumed-in-4-stages-from-april-26-post3184418.html
https://mongcai.gov.vn/vi-vn/tin/ngay-dau-thong-quan-tro-lai-tai-cua-khau-cau-bac-luan-ii--46-xe-duoc-thong-quan/45018-58053-851157
https://mongcai.gov.vn/vi-vn/tin/chinh-thuc-thong-quan-tro-lai-cua-khau-ka-long-p45018-c19424-n236725
https://www2.en.baochinhphu.vn/quang-ninh-xuat-nhap-khau-qua-cua-khau-tai-mong-cai-tro-lai-binh-thuong-102220622173321637.htm</x:v>
      </x:c>
      <x:c r="O380" s="4" t="str">
        <x:v>Second full-register audit source access, 26 October 2026
https://baoxaydung.vn/thua-thot-phuong-tien-ngay-dau-thong-quan-tro-lai-cua-khau-cau-bac-luan-ii-192550394.htm: full text (fresh retrieval)
https://mongcai.gov.vn/vi-vn/tin/ngay-dau-thong-quan-tro-lai-tai-cua-khau-cau-bac-luan-ii--46-xe-duoc-thong-quan/45018-58053-851157: full text (fresh retrieval)
https://mongcai.gov.vn/vi-vn/tin/chinh-thuc-thong-quan-tro-lai-cua-khau-ka-long-p45018-c19424-n236725: full text (fresh retrieval)
https://english.baoquangninh.vn/customs-clearance-via-bac-luan-2-bridge-border-gate-to-be-resumed-in-4-stages-from-april-26-post3184418.html: full text (fresh retrieval) — English stage translation conflicts with Vietnamese official non-cold-chain wording; do not use it to assert cold-chain restoration on April 26.
Earlier URLs not separately inspected in this second assessment:
https://mongcai.gov.vn/vi-vn/tin/chinh-thuc-thong-quan-tro-lai-cua-khau-cau-bac-luan-ii/402494-58053-284265
https://quangninh.gov.vn/chuyen-de/giamdocvoicutri/Trang/ChiTietTinTuc.aspx?nid=117378
https://www2.en.baochinhphu.vn/quang-ninh-xuat-nhap-khau-qua-cua-khau-tai-mong-cai-tro-lai-binh-thuong-102220622173321637.htm
Prior audit access record
Full-register audit source access (evidence cutoff 25 October 2026)
https://mongcai.gov.vn/vi-vn/tin/chinh-thuc-thong-quan-tro-lai-cua-khau-cau-bac-luan-ii/402494-58053-284265: full text
https://mongcai.gov.vn/vi-vn/tin/ngay-dau-thong-quan-tro-lai-tai-cua-khau-cau-bac-luan-ii--46-xe-duoc-thong-quan/45018-58053-851157: full text
https://baoxaydung.vn/thua-thot-phuong-tien-ngay-dau-thong-quan-tro-lai-cua-khau-cau-bac-luan-ii-192550394.htm: full text
https://mongcai.gov.vn/vi-vn/tin/chinh-thuc-thong-quan-tro-lai-cua-khau-ka-long-p45018-c19424-n236725: full text
https://www2.en.baochinhphu.vn/quang-ninh-xuat-nhap-khau-qua-cua-khau-tai-mong-cai-tro-lai-binh-thuong-102220622173321637.htm: search extract — Direct request timed out; do not transfer other-gate truck count.
Earlier source URLs not separately listed in this audit’s retrieval log (historical access notes below are not fresh verification):
https://quangninh.gov.vn/chuyen-de/giamdocvoicutri/Trang/ChiTietTinTuc.aspx?nid=117378
https://english.baoquangninh.vn/customs-clearance-via-bac-luan-2-bridge-border-gate-to-be-resumed-in-4-stages-from-april-26-post3184418.html
Earlier recorded access
Source 1: full relevant article text
Source 2: full relevant article text
Source 3: access detail is retained in the source catalogue.</x:v>
      </x:c>
      <x:c r="P380" s="20" t="n">
        <x:v>1</x:v>
      </x:c>
      <x:c r="Q380" s="4" t="str">
        <x:v>East and Southeast Asia and Oceania</x:v>
      </x:c>
      <x:c r="R380" s="4" t="str">
        <x:v>Included</x:v>
      </x:c>
    </x:row>
    <x:row r="381" ht="366" hidden="0" customHeight="1">
      <x:c r="A381" s="16" t="str">
        <x:v>R2-EA-010</x:v>
      </x:c>
      <x:c r="B381" s="4" t="str">
        <x:v>Kim Thanh–Hekou short July 2022 cargo halt</x:v>
      </x:c>
      <x:c r="C381" s="4" t="str">
        <x:v>China; Vietnam</x:v>
      </x:c>
      <x:c r="D381" s="4" t="str">
        <x:v>Kim Thanh II–Hekou road cargo crossing</x:v>
      </x:c>
      <x:c r="E381" s="4" t="str">
        <x:v>Cargo customs clearance.
Direction: Cross-border imports/exports; trigger concerned Vietnamese goods entering China.
Exceptions: Not established.</x:v>
      </x:c>
      <x:c r="F381" s="4" t="str">
        <x:v>R2-EA-010-D1 — Observed operation
Kim Thanh II–Hekou road cargo customs clearance, imports and exports; passenger access excluded.
Start: 2022-07-04.
Observed scoped reopening: 2022-07-05.
1 calendar-day difference; scoped endpoint only
Strictly greater than 24 hours is supported by the reported morning onset and next-day afternoon/evening restoration; exact elapsed hours are unresolved.</x:v>
      </x:c>
      <x:c r="G38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81" s="4" t="str">
        <x:v>R2-EA-010-D1: Sources agree on July 4–5 cargo closure and explicitly describe more than one day. Nhan Dan specifies July 4 morning onset. The reopening clock conflicts: 16:00 in the Tuoi Tre caption, 19:00 in its body and 19:30 in Nhan Dan. These clocks prevent an exact elapsed-hour estimate but do not defeat greater-than-24-hour eligibility. Key dates share Ha Duc Thuan’s official reporting lineage.</x:v>
      </x:c>
      <x:c r="I381" s="4" t="str">
        <x:v>Second full-register audit, 26 October 2026: additional source-audited corrections incorporated. See the phase, scope and qualification columns for the accepted findings.</x:v>
      </x:c>
      <x:c r="J381" s="18" t="d">
        <x:v>2026-10-26T00:00:00.000Z</x:v>
      </x:c>
      <x:c r="K381" s="21" t="str">
        <x:f>IFERROR(HYPERLINK("https://tuoitre.vn/cua-khau-kim-thanh-thong-quan-tro-lai-20220705170853178.htm","Tuoi Tre"),"Tuoi Tre")</x:f>
        <x:v>Tuoi Tre</x:v>
      </x:c>
      <x:c r="L381" s="21" t="str">
        <x:f>IFERROR(HYPERLINK("https://nhandan.vn/cua-khau-kim-thanh-thong-quan-tro-lai-post704081.html","Nhan Dan"),"Nhan Dan")</x:f>
        <x:v>Nhan Dan</x:v>
      </x:c>
      <x:c r="M381" s="21" t="str">
        <x:f>IFERROR(HYPERLINK("https://news.tuoitre.vn/saigontimes/customs-clearance-at-lao-cai-border-gate-resumes-105119191.htm","news.tuoitre.vn"),"news.tuoitre.vn")</x:f>
        <x:v>news.tuoitre.vn</x:v>
      </x:c>
      <x:c r="N381" s="4" t="str">
        <x:v>https://tuoitre.vn/cua-khau-kim-thanh-thong-quan-tro-lai-20220705170853178.htm
https://nhandan.vn/cua-khau-kim-thanh-thong-quan-tro-lai-post704081.html
https://news.tuoitre.vn/saigontimes/customs-clearance-at-lao-cai-border-gate-resumes-105119191.htm
https://en.baobacninhtv.vn/reopening-of-kim-thanh-border-gate-in-lao-cai-eases-lychee-consumption-postid88178.bbg</x:v>
      </x:c>
      <x:c r="O381" s="4" t="str">
        <x:v>Second full-register audit source access, 26 October 2026
https://tuoitre.vn/cua-khau-kim-thanh-thong-quan-tro-lai-20220705170853178.htm: full text (fresh retrieval)
https://nhandan.vn/cua-khau-kim-thanh-thong-quan-tro-lai-post704081.html: full text (fresh retrieval)
Earlier URLs not separately inspected in this second assessment:
https://news.tuoitre.vn/saigontimes/customs-clearance-at-lao-cai-border-gate-resumes-105119191.htm
https://en.baobacninhtv.vn/reopening-of-kim-thanh-border-gate-in-lao-cai-eases-lychee-consumption-postid88178.bbg
Prior audit access record
Full-register audit source access (evidence cutoff 25 October 2026)
https://tuoitre.vn/cua-khau-kim-thanh-thong-quan-tro-lai-20220705170853178.htm: full text
https://nhandan.vn/cua-khau-kim-thanh-thong-quan-tro-lai-post704081.html: full text
Earlier source URLs not separately listed in this audit’s retrieval log (historical access notes below are not fresh verification):
https://news.tuoitre.vn/saigontimes/customs-clearance-at-lao-cai-border-gate-resumes-105119191.htm
https://en.baobacninhtv.vn/reopening-of-kim-thanh-border-gate-in-lao-cai-eases-lychee-consumption-postid88178.bbg
Earlier recorded access
Source 1: full page
Source 2: full page
Source 3: access detail is retained in the source catalogue.</x:v>
      </x:c>
      <x:c r="P381" s="20" t="n">
        <x:v>1</x:v>
      </x:c>
      <x:c r="Q381" s="4" t="str">
        <x:v>East and Southeast Asia and Oceania</x:v>
      </x:c>
      <x:c r="R381" s="4" t="str">
        <x:v>Included</x:v>
      </x:c>
    </x:row>
    <x:row r="382" ht="270" hidden="0" customHeight="1">
      <x:c r="A382" s="16" t="str">
        <x:v>R2-EA-004</x:v>
      </x:c>
      <x:c r="B382" s="4" t="str">
        <x:v>TNLA closes Naung Taung amid tariff dispute with SSA-North</x:v>
      </x:c>
      <x:c r="C382" s="4" t="str">
        <x:v>Myanmar; China</x:v>
      </x:c>
      <x:c r="D382" s="4" t="str">
        <x:v>Naung Taung / Nawngtawng gate, Namhkam, west of Shweli River</x:v>
      </x:c>
      <x:c r="E382" s="4" t="str">
        <x:v>Cross-border cargo, including mineral ore, charcoal and building materials.
Direction: Myanmar exports and Chinese imports.
Exceptions: Not established.</x:v>
      </x:c>
      <x:c r="F382" s="4" t="str">
        <x:v>R2-EA-004-D1 — Observed operation
Naung Taung / Nawngtawng gate, Namhkam, west of Shweli River; Cross-border cargo, including mineral ore, charcoal and building materials.; Myanmar exports and Chinese imports.
Start: 2024-03-11 to 2024-04-05.
Observed scoped reopening: 2024-04-29.
24–49 calendar-day difference; scoped endpoint only</x:v>
      </x:c>
      <x:c r="G382" s="4" t="str">
        <x:v>Security / Armed conflict and military confrontation
Analytical interpretation of reported context
Applies to: Recorded episode; exact overlap not separately established
Armed-group tension over tariffs supports conflict and trade administration. These are contextual interpretations of the report, not a recovered TNLA order; no separate regime objective is inferred.
Trade and protectionism / Customs and transport rules
Analytical interpretation of reported context
Applies to: Recorded episode; exact overlap not separately established
Armed-group tension over tariffs supports conflict and trade administration. These are contextual interpretations of the report, not a recovered TNLA order; no separate regime objective is inferred.</x:v>
      </x:c>
      <x:c r="H382" s="4" t="str">
        <x:v>R2-EA-004-D1: Sources disagree on onset/mechanism: March 11 quay closures cutting gate access versus April 5 gate restriction during tariff confrontation. April 29 cargo resumption is independently reported by trader and TNLA spokesperson accounts. Exact start/phase relation remains unresolved; passenger passage excluded.</x:v>
      </x:c>
      <x:c r="I382" s="4" t="str">
        <x:v>Second full-register audit, 26 October 2026: qualified. Fresh trader accounts verify April 29 cargo restoration but retain the March 11 access-quay versus April 5 gate-onset conflict. No passenger restoration is established.</x:v>
      </x:c>
      <x:c r="J382" s="18" t="d">
        <x:v>2026-10-26T00:00:00.000Z</x:v>
      </x:c>
      <x:c r="K382" s="21" t="str">
        <x:f>IFERROR(HYPERLINK("https://www.irrawaddy.com/news/burma/myanmar-china-border-gate-reopens-as-tnla-ssa-tensions-defused-in-namhkam.html","irrawaddy.com"),"irrawaddy.com")</x:f>
        <x:v>irrawaddy.com</x:v>
      </x:c>
      <x:c r="L382" s="21" t="str">
        <x:f>IFERROR(HYPERLINK("https://www.bnionline.net/en/news/china-myanmar-border-gate-namhkam-reopens-after-tnla-closure-shan-state-china-border","BNI / Shan Herald"),"BNI / Shan Herald")</x:f>
        <x:v>BNI / Shan Herald</x:v>
      </x:c>
      <x:c r="M382" s="21" t="str">
        <x:f>IFERROR(HYPERLINK("https://cnimyanmar.com/index.php/english-edition/22095-how-is-tnla-opening-namkham-border-trade","cnimyanmar.com"),"cnimyanmar.com")</x:f>
        <x:v>cnimyanmar.com</x:v>
      </x:c>
      <x:c r="N382" s="4" t="str">
        <x:v>https://www.irrawaddy.com/news/burma/myanmar-china-border-gate-reopens-as-tnla-ssa-tensions-defused-in-namhkam.html
https://www.bnionline.net/en/news/china-myanmar-border-gate-namhkam-reopens-after-tnla-closure-shan-state-china-border
https://cnimyanmar.com/index.php/english-edition/22095-how-is-tnla-opening-namkham-border-trade</x:v>
      </x:c>
      <x:c r="O382" s="4" t="str">
        <x:v>Second full-register audit source access, 26 October 2026
https://www.irrawaddy.com/news/burma/myanmar-china-border-gate-reopens-as-tnla-ssa-tensions-defused-in-namhkam.html: full text (fresh retrieval)
https://www.bnionline.net/en/news/china-myanmar-border-gate-namhkam-reopens-after-tnla-closure-shan-state-china-border: full text (fresh retrieval)
https://cnimyanmar.com/index.php/english-edition/22095-how-is-tnla-opening-namkham-border-trade: inaccessible (fresh retrieval) — Direct retrieval returned 403; no fresh verification of its spokesperson attribution.
Prior audit access record
Full-register audit source access (evidence cutoff 25 October 2026)
https://www.irrawaddy.com/news/burma/myanmar-china-border-gate-reopens-as-tnla-ssa-tensions-defused-in-namhkam.html: full text
https://www.bnionline.net/en/news/china-myanmar-border-gate-namhkam-reopens-after-tnla-closure-shan-state-china-border: full text
https://cnimyanmar.com/index.php/english-edition/22095-how-is-tnla-opening-namkham-border-trade: search extract — Direct access returned 403.
Earlier recorded access
Source 1: full
Source 2: full
Source 3: indexed excerpt</x:v>
      </x:c>
      <x:c r="P382" s="20" t="n">
        <x:v>1</x:v>
      </x:c>
      <x:c r="Q382" s="4" t="str">
        <x:v>East and Southeast Asia and Oceania</x:v>
      </x:c>
      <x:c r="R382" s="4" t="str">
        <x:v>Included</x:v>
      </x:c>
    </x:row>
    <x:row r="383" ht="409" hidden="0" customHeight="1">
      <x:c r="A383" s="16" t="str">
        <x:v>R2-EA-003</x:v>
      </x:c>
      <x:c r="B383" s="4" t="str">
        <x:v>Three Pagodas closure during DKBA–Thai road-maintenance dispute</x:v>
      </x:c>
      <x:c r="C383" s="4" t="str">
        <x:v>Myanmar; Thailand</x:v>
      </x:c>
      <x:c r="D383" s="4" t="str">
        <x:v>Three Pagodas Pass at Payathonzu</x:v>
      </x:c>
      <x:c r="E383" s="4" t="str">
        <x:v>Primarily large cargo vehicles, with changing restrictions on pedestrians, workers, school buses and smaller vehicles.
Direction: Both directions reported.
Exceptions: June 20: individuals carrying small goods could cross. July 2: workers/school buses allowed at specified hours and paid small-truck passage reported. August 18: pedestrian-only easing, vehicles still excluded in KIC account.</x:v>
      </x:c>
      <x:c r="F383" s="4" t="str">
        <x:v>R2-EA-003-R1 — Observed operation
Payathonzu/Three Pagodas informal trade post, large cargo-container/12-wheel trucks
Start: 2024-06-17.
Last confirmed: 2024-07-02. Reopening is not established.
confirmed through 2024-07-02; at least 15 calendar-day difference; reopening unknown
R2-EA-003-NP1 — Observed operation
Three Pagodas vehicle restriction after pedestrian reopening
Start: unknown.
Last confirmed: 2024-08-20. Reopening is not established.
dated evidence; numeric duration withheld; see qualification</x:v>
      </x:c>
      <x:c r="G383" s="4" t="str">
        <x:v>Interstate disputes and pressure / Territorial and frontier disputes
Analytical interpretation of reported context
Applies to: Recorded episode; exact overlap not separately established
The reported dispute concerns cross-border road maintenance and authority. This classification does not make DKBA a recognised state.</x:v>
      </x:c>
      <x:c r="H383" s="4" t="str">
        <x:v>R2-EA-003-R1: IMNA origin for both accounts; state-media broad denial remains baseline contrary evidence. Small trucks/pedestrians excluded.
R2-EA-003-NP1: This later vehicle observation does not resolve gaps or conflicting earlier reports. Do not join it to July 2 into an uninterrupted truck interval.
continuity: BNI/IMNA reports large-truck blockage from June 17 through July 2 with smaller/negotiated movement; KIC describes August 18 pedestrian reopening while vehicles remained restricted. The two observations should not be joined into an unbroken all-vehicle interval, particularly given contrary state-media reporting.</x:v>
      </x:c>
      <x:c r="I383" s="4" t="str">
        <x:v>Second full-register audit, 26 October 2026: qualified. The two accepted Three Pagodas vehicle phases are supported, with small-truck and pedestrian exceptions and explicit contrary state-media reporting retained.</x:v>
      </x:c>
      <x:c r="J383" s="18" t="d">
        <x:v>2026-10-26T00:00:00.000Z</x:v>
      </x:c>
      <x:c r="K383" s="21" t="str">
        <x:f>IFERROR(HYPERLINK("https://www.bnionline.net/en/news/both-thai-authorities-and-armed-groups-temporarily-block-three-pagodas-pass","BNI / IMNA"),"BNI / IMNA")</x:f>
        <x:v>BNI / IMNA</x:v>
      </x:c>
      <x:c r="L383" s="21" t="str">
        <x:f>IFERROR(HYPERLINK("https://www.bnionline.net/en/news/traders-continue-operations-compromising-dkba-despite-payathonzu-border-trade-post-closure","BNI / IMNA"),"BNI / IMNA")</x:f>
        <x:v>BNI / IMNA</x:v>
      </x:c>
      <x:c r="M383" s="21" t="str">
        <x:f>IFERROR(HYPERLINK("https://karennews.org/2024/08/three-pagodas-pass-border-gate-reopened-after-two-month-closure/","karennews.org"),"karennews.org")</x:f>
        <x:v>karennews.org</x:v>
      </x:c>
      <x:c r="N383" s="4" t="str">
        <x:v>https://www.bnionline.net/en/news/both-thai-authorities-and-armed-groups-temporarily-block-three-pagodas-pass
https://www.bnionline.net/en/news/traders-continue-operations-compromising-dkba-despite-payathonzu-border-trade-post-closure
https://karennews.org/2024/08/three-pagodas-pass-border-gate-reopened-after-two-month-closure/
https://www.bnionline.net/en/news/three-pagodas-pass-border-gate-reopened-after-two-month-closure
https://www.mizzimaweekly.com/wp-content/uploads/2024/07/Mizzima-Weekly_Issue-13-Vol-1_July-4-2024.pdf</x:v>
      </x:c>
      <x:c r="O383" s="4" t="str">
        <x:v>Second full-register audit source access, 26 October 2026
https://www.bnionline.net/en/news/both-thai-authorities-and-armed-groups-temporarily-block-three-pagodas-pass: full text (previously retrieved text re-examined) — Cached actual article inspected.
https://www.bnionline.net/en/news/traders-continue-operations-compromising-dkba-despite-payathonzu-border-trade-post-closure: full text (previously retrieved text re-examined) — Cached actual article inspected; same IMNA lineage.
https://karennews.org/2024/08/three-pagodas-pass-border-gate-reopened-after-two-month-closure/: full text (fresh retrieval) — Broad title is narrower in body: pedestrians only.
https://www.mizzimaweekly.com/wp-content/uploads/2024/07/Mizzima-Weekly_Issue-13-Vol-1_July-4-2024.pdf: full text (fresh retrieval) — Magazine republishes reporting; contrary state-media statement is attributed, not independently verified.
Earlier URLs not separately inspected in this second assessment:
https://www.bnionline.net/en/news/three-pagodas-pass-border-gate-reopened-after-two-month-closure
Prior audit access record
Full-register audit source access (evidence cutoff 25 October 2026)
https://www.bnionline.net/en/news/both-thai-authorities-and-armed-groups-temporarily-block-three-pagodas-pass: full text — See specific claim qualifications.
https://www.bnionline.net/en/news/traders-continue-operations-compromising-dkba-despite-payathonzu-border-trade-post-closure: full text — See specific claim qualifications.
https://karennews.org/2024/08/three-pagodas-pass-border-gate-reopened-after-two-month-closure/: full text — See specific claim qualifications.
https://www.mizzimaweekly.com/wp-content/uploads/2024/07/Mizzima-Weekly_Issue-13-Vol-1_July-4-2024.pdf: search extract — See specific claim qualifications.
Earlier source URLs not separately listed in this audit’s retrieval log (historical access notes below are not fresh verification):
https://www.bnionline.net/en/news/three-pagodas-pass-border-gate-reopened-after-two-month-closure
Earlier recorded access
Source 1: indexed excerpt; full
Source 2: full
Source 3: access detail is retained in the source catalogue.</x:v>
      </x:c>
      <x:c r="P383" s="20" t="n">
        <x:v>2</x:v>
      </x:c>
      <x:c r="Q383" s="4" t="str">
        <x:v>East and Southeast Asia and Oceania</x:v>
      </x:c>
      <x:c r="R383" s="4" t="str">
        <x:v>Included</x:v>
      </x:c>
    </x:row>
    <x:row r="384" ht="409" hidden="0" customHeight="1">
      <x:c r="A384" s="16" t="str">
        <x:v>R2-EU-012</x:v>
      </x:c>
      <x:c r="B384" s="4" t="str">
        <x:v>Bulgarian nationalist activists briefly obstruct three Turkish-border approaches before election</x:v>
      </x:c>
      <x:c r="C384" s="4" t="str">
        <x:v>Bulgaria; Türkiye</x:v>
      </x:c>
      <x:c r="D384" s="4" t="str">
        <x:v>Kapitan Andreevo; Malko Tarnovo; Lesovo
Inbound passenger-road access at Bulgaria–Turkey border</x:v>
      </x:c>
      <x:c r="E384" s="4" t="str">
        <x:v>Inbound cars and buses, particularly Turkey-resident Bulgarian voters
Direction: Turkey to Bulgaria; outbound and freight not generally blocked
Exceptions: Outbound buses, freight and a diplomatic vehicle continued; no complete international-border closure.</x:v>
      </x:c>
      <x:c r="F384" s="4" t="str">
        <x:v>R2-EU-012-D1 — Observed operation
Brief activist obstructions of inbound passenger-road approaches at Kapitan Andreevo, Malko Tarnovo and Lesovo
Start: 2017-03-21.
Observed scoped reopening: 2017-03-21.
Same-day episode; no whole-day duration inferred; Kapitan Andreevo about 4 hours; Malko Tarnovo about 1 hour; Lesovo two spells totalling about 20 minutes.</x:v>
      </x:c>
      <x:c r="G384" s="4" t="str">
        <x:v>Electoral politics / Voter access and participation
Attributed participant reason
United Patriots activists sought to obstruct Turkey-resident Bulgarian voters travelling to the March 26, 2017 election, describing their action as opposition to voting tourism. This is the protesters’ characterisation, not a finding that the voters were ineligible or their journeys unlawful.</x:v>
      </x:c>
      <x:c r="H384" s="4" t="str">
        <x:v>R2-EU-012-D1: Intermittent, route-specific sub-day episodes, not a full day or a complete border closure. Outbound traffic, freight and a diplomatic vehicle passed; March 24 recurrence is separate.</x:v>
      </x:c>
      <x:c r="I384" s="4" t="str">
        <x:v>Second full-register audit, 26 October 2026: qualified. Bulgarian field reporting confirms three brief March 21 activist obstructions and their same-day removal; the events cannot be aggregated into a continuous border closure.</x:v>
      </x:c>
      <x:c r="J384" s="18" t="d">
        <x:v>2026-10-26T00:00:00.000Z</x:v>
      </x:c>
      <x:c r="K384" s="21" t="str">
        <x:f>IFERROR(HYPERLINK("https://btvnovinite.bg/bulgaria/blokada-na-patja-za-gkpp-malko-tarnovo.html","bTV Novinite"),"bTV Novinite")</x:f>
        <x:v>bTV Novinite</x:v>
      </x:c>
      <x:c r="L384" s="21" t="str">
        <x:f>IFERROR(HYPERLINK("https://www.novinite.com/view_news.php?disable_mobile=true&amp;id=179346","Novinite / Sofia News Agency"),"Novinite / Sofia News Agency")</x:f>
        <x:v>Novinite / Sofia News Agency</x:v>
      </x:c>
      <x:c r="M384" s="21" t="str">
        <x:f>IFERROR(HYPERLINK("https://dev.balkaninsight.com/2017/03/21/nationalists-block-bulgaria-s-border-checkpoints-with-turkey-03-21-2017/bi/all-balkan-countries","dev.balkaninsight.com"),"dev.balkaninsight.com")</x:f>
        <x:v>dev.balkaninsight.com</x:v>
      </x:c>
      <x:c r="N384" s="4" t="str">
        <x:v>https://btvnovinite.bg/bulgaria/blokada-na-patja-za-gkpp-malko-tarnovo.html
https://www.novinite.com/view_news.php?disable_mobile=true&amp;id=179346
https://dev.balkaninsight.com/2017/03/21/nationalists-block-bulgaria-s-border-checkpoints-with-turkey-03-21-2017/bi/all-balkan-countries
https://rns.bg/%D0%B1%D0%BB%D0%BE%D0%BA%D0%B0%D0%B4%D0%B0%D1%82%D0%B0-%D0%BD%D0%B0-%D0%B3%D1%80%D0%B0%D0%BD%D0%B8%D1%86%D0%B0%D1%82%D0%B0-%D0%B5-%D0%B2%D0%B4%D0%B8%D0%B3%D0%BD%D0%B0%D1%82%D0%B0-%D0%BF%D0%BE-10/</x:v>
      </x:c>
      <x:c r="O384" s="4" t="str">
        <x:v>Second full-register audit source access, 26 October 2026
https://btvnovinite.bg/bulgaria/blokada-na-patja-za-gkpp-malko-tarnovo.html: full text (fresh retrieval)
https://rns.bg/%D0%B1%D0%BB%D0%BE%D0%BA%D0%B0%D0%B4%D0%B0%D1%82%D0%B0-%D0%BD%D0%B0-%D0%B3%D1%80%D0%B0%D0%BD%D0%B8%D1%86%D0%B0%D1%82%D0%B0-%D0%B5-%D0%B2%D0%B4%D0%B8%D0%B3%D0%BD%D0%B0%D1%82%D0%B0-%D0%BF%D0%BE-10/: full text (fresh retrieval) — Late-afternoon wording does not give exact first-passage times.
https://www.novinite.com/view_news.php?disable_mobile=true&amp;id=179346: inaccessible (fresh retrieval) — Direct access returned 403; not used to verify a claim.
Earlier URLs not separately inspected in this second assessment:
https://dev.balkaninsight.com/2017/03/21/nationalists-block-bulgaria-s-border-checkpoints-with-turkey-03-21-2017/bi/all-balkan-countries
Prior audit access record
Full-register audit source access (evidence cutoff 25 October 2026)
https://btvnovinite.bg/bulgaria/blokada-na-patja-za-gkpp-malko-tarnovo.html: full text
https://www.novinite.com/view_news.php?disable_mobile=true&amp;id=179346: search extract — Its simultaneous normal-bus statement is inconsistent with the developing obstruction; use updated bTV account for completion.
Earlier source URLs not separately listed in this audit’s retrieval log (historical access notes below are not fresh verification):
https://dev.balkaninsight.com/2017/03/21/nationalists-block-bulgaria-s-border-checkpoints-with-turkey-03-21-2017/bi/all-balkan-countries
https://rns.bg/%D0%B1%D0%BB%D0%BE%D0%BA%D0%B0%D0%B4%D0%B0%D1%82%D0%B0-%D0%BD%D0%B0-%D0%B3%D1%80%D0%B0%D0%BD%D0%B8%D1%86%D0%B0%D1%82%D0%B0-%D0%B5-%D0%B2%D0%B4%D0%B8%D0%B3%D0%BD%D0%B0%D1%82%D0%B0-%D0%BF%D0%BE-10/
Earlier recorded access
Source 1: full page
Source 2: search-returned article text
Source 3: access detail is retained in the source catalogue.</x:v>
      </x:c>
      <x:c r="P384" s="20" t="n">
        <x:v>1</x:v>
      </x:c>
      <x:c r="Q384" s="4" t="str">
        <x:v>Europe</x:v>
      </x:c>
      <x:c r="R384" s="4" t="str">
        <x:v>Included</x:v>
      </x:c>
    </x:row>
    <x:row r="385" ht="330" hidden="0" customHeight="1">
      <x:c r="A385" s="16" t="str">
        <x:v>R2-EU-013</x:v>
      </x:c>
      <x:c r="B385" s="4" t="str">
        <x:v>Bulgarian activists renew passenger-vehicle blockade at Kapitan Andreevo</x:v>
      </x:c>
      <x:c r="C385" s="4" t="str">
        <x:v>Bulgaria; Türkiye</x:v>
      </x:c>
      <x:c r="D385" s="4" t="str">
        <x:v>Kapitan Andreevo
Bulgaria–Turkey land crossing passenger approach</x:v>
      </x:c>
      <x:c r="E385" s="4" t="str">
        <x:v>Turkey-origin passenger vehicles carrying Bulgarian voters; pedestrians crossed
Direction: Turkey to Bulgaria
Exceptions: Passengers could disembark and cross on foot.</x:v>
      </x:c>
      <x:c r="F385" s="4" t="str">
        <x:v>R2-EU-013-D1 — Observed operation
Kapitan Andreevo protest episode on 24 March 2017.
Start: 2017-03-24.
Observed scoped reopening: 2017-03-24.
Same-day episode; no whole-day duration inferred</x:v>
      </x:c>
      <x:c r="G385" s="4" t="str">
        <x:v>Electoral politics / Voter access and participation
Attributed participant reason
United Patriots activists sought to obstruct Turkey-resident Bulgarian voters travelling to the March 26, 2017 election, describing their action as opposition to voting tourism. This is the protesters’ characterisation, not a finding that the voters were ineligible or their journeys unlawful.</x:v>
      </x:c>
      <x:c r="H385" s="4" t="str">
        <x:v>R2-EU-013-D1: Shown as an episode occurring on this date, not a whole-day closure. Same-day physical obstruction, not government entry ban; exact hours unavailable. Other crossings reportedly protested but not added to this operationally verified interval.</x:v>
      </x:c>
      <x:c r="I385" s="4" t="str">
        <x:v>Second full-register audit, 26 October 2026: qualified. Fresh Anadolu and DW reports confirm the distinct March 24 passenger-vehicle obstruction and same-day police removal at Kapitan Andreevo.</x:v>
      </x:c>
      <x:c r="J385" s="18" t="d">
        <x:v>2026-10-26T00:00:00.000Z</x:v>
      </x:c>
      <x:c r="K385" s="21" t="str">
        <x:f>IFERROR(HYPERLINK("https://www.aa.com.tr/en/europe/border-demo-greets-expat-bulgarians-travelling-to-vote/778999","Anadolu Agency"),"Anadolu Agency")</x:f>
        <x:v>Anadolu Agency</x:v>
      </x:c>
      <x:c r="L385" s="21" t="str">
        <x:f>IFERROR(HYPERLINK("https://www.bta.bg/en/news//130034-Protestors-Block-Bus-from-Turkey-as-It-Tries-to-Enter-Bulgaria-On-Suspicions-tha","Bulgarian News Agency (BTA)"),"Bulgarian News Agency (BTA)")</x:f>
        <x:v>Bulgarian News Agency (BTA)</x:v>
      </x:c>
      <x:c r="M385" s="21" t="str">
        <x:f>IFERROR(HYPERLINK("https://amp.dw.com/en/police-remove-barricades-at-turkish-bulgarian-border/a-38112602","amp.dw.com"),"amp.dw.com")</x:f>
        <x:v>amp.dw.com</x:v>
      </x:c>
      <x:c r="N385" s="4" t="str">
        <x:v>https://www.aa.com.tr/en/europe/border-demo-greets-expat-bulgarians-travelling-to-vote/778999
https://www.bta.bg/en/news//130034-Protestors-Block-Bus-from-Turkey-as-It-Tries-to-Enter-Bulgaria-On-Suspicions-tha
https://amp.dw.com/en/police-remove-barricades-at-turkish-bulgarian-border/a-38112602</x:v>
      </x:c>
      <x:c r="O385" s="4" t="str">
        <x:v>Second full-register audit source access, 26 October 2026
https://www.aa.com.tr/en/europe/border-demo-greets-expat-bulgarians-travelling-to-vote/778999: full text (fresh retrieval) — Later March 28 page update is not event onset; previous-episode weekday wording is not used.
https://amp.dw.com/en/police-remove-barricades-at-turkish-bulgarian-border/a-38112602: full text (fresh retrieval)
Earlier URLs not separately inspected in this second assessment:
https://www.bta.bg/en/news//130034-Protestors-Block-Bus-from-Turkey-as-It-Tries-to-Enter-Bulgaria-On-Suspicions-tha
Prior audit access record
Full-register audit source access (evidence cutoff 25 October 2026)
https://www.aa.com.tr/en/europe/border-demo-greets-expat-bulgarians-travelling-to-vote/778999: full text
https://amp.dw.com/en/police-remove-barricades-at-turkish-bulgarian-border/a-38112602: full text
Earlier source URLs not separately listed in this audit’s retrieval log (historical access notes below are not fresh verification):
https://www.bta.bg/en/news//130034-Protestors-Block-Bus-from-Turkey-as-It-Tries-to-Enter-Bulgaria-On-Suspicions-tha
Earlier recorded access
Source 1: full page
Source 2: search extract
Source 3: access detail is retained in the source catalogue.</x:v>
      </x:c>
      <x:c r="P385" s="20" t="n">
        <x:v>1</x:v>
      </x:c>
      <x:c r="Q385" s="4" t="str">
        <x:v>Europe</x:v>
      </x:c>
      <x:c r="R385" s="4" t="str">
        <x:v>Included</x:v>
      </x:c>
    </x:row>
    <x:row r="386" ht="409" hidden="0" customHeight="1">
      <x:c r="A386" s="16" t="str">
        <x:v>R2-RT-001</x:v>
      </x:c>
      <x:c r="B386" s="4" t="str">
        <x:v>Cyprus: three RoC crossing suspensions with June 2020 reopening</x:v>
      </x:c>
      <x:c r="C386" s="4" t="str">
        <x:v>Cyprus</x:v>
      </x:c>
      <x:c r="D386" s="4" t="str">
        <x:v>Deryneia; Astromeritis-Zodhia; Lefka-Apliki
RoC side of three Green Line crossing points; de facto divide, not an internationally recognised interstate border</x:v>
      </x:c>
      <x:c r="E386" s="4" t="str">
        <x:v>Ordinary persons crossing the three specified Republic of Cyprus-controlled posts in either direction. From June 21, conditional access was limited to Cypriot citizens, RoC residence-permit holders and specified eligible groups. Standard eligibility required a negative COVID-19 test within 72 hours; certain workers, students, enclaved Greek Cypriots and medical travellers had first-crossing testing arrangements. Diplomats, international-organisation staff and humanitarian exceptions were also permitted.</x:v>
      </x:c>
      <x:c r="F386" s="4" t="str">
        <x:v>R2-RT-001-D1 — Observed operation
RoC-side suspension at Deryneia, Astromeritis–Zodhia and Lefka–Apliki, to conditional access for Cypriot citizens, RoC residence-permit holders and specified eligible groups on June 21 2020.
Start: 2020-02-29.
Observed scoped reopening: 2020-06-21.
113 calendar-day difference; scoped endpoint only</x:v>
      </x:c>
      <x:c r="G386" s="4" t="str">
        <x:v>Health and biosecurity / Human disease control
Reported government reason
The Republic of Cyprus suspended four Green Line crossing points as a COVID-19 prevention measure on February 29, 2020. This record covers the three posts reopened conditionally on June 21; Ledra Street remained suspended and is a separate record.</x:v>
      </x:c>
      <x:c r="H386" s="4" t="str">
        <x:v>This is a Republic of Cyprus authority-side suspension across a de facto divide. The European Commission’s full 2020 report confirms February 29 suspension and June 21 conditional reopening of the three named posts. June 21 did not restore admission for all foreign nationals or remove Turkish Cypriot-side controls. Eligible citizens and residence-permit holders needed a negative test within 72 hours, with different testing arrangements for specified workers, students, enclaved Greek Cypriots and medical travellers; diplomats, international-organisation staff and humanitarian exceptions were also admitted. Exact first passages at each post are unverified.</x:v>
      </x:c>
      <x:c r="I386" s="4" t="str">
        <x:v>Second full-register audit, 26 October 2026: qualified. The freshly downloaded European Commission report fully supports the three named posts’ February 29 suspension and June 21 conditional reopening, with Ledra Street expressly excluded.</x:v>
      </x:c>
      <x:c r="J386" s="18" t="d">
        <x:v>2026-10-26T00:00:00.000Z</x:v>
      </x:c>
      <x:c r="K386" s="21" t="str">
        <x:f>IFERROR(HYPERLINK("https://eur-lex.europa.eu/legal-content/EN/TXT/?qid=1772153451461&amp;uri=CELEX%3A52021DC0273","European Commission"),"European Commission")</x:f>
        <x:v>European Commission</x:v>
      </x:c>
      <x:c r="L386" s="21" t="str">
        <x:f>IFERROR(HYPERLINK("https://www.exteriores.gob.es/Embajadas/nicosia/es/Comunicacion/Noticias/Paginas/Articulos/20200305_NOT1.aspx","Spanish Embassy in Nicosia"),"Spanish Embassy in Nicosia")</x:f>
        <x:v>Spanish Embassy in Nicosia</x:v>
      </x:c>
      <x:c r="M386" s="21" t="str">
        <x:f>IFERROR(HYPERLINK("https://finance.yahoo.com/news/cyprus-starts-reopening-checkpoints-closed-095742780.html","Yahoo Finance / Reuters"),"Yahoo Finance / Reuters")</x:f>
        <x:v>Yahoo Finance / Reuters</x:v>
      </x:c>
      <x:c r="N386" s="4" t="str">
        <x:v>https://eur-lex.europa.eu/legal-content/EN/TXT/?qid=1772153451461&amp;uri=CELEX%3A52021DC0273
https://www.exteriores.gob.es/Embajadas/nicosia/es/Comunicacion/Noticias/Paginas/Articulos/20200305_NOT1.aspx
https://finance.yahoo.com/news/cyprus-starts-reopening-checkpoints-closed-095742780.html
https://eur-lex.europa.eu/legal-content/EN/TXT/?uri=CELEX%3A52021DC0273
https://archive.cyprus-mail.com/2020/02/29/anastasiades-no-choice-but-to-temporarily-lose-crossings-update-3/
https://commission.europa.eu/document/download/abdabdeb-9886-4766-88ed-e564510f74db_en?filename=Annual+report+2020:+Implementation+of+the+green+line+regulation
https://commission.europa.eu/document/download/abdabdeb-9886-4766-88ed-e564510f74db_en?filename=Annual+report+2020%3A+Implementation+of+the+green+line+regulation
https://eur-lex.europa.eu/legal-content/EN/TXT/?uri=celex%3A52022DC0258</x:v>
      </x:c>
      <x:c r="O386" s="4" t="str">
        <x:v>Second full-register audit source access, 26 October 2026
https://commission.europa.eu/document/download/abdabdeb-9886-4766-88ed-e564510f74db_en?filename=Annual+report+2020:+Implementation+of+the+green+line+regulation: full text (fresh retrieval) — Web follow-up fetch returned 429; direct official PDF download succeeded and full text was inspected.
Earlier URLs not separately inspected in this second assessment:
https://eur-lex.europa.eu/legal-content/EN/TXT/?qid=1772153451461&amp;uri=CELEX%3A52021DC0273
https://www.exteriores.gob.es/Embajadas/nicosia/es/Comunicacion/Noticias/Paginas/Articulos/20200305_NOT1.aspx
https://finance.yahoo.com/news/cyprus-starts-reopening-checkpoints-closed-095742780.html
https://eur-lex.europa.eu/legal-content/EN/TXT/?uri=CELEX%3A52021DC0273
https://archive.cyprus-mail.com/2020/02/29/anastasiades-no-choice-but-to-temporarily-lose-crossings-update-3/
https://commission.europa.eu/document/download/abdabdeb-9886-4766-88ed-e564510f74db_en?filename=Annual+report+2020%3A+Implementation+of+the+green+line+regulation
https://eur-lex.europa.eu/legal-content/EN/TXT/?uri=celex%3A52022DC0258
Prior audit access record
Full-register audit source access (evidence cutoff 25 October 2026)
https://commission.europa.eu/document/download/abdabdeb-9886-4766-88ed-e564510f74db_en?filename=Annual+report+2020:+Implementation+of+the+green+line+regulation: full text — Web tool failed, but direct official PDF download succeeded; full text cached as raw/europe/green-line-2020.pdf and .pdf.txt.
https://archive.cyprus-mail.com/2020/02/29/anastasiades-no-choice-but-to-temporarily-lose-crossings-update-3/: full text
https://eur-lex.europa.eu/legal-content/EN/TXT/?uri=CELEX%3A52021DC0273: search extract
Earlier source URLs not separately listed in this audit’s retrieval log (historical access notes below are not fresh verification):
https://eur-lex.europa.eu/legal-content/EN/TXT/?qid=1772153451461&amp;uri=CELEX%3A52021DC0273
https://www.exteriores.gob.es/Embajadas/nicosia/es/Comunicacion/Noticias/Paginas/Articulos/20200305_NOT1.aspx
https://finance.yahoo.com/news/cyprus-starts-reopening-checkpoints-closed-095742780.html
https://commission.europa.eu/document/download/abdabdeb-9886-4766-88ed-e564510f74db_en?filename=Annual+report+2020%3A+Implementation+of+the+green+line+regulation
https://eur-lex.europa.eu/legal-content/EN/TXT/?uri=celex%3A52022DC0258
Earlier recorded access
Source 1: search extract
Source 2: unavailable
Source 3: unavailable</x:v>
      </x:c>
      <x:c r="P386" s="20" t="n">
        <x:v>1</x:v>
      </x:c>
      <x:c r="Q386" s="4" t="str">
        <x:v>Europe</x:v>
      </x:c>
      <x:c r="R386" s="4" t="str">
        <x:v>Included</x:v>
      </x:c>
    </x:row>
    <x:row r="387" ht="409" hidden="0" customHeight="1">
      <x:c r="A387" s="16" t="str">
        <x:v>R2-RT-002</x:v>
      </x:c>
      <x:c r="B387" s="4" t="str">
        <x:v>Cyprus: Turkish Cypriot Limnitis crossing suspension, March–June 2020</x:v>
      </x:c>
      <x:c r="C387" s="4" t="str">
        <x:v>Cyprus</x:v>
      </x:c>
      <x:c r="D387" s="4" t="str">
        <x:v>Limnitis / Yeşilırmak – Kato Pyrgos
Limnitis–Kato Pyrgos Green Line crossing; de facto divide, not an internationally recognised interstate border</x:v>
      </x:c>
      <x:c r="E387" s="4" t="str">
        <x:v>Ordinary passenger and commuter crossing
Direction: Both directions through the specified crossing
Exceptions: Other posts remained open under separate conditions; testing requirements applied when Limnitis reopened.</x:v>
      </x:c>
      <x:c r="F387" s="4" t="str">
        <x:v>R2-RT-002-D1 — Observed operation
Limnitis–Kato Pyrgos Green Line crossing; de facto divide, not an internationally recognised interstate border; Ordinary passenger and commuter crossing; Both directions through the specified crossing
Start: 2020-03-12.
Observed scoped reopening: 2020-06-26.
106 calendar-day difference; scoped endpoint only
R2-RT-002-C7P1 — Observed operation
Return passage for affected Kato Pyrgos commuters through the Limnitis route under changed testing requirements
Start: 2020-07-06.
Refusal observed: 2020-07-06.
Policy problem resolved by: 2020-07-09, according to the Kato Pyrgos community leader after revised one-off-test arrangements.
First resumed individual passage is unverified; no continuous operational duration inferred.</x:v>
      </x:c>
      <x:c r="G38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87" s="4" t="str">
        <x:v>The March closure’s initial March 22 scheduled expiry was not an observed reopening; June 26 actual passage around 09:30 is separately supported. The July 6 episode concerns commuters denied return under a changed test requirement, not full bilateral closure. On July 9 the community leader confirmed that the new one-off-test arrangement included them and resolved the problem. This is a qualified policy-resolution bound, not an exact first-passage time. June 2021 passage counts remain later operational corroboration, not evidence that the July 2020 refusal continued until then.</x:v>
      </x:c>
      <x:c r="I387" s="4" t="str">
        <x:v>Second full-register audit, 26 October 2026: qualified. Fresh government and local reports confirm March 12–June 26 Limnitis suspension, plus the separate July 6 commuter refusal resolved in policy by July 9.</x:v>
      </x:c>
      <x:c r="J387" s="18" t="d">
        <x:v>2026-10-26T00:00:00.000Z</x:v>
      </x:c>
      <x:c r="K387" s="21" t="str">
        <x:f>IFERROR(HYPERLINK("https://pio.mfa.gov.ct.tr/en/decisions-taken-at-the-extraordinary-meeting-of-the-trnc-council-of-ministers-regarding-the-outbreak-of-the-coronavirus-covid-19-pandemic/","Turkish Cypriot Public Information Office"),"Turkish Cypriot Public Information Office")</x:f>
        <x:v>Turkish Cypriot Public Information Office</x:v>
      </x:c>
      <x:c r="L387" s="21" t="str">
        <x:f>IFERROR(HYPERLINK("https://archive.cyprus-mail.com/2020/06/26/coronavirus-limnitis-crossing-point-reopens/","Cyprus Mail"),"Cyprus Mail")</x:f>
        <x:v>Cyprus Mail</x:v>
      </x:c>
      <x:c r="M387" s="21" t="str">
        <x:f>IFERROR(HYPERLINK("https://en.philenews.com/local/coronavirus-turkish-cypriot-authorities-close-strovilia-limnitis-checkpoints-until-march-22/","Philenews"),"Philenews")</x:f>
        <x:v>Philenews</x:v>
      </x:c>
      <x:c r="N387" s="4" t="str">
        <x:v>https://pio.mfa.gov.ct.tr/en/decisions-taken-at-the-extraordinary-meeting-of-the-trnc-council-of-ministers-regarding-the-outbreak-of-the-coronavirus-covid-19-pandemic/
https://archive.cyprus-mail.com/2020/06/26/coronavirus-limnitis-crossing-point-reopens/
https://en.philenews.com/local/coronavirus-turkish-cypriot-authorities-close-strovilia-limnitis-checkpoints-until-march-22/
https://www.exteriores.gob.es/Embajadas/nicosia/es/Comunicacion/Noticias/Paginas/Articulos/20200305_NOT1.aspx
https://en.philenews.com/local/t-cyp-authorities-block-passage-of-kato-pyrgos-residents/
https://en.philenews.com/local/pyrgos-limnitis-checkpoint-reopens/
https://eur-lex.europa.eu/legal-content/EN/TXT/?uri=celex%3A52022DC0258
https://archive.cyprus-mail.com/2020/07/09/coronavirus-turkish-cypriots-change-crossing-point-entry-requirements-yet-again/
https://cyprus-mail.com/2021/06/05/nearly-7500-use-crossing-points-on-first-day-of-reopening</x:v>
      </x:c>
      <x:c r="O387" s="4" t="str">
        <x:v>Second full-register audit source access, 26 October 2026
https://pio.mfa.gov.ct.tr/en/decisions-taken-at-the-extraordinary-meeting-of-the-trnc-council-of-ministers-regarding-the-outbreak-of-the-coronavirus-covid-19-pandemic/: full text (fresh retrieval)
https://archive.cyprus-mail.com/2020/06/26/coronavirus-limnitis-crossing-point-reopens/: full text (fresh retrieval)
https://en.philenews.com/local/t-cyp-authorities-block-passage-of-kato-pyrgos-residents/: full text (fresh retrieval)
https://archive.cyprus-mail.com/2020/07/09/coronavirus-turkish-cypriots-change-crossing-point-entry-requirements-yet-again/: full text (fresh retrieval) — Policy arrangement, not observation of the first resumed commuter journey.
Earlier URLs not separately inspected in this second assessment:
https://en.philenews.com/local/coronavirus-turkish-cypriot-authorities-close-strovilia-limnitis-checkpoints-until-march-22/
https://www.exteriores.gob.es/Embajadas/nicosia/es/Comunicacion/Noticias/Paginas/Articulos/20200305_NOT1.aspx
https://en.philenews.com/local/pyrgos-limnitis-checkpoint-reopens/
https://eur-lex.europa.eu/legal-content/EN/TXT/?uri=celex%3A52022DC0258
https://cyprus-mail.com/2021/06/05/nearly-7500-use-crossing-points-on-first-day-of-reopening
Prior audit access record
Full-register audit source access (evidence cutoff 25 October 2026)
https://pio.mfa.gov.ct.tr/en/decisions-taken-at-the-extraordinary-meeting-of-the-trnc-council-of-ministers-regarding-the-outbreak-of-the-coronavirus-covid-19-pandemic/: full text
https://archive.cyprus-mail.com/2020/06/26/coronavirus-limnitis-crossing-point-reopens/: search extract
https://en.philenews.com/local/t-cyp-authorities-block-passage-of-kato-pyrgos-residents/: full text
https://archive.cyprus-mail.com/2020/07/09/coronavirus-turkish-cypriots-change-crossing-point-entry-requirements-yet-again/: full text
https://cyprus-mail.com/2021/06/05/nearly-7500-use-crossing-points-on-first-day-of-reopening: full text
Earlier source URLs not separately listed in this audit’s retrieval log (historical access notes below are not fresh verification):
https://en.philenews.com/local/coronavirus-turkish-cypriot-authorities-close-strovilia-limnitis-checkpoints-until-march-22/
https://www.exteriores.gob.es/Embajadas/nicosia/es/Comunicacion/Noticias/Paginas/Articulos/20200305_NOT1.aspx
https://en.philenews.com/local/pyrgos-limnitis-checkpoint-reopens/
https://eur-lex.europa.eu/legal-content/EN/TXT/?uri=celex%3A52022DC0258
Earlier recorded access
Source 1: full page
Source 2: full page
Source 3: full page</x:v>
      </x:c>
      <x:c r="P387" s="20" t="n">
        <x:v>2</x:v>
      </x:c>
      <x:c r="Q387" s="4" t="str">
        <x:v>Europe</x:v>
      </x:c>
      <x:c r="R387" s="4" t="str">
        <x:v>Included</x:v>
      </x:c>
    </x:row>
    <x:row r="388" ht="409" hidden="0" customHeight="1">
      <x:c r="A388" s="16" t="str">
        <x:v>R2-EU-014</x:v>
      </x:c>
      <x:c r="B388" s="4" t="str">
        <x:v>Slovakia bars nonresident foreign entry at four neighbouring land frontiers</x:v>
      </x:c>
      <x:c r="C388" s="4" t="str">
        <x:v>Slovakia; Austria; Czechia; Ukraine; Hungary</x:v>
      </x:c>
      <x:c r="D388" s="4" t="str">
        <x:v>Austria; Czech Republic; Ukraine; Hungary land posts
Initial four-frontier restriction; Polish frontier initially distinct</x:v>
      </x:c>
      <x:c r="E388" s="4" t="str">
        <x:v>Foreign nationals without Slovak residence, subject to exceptions
Direction: Into Slovakia
Exceptions: Citizens/residents, qualifying commuters and goods transit; Polish frontier initially not covered in consular notice.</x:v>
      </x:c>
      <x:c r="F388" s="4" t="str">
        <x:v>R2-EU-014-FU1 — Formal policy
Slovak entry across Austrian, Czech, Ukrainian and Hungarian land frontiers
Start: 2020-03-13.
Last confirmed: 2020-03-18. Full reopening for all affected cohorts is not established.
Formal policy: dated evidence; numeric duration withheld; see qualification
R2-EU-014-C7P1 — Formal policy
Slovak nonresident foreign-entry restriction at the Polish frontier
Start: 2020-03-17.
Last confirmed: 2020-03-18. Full reopening for all affected cohorts is not established.
Formal policy: dated evidence; numeric duration withheld; see qualification
Scoped easing, 2020-06-05: unrestricted travel for Czech, Hungarian, Austrian and Slovak citizens.
Scoped easing, 2020-06-20 at 06:00: restrictions on travel from Poland removed under safe-origin rules.
Scoped later permission, by 2021-07-21: fully vaccinated Ukrainian citizens were permitted to enter Slovakia, according to Ukraine’s foreign minister and the foreign ministry’s entry guidance. This is a dated permission observation, not an exact first reopening or proof of uninterrupted restriction until that date. General admission of unvaccinated Ukrainian nonresidents and all other foreign cohorts is not established by these sources.</x:v>
      </x:c>
      <x:c r="G38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88" s="4" t="str">
        <x:v>The initial four-frontier rule began March 13, 2020; the Polish-frontier extension began March 17. Citizen, residence and freight exceptions remain. June 5 easing applies to the four participating countries’ citizens; June 20 easing concerns travel from Poland. A July 21, 2021 Ukrainian government news report records permission for fully vaccinated Ukrainian citizens. Its detailed foreign-ministry guidance limits unvaccinated admission to specified residence, family and student categories; it does not establish ordinary entry for all unvaccinated Ukrainians. July 21 is a later policy-permission observation, not the first operational crossing or proof that the original restriction continued unchanged until then. No universal endpoint for every foreign-nonresident cohort is established. The April 6, 2022 source repeals quarantine and registration while expressly preserving other entry conditions, so it is not alone a blanket admission-ban repeal.</x:v>
      </x:c>
      <x:c r="I388" s="4" t="str">
        <x:v>Second full-register audit, 26 October 2026: additional source-audited corrections incorporated. See the phase, scope and qualification columns for the accepted findings.</x:v>
      </x:c>
      <x:c r="J388" s="18" t="d">
        <x:v>2026-10-26T00:00:00.000Z</x:v>
      </x:c>
      <x:c r="K388" s="21" t="str">
        <x:f>IFERROR(HYPERLINK("https://www.gov.pl/web/slowacja/obostrzenia-wprowadzone-na-terytorium-republiki-slowackiej-z-uwagi-na-zagrozenie-koronawirusem","Polish Embassy Bratislava"),"Polish Embassy Bratislava")</x:f>
        <x:v>Polish Embassy Bratislava</x:v>
      </x:c>
      <x:c r="L388" s="21" t="str">
        <x:f>IFERROR(HYPERLINK("https://www.gov.pl/web/slowacja/obostrzenia-wprowadzone-na-terytorium-republiki-slowackiej-z-uwagi-na-zagrozenie-koronawirusem2","gov.pl"),"gov.pl")</x:f>
        <x:v>gov.pl</x:v>
      </x:c>
      <x:c r="M388" s="21" t="str">
        <x:f>IFERROR(HYPERLINK("https://fra.europa.eu/sites/default/files/fra_uploads/sk_report_on_coronavirus_pandemic_june_2020.pdf","EU Fundamental Rights Agency"),"EU Fundamental Rights Agency")</x:f>
        <x:v>EU Fundamental Rights Agency</x:v>
      </x:c>
      <x:c r="N388" s="4" t="str">
        <x:v>https://www.gov.pl/web/slowacja/obostrzenia-wprowadzone-na-terytorium-republiki-slowackiej-z-uwagi-na-zagrozenie-koronawirusem
https://www.gov.pl/web/slowacja/obostrzenia-wprowadzone-na-terytorium-republiki-slowackiej-z-uwagi-na-zagrozenie-koronawirusem2
https://fra.europa.eu/sites/default/files/fra_uploads/sk_report_on_coronavirus_pandemic_june_2020.pdf
https://newsnow.tasr.sk/matovic-were-opening-borders-between-cr-hungary-austria-and-slovakia/
https://akadalymentes.2015-2019.kormany.hu/en/ministry-of-foreign-affairs-and-trade/news/slovakia-to-allow-hungarians-and-czechs-to-cross-its-territory-there-and-back
https://2015-2019.kormany.hu/en/ministry-of-foreign-affairs-and-trade/news/unrestricted-travel-to-austria-the-czech-republic-and-slovakia-from-friday
https://www.akadalymentes.police.hu/en/content/slovakia-reintroduces-border-control
https://www.gov.pl/web/slowacja/slowacja-znosi-obostrzenia-w-ruchu-osobowym-z-polska-od-g-600-w-dniu-20-czerwca-2020-roku
https://www.mzv.sk/en/services/covid-19/quarantine-and-return-conditions
https://www.ukrinform.ua/rubric-society/3284608-slovaccina-vidkrila-kordoni-dla-vakcinovanih-ukrainciv-kuleba.html</x:v>
      </x:c>
      <x:c r="O388" s="4" t="str">
        <x:v>Second full-register audit source access, 26 October 2026
https://www.gov.pl/web/slowacja/obostrzenia-wprowadzone-na-terytorium-republiki-slowackiej-z-uwagi-na-zagrozenie-koronawirusem2: full text (fresh retrieval)
https://newsnow.tasr.sk/matovic-were-opening-borders-between-cr-hungary-austria-and-slovakia/: full text (fresh retrieval)
https://www.gov.pl/web/slowacja/slowacja-znosi-obostrzenia-w-ruchu-osobowym-z-polska-od-g-600-w-dniu-20-czerwca-2020-roku: full text (fresh retrieval)
https://www.ukrinform.ua/rubric-society/3284608-slovaccina-vidkrila-kordoni-dla-vakcinovanih-ukrainciv-kuleba.html: full text (fresh retrieval) — Ministerial announcement and ministry guidance, not direct observation of the first land crossing.
https://www.mzv.sk/en/services/covid-19/quarantine-and-return-conditions: search extract (fresh retrieval) — Indexed excerpt only.
Earlier URLs not separately inspected in this second assessment:
https://www.gov.pl/web/slowacja/obostrzenia-wprowadzone-na-terytorium-republiki-slowackiej-z-uwagi-na-zagrozenie-koronawirusem
https://fra.europa.eu/sites/default/files/fra_uploads/sk_report_on_coronavirus_pandemic_june_2020.pdf
https://akadalymentes.2015-2019.kormany.hu/en/ministry-of-foreign-affairs-and-trade/news/slovakia-to-allow-hungarians-and-czechs-to-cross-its-territory-there-and-back
https://2015-2019.kormany.hu/en/ministry-of-foreign-affairs-and-trade/news/unrestricted-travel-to-austria-the-czech-republic-and-slovakia-from-friday
https://www.akadalymentes.police.hu/en/content/slovakia-reintroduces-border-control
Prior audit access record
Full-register audit source access (evidence cutoff 25 October 2026)
https://www.gov.pl/web/slowacja/obostrzenia-wprowadzone-na-terytorium-republiki-slowackiej-z-uwagi-na-zagrozenie-koronawirusem2: full text
https://newsnow.tasr.sk/matovic-were-opening-borders-between-cr-hungary-austria-and-slovakia/: full text
https://www.gov.pl/web/slowacja/slowacja-znosi-obostrzenia-w-ruchu-osobowym-z-polska-od-g-600-w-dniu-20-czerwca-2020-roku: full text
https://www.mzv.sk/en/services/covid-19/quarantine-and-return-conditions: full text
Earlier source URLs not separately listed in this audit’s retrieval log (historical access notes below are not fresh verification):
https://www.gov.pl/web/slowacja/obostrzenia-wprowadzone-na-terytorium-republiki-slowackiej-z-uwagi-na-zagrozenie-koronawirusem
https://fra.europa.eu/sites/default/files/fra_uploads/sk_report_on_coronavirus_pandemic_june_2020.pdf
https://akadalymentes.2015-2019.kormany.hu/en/ministry-of-foreign-affairs-and-trade/news/slovakia-to-allow-hungarians-and-czechs-to-cross-its-territory-there-and-back
https://2015-2019.kormany.hu/en/ministry-of-foreign-affairs-and-trade/news/unrestricted-travel-to-austria-the-czech-republic-and-slovakia-from-friday
https://www.akadalymentes.police.hu/en/content/slovakia-reintroduces-border-control
Earlier recorded access
Source 1: full
Source 2: access detail is retained in the source catalogue.
Source 3: indexed excerpt</x:v>
      </x:c>
      <x:c r="P388" s="20" t="n">
        <x:v>2</x:v>
      </x:c>
      <x:c r="Q388" s="4" t="str">
        <x:v>Europe</x:v>
      </x:c>
      <x:c r="R388" s="4" t="str">
        <x:v>Included</x:v>
      </x:c>
    </x:row>
    <x:row r="389" ht="409" hidden="0" customHeight="1">
      <x:c r="A389" s="16" t="str">
        <x:v>R2-EU-010</x:v>
      </x:c>
      <x:c r="B389" s="4" t="str">
        <x:v>Moldova restricts foreign entry across Ukrainian and Romanian frontiers</x:v>
      </x:c>
      <x:c r="C389" s="4" t="str">
        <x:v>Moldova; Ukraine; Romania</x:v>
      </x:c>
      <x:c r="D389" s="4" t="str">
        <x:v>Open Moldova–Ukraine and Moldova–Romania crossings
National land-entry regime; not complete physical closure of all posts</x:v>
      </x:c>
      <x:c r="E389" s="4" t="str">
        <x:v>Non-exempt foreign nationals; later differentiated by origin-risk category
Direction: Into Moldova
Exceptions: Residents, transport crews, diplomats and authorised cases; September green-origin entry permitted.</x:v>
      </x:c>
      <x:c r="F389" s="4" t="str">
        <x:v>R2-EU-010-D1 — Formal policy
Moldova's non-exempt foreign-entry prohibition, ending here only for origins classed green on September 1
Start: 2020-03-17.
Policy endpoint: 2020-09-01.
Formal policy: 168 calendar-day difference; operational continuity not established
R2-EU-010-C7P1 — Formal policy
Moldova red-origin foreign and stateless traveller entry prohibition, introduced under Decision 26 and retained with revised exceptions under Decision 42.
Start: 2020-09-01.
Policy endpoint: 2021-03-05 at 00:00 local time, when Decision 48 replaced Decision 42 Annex 1 with an entry regime based on quarantine and exemptions including a negative PCR test.
This ends the red-origin exclusion regime, not all COVID requirements. The affected country list and exceptions changed; no single unchanged-cohort operational duration is assigned.</x:v>
      </x:c>
      <x:c r="G38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89" s="4" t="str">
        <x:v>March 17, 2020 onset differs by twenty hours between the Ukrainian and Romanian frontiers without changing the calendar date. Residents, crews, diplomats and authorised cases were excepted. September 1 restored green-origin entry while the red-origin exclusion continued with evolving exemptions. Decision 42 Annex 1 and the January 26, 2021 Border Police report confirm the later red-origin regime; vaccination was among its exemptions. Decision 48 explicitly repealed that annex and introduced quarantine-based entry rules from March 5, 2021; the Border Police confirms application to both citizens and foreigners at 00:00. The repeal text was inspected in a public reproduction because the original government PDF was inaccessible. This is a formal policy endpoint, not a first-passage log or proof that every person remained prohibited throughout. The March 16, 2022 certificate removal concerns later health requirements, not the end of the original exclusion.</x:v>
      </x:c>
      <x:c r="I389" s="4" t="str">
        <x:v>Second full-register audit, 26 October 2026: additional source-audited corrections incorporated. See the phase, scope and qualification columns for the accepted findings.</x:v>
      </x:c>
      <x:c r="J389" s="18" t="d">
        <x:v>2026-10-26T00:00:00.000Z</x:v>
      </x:c>
      <x:c r="K389" s="21" t="str">
        <x:f>IFERROR(HYPERLINK("https://border.gov.md/ro/masuri-noi-si-restrictii-de-circulatie-prin-punctele-de-trecere-a-frontierei-de-stat","border.gov.md"),"border.gov.md")</x:f>
        <x:v>border.gov.md</x:v>
      </x:c>
      <x:c r="L389" s="21" t="str">
        <x:f>IFERROR(HYPERLINK("https://border.gov.md/ro/art-traversare-frontiera-perioada-pandemica","border.gov.md"),"border.gov.md")</x:f>
        <x:v>border.gov.md</x:v>
      </x:c>
      <x:c r="M389" s="21" t="str">
        <x:f>IFERROR(HYPERLINK("https://www.border.gov.md/index.php/ro/art-traversare-frontiera-perioada-pandemica","border.gov.md"),"border.gov.md")</x:f>
        <x:v>border.gov.md</x:v>
      </x:c>
      <x:c r="N389" s="4" t="str">
        <x:v>https://border.gov.md/ro/masuri-noi-si-restrictii-de-circulatie-prin-punctele-de-trecere-a-frontierei-de-stat
https://border.gov.md/ro/art-traversare-frontiera-perioada-pandemica
https://www.border.gov.md/index.php/ro/art-traversare-frontiera-perioada-pandemica
https://olanda.mfa.gov.md/ro/content/noi-reguli-privind-intrarea-pe-teritoriul-republicii-moldova-%C3%AEn-perioada-16-mai-%E2%80%93-30-iunie
https://www.old.ipn.md/en/borders-closed-to-foreigners-as-of-march-17-7967_1072200.html
https://sua.mfa.gov.md/ro/content/aten%C8%9Bie-noi-reguli-de-trecere-frontierei-de-stat-republicii-moldova
https://ms.gov.md/comunicare/cnesp-a-decis-relaxarea-masurilor-de-sanatate-publica/
https://ms.gov.md/hotarire_cnesp_nr-_42_din_13-01-2021/
https://www.border.gov.md/index.php/node/5836
https://www.cadreconsultmd.com/ro/noutati/163-hotararea-nr-48-din-4-martie-2021-comisia-nationala-extraordinara-de-sanatate-publica.html
https://www.border.gov.md/atentia-calatorilor-intra-vigoare-noi-reguli-de-trecere-frontierei-de-stat</x:v>
      </x:c>
      <x:c r="O389" s="4" t="str">
        <x:v>Second full-register audit source access, 26 October 2026
https://border.gov.md/ro/masuri-noi-si-restrictii-de-circulatie-prin-punctele-de-trecere-a-frontierei-de-stat: full text (fresh retrieval)
https://www.border.gov.md/index.php/ro/art-traversare-frontiera-perioada-pandemica: full text (fresh retrieval)
https://ms.gov.md/hotarire_cnesp_nr-_42_din_13-01-2021/: full text (fresh retrieval)
https://www.border.gov.md/index.php/node/5836: full text (fresh retrieval)
https://www.cadreconsultmd.com/ro/noutati/163-hotararea-nr-48-din-4-martie-2021-comisia-nationala-extraordinara-de-sanatate-publica.html: full text (fresh retrieval) — Public reproduction; original government PDF inaccessible.
https://www.border.gov.md/atentia-calatorilor-intra-vigoare-noi-reguli-de-trecere-frontierei-de-stat: full text (fresh retrieval)
Earlier URLs not separately inspected in this second assessment:
https://border.gov.md/ro/art-traversare-frontiera-perioada-pandemica
https://olanda.mfa.gov.md/ro/content/noi-reguli-privind-intrarea-pe-teritoriul-republicii-moldova-%C3%AEn-perioada-16-mai-%E2%80%93-30-iunie
https://www.old.ipn.md/en/borders-closed-to-foreigners-as-of-march-17-7967_1072200.html
https://sua.mfa.gov.md/ro/content/aten%C8%9Bie-noi-reguli-de-trecere-frontierei-de-stat-republicii-moldova
https://ms.gov.md/comunicare/cnesp-a-decis-relaxarea-masurilor-de-sanatate-publica/
Prior audit access record
Full-register audit source access (evidence cutoff 25 October 2026)
https://border.gov.md/ro/masuri-noi-si-restrictii-de-circulatie-prin-punctele-de-trecere-a-frontierei-de-stat: full text
https://www.border.gov.md/index.php/ro/art-traversare-frontiera-perioada-pandemica: full text
https://sua.mfa.gov.md/ro/content/aten%C8%9Bie-noi-reguli-de-trecere-frontierei-de-stat-republicii-moldova: search extract — Direct embassy retrieval blocked; operative repeal linkage not recovered.
https://ms.gov.md/comunicare/cnesp-a-decis-relaxarea-masurilor-de-sanatate-publica/: full text
Earlier source URLs not separately listed in this audit’s retrieval log (historical access notes below are not fresh verification):
https://border.gov.md/ro/art-traversare-frontiera-perioada-pandemica
https://olanda.mfa.gov.md/ro/content/noi-reguli-privind-intrarea-pe-teritoriul-republicii-moldova-%C3%AEn-perioada-16-mai-%E2%80%93-30-iunie
https://www.old.ipn.md/en/borders-closed-to-foreigners-as-of-march-17-7967_1072200.html
Earlier recorded access
Source 1: full
Source 2: full
Source 3: access detail is retained in the source catalogue.</x:v>
      </x:c>
      <x:c r="P389" s="20" t="n">
        <x:v>2</x:v>
      </x:c>
      <x:c r="Q389" s="4" t="str">
        <x:v>Europe</x:v>
      </x:c>
      <x:c r="R389" s="4" t="str">
        <x:v>Included</x:v>
      </x:c>
    </x:row>
    <x:row r="390" ht="409" hidden="0" customHeight="1">
      <x:c r="A390" s="16" t="str">
        <x:v>R2-EU-011</x:v>
      </x:c>
      <x:c r="B390" s="4" t="str">
        <x:v>France limits non-exempt entry at internal-European borders during first COVID wave</x:v>
      </x:c>
      <x:c r="C390" s="4" t="str">
        <x:v>France; Belgium; Luxembourg; Germany; Switzerland; Italy; Monaco; Andorra; Spain</x:v>
      </x:c>
      <x:c r="D390" s="4" t="str">
        <x:v>European land crossing network; not all posts physically shut
Metropolitan internal-European land frontier entry regime</x:v>
      </x:c>
      <x:c r="E390" s="4" t="str">
        <x:v>Travellers outside authorised entry categories
Direction: Into metropolitan France
Exceptions: French nationals/residents, cross-border workers, international transport and progressively widened family/work cases.</x:v>
      </x:c>
      <x:c r="F390" s="4" t="str">
        <x:v>R2-EU-011-R1 — Formal policy
French COVID movement restriction on ordinary leisure entry from European neighbouring states other than Spain, excluding French citizens/residents and enumerated essential categories
Start: 2020-03-18.
Policy endpoint: 2020-06-15.
Formal policy: 89 calendar-day difference; operational continuity not established</x:v>
      </x:c>
      <x:c r="G39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390" s="4" t="str">
        <x:v>R2-EU-011-R1: Policy ends at 00:00 June 15, 2020 for specified European neighbours excluding Spain. May category relaxations and physical checkpoint reopening are not general leisure authorization. Endpoint inspected in official indexed excerpt; direct ministry fetch returned 404 and prefecture fetch 502.</x:v>
      </x:c>
      <x:c r="I390" s="4" t="str">
        <x:v>Second full-register audit, 26 October 2026: qualified. Fresh government text supports the March 18–June 15 formal French entry restriction, with Spain excluded from the June 15 relaxation.</x:v>
      </x:c>
      <x:c r="J390" s="18" t="d">
        <x:v>2026-10-26T00:00:00.000Z</x:v>
      </x:c>
      <x:c r="K390" s="21" t="str">
        <x:f>IFERROR(HYPERLINK("https://www.gov.uk/government/news/french-government-restriction-on-movements-and-implementation-of-sanitary-measures-at-the-borders","British Embassy translation of French government release"),"British Embassy translation of French government release")</x:f>
        <x:v>British Embassy translation of French government release</x:v>
      </x:c>
      <x:c r="L390" s="21" t="str">
        <x:f>IFERROR(HYPERLINK("https://www.val-de-marne.gouv.fr/Actualites/Espace-presse/Communiques-de-presse/Communique-de-Presse-Archives-2020/La-levee-des-restrictions-de-circulation-aux-frontieres-interieures-europeennes-de-la-France","Prefecture of Val-de-Marne"),"Prefecture of Val-de-Marne")</x:f>
        <x:v>Prefecture of Val-de-Marne</x:v>
      </x:c>
      <x:c r="M390" s="21" t="str">
        <x:f>IFERROR(HYPERLINK("https://www.interieur.gouv.fr/fr/Archives/Archives-des-communiques-de-presse/2020-communiques/La-levee-des-restrictions-de-circulation-aux-frontieres-interieures-europeennes-de-la-France","French Interior Ministry"),"French Interior Ministry")</x:f>
        <x:v>French Interior Ministry</x:v>
      </x:c>
      <x:c r="N390" s="4" t="str">
        <x:v>https://www.gov.uk/government/news/french-government-restriction-on-movements-and-implementation-of-sanitary-measures-at-the-borders
https://www.val-de-marne.gouv.fr/Actualites/Espace-presse/Communiques-de-presse/Communique-de-Presse-Archives-2020/La-levee-des-restrictions-de-circulation-aux-frontieres-interieures-europeennes-de-la-France
https://www.interieur.gouv.fr/fr/Archives/Archives-des-communiques-de-presse/2020-communiques/La-levee-des-restrictions-de-circulation-aux-frontieres-interieures-europeennes-de-la-France
https://www.interieur.gouv.fr/fr/Archives/Archives-des-actualites/2020-Actualites/Restrictions-de-circulation-et-mise-en-place-de-mesures-sanitaires-aux-frontieres
https://www.interieur.gouv.fr/Archives/Archives-des-actualites/2020-Actualites/Restrictions-de-circulation-et-mise-en-place-de-mesures-sanitaires-aux-frontieres
https://www.interieur.gouv.fr/Archives/Archives-des-communiques-de-presse/2020-communiques/La-levee-des-restrictions-de-circulation-aux-frontieres-interieures-europeennes-de-la-France
https://www.interieur.gouv.fr/archive/restrictions-de-circulation-et-mise-en-place-de-mesures-sanitaires-aux-frontieres</x:v>
      </x:c>
      <x:c r="O390" s="4" t="str">
        <x:v>Second full-register audit source access, 26 October 2026
https://www.gov.uk/government/news/french-government-restriction-on-movements-and-implementation-of-sanitary-measures-at-the-borders: full text (fresh retrieval)
https://www.interieur.gouv.fr/fr/Archives/Archives-des-communiques-de-presse/2020-communiques/La-levee-des-restrictions-de-circulation-aux-frontieres-interieures-europeennes-de-la-France: search extract (fresh retrieval) — Substantive indexed release; fresh direct open returned 404 in b13-details.json.
Earlier URLs not separately inspected in this second assessment:
https://www.val-de-marne.gouv.fr/Actualites/Espace-presse/Communiques-de-presse/Communique-de-Presse-Archives-2020/La-levee-des-restrictions-de-circulation-aux-frontieres-interieures-europeennes-de-la-France
https://www.interieur.gouv.fr/fr/Archives/Archives-des-actualites/2020-Actualites/Restrictions-de-circulation-et-mise-en-place-de-mesures-sanitaires-aux-frontieres
https://www.interieur.gouv.fr/Archives/Archives-des-actualites/2020-Actualites/Restrictions-de-circulation-et-mise-en-place-de-mesures-sanitaires-aux-frontieres
https://www.interieur.gouv.fr/Archives/Archives-des-communiques-de-presse/2020-communiques/La-levee-des-restrictions-de-circulation-aux-frontieres-interieures-europeennes-de-la-France
https://www.interieur.gouv.fr/archive/restrictions-de-circulation-et-mise-en-place-de-mesures-sanitaires-aux-frontieres
Prior audit access record
Full-register audit source access (evidence cutoff 25 October 2026)
https://www.gov.uk/government/news/french-government-restriction-on-movements-and-implementation-of-sanitary-measures-at-the-borders: full text
https://www.interieur.gouv.fr/fr/Archives/Archives-des-communiques-de-presse/2020-communiques/La-levee-des-restrictions-de-circulation-aux-frontieres-interieures-europeennes-de-la-France: search extract — Direct ministry404; prefecture502
Earlier source URLs not separately listed in this audit’s retrieval log (historical access notes below are not fresh verification):
https://www.val-de-marne.gouv.fr/Actualites/Espace-presse/Communiques-de-presse/Communique-de-Presse-Archives-2020/La-levee-des-restrictions-de-circulation-aux-frontieres-interieures-europeennes-de-la-France
https://www.interieur.gouv.fr/fr/Archives/Archives-des-actualites/2020-Actualites/Restrictions-de-circulation-et-mise-en-place-de-mesures-sanitaires-aux-frontieres
https://www.interieur.gouv.fr/Archives/Archives-des-actualites/2020-Actualites/Restrictions-de-circulation-et-mise-en-place-de-mesures-sanitaires-aux-frontieres
https://www.interieur.gouv.fr/Archives/Archives-des-communiques-de-presse/2020-communiques/La-levee-des-restrictions-de-circulation-aux-frontieres-interieures-europeennes-de-la-France
https://www.interieur.gouv.fr/archive/restrictions-de-circulation-et-mise-en-place-de-mesures-sanitaires-aux-frontieres
Earlier recorded access
Source 1: full
Source 2: indexed excerpt
Source 3: failed; indexed excerpt</x:v>
      </x:c>
      <x:c r="P390" s="20" t="n">
        <x:v>1</x:v>
      </x:c>
      <x:c r="Q390" s="4" t="str">
        <x:v>Europe</x:v>
      </x:c>
      <x:c r="R390" s="4" t="str">
        <x:v>Included</x:v>
      </x:c>
    </x:row>
    <x:row r="391" ht="409" hidden="0" customHeight="1">
      <x:c r="A391" s="16" t="str">
        <x:v>R2-EU-015</x:v>
      </x:c>
      <x:c r="B391" s="4" t="str">
        <x:v>Belarus restricts non-exempt foreign land entry under COVID regulation</x:v>
      </x:c>
      <x:c r="C391" s="4" t="str">
        <x:v>Belarus; Poland; Lithuania; Latvia; Ukraine; Russia</x:v>
      </x:c>
      <x:c r="D391" s="4" t="str">
        <x:v>Road; simplified local; rail-station; river-port posts
National surface-entry regime; Russia included in reported inward rule</x:v>
      </x:c>
      <x:c r="E391" s="4" t="str">
        <x:v>Foreign nationals and stateless people outside exceptions
Direction: Into Belarus
Exceptions: Residents, work-authorised travellers, diplomats, freight crews, specified family/humanitarian travel and Russians transiting home; Minsk airport outside ban.</x:v>
      </x:c>
      <x:c r="F391" s="4" t="str">
        <x:v>R2-EU-015-D1 — Formal policy
Belarus non-exempt foreign surface-entry restriction under Regulation 624
Start: 2020-11-01.
Policy endpoint: 2022-04-03.
Formal policy: 518 calendar-day difference; operational continuity not established</x:v>
      </x:c>
      <x:c r="G391" s="4" t="str">
        <x:v>Health and biosecurity / Human disease control
Attributed official justification
Applies to: Recorded episode; exact overlap not separately established
Political control is an allegation attributed to opposition/reporting, alongside the official COVID explanation. It is not presented as established government intent.
Power and regime politics / Opposition and political reform
Analytical interpretation of reported context
Applies to: Recorded episode; exact overlap not separately established
Political control is an allegation attributed to opposition/reporting, alongside the official COVID explanation. It is not presented as established government intent.</x:v>
      </x:c>
      <x:c r="H391" s="4" t="str">
        <x:v>R2-EU-015-D1: Formal regime with changing resident, work, freight, family and humanitarian exemptions, not a sealed frontier. October 29 abrupt restrictions are a prior phase; no exact first traffic at every post is claimed.</x:v>
      </x:c>
      <x:c r="I391" s="4" t="str">
        <x:v>Second full-register audit, 26 October 2026: qualified. Fresh Regulation 624 reproduction and the Belarus Border Committee’s repeal notice confirm the November 1, 2020–April 3, 2022 foreign surface-entry policy phase.</x:v>
      </x:c>
      <x:c r="J391" s="18" t="d">
        <x:v>2026-10-26T00:00:00.000Z</x:v>
      </x:c>
      <x:c r="K391" s="21" t="str">
        <x:f>IFERROR(HYPERLINK("https://www.gov.kz/org/mfa-minsk/press/news/details/119169?lang=ru","Kazakhstan Embassy in Belarus"),"Kazakhstan Embassy in Belarus")</x:f>
        <x:v>Kazakhstan Embassy in Belarus</x:v>
      </x:c>
      <x:c r="L391" s="21" t="str">
        <x:f>IFERROR(HYPERLINK("https://www.rferl.org/a/belarus-partially-shuts-borders-over-covid-19-as-protest-crackdown-continues/30923669.html","RFE/RL Belarus Service"),"RFE/RL Belarus Service")</x:f>
        <x:v>RFE/RL Belarus Service</x:v>
      </x:c>
      <x:c r="M391" s="21" t="str">
        <x:f>IFERROR(HYPERLINK("https://t.me/s/gpkgovby/1398","Belarus State Border Committee"),"Belarus State Border Committee")</x:f>
        <x:v>Belarus State Border Committee</x:v>
      </x:c>
      <x:c r="N391" s="4" t="str">
        <x:v>https://www.gov.kz/org/mfa-minsk/press/news/details/119169?lang=ru
https://www.rferl.org/a/belarus-partially-shuts-borders-over-covid-19-as-protest-crackdown-continues/30923669.html
https://t.me/s/gpkgovby/1398
https://www.ecoi.net/en/document/2048111.html
https://www.euronews.com/2020/10/30/protest-hit-belarus-closes-all-borders-except-its-one-with-russia-as-coronavirus-surges-in
https://www.iom.int/sites/g/files/tmzbdl486/files/situation_reports/file/iom-belarus-sitrep-14-1-14-apr.pdf
https://belarusdigest.com/story/why-did-belarus-lift-the-iron-curtain-from-its-borders/
https://telegram.me/s/gpkgovby?before=1372
https://base.spinform.ru/show_doc.fwx?rgn=128410
https://eec.eaeunion.org/upload/medialibrary/a01/Mery-stran-03.06.2022.pdf
https://devby.io/ru/news/belarus-granitsa-open</x:v>
      </x:c>
      <x:c r="O391" s="4" t="str">
        <x:v>Second full-register audit source access, 26 October 2026
https://www.gov.kz/org/mfa-minsk/press/news/details/119169?lang=ru: full text (fresh retrieval)
https://www.rferl.org/a/belarus-partially-shuts-borders-over-covid-19-as-protest-crackdown-continues/30923669.html: full text (fresh retrieval)
https://telegram.me/s/gpkgovby?before=1372: full text (fresh retrieval) — Official Telegram channel archive; item publication clock not independently recovered.
Earlier URLs not separately inspected in this second assessment:
https://t.me/s/gpkgovby/1398
https://www.ecoi.net/en/document/2048111.html
https://www.euronews.com/2020/10/30/protest-hit-belarus-closes-all-borders-except-its-one-with-russia-as-coronavirus-surges-in
https://www.iom.int/sites/g/files/tmzbdl486/files/situation_reports/file/iom-belarus-sitrep-14-1-14-apr.pdf
https://belarusdigest.com/story/why-did-belarus-lift-the-iron-curtain-from-its-borders/
https://base.spinform.ru/show_doc.fwx?rgn=128410
https://eec.eaeunion.org/upload/medialibrary/a01/Mery-stran-03.06.2022.pdf
https://devby.io/ru/news/belarus-granitsa-open
Prior audit access record
Full-register audit source access (evidence cutoff 25 October 2026)
https://www.gov.kz/org/mfa-minsk/press/news/details/119169?lang=ru: full text
https://devby.io/ru/news/belarus-granitsa-open: full text
Earlier source URLs not separately listed in this audit’s retrieval log (historical access notes below are not fresh verification):
https://www.rferl.org/a/belarus-partially-shuts-borders-over-covid-19-as-protest-crackdown-continues/30923669.html
https://t.me/s/gpkgovby/1398
https://www.ecoi.net/en/document/2048111.html
https://www.euronews.com/2020/10/30/protest-hit-belarus-closes-all-borders-except-its-one-with-russia-as-coronavirus-surges-in
https://www.iom.int/sites/g/files/tmzbdl486/files/situation_reports/file/iom-belarus-sitrep-14-1-14-apr.pdf
https://belarusdigest.com/story/why-did-belarus-lift-the-iron-curtain-from-its-borders/
https://telegram.me/s/gpkgovby?before=1372
https://base.spinform.ru/show_doc.fwx?rgn=128410
https://eec.eaeunion.org/upload/medialibrary/a01/Mery-stran-03.06.2022.pdf
Earlier recorded access
Source 1: full page
Source 2: full page
Source 3: full page</x:v>
      </x:c>
      <x:c r="P391" s="20" t="n">
        <x:v>1</x:v>
      </x:c>
      <x:c r="Q391" s="4" t="str">
        <x:v>Europe</x:v>
      </x:c>
      <x:c r="R391" s="4" t="str">
        <x:v>Included</x:v>
      </x:c>
    </x:row>
    <x:row r="392" ht="330" hidden="0" customHeight="1">
      <x:c r="A392" s="16" t="str">
        <x:v>R2-EU-001</x:v>
      </x:c>
      <x:c r="B392" s="4" t="str">
        <x:v>Kosovo–Serbia: Jarinje and Brnjak vehicle blockades during licence-plate dispute</x:v>
      </x:c>
      <x:c r="C392" s="4" t="str">
        <x:v>Kosovo (disputed status); Serbia</x:v>
      </x:c>
      <x:c r="D392" s="4" t="str">
        <x:v>Jarinje; Brnjak
Disputed Kosovo–Serbia boundary; road access to two posts</x:v>
      </x:c>
      <x:c r="E392" s="4" t="str">
        <x:v>Road vehicles; pedestrians are documented passing during blockade
Direction: Road access in both directions obstructed
Exceptions: Pedestrian passage documented; not a complete prohibition of every traveller.</x:v>
      </x:c>
      <x:c r="F392" s="4" t="str">
        <x:v>R2-EU-001-D1 — Observed operation
Disputed Kosovo–Serbia boundary; road access to two posts; Road vehicles; pedestrians are documented passing during blockade; Road access in both directions obstructed
Start: 2021-09-20.
Observed scoped reopening: 2021-10-02.
12 calendar-day difference; scoped endpoint only</x:v>
      </x:c>
      <x:c r="G392" s="4" t="str">
        <x:v>Interstate disputes and pressure / Diplomatic disputes and retaliation
Reported reason
Local Serb protesters obstructed the Jarinje and Brnjak roads after Kosovo required Serbian-plated vehicles to obtain temporary registration plates from September 20, 2021. Kosovo described its measure as reciprocal treatment for Serbian rules affecting Kosovo-plated vehicles. Pedestrian movement continued; this was not a prohibition on every traveller.</x:v>
      </x:c>
      <x:c r="H392" s="4" t="str">
        <x:v>R2-EU-001-D1: Roadblock rather than a national border-closure decree. Kosovo’s disputed status is explicit. Pedestrian passage documented; not a complete prohibition of every traveller.</x:v>
      </x:c>
      <x:c r="I392" s="4" t="str">
        <x:v>Second full-register audit, 26 October 2026: qualified. Vehicle blockade chronology and pedestrian qualification survive fresh source inspection.</x:v>
      </x:c>
      <x:c r="J392" s="18" t="d">
        <x:v>2026-10-26T00:00:00.000Z</x:v>
      </x:c>
      <x:c r="K392" s="21" t="str">
        <x:f>IFERROR(HYPERLINK("https://www.rferl.org/a/kosovo-serbia-border-cleared/31488983.html","RFE/RL"),"RFE/RL")</x:f>
        <x:v>RFE/RL</x:v>
      </x:c>
      <x:c r="L392" s="21" t="str">
        <x:f>IFERROR(HYPERLINK("https://www.investing.com/news/world-news/serbs-unblock-roads-in-kosovo-as-nato-moves-to-end-car-plate-row-2632921","Reuters / Investing.com"),"Reuters / Investing.com")</x:f>
        <x:v>Reuters / Investing.com</x:v>
      </x:c>
      <x:c r="M392" s="21" t="str">
        <x:f>IFERROR(HYPERLINK("https://www.gazetaexpress.com/en/policia-gjendja-ne-veri-i-eshte-kthyer-normalitetit/","gazetaexpress.com"),"gazetaexpress.com")</x:f>
        <x:v>gazetaexpress.com</x:v>
      </x:c>
      <x:c r="N392" s="4" t="str">
        <x:v>https://www.rferl.org/a/kosovo-serbia-border-cleared/31488983.html
https://www.investing.com/news/world-news/serbs-unblock-roads-in-kosovo-as-nato-moves-to-end-car-plate-row-2632921
https://www.gazetaexpress.com/en/policia-gjendja-ne-veri-i-eshte-kthyer-normalitetit/</x:v>
      </x:c>
      <x:c r="O392" s="4" t="str">
        <x:v>Second full-register audit source access, 26 October 2026
https://www.rferl.org/a/kosovo-serbia-border-cleared/31488983.html: full text (fresh retrieval)
https://www.rferl.org/a/kosovo-serbia-border-cleared/31488983.html: full text (fresh retrieval)
https://www.investing.com/news/world-news/serbs-unblock-roads-in-kosovo-as-nato-moves-to-end-car-plate-row-2632921: full text (fresh retrieval)
Earlier URLs not separately inspected in this second assessment:
https://www.gazetaexpress.com/en/policia-gjendja-ne-veri-i-eshte-kthyer-normalitetit/
Prior audit access record
Full-register audit source access (evidence cutoff 25 October 2026)
https://www.rferl.org/a/kosovo-serbia-border-cleared/31488983.html: full text
https://www.investing.com/news/world-news/serbs-unblock-roads-in-kosovo-as-nato-moves-to-end-car-plate-row-2632921: full text
Earlier source URLs not separately listed in this audit’s retrieval log (historical access notes below are not fresh verification):
https://www.gazetaexpress.com/en/policia-gjendja-ne-veri-i-eshte-kthyer-normalitetit/
Earlier recorded access
Source 1: full text
Source 2: full text
Source 3: access detail is retained in the source catalogue.</x:v>
      </x:c>
      <x:c r="P392" s="20" t="n">
        <x:v>1</x:v>
      </x:c>
      <x:c r="Q392" s="4" t="str">
        <x:v>Europe</x:v>
      </x:c>
      <x:c r="R392" s="4" t="str">
        <x:v>Included</x:v>
      </x:c>
    </x:row>
    <x:row r="393" ht="409" hidden="0" customHeight="1">
      <x:c r="A393" s="16" t="str">
        <x:v>R2-EU-002</x:v>
      </x:c>
      <x:c r="B393" s="4" t="str">
        <x:v>Kosovo temporarily closes Jarinje and Brnjak during July roadblocks</x:v>
      </x:c>
      <x:c r="C393" s="4" t="str">
        <x:v>Kosovo (disputed status); Serbia</x:v>
      </x:c>
      <x:c r="D393" s="4" t="str">
        <x:v>Jarinje; Brnjak
Disputed Kosovo–Serbia boundary; two posts</x:v>
      </x:c>
      <x:c r="E393" s="4" t="str">
        <x:v>Passengers, vehicles and goods
Direction: Both-direction crossing circulation closed
Exceptions: Other Kosovo–Serbia posts remained alternatives.</x:v>
      </x:c>
      <x:c r="F393" s="4" t="str">
        <x:v>R2-EU-002-D1 — Observed operation
Jarinje and Brnjak; disputed Kosovo–Serbia boundary; passengers, vehicles and goods; both-direction circulation closed.
Start: 2022-07-31, evening.
Observed scoped reopening: 2022-08-01, evening. Euronews reported actual traffic resuming at Jarinje in its 19:50 update; the minister’s statement that both posts were open was reported at 19:59.
One calendar-day difference; exact elapsed duration and strict greater-than-24-hour eligibility remain unresolved. News-update clocks are observation bounds, not exact first or last passage times.</x:v>
      </x:c>
      <x:c r="G393" s="4" t="str">
        <x:v>Security / Public order and immediate safety
Reported reason
Kosovo Police attributed closure of Jarinje and Brnjak to blocked approach roads during July 31, 2022 unrest, and directed travellers to other crossings.
Interstate disputes and pressure / Diplomatic disputes and retaliation
Reported reason
The roadblocks accompanied the dispute over Kosovo entry documents for Serbian-ID holders and vehicle registration plates. The planned measures were deferred after barricades were removed on August 1.</x:v>
      </x:c>
      <x:c r="H393" s="4" t="str">
        <x:v>The police onset and ministerial reopening notices are one official evidence chain. An independent Euronews reporter also observed Jarinje closed on July 31 and traffic resuming on August 1. The live report distinguishes continuing closure at 19:04 from resumed traffic by its 19:50 August 1 update. These update times do not establish the exact first passage or prove a duration exceeding 24 hours. Other Kosovo–Serbia posts remained alternatives; the document and registration measures were deferred after the barricades were removed.</x:v>
      </x:c>
      <x:c r="I393" s="4" t="str">
        <x:v>Second full-register audit, 26 October 2026: additional source-audited corrections incorporated. See the phase, scope and qualification columns for the accepted findings.</x:v>
      </x:c>
      <x:c r="J393" s="18" t="d">
        <x:v>2026-10-26T00:00:00.000Z</x:v>
      </x:c>
      <x:c r="K393" s="21" t="str">
        <x:f>IFERROR(HYPERLINK("https://www.kosovopolice.com/informacion-zyrtar-nr-4/","Kosovo Police"),"Kosovo Police")</x:f>
        <x:v>Kosovo Police</x:v>
      </x:c>
      <x:c r="L393" s="21" t="str">
        <x:f>IFERROR(HYPERLINK("https://www.kossev.info/en/kp-jarinje-i-brnjak-otvoreni-za-kretanje-gradjana-i-robe/","KoSSev"),"KoSSev")</x:f>
        <x:v>KoSSev</x:v>
      </x:c>
      <x:c r="M393" s="21" t="str">
        <x:f>IFERROR(HYPERLINK("https://kossev.info/kp-jarinje-i-brnjak-otvoreni-za-kretanje-gradjana-i-robe/","KoSSev"),"KoSSev")</x:f>
        <x:v>KoSSev</x:v>
      </x:c>
      <x:c r="N393" s="4" t="str">
        <x:v>https://www.kosovopolice.com/informacion-zyrtar-nr-4/
https://www.kossev.info/en/kp-jarinje-i-brnjak-otvoreni-za-kretanje-gradjana-i-robe/
https://kossev.info/kp-jarinje-i-brnjak-otvoreni-za-kretanje-gradjana-i-robe/
https://www.kosovopolice.com/sr/zvanicna-informacija-br-4-informacion-zyrtar-nr-4/
https://kossev.info/en/kp-jarinje-i-brnjak-otvoreni-za-kretanje-gradjana-i-robe/
https://www.euronews.rs/srbija/politika/57550/otvoreni-prelazi-jarinje-i-brnjak-krenuo-saobracaj-nakon-sto-su-ukonjene-barikade-nema-privremenih-dokumenata/vest</x:v>
      </x:c>
      <x:c r="O393" s="4" t="str">
        <x:v>Second full-register audit source access, 26 October 2026
https://www.euronews.rs/srbija/politika/57550/otvoreni-prelazi-jarinje-i-brnjak-krenuo-saobracaj-nakon-sto-su-ukonjene-barikade-nema-privremenih-dokumenata/vest: full text (fresh retrieval) — Live blog originally published July 31 and updated August 1; update timestamps are not exact crossing clocks.
Earlier URLs not separately inspected in this second assessment:
https://www.kosovopolice.com/informacion-zyrtar-nr-4/
https://www.kossev.info/en/kp-jarinje-i-brnjak-otvoreni-za-kretanje-gradjana-i-robe/
https://kossev.info/kp-jarinje-i-brnjak-otvoreni-za-kretanje-gradjana-i-robe/
https://www.kosovopolice.com/sr/zvanicna-informacija-br-4-informacion-zyrtar-nr-4/
https://kossev.info/en/kp-jarinje-i-brnjak-otvoreni-za-kretanje-gradjana-i-robe/
Prior audit access record
Full-register audit source access (evidence cutoff 25 October 2026)
https://www.kosovopolice.com/informacion-zyrtar-nr-4/: search extract — Direct body follow-up timed out; official substantive indexed text inspected.
https://kossev.info/kp-jarinje-i-brnjak-otvoreni-za-kretanje-gradjana-i-robe/: full text
https://www.kosovopolice.com/informacion-zyrtar-nr-4/: inaccessible
Earlier source URLs not separately listed in this audit’s retrieval log (historical access notes below are not fresh verification):
https://www.kossev.info/en/kp-jarinje-i-brnjak-otvoreni-za-kretanje-gradjana-i-robe/
https://www.kosovopolice.com/sr/zvanicna-informacija-br-4-informacion-zyrtar-nr-4/
https://kossev.info/en/kp-jarinje-i-brnjak-otvoreni-za-kretanje-gradjana-i-robe/
Earlier recorded access
Source 1: full text
Source 2: unavailable
Source 3: full text</x:v>
      </x:c>
      <x:c r="P393" s="20" t="n">
        <x:v>1</x:v>
      </x:c>
      <x:c r="Q393" s="4" t="str">
        <x:v>Europe</x:v>
      </x:c>
      <x:c r="R393" s="4" t="str">
        <x:v>Included</x:v>
      </x:c>
    </x:row>
    <x:row r="394" ht="409" hidden="0" customHeight="1">
      <x:c r="A394" s="16" t="str">
        <x:v>R2-EU-003</x:v>
      </x:c>
      <x:c r="B394" s="4" t="str">
        <x:v>Kosovo closes Jarinje and Brnjak during December 2022 barricades</x:v>
      </x:c>
      <x:c r="C394" s="4" t="str">
        <x:v>Kosovo (disputed status); Serbia</x:v>
      </x:c>
      <x:c r="D394" s="4" t="str">
        <x:v>Jarinje; Brnjak
Disputed Kosovo–Serbia boundary; two northern posts</x:v>
      </x:c>
      <x:c r="E394" s="4" t="str">
        <x:v>Crossing traffic, people and goods
Direction: Both-direction circulation closed
Exceptions: Other posts initially available; separate Merdare interruption recorded separately.</x:v>
      </x:c>
      <x:c r="F394" s="4" t="str">
        <x:v>R2-EU-003-D1 — Observed operation
Disputed Kosovo–Serbia boundary; two northern posts; Crossing traffic, people and goods; Both-direction circulation closed
Start: 2022-12-10.
Observed scoped reopening: 2022-12-30, afternoon; police retrospective and same-day Reuters report.
20 calendar-day difference; scoped endpoint only</x:v>
      </x:c>
      <x:c r="G394" s="4" t="str">
        <x:v>Security / Public order and immediate safety
Reported police reason
Police attributed the two-post closure to barricades and deteriorating security from December 10, 2022. Contemporary reporting links the roadblocks to the arrest of former Serb police officer Dejan Pantić, within a dispute over Kosovo authorities’ control in the north. The safety and contested-authority categories describe those distinct reported contexts.
Power and regime politics / Contested governing authority
Analytical interpretation of reported context
Police attributed the two-post closure to barricades and deteriorating security from December 10, 2022. Contemporary reporting links the roadblocks to the arrest of former Serb police officer Dejan Pantić, within a dispute over Kosovo authorities’ control in the north. The safety and contested-authority categories describe those distinct reported contexts.</x:v>
      </x:c>
      <x:c r="H394" s="4" t="str">
        <x:v>Police confirms December 30, 2022 afternoon reopening after removal of barricades. A January 4 web posting carries the explicitly dated December 30 statement and is not the event date. Reuters relies on police for the operational date, not an independent exact first-passage log. Other posts initially remained available; Merdare’s separate December 27–29 episode is not joined.</x:v>
      </x:c>
      <x:c r="I394" s="4" t="str">
        <x:v>Second full-register audit, 26 October 2026: qualified. December 30 reopening is confirmed; the Merdare episode remains separate.</x:v>
      </x:c>
      <x:c r="J394" s="18" t="d">
        <x:v>2026-10-26T00:00:00.000Z</x:v>
      </x:c>
      <x:c r="K394" s="21" t="str">
        <x:f>IFERROR(HYPERLINK("https://www.kosovopolice.com/komunikate-per-media-saopstenje-za-medije-press-release-5/","Kosovo Police"),"Kosovo Police")</x:f>
        <x:v>Kosovo Police</x:v>
      </x:c>
      <x:c r="L394" s="21" t="str">
        <x:f>IFERROR(HYPERLINK("https://www.kosovopolice.com/sr/na-severu-zemlje-uklonjene-su-barikade-i-otvorena-su-za-saobracaj-dva-granicna-prelaza-jarinje-i-brnjak/","Kosovo Police"),"Kosovo Police")</x:f>
        <x:v>Kosovo Police</x:v>
      </x:c>
      <x:c r="M394" s="21" t="str">
        <x:f>IFERROR(HYPERLINK("https://www.investing.com/news/world-news/kosovo-reopens-border-crossings-after-serbs-remove-roadblocks-2971441","Investing.com / Reuters"),"Investing.com / Reuters")</x:f>
        <x:v>Investing.com / Reuters</x:v>
      </x:c>
      <x:c r="N394" s="4" t="str">
        <x:v>https://www.kosovopolice.com/komunikate-per-media-saopstenje-za-medije-press-release-5/
https://www.kosovopolice.com/sr/na-severu-zemlje-uklonjene-su-barikade-i-otvorena-su-za-saobracaj-dva-granicna-prelaza-jarinje-i-brnjak/
https://www.investing.com/news/world-news/kosovo-reopens-border-crossings-after-serbs-remove-roadblocks-2971441
https://www.rferl.org/amp/kosovo-serbia-vucic-remove-roadblocks/32198522.html
https://www.koha.net/en/arberi/barrikadat-u-larguan-por-pikat-kufitare-ne-veri-jane-ende-te-mbyllura
https://2021-2025.state.gov/reports/2022-country-reports-on-human-rights-practices/kosovo/
https://www.kosovopolice.com/ne-veri-te-vendit-largohen-barrikadat-dhe-lirohen-per-qarkullim-dy-pikat-kufitare-jarinje-dhe-bernjak-na-severu-zemlje-uklonjene-su-barikade-i-otvorena-su-za-saobracaj-dva-granicna-prelaza-jarinje-i/
https://www.rferl.org/a/kosovo-serbia-vucic-remove-roadblocks/32198522.html</x:v>
      </x:c>
      <x:c r="O394" s="4" t="str">
        <x:v>Second full-register audit source access, 26 October 2026
https://www.investing.com/news/world-news/kosovo-reopens-border-crossings-after-serbs-remove-roadblocks-2971441: full text (fresh retrieval)
Earlier URLs not separately inspected in this second assessment:
https://www.kosovopolice.com/komunikate-per-media-saopstenje-za-medije-press-release-5/
https://www.kosovopolice.com/sr/na-severu-zemlje-uklonjene-su-barikade-i-otvorena-su-za-saobracaj-dva-granicna-prelaza-jarinje-i-brnjak/
https://www.rferl.org/amp/kosovo-serbia-vucic-remove-roadblocks/32198522.html
https://www.koha.net/en/arberi/barrikadat-u-larguan-por-pikat-kufitare-ne-veri-jane-ende-te-mbyllura
https://2021-2025.state.gov/reports/2022-country-reports-on-human-rights-practices/kosovo/
https://www.kosovopolice.com/ne-veri-te-vendit-largohen-barrikadat-dhe-lirohen-per-qarkullim-dy-pikat-kufitare-jarinje-dhe-bernjak-na-severu-zemlje-uklonjene-su-barikade-i-otvorena-su-za-saobracaj-dva-granicna-prelaza-jarinje-i/
https://www.rferl.org/a/kosovo-serbia-vucic-remove-roadblocks/32198522.html
Prior audit access record
Full-register audit source access (evidence cutoff 25 October 2026)
https://www.kosovopolice.com/ne-veri-te-vendit-largohen-barrikadat-dhe-lirohen-per-qarkullim-dy-pikat-kufitare-jarinje-dhe-bernjak-na-severu-zemlje-uklonjene-su-barikade-i-otvorena-su-za-saobracaj-dva-granicna-prelaza-jarinje-i/: search extract
https://www.investing.com/news/world-news/kosovo-reopens-border-crossings-after-serbs-remove-roadblocks-2971441: full text
https://www.rferl.org/a/kosovo-serbia-vucic-remove-roadblocks/32198522.html: full text
Earlier source URLs not separately listed in this audit’s retrieval log (historical access notes below are not fresh verification):
https://www.kosovopolice.com/komunikate-per-media-saopstenje-za-medije-press-release-5/
https://www.kosovopolice.com/sr/na-severu-zemlje-uklonjene-su-barikade-i-otvorena-su-za-saobracaj-dva-granicna-prelaza-jarinje-i-brnjak/
https://www.rferl.org/amp/kosovo-serbia-vucic-remove-roadblocks/32198522.html
https://www.koha.net/en/arberi/barrikadat-u-larguan-por-pikat-kufitare-ne-veri-jane-ende-te-mbyllura
https://2021-2025.state.gov/reports/2022-country-reports-on-human-rights-practices/kosovo/
Earlier recorded access
Source 1: search extract
Source 2: search extract
Source 3: full page</x:v>
      </x:c>
      <x:c r="P394" s="20" t="n">
        <x:v>1</x:v>
      </x:c>
      <x:c r="Q394" s="4" t="str">
        <x:v>Europe</x:v>
      </x:c>
      <x:c r="R394" s="4" t="str">
        <x:v>Included</x:v>
      </x:c>
    </x:row>
    <x:row r="395" ht="409" hidden="0" customHeight="1">
      <x:c r="A395" s="16" t="str">
        <x:v>R2-EU-004</x:v>
      </x:c>
      <x:c r="B395" s="4" t="str">
        <x:v>Kosovo’s Merdare crossing closes during Serbian-side solidarity blockade</x:v>
      </x:c>
      <x:c r="C395" s="4" t="str">
        <x:v>Kosovo (disputed status); Serbia</x:v>
      </x:c>
      <x:c r="D395" s="4" t="str">
        <x:v>Merdare
Disputed Kosovo–Serbia boundary; one post</x:v>
      </x:c>
      <x:c r="E395" s="4" t="str">
        <x:v>Crossing traffic including freight
Direction: Both-direction circulation closed
Exceptions: Alternative crossings existed.</x:v>
      </x:c>
      <x:c r="F395" s="4" t="str">
        <x:v>R2-EU-004-D1 — Observed operation
Merdare; disputed Kosovo–Serbia boundary; crossing traffic including freight, in both directions.
Start: 2022-12-27, evening; the Kosovo border-management centre announced the crossing closed that evening after a Serbian-side approach-road blockade.
Observed scoped reopening: 2022-12-29, morning. Police reported the obstructed approach road cleared at 09:50 and the crossing reopened and traffic normalized.
Two calendar-day difference; strictly more than 24 hours is supported by the described continuous episode. Exact first and last passage clocks remain unknown.</x:v>
      </x:c>
      <x:c r="G395" s="4" t="str">
        <x:v>Security / Public order and immediate safety
Reported closure reason
Kosovo authorities closed Merdare after a Serbian-side roadblock obstructed access about two kilometres from the crossing.
Power and regime politics / Contested governing authority
Analytical interpretation of reported context
Contemporary reporting attributes the Serbian-side action to solidarity with Serbs maintaining northern Kosovo barricades during the dispute over Kosovo authorities and the arrest of Dejan Pantić.</x:v>
      </x:c>
      <x:c r="H395" s="4" t="str">
        <x:v>The December 28 RFE/RL report explicitly dates the border-management centre’s closure announcement to the previous evening, December 27; its publication date is not the onset. Anadolu’s December 29 police account places road clearance at 09:50 and confirms the crossing reopened. That road-clearance clock is not asserted as an independently logged first border passage. The blockade lay about two kilometres inside Serbia; alternative crossings existed. Separate Jarinje and Brnjak episodes are not joined.</x:v>
      </x:c>
      <x:c r="I395" s="4" t="str">
        <x:v>Second full-register audit, 26 October 2026: additional source-audited corrections incorporated. See the phase, scope and qualification columns for the accepted findings.</x:v>
      </x:c>
      <x:c r="J395" s="18" t="d">
        <x:v>2026-10-26T00:00:00.000Z</x:v>
      </x:c>
      <x:c r="K395" s="21" t="str">
        <x:f>IFERROR(HYPERLINK("https://www.rferl.org/a/kosovo-serbia-vucic-remove-roadblocks/32198522.html","RFE/RL"),"RFE/RL")</x:f>
        <x:v>RFE/RL</x:v>
      </x:c>
      <x:c r="L395" s="21" t="str">
        <x:f>IFERROR(HYPERLINK("https://www.investing.com/news/world-news/kosovo-reopens-major-border-crossing-with-serbia-easing-standoff-2971011","Investing.com / Reuters"),"Investing.com / Reuters")</x:f>
        <x:v>Investing.com / Reuters</x:v>
      </x:c>
      <x:c r="M395" s="21" t="str">
        <x:f>IFERROR(HYPERLINK("https://www.rferl.org/a/kosovo-serbia-border-roadblocks/32197331.html","RFE/RL Balkan Service"),"RFE/RL Balkan Service")</x:f>
        <x:v>RFE/RL Balkan Service</x:v>
      </x:c>
      <x:c r="N395" s="4" t="str">
        <x:v>https://www.rferl.org/a/kosovo-serbia-vucic-remove-roadblocks/32198522.html
https://www.investing.com/news/world-news/kosovo-reopens-major-border-crossing-with-serbia-easing-standoff-2971011
https://www.rferl.org/a/kosovo-serbia-border-roadblocks/32197331.html
https://newsinfo.inquirer.net/1709907/kosovo-closes-main-border-crossing-after-roadblock-in-serbia
https://www.kossev.info/en/kp-potvrdila-merdare-zatvoreno-zbog-blokade-puta/
https://www.globalbankingandfinance.com/kosovo-re-opens-major-border-crossing-with-serbia-easing-standoff/
https://www.rferl.org/amp/kosovo-serbia-vucic-remove-roadblocks/32198522.html
https://www.koha.net/en/arberi/lirohet-per-qarkullim-pika-kufitare-ne-merdare
https://www.kossev.info/en/kosovski-mup-prelaz-merdare-zatvoren-za-saobracaj-zbog-barikade/
https://www.slobodnaevropa.org/a/zatvoren-granicni-prelaz-merdare/32196143.html
https://www.aa.com.tr/ba/balkan/kosovska-policija-grani%C4%8Dni-prelaz-merdare-pu%C5%A1ten-u-saobra%C4%87aj/2775282</x:v>
      </x:c>
      <x:c r="O395" s="4" t="str">
        <x:v>Second full-register audit source access, 26 October 2026
https://www.slobodnaevropa.org/a/zatvoren-granicni-prelaz-merdare/32196143.html: full text (fresh retrieval)
https://www.aa.com.tr/ba/balkan/kosovska-policija-grani%C4%8Dni-prelaz-merdare-pu%C5%A1ten-u-saobra%C4%87aj/2775282: full text (fresh retrieval)
Earlier URLs not separately inspected in this second assessment:
https://www.rferl.org/a/kosovo-serbia-vucic-remove-roadblocks/32198522.html
https://www.investing.com/news/world-news/kosovo-reopens-major-border-crossing-with-serbia-easing-standoff-2971011
https://www.rferl.org/a/kosovo-serbia-border-roadblocks/32197331.html
https://newsinfo.inquirer.net/1709907/kosovo-closes-main-border-crossing-after-roadblock-in-serbia
https://www.kossev.info/en/kp-potvrdila-merdare-zatvoreno-zbog-blokade-puta/
https://www.globalbankingandfinance.com/kosovo-re-opens-major-border-crossing-with-serbia-easing-standoff/
https://www.rferl.org/amp/kosovo-serbia-vucic-remove-roadblocks/32198522.html
https://www.koha.net/en/arberi/lirohet-per-qarkullim-pika-kufitare-ne-merdare
https://www.kossev.info/en/kosovski-mup-prelaz-merdare-zatvoren-za-saobracaj-zbog-barikade/
Prior audit access record
Full-register audit source access (evidence cutoff 25 October 2026)
https://www.kossev.info/en/kosovski-mup-prelaz-merdare-zatvoren-za-saobracaj-zbog-barikade/: search extract
https://www.rferl.org/a/kosovo-serbia-border-roadblocks/32197331.html: full text
https://www.rferl.org/a/kosovo-serbia-vucic-remove-roadblocks/32198522.html: full text
https://www.investing.com/news/world-news/kosovo-reopens-major-border-crossing-with-serbia-easing-standoff-2971011: full text
Earlier source URLs not separately listed in this audit’s retrieval log (historical access notes below are not fresh verification):
https://newsinfo.inquirer.net/1709907/kosovo-closes-main-border-crossing-after-roadblock-in-serbia
https://www.kossev.info/en/kp-potvrdila-merdare-zatvoreno-zbog-blokade-puta/
https://www.globalbankingandfinance.com/kosovo-re-opens-major-border-crossing-with-serbia-easing-standoff/
https://www.rferl.org/amp/kosovo-serbia-vucic-remove-roadblocks/32198522.html
https://www.koha.net/en/arberi/lirohet-per-qarkullim-pika-kufitare-ne-merdare
Earlier recorded access
Source 1: full page
Source 2: search extract
Source 3: full page</x:v>
      </x:c>
      <x:c r="P395" s="20" t="n">
        <x:v>1</x:v>
      </x:c>
      <x:c r="Q395" s="4" t="str">
        <x:v>Europe</x:v>
      </x:c>
      <x:c r="R395" s="4" t="str">
        <x:v>Included</x:v>
      </x:c>
    </x:row>
    <x:row r="396" ht="409" hidden="0" customHeight="1">
      <x:c r="A396" s="16" t="str">
        <x:v>R2-EU-008</x:v>
      </x:c>
      <x:c r="B396" s="4" t="str">
        <x:v>Kosovo restricts Serbian goods, later permitting them at Merdare</x:v>
      </x:c>
      <x:c r="C396" s="4" t="str">
        <x:v>Kosovo (disputed status); Serbia</x:v>
      </x:c>
      <x:c r="D396" s="4" t="str">
        <x:v>All Serbia-facing posts initially; Merdare relaxation endpoint
Serbian-origin imports at disputed Kosovo–Serbia boundary</x:v>
      </x:c>
      <x:c r="E396" s="4" t="str">
        <x:v>Serbian goods; initial measure also affected Serbian-plated trucks, later narrowed
Direction: Into Kosovo
Exceptions: Raw materials later exempted; other goods crossings not reopened by Merdare-only decision. Passenger inspection is not counted as passenger closure.</x:v>
      </x:c>
      <x:c r="F396" s="4" t="str">
        <x:v>R2-EU-008-D1 — Observed operation
Kosovo prohibition of non-exempt Serbian-origin imports, ending here only for Merdare
Start: 2023-06-14.
Observed scoped reopening: 2024-10-08.
dated evidence; numeric duration withheld; see qualification
R2-EU-008-C7P1 — Formal policy
Serbian-origin finished-goods import routing prohibition at Kosovo crossings other than Merdare
Start: 2024-10-08.
Later confirmation: 2026-01-28. Reopening of the other crossings for the affected goods is not established.
Merdare-only routing remained reported after scanner installation; no uninterrupted operational closure duration is inferred.</x:v>
      </x:c>
      <x:c r="G396" s="4" t="str">
        <x:v>Security / Unspecified security
Reported reason
Applies to: Recorded episode; exact overlap not separately established
The inter-authority/security dispute is recorded. The goods restriction does not by itself establish an economic-protection or trade-policy motive.
Interstate disputes and pressure / Diplomatic disputes and retaliation
Reported reason
Applies to: Recorded episode; exact overlap not separately established
The inter-authority/security dispute is recorded. The goods restriction does not by itself establish an economic-protection or trade-policy motive.</x:v>
      </x:c>
      <x:c r="H396" s="4" t="str">
        <x:v>October 7, 2024 was the policy decision; October 8 was implementation and observed passage at Merdare. Product exceptions changed during the initial restriction, and a stable all-goods cohort or continuous operational closure across the full period is not established. Other crossings remained restricted for the affected goods. The Commission’s 2025 report and January 28, 2026 transport and business reporting retain Merdare-only routing; scanner installation is not evidence of reopening elsewhere. January 28 is a later confirmation, not an exact reopening date or proof of October 2026 status.</x:v>
      </x:c>
      <x:c r="I396" s="4" t="str">
        <x:v>Second full-register audit, 26 October 2026: qualified. The Merdare-only relaxation and January 2026 routing restriction remain supported; no later reopening of other posts was found.</x:v>
      </x:c>
      <x:c r="J396" s="18" t="d">
        <x:v>2026-10-26T00:00:00.000Z</x:v>
      </x:c>
      <x:c r="K396" s="21" t="str">
        <x:f>IFERROR(HYPERLINK("https://www.kosovo-online.com/en/news/society/jarinje-implementation-decision-kosovo-government-banning-import-serbian-goods-has","Kosovo Online"),"Kosovo Online")</x:f>
        <x:v>Kosovo Online</x:v>
      </x:c>
      <x:c r="L396" s="21" t="str">
        <x:f>IFERROR(HYPERLINK("https://www.koha.net/en/arberi/kosova-ndalon-hyrjen-e-te-gjitha-mallrave-nga-serbia","KOHA"),"KOHA")</x:f>
        <x:v>KOHA</x:v>
      </x:c>
      <x:c r="M396" s="21" t="str">
        <x:f>IFERROR(HYPERLINK("https://www.aa.com.tr/en/europe/kosovo-lifts-import-ban-on-serbian-goods-serbia-welcomes-decision/3354567","Anadolu Agency"),"Anadolu Agency")</x:f>
        <x:v>Anadolu Agency</x:v>
      </x:c>
      <x:c r="N396" s="4" t="str">
        <x:v>https://www.kosovo-online.com/en/news/society/jarinje-implementation-decision-kosovo-government-banning-import-serbian-goods-has
https://www.koha.net/en/arberi/kosova-ndalon-hyrjen-e-te-gjitha-mallrave-nga-serbia
https://www.aa.com.tr/en/europe/kosovo-lifts-import-ban-on-serbian-goods-serbia-welcomes-decision/3354567
https://kossev.info/en/sveclja-merdare-otvoreno-za-srpsku-robu-uz-bezbednosne-provere-mediji-izvestavaju-da-je-prvi-kamion-vec-usao/
https://www.tanjug.rs/english/politics/116022/trucks-queued-up-for-kilometres-at-merdare-administrative-crossing/vest
https://www.euronews.rs/srbija/politika/140331/euronews-srbija-na-administrativnom-prelazu-merdare-posle-odluke-pristine-prolaze-kamioni-iz-centralne-srbije/vest
https://euronews.al/en/trucks-transporting-serbian-goods-denied-entry-to-kosovo-even-today/
https://www.koha.net/en/arberi/qeveria-ndryshon-masen-e-sigurise-ndaj-produkteve-serbe
https://www.slobodnaevropa.org/a/kosovo-srbija-promet-robe/33151208.html
https://enlargement.ec.europa.eu/document/download/127563ea-4c03-44a4-b56c-2d569afd86a5_en?filename=kosovo-report-2025.pdf
https://www.ecoi.net/en/file/local/2132160/Kosovo%20Report%202024.pdf
https://kossev.info/en/pks-zbog-zabrane-izvoza-robe-iz-srbije-na-kosovo-steta-oko-150-miliona-evra/
https://eur-lex.europa.eu/legal-content/EN/TXT/PDF/?uri=CELEX%3A52024SC0386
https://www.kosovo-online.com/en/news/analysis/one-crossing-many-barriers-does-scanner-merdare-solve-problem-serbian-goods-entering</x:v>
      </x:c>
      <x:c r="O396" s="4" t="str">
        <x:v>Second full-register audit source access, 26 October 2026
https://www.kosovo-online.com/en/news/society/jarinje-implementation-decision-kosovo-government-banning-import-serbian-goods-has: full text (fresh retrieval)
https://www.euronews.rs/srbija/politika/140331/euronews-srbija-na-administrativnom-prelazu-merdare-posle-odluke-pristine-prolaze-kamioni-iz-centralne-srbije/vest: full text (fresh retrieval)
https://www.kosovo-online.com/en/news/analysis/one-crossing-many-barriers-does-scanner-merdare-solve-problem-serbian-goods-entering: full text (fresh retrieval)
Earlier URLs not separately inspected in this second assessment:
https://www.koha.net/en/arberi/kosova-ndalon-hyrjen-e-te-gjitha-mallrave-nga-serbia
https://www.aa.com.tr/en/europe/kosovo-lifts-import-ban-on-serbian-goods-serbia-welcomes-decision/3354567
https://kossev.info/en/sveclja-merdare-otvoreno-za-srpsku-robu-uz-bezbednosne-provere-mediji-izvestavaju-da-je-prvi-kamion-vec-usao/
https://www.tanjug.rs/english/politics/116022/trucks-queued-up-for-kilometres-at-merdare-administrative-crossing/vest
https://euronews.al/en/trucks-transporting-serbian-goods-denied-entry-to-kosovo-even-today/
https://www.koha.net/en/arberi/qeveria-ndryshon-masen-e-sigurise-ndaj-produkteve-serbe
https://www.slobodnaevropa.org/a/kosovo-srbija-promet-robe/33151208.html
https://enlargement.ec.europa.eu/document/download/127563ea-4c03-44a4-b56c-2d569afd86a5_en?filename=kosovo-report-2025.pdf
https://www.ecoi.net/en/file/local/2132160/Kosovo%20Report%202024.pdf
https://kossev.info/en/pks-zbog-zabrane-izvoza-robe-iz-srbije-na-kosovo-steta-oko-150-miliona-evra/
https://eur-lex.europa.eu/legal-content/EN/TXT/PDF/?uri=CELEX%3A52024SC0386
Prior audit access record
Full-register audit source access (evidence cutoff 25 October 2026)
https://www.koha.net/en/arberi/kosova-ndalon-hyrjen-e-te-gjitha-mallrave-nga-serbia: search extract
https://www.euronews.rs/srbija/politika/140331/euronews-srbija-na-administrativnom-prelazu-merdare-posle-odluke-pristine-prolaze-kamioni-iz-centralne-srbije/vest: full text
https://enlargement.ec.europa.eu/document/download/127563ea-4c03-44a4-b56c-2d569afd86a5_en?filename=kosovo-report-2025.pdf: full text
https://www.kosovo-online.com/en/news/analysis/one-crossing-many-barriers-does-scanner-merdare-solve-problem-serbian-goods-entering: full text
Earlier source URLs not separately listed in this audit’s retrieval log (historical access notes below are not fresh verification):
https://www.kosovo-online.com/en/news/society/jarinje-implementation-decision-kosovo-government-banning-import-serbian-goods-has
https://www.aa.com.tr/en/europe/kosovo-lifts-import-ban-on-serbian-goods-serbia-welcomes-decision/3354567
https://kossev.info/en/sveclja-merdare-otvoreno-za-srpsku-robu-uz-bezbednosne-provere-mediji-izvestavaju-da-je-prvi-kamion-vec-usao/
https://www.tanjug.rs/english/politics/116022/trucks-queued-up-for-kilometres-at-merdare-administrative-crossing/vest
https://euronews.al/en/trucks-transporting-serbian-goods-denied-entry-to-kosovo-even-today/
https://www.koha.net/en/arberi/qeveria-ndryshon-masen-e-sigurise-ndaj-produkteve-serbe
https://www.slobodnaevropa.org/a/kosovo-srbija-promet-robe/33151208.html
https://www.ecoi.net/en/file/local/2132160/Kosovo%20Report%202024.pdf
https://kossev.info/en/pks-zbog-zabrane-izvoza-robe-iz-srbije-na-kosovo-steta-oko-150-miliona-evra/
https://eur-lex.europa.eu/legal-content/EN/TXT/PDF/?uri=CELEX%3A52024SC0386
Earlier recorded access
Source 1: search extract
Source 2: search extract
Source 3: search extract</x:v>
      </x:c>
      <x:c r="P396" s="20" t="n">
        <x:v>2</x:v>
      </x:c>
      <x:c r="Q396" s="4" t="str">
        <x:v>Europe</x:v>
      </x:c>
      <x:c r="R396" s="4" t="str">
        <x:v>Included</x:v>
      </x:c>
    </x:row>
    <x:row r="397" ht="409" hidden="0" customHeight="1">
      <x:c r="A397" s="16" t="str">
        <x:v>R2-EU-005</x:v>
      </x:c>
      <x:c r="B397" s="4" t="str">
        <x:v>Kosovo blocks entry at Brnjak after Banjska armed attack</x:v>
      </x:c>
      <x:c r="C397" s="4" t="str">
        <x:v>Kosovo (disputed status); Serbia</x:v>
      </x:c>
      <x:c r="D397" s="4" t="str">
        <x:v>Brnjak
Disputed Kosovo–Serbia boundary; single northern post</x:v>
      </x:c>
      <x:c r="E397" s="4" t="str">
        <x:v>Travellers and vehicles entering Kosovo were restricted at the named post. Exit from Kosovo was documented by September 25, 2023; sources disagree whether it was ever initially fully stopped, so no exact outbound closure duration is asserted.</x:v>
      </x:c>
      <x:c r="F397" s="4" t="str">
        <x:v>R2-EU-005-D1 — Observed operation
Disputed Kosovo–Serbia boundary; single northern post; Inbound travellers/vehicles; entry into Kosovo only; outbound passage documented by September 25
Start: 2023-09-24.
Observed scoped reopening: 2023-10-04; inward passage restored.
10 calendar-day difference; scoped endpoint only</x:v>
      </x:c>
      <x:c r="G397" s="4" t="str">
        <x:v>Security / Armed attacks and terrorism
Reported reason
Authorities restricted the northern crossings after the September 24, 2023 Banjska armed attack that killed a Kosovo police officer; Kosovo authorities described the attack as terrorism.
Security / Crime and law enforcement
Reported reason
Police linked continued restrictions to searches of the surrounding area. Brnjak reopened for entry October 4; Jarinje remained restricted for entry until October 18.</x:v>
      </x:c>
      <x:c r="H397" s="4" t="str">
        <x:v>The dated interval concerns entry into Kosovo only. A September 25 UNMIK digest of N1 reporting documents vehicles able to leave Kosovo by that date. RTS later describes outbound passage as allowed throughout, while KoSSev describes an initial complete closure followed by outward permission; therefore no exact initial outbound duration is assigned. Brnjak reopened October 4, reportedly at 08:00. Jarinje reopened October 18 morning, with sources disagreeing between 08:30 and 08:40. The exact first vehicle times remain unverified.</x:v>
      </x:c>
      <x:c r="I397" s="4" t="str">
        <x:v>Second full-register audit, 26 October 2026: qualified. Preserve the October 4 inward reopening and uncertainty over initial outward passage.</x:v>
      </x:c>
      <x:c r="J397" s="18" t="d">
        <x:v>2026-10-26T00:00:00.000Z</x:v>
      </x:c>
      <x:c r="K397" s="21" t="str">
        <x:f>IFERROR(HYPERLINK("https://www.slobodnaevropa.org/a/kosovo-srbija-otvoren-granicni-prelaz-brnjak/32622397.html","RFE/RL Serbian service"),"RFE/RL Serbian service")</x:f>
        <x:v>RFE/RL Serbian service</x:v>
      </x:c>
      <x:c r="L397" s="21" t="str">
        <x:f>IFERROR(HYPERLINK("https://kossev.info/en/brnjak-otvoren-za-saobracaj-jarinje-jos-uvek-ne/","KoSSev"),"KoSSev")</x:f>
        <x:v>KoSSev</x:v>
      </x:c>
      <x:c r="M397" s="21" t="str">
        <x:f>IFERROR(HYPERLINK("https://www.evropaelire.org/a/pikekalimi-jarinje-kosove-serbi-/32642310.html","RFE/RL Albanian service"),"RFE/RL Albanian service")</x:f>
        <x:v>RFE/RL Albanian service</x:v>
      </x:c>
      <x:c r="N397" s="4" t="str">
        <x:v>https://www.slobodnaevropa.org/a/kosovo-srbija-otvoren-granicni-prelaz-brnjak/32622397.html
https://kossev.info/en/brnjak-otvoren-za-saobracaj-jarinje-jos-uvek-ne/
https://www.evropaelire.org/a/pikekalimi-jarinje-kosove-serbi-/32642310.html
https://euronews.al/en/border-crossing-at-jarinje-fully-opened-after-month-long-closure/
https://media.unmikonline.org/index.php/newsletters/unmik-media-observer-afternoon-edition-september-25-2023
https://www.kossev.info/en/brnjak-otvoren-za-saobracaj-jarinje-jos-uvek-ne/
https://www.rts.rs/lat/vesti/politika/5292961/otvoren-administrativni-prelaz-jarinje.html
https://www.kosovo-online.com/en/news/politics/jarinje-crossing-reopened-after-more-three-weeks-18-10-2023
https://media.unmikonline.org/newsletters/unmik-media-observer-afternoon-edition-september-25-2023</x:v>
      </x:c>
      <x:c r="O397" s="4" t="str">
        <x:v>Second full-register audit source access, 26 October 2026
https://www.slobodnaevropa.org/a/kosovo-srbija-otvoren-granicni-prelaz-brnjak/32622397.html: full text (fresh retrieval)
https://www.evropaelire.org/a/pikekalimi-jarinje-kosove-serbi-/32642310.html: full text (fresh retrieval)
https://www.rts.rs/lat/vesti/politika/5292961/otvoren-administrativni-prelaz-jarinje.html: full text (fresh retrieval)
https://media.unmikonline.org/newsletters/unmik-media-observer-afternoon-edition-september-25-2023: search extract (fresh retrieval) — Indexed body; original direct request failed.
https://www.kossev.info/en/brnjak-otvoren-za-saobracaj-jarinje-jos-uvek-ne/: search extract (fresh retrieval) — Conflicts with RTS about initial outward movement; direct request returned 402.
Earlier URLs not separately inspected in this second assessment:
https://kossev.info/en/brnjak-otvoren-za-saobracaj-jarinje-jos-uvek-ne/
https://euronews.al/en/border-crossing-at-jarinje-fully-opened-after-month-long-closure/
https://media.unmikonline.org/index.php/newsletters/unmik-media-observer-afternoon-edition-september-25-2023
https://www.kosovo-online.com/en/news/politics/jarinje-crossing-reopened-after-more-three-weeks-18-10-2023
Prior audit access record
Full-register audit source access (evidence cutoff 25 October 2026)
https://www.slobodnaevropa.org/a/kosovo-srbija-otvoren-granicni-prelaz-brnjak/32622397.html: full text
https://www.evropaelire.org/a/pikekalimi-jarinje-kosove-serbi-/32642310.html: full text
https://media.unmikonline.org/index.php/newsletters/unmik-media-observer-afternoon-edition-september-25-2023: search extract — Digest is secondary to N1; direct page failed.
https://www.kossev.info/en/brnjak-otvoren-za-saobracaj-jarinje-jos-uvek-ne/: search extract
https://www.rts.rs/lat/vesti/politika/5292961/otvoren-administrativni-prelaz-jarinje.html: search extract — Initial direction description conflicts with KoSSev; no exact initial outbound spell selected.
https://www.kosovo-online.com/en/news/politics/jarinje-crossing-reopened-after-more-three-weeks-18-10-2023: full text
Earlier source URLs not separately listed in this audit’s retrieval log (historical access notes below are not fresh verification):
https://kossev.info/en/brnjak-otvoren-za-saobracaj-jarinje-jos-uvek-ne/
https://euronews.al/en/border-crossing-at-jarinje-fully-opened-after-month-long-closure/
Earlier recorded access
Source 1: full text
Source 2: unavailable
Source 3: full text</x:v>
      </x:c>
      <x:c r="P397" s="20" t="n">
        <x:v>1</x:v>
      </x:c>
      <x:c r="Q397" s="4" t="str">
        <x:v>Europe</x:v>
      </x:c>
      <x:c r="R397" s="4" t="str">
        <x:v>Included</x:v>
      </x:c>
    </x:row>
    <x:row r="398" ht="409" hidden="0" customHeight="1">
      <x:c r="A398" s="16" t="str">
        <x:v>R2-EU-006</x:v>
      </x:c>
      <x:c r="B398" s="4" t="str">
        <x:v>Kosovo blocks entry at Jarinje after Banjska armed attack</x:v>
      </x:c>
      <x:c r="C398" s="4" t="str">
        <x:v>Kosovo (disputed status); Serbia</x:v>
      </x:c>
      <x:c r="D398" s="4" t="str">
        <x:v>Jarinje
Disputed Kosovo–Serbia boundary; single northern post</x:v>
      </x:c>
      <x:c r="E398" s="4" t="str">
        <x:v>Travellers and vehicles entering Kosovo were restricted at the named post. Exit from Kosovo was documented by September 25, 2023; sources disagree whether it was ever initially fully stopped, so no exact outbound closure duration is asserted.</x:v>
      </x:c>
      <x:c r="F398" s="4" t="str">
        <x:v>R2-EU-006-D1 — Observed operation
Disputed Kosovo–Serbia boundary; single northern post; Inbound travellers/vehicles; entry into Kosovo only; outbound passage documented by September 25
Start: 2023-09-24.
Observed scoped reopening: 2023-10-18; inward passage restored.
24 calendar-day difference; scoped endpoint only</x:v>
      </x:c>
      <x:c r="G398" s="4" t="str">
        <x:v>Security / Armed attacks and terrorism
Reported reason
Authorities restricted the northern crossings after the September 24, 2023 Banjska armed attack that killed a Kosovo police officer; Kosovo authorities described the attack as terrorism.
Security / Crime and law enforcement
Reported reason
Police linked continued restrictions to searches of the surrounding area. Brnjak reopened for entry October 4; Jarinje remained restricted for entry until October 18.</x:v>
      </x:c>
      <x:c r="H398" s="4" t="str">
        <x:v>The dated interval concerns entry into Kosovo only. A September 25 UNMIK digest of N1 reporting documents vehicles able to leave Kosovo by that date. RTS later describes outbound passage as allowed throughout, while KoSSev describes an initial complete closure followed by outward permission; therefore no exact initial outbound duration is assigned. Brnjak reopened October 4, reportedly at 08:00. Jarinje reopened October 18 morning, with sources disagreeing between 08:30 and 08:40. The exact first vehicle times remain unverified.</x:v>
      </x:c>
      <x:c r="I398" s="4" t="str">
        <x:v>Second full-register audit, 26 October 2026: qualified. Preserve the October 18 inward reopening and uncertainty over initial outward passage.</x:v>
      </x:c>
      <x:c r="J398" s="18" t="d">
        <x:v>2026-10-26T00:00:00.000Z</x:v>
      </x:c>
      <x:c r="K398" s="21" t="str">
        <x:f>IFERROR(HYPERLINK("https://www.slobodnaevropa.org/a/kosovo-srbija-otvoren-granicni-prelaz-brnjak/32622397.html","RFE/RL Serbian service"),"RFE/RL Serbian service")</x:f>
        <x:v>RFE/RL Serbian service</x:v>
      </x:c>
      <x:c r="L398" s="21" t="str">
        <x:f>IFERROR(HYPERLINK("https://kossev.info/en/brnjak-otvoren-za-saobracaj-jarinje-jos-uvek-ne/","KoSSev"),"KoSSev")</x:f>
        <x:v>KoSSev</x:v>
      </x:c>
      <x:c r="M398" s="21" t="str">
        <x:f>IFERROR(HYPERLINK("https://kossev.info/en/the-jarinje-crossing-is-fully-open-to-traffic/","KoSSev"),"KoSSev")</x:f>
        <x:v>KoSSev</x:v>
      </x:c>
      <x:c r="N398" s="4" t="str">
        <x:v>https://www.slobodnaevropa.org/a/kosovo-srbija-otvoren-granicni-prelaz-brnjak/32622397.html
https://kossev.info/en/brnjak-otvoren-za-saobracaj-jarinje-jos-uvek-ne/
https://kossev.info/en/the-jarinje-crossing-is-fully-open-to-traffic/
https://www.koha.net/en/arberi/sot-hapet-pikekalimi-kufitar-ne-jarinje
https://www.evropaelire.org/a/pikekalimi-jarinje-kosove-serbi-/32642310.html
https://euronews.al/en/border-crossing-at-jarinje-fully-opened-after-month-long-closure/
https://media.unmikonline.org/index.php/newsletters/unmik-media-observer-afternoon-edition-september-25-2023
https://www.kossev.info/en/brnjak-otvoren-za-saobracaj-jarinje-jos-uvek-ne/
https://www.rts.rs/lat/vesti/politika/5292961/otvoren-administrativni-prelaz-jarinje.html
https://www.kosovo-online.com/en/news/politics/jarinje-crossing-reopened-after-more-three-weeks-18-10-2023
https://media.unmikonline.org/newsletters/unmik-media-observer-afternoon-edition-september-25-2023</x:v>
      </x:c>
      <x:c r="O398" s="4" t="str">
        <x:v>Second full-register audit source access, 26 October 2026
https://www.slobodnaevropa.org/a/kosovo-srbija-otvoren-granicni-prelaz-brnjak/32622397.html: full text (fresh retrieval)
https://www.evropaelire.org/a/pikekalimi-jarinje-kosove-serbi-/32642310.html: full text (fresh retrieval)
https://www.rts.rs/lat/vesti/politika/5292961/otvoren-administrativni-prelaz-jarinje.html: full text (fresh retrieval)
https://media.unmikonline.org/newsletters/unmik-media-observer-afternoon-edition-september-25-2023: search extract (fresh retrieval) — Indexed body; original direct request failed.
https://www.kossev.info/en/brnjak-otvoren-za-saobracaj-jarinje-jos-uvek-ne/: search extract (fresh retrieval) — Conflicts with RTS about initial outward movement; direct request returned 402.
Earlier URLs not separately inspected in this second assessment:
https://kossev.info/en/brnjak-otvoren-za-saobracaj-jarinje-jos-uvek-ne/
https://kossev.info/en/the-jarinje-crossing-is-fully-open-to-traffic/
https://www.koha.net/en/arberi/sot-hapet-pikekalimi-kufitar-ne-jarinje
https://euronews.al/en/border-crossing-at-jarinje-fully-opened-after-month-long-closure/
https://media.unmikonline.org/index.php/newsletters/unmik-media-observer-afternoon-edition-september-25-2023
https://www.kosovo-online.com/en/news/politics/jarinje-crossing-reopened-after-more-three-weeks-18-10-2023
Prior audit access record
Full-register audit source access (evidence cutoff 25 October 2026)
https://www.slobodnaevropa.org/a/kosovo-srbija-otvoren-granicni-prelaz-brnjak/32622397.html: full text
https://www.evropaelire.org/a/pikekalimi-jarinje-kosove-serbi-/32642310.html: full text
https://media.unmikonline.org/index.php/newsletters/unmik-media-observer-afternoon-edition-september-25-2023: search extract — Digest is secondary to N1; direct page failed.
https://www.kossev.info/en/brnjak-otvoren-za-saobracaj-jarinje-jos-uvek-ne/: search extract
https://www.rts.rs/lat/vesti/politika/5292961/otvoren-administrativni-prelaz-jarinje.html: search extract — Initial direction description conflicts with KoSSev; no exact initial outbound spell selected.
https://www.kosovo-online.com/en/news/politics/jarinje-crossing-reopened-after-more-three-weeks-18-10-2023: full text
Earlier source URLs not separately listed in this audit’s retrieval log (historical access notes below are not fresh verification):
https://kossev.info/en/brnjak-otvoren-za-saobracaj-jarinje-jos-uvek-ne/
https://kossev.info/en/the-jarinje-crossing-is-fully-open-to-traffic/
https://www.koha.net/en/arberi/sot-hapet-pikekalimi-kufitar-ne-jarinje
https://euronews.al/en/border-crossing-at-jarinje-fully-opened-after-month-long-closure/
Earlier recorded access
Source 1: full text
Source 2: search extract
Source 3: search extract; full page blocked (403)</x:v>
      </x:c>
      <x:c r="P398" s="20" t="n">
        <x:v>1</x:v>
      </x:c>
      <x:c r="Q398" s="4" t="str">
        <x:v>Europe</x:v>
      </x:c>
      <x:c r="R398" s="4" t="str">
        <x:v>Included</x:v>
      </x:c>
    </x:row>
    <x:row r="399" ht="409" hidden="0" customHeight="1">
      <x:c r="A399" s="16" t="str">
        <x:v>R2-EU-009</x:v>
      </x:c>
      <x:c r="B399" s="4" t="str">
        <x:v>Latvia suspends Vientuļi and Pededze border crossings with Russia</x:v>
      </x:c>
      <x:c r="C399" s="4" t="str">
        <x:v>Latvia; Russia</x:v>
      </x:c>
      <x:c r="D399" s="4" t="str">
        <x:v>Vientuļi; Pededze
Two Latvia–Russia land posts</x:v>
      </x:c>
      <x:c r="E399" s="4" t="str">
        <x:v>Passage through two posts and associated customs processing
Direction: Both directions through suspended posts
Exceptions: Grebņeva and Terehova remained operating.</x:v>
      </x:c>
      <x:c r="F399" s="4" t="str">
        <x:v>R2-EU-009-R1 — Formal policy
Suspension of Vientuļi and Pededze road border crossing operations on Latvian–Russian frontier
Start: 2023-10-16.
Last confirmed: 2025-03-18. Reopening is not established.
Formal policy: confirmed through 2025-03-18; at least 519 calendar-day difference; reopening unknown
Current legal-status check, 2026-10-25: Order 674 remains in force; the two named crossing suspensions retain their October 16, 2023 historical start.</x:v>
      </x:c>
      <x:c r="G399" s="4" t="str">
        <x:v>Security / Public order and immediate safety
Attributed Latvian government justification
Applies to: R2-EU-009-R1
Latvia said Russia’s decision to funnel Ukrainian passport holders entering from third countries through Vientuļi or Moscow’s Sheremetyevo airport risked public order and national security at the Latvian frontier. Order 674 suspends Pededze and Vientuļi from October 16, 2023. This is the government’s stated rationale, not an independent finding about Russia’s intentions.</x:v>
      </x:c>
      <x:c r="H399" s="4" t="str">
        <x:v>The order was adopted and legally entered into force October 13, 2023, but its operative crossing suspensions begin October 16. Directly retrieved legal-register metadata marks it in force on the audit check. This confirms current legal status for Pededze and Vientuļi, not a daily operational audit. Separate restrictions at Grebņeva and Terehova do not alter this record; no whole-frontier closure or exhaustive exceptions are implied.</x:v>
      </x:c>
      <x:c r="I399" s="4" t="str">
        <x:v>Second full-register audit, 26 October 2026: additional source-audited corrections incorporated. See the phase, scope and qualification columns for the accepted findings.</x:v>
      </x:c>
      <x:c r="J399" s="18" t="d">
        <x:v>2026-10-26T00:00:00.000Z</x:v>
      </x:c>
      <x:c r="K399" s="21" t="str">
        <x:f>IFERROR(HYPERLINK("https://likumi.lv/ta/id/346448-par-robezskersosanas-vietudarbibas-apturesanu-uz-latvijas-republikas--krievijas-federacijas-valsts-robezas","Likumi.lv"),"Likumi.lv")</x:f>
        <x:v>Likumi.lv</x:v>
      </x:c>
      <x:c r="L399" s="21" t="str">
        <x:f>IFERROR(HYPERLINK("https://www.vid.gov.lv/en/article/operations-vientuli-border-crossing-point-latvian-border-russia-suspended-16-october","Latvian State Revenue Service"),"Latvian State Revenue Service")</x:f>
        <x:v>Latvian State Revenue Service</x:v>
      </x:c>
      <x:c r="M399" s="21" t="str">
        <x:f>IFERROR(HYPERLINK("https://www.lsm.lv/raksts/zinas/latvija/18.03.2025-no-tresdienas-krievijas-un-baltkrievijas-robezu-laus-skersot-tikai-ar-automasinam.a591964/","LSM"),"LSM")</x:f>
        <x:v>LSM</x:v>
      </x:c>
      <x:c r="N399" s="4" t="str">
        <x:v>https://likumi.lv/ta/id/346448-par-robezskersosanas-vietudarbibas-apturesanu-uz-latvijas-republikas--krievijas-federacijas-valsts-robezas
https://www.vid.gov.lv/en/article/operations-vientuli-border-crossing-point-latvian-border-russia-suspended-16-october
https://www.lsm.lv/raksts/zinas/latvija/18.03.2025-no-tresdienas-krievijas-un-baltkrievijas-robezu-laus-skersot-tikai-ar-automasinam.a591964/
https://www.president.lv/en/article/president-latvia-years-priority-introduction-technological-solutions-along-entire-eastern-border-and-military-reinforcement-border
https://www.vestnesis.lv/op/2023/199B.1
https://www.mk.gov.lv/en/article/operation-vientuli-and-pededze-border-crossing-points-latvia-russia-border-be-suspended-16-october
https://www.mfa.gov.lv/en/article/vientuli-and-pededze-border-crossing-points-latvias-border-russia-be-closed-16-october-ministry-interior
https://www.sam.gov.lv/lv/jaunums/elektroniska-rindas-rezervacijas-sistema-pie-latvijas-arejas-robezas-devusi-pirmos-rezultatus-noversot-kravas-auto-rindas
https://interfax.com/newsroom/top-stories/95490/
https://aluksniesiem.lv/projekti/iedzivotaju-dzives-kvalitate-pierobeza/iedzivotaju-dzives-kvalitate-pierobeza-2/foto-valsts-prezidents-edgars-rinkevics-apmekle-latvijas-krievijas-robezu-aluksnes-novada/
https://prod2-portal.lasi.lv/par-svarigo/latvija/valdiba-atbalsta-elektroniska-robezskersosanas-risinajuma-ieviesanu-ari-slegtajas-vietas-silene-un-vientuli.46195
https://www.vestnesis.lv/op/2026/157.8
https://likumi.lv/ta/en/en/id/346448
https://mfa.gov.ua/en/news/komentar-mzs-ukrayini-shchodo-rishennya-uryadu-latviyi-prizupiniti-robotu-punktiv-propusku-viyentuli-ta-pededze-na-kordoni-z-rosiyeyu</x:v>
      </x:c>
      <x:c r="O399" s="4" t="str">
        <x:v>Second full-register audit source access, 26 October 2026
https://www.vestnesis.lv/op/2023/199B.1: search extract (fresh retrieval) — Direct request timed out.
https://likumi.lv/ta/en/en/id/346448: search extract (fresh retrieval) — Indexed snapshot crawled four months earlier; direct request timed out, not a new current operational verification.
https://www.mk.gov.lv/en/article/operation-vientuli-and-pededze-border-crossing-points-latvia-russia-border-be-suspended-16-october: search extract (fresh retrieval) — Substantive indexed text; direct retrieval unavailable.
https://likumi.lv/ta/en/en/id/346448: inaccessible (fresh retrieval) — Timeout.
Earlier URLs not separately inspected in this second assessment:
https://likumi.lv/ta/id/346448-par-robezskersosanas-vietudarbibas-apturesanu-uz-latvijas-republikas--krievijas-federacijas-valsts-robezas
https://www.vid.gov.lv/en/article/operations-vientuli-border-crossing-point-latvian-border-russia-suspended-16-october
https://www.lsm.lv/raksts/zinas/latvija/18.03.2025-no-tresdienas-krievijas-un-baltkrievijas-robezu-laus-skersot-tikai-ar-automasinam.a591964/
https://www.president.lv/en/article/president-latvia-years-priority-introduction-technological-solutions-along-entire-eastern-border-and-military-reinforcement-border
https://www.mfa.gov.lv/en/article/vientuli-and-pededze-border-crossing-points-latvias-border-russia-be-closed-16-october-ministry-interior
https://www.sam.gov.lv/lv/jaunums/elektroniska-rindas-rezervacijas-sistema-pie-latvijas-arejas-robezas-devusi-pirmos-rezultatus-noversot-kravas-auto-rindas
https://interfax.com/newsroom/top-stories/95490/
https://aluksniesiem.lv/projekti/iedzivotaju-dzives-kvalitate-pierobeza/iedzivotaju-dzives-kvalitate-pierobeza-2/foto-valsts-prezidents-edgars-rinkevics-apmekle-latvijas-krievijas-robezu-aluksnes-novada/
https://prod2-portal.lasi.lv/par-svarigo/latvija/valdiba-atbalsta-elektroniska-robezskersosanas-risinajuma-ieviesanu-ari-slegtajas-vietas-silene-un-vientuli.46195
https://www.vestnesis.lv/op/2026/157.8
https://mfa.gov.ua/en/news/komentar-mzs-ukrayini-shchodo-rishennya-uryadu-latviyi-prizupiniti-robotu-punktiv-propusku-viyentuli-ta-pededze-na-kordoni-z-rosiyeyu
Prior audit access record
Full-register audit source access (evidence cutoff 25 October 2026)
https://likumi.lv/ta/en/en/id/346448: full text
https://www.vestnesis.lv/op/2023/199B.1: search extract
https://www.mk.gov.lv/en/article/operation-vientuli-and-pededze-border-crossing-points-latvia-russia-border-be-suspended-16-october: search extract
https://mfa.gov.ua/en/news/komentar-mzs-ukrayini-shchodo-rishennya-uryadu-latviyi-prizupiniti-robotu-punktiv-propusku-viyentuli-ta-pededze-na-kordoni-z-rosiyeyu: search extract
Earlier source URLs not separately listed in this audit’s retrieval log (historical access notes below are not fresh verification):
https://likumi.lv/ta/id/346448-par-robezskersosanas-vietudarbibas-apturesanu-uz-latvijas-republikas--krievijas-federacijas-valsts-robezas
https://www.vid.gov.lv/en/article/operations-vientuli-border-crossing-point-latvian-border-russia-suspended-16-october
https://www.lsm.lv/raksts/zinas/latvija/18.03.2025-no-tresdienas-krievijas-un-baltkrievijas-robezu-laus-skersot-tikai-ar-automasinam.a591964/
https://www.president.lv/en/article/president-latvia-years-priority-introduction-technological-solutions-along-entire-eastern-border-and-military-reinforcement-border
https://www.mfa.gov.lv/en/article/vientuli-and-pededze-border-crossing-points-latvias-border-russia-be-closed-16-october-ministry-interior
https://www.sam.gov.lv/lv/jaunums/elektroniska-rindas-rezervacijas-sistema-pie-latvijas-arejas-robezas-devusi-pirmos-rezultatus-noversot-kravas-auto-rindas
https://interfax.com/newsroom/top-stories/95490/
https://aluksniesiem.lv/projekti/iedzivotaju-dzives-kvalitate-pierobeza/iedzivotaju-dzives-kvalitate-pierobeza-2/foto-valsts-prezidents-edgars-rinkevics-apmekle-latvijas-krievijas-robezu-aluksnes-novada/
https://prod2-portal.lasi.lv/par-svarigo/latvija/valdiba-atbalsta-elektroniska-robezskersosanas-risinajuma-ieviesanu-ari-slegtajas-vietas-silene-un-vientuli.46195
https://www.vestnesis.lv/op/2026/157.8
Earlier recorded access
Source 1: indexed excerpt; unavailable
Source 2: indexed excerpt; indexed extract
Source 3: full</x:v>
      </x:c>
      <x:c r="P399" s="20" t="n">
        <x:v>1</x:v>
      </x:c>
      <x:c r="Q399" s="4" t="str">
        <x:v>Europe</x:v>
      </x:c>
      <x:c r="R399" s="4" t="str">
        <x:v>Included</x:v>
      </x:c>
    </x:row>
    <x:row r="400" ht="366" hidden="0" customHeight="1">
      <x:c r="A400" s="16" t="str">
        <x:v>R2-EU-007</x:v>
      </x:c>
      <x:c r="B400" s="4" t="str">
        <x:v>Kosovo closes Merdare and Brnjak following Serbian activist obstruction</x:v>
      </x:c>
      <x:c r="C400" s="4" t="str">
        <x:v>Kosovo (disputed status); Serbia</x:v>
      </x:c>
      <x:c r="D400" s="4" t="str">
        <x:v>Merdare; Brnjak
Disputed Kosovo–Serbia boundary; two posts</x:v>
      </x:c>
      <x:c r="E400" s="4" t="str">
        <x:v>Traffic through named posts; activists targeted Kosovo-issued documents
Direction: Crossing circulation closed; prior activist obstruction selectively affected Kosovo document holders
Exceptions: Jarinje had a separate roadblock but is not included in the two-post police closure interval.</x:v>
      </x:c>
      <x:c r="F400" s="4" t="str">
        <x:v>R2-EU-007-D1 — Observed operation
Disputed Kosovo–Serbia boundary; two posts; Traffic through named posts; activists targeted Kosovo-issued documents; Crossing circulation closed; prior activist obstruction selectively affected Kosovo document holders
Start: 2024-09-06.
Observed scoped reopening: 2024-09-07.
1 calendar-day difference; scoped endpoint only
Activist obstruction began after 18:00 September 6; police closure followed later. Both posts were recorded open by the ministry’s 17:23 September 7 update. This establishes less than 24 hours, without exact first/last passage clocks.</x:v>
      </x:c>
      <x:c r="G400" s="4" t="str">
        <x:v>Security / Public order and immediate safety
Reported closure reason
Kosovo authorities closed Merdare and Brnjak after activists on Serbian-side approaches selectively stopped travellers with Kosovo-issued documents; masked men at Brnjak were also observed by an RFE/RL reporter.
Power and regime politics / Contested governing authority
Attributed participant demands
Organisers opposed Kosovo’s closure of Serbian-supported institutions in the north, seeking their restoration, restored Serbian documentation and currency, withdrawal of Kosovo police and KFOR control.</x:v>
      </x:c>
      <x:c r="H400" s="4" t="str">
        <x:v>Late September 6 closure is distinct from September 7 publication. Activist obstruction began after 18:00 September 6 and the two police closures followed later; both posts were listed open by 17:23 September 7, bounding this closure below 24 hours. Jarinje’s separate selective roadblock is not included in the two-post closure interval. Exact first and last passage clocks and a reported Kula action remain unverified.</x:v>
      </x:c>
      <x:c r="I400" s="4" t="str">
        <x:v>Second full-register audit, 26 October 2026: qualified. Fresh timing evidence confirms this episode falls outside the strictly greater-than-24-hour subset.</x:v>
      </x:c>
      <x:c r="J400" s="18" t="d">
        <x:v>2026-10-26T00:00:00.000Z</x:v>
      </x:c>
      <x:c r="K400" s="21" t="str">
        <x:f>IFERROR(HYPERLINK("https://www.rferl.org/amp/kosovo-serbia-border-blockade/33110717.html","RFE/RL"),"RFE/RL")</x:f>
        <x:v>RFE/RL</x:v>
      </x:c>
      <x:c r="L400" s="21" t="str">
        <x:f>IFERROR(HYPERLINK("https://www.investing.com/news/world-news/kosovo-closes-two-border-crossings-with-serbia-after-protest-3606194","Investing.com / Reuters"),"Investing.com / Reuters")</x:f>
        <x:v>Investing.com / Reuters</x:v>
      </x:c>
      <x:c r="M400" s="21" t="str">
        <x:f>IFERROR(HYPERLINK("https://kossev.info/kosovo-online-najnovije-vesti-prelazi-merdare-i-brnjak-otvoreni-za-saobracaj/","kossev.info"),"kossev.info")</x:f>
        <x:v>kossev.info</x:v>
      </x:c>
      <x:c r="N400" s="4" t="str">
        <x:v>https://www.rferl.org/amp/kosovo-serbia-border-blockade/33110717.html
https://www.investing.com/news/world-news/kosovo-closes-two-border-crossings-with-serbia-after-protest-3606194
https://kossev.info/kosovo-online-najnovije-vesti-prelazi-merdare-i-brnjak-otvoreni-za-saobracaj/
https://www.reuters.com/world/europe/kosovo-closes-two-border-crossings-with-serbia-after-protest-2024-09-07/</x:v>
      </x:c>
      <x:c r="O400" s="4" t="str">
        <x:v>Second full-register audit source access, 26 October 2026
https://kossev.info/kosovo-online-najnovije-vesti-prelazi-merdare-i-brnjak-otvoreni-za-saobracaj/: full text (fresh retrieval)
https://www.rferl.org/amp/kosovo-serbia-border-blockade/33110717.html: full text (fresh retrieval)
Earlier URLs not separately inspected in this second assessment:
https://www.investing.com/news/world-news/kosovo-closes-two-border-crossings-with-serbia-after-protest-3606194
https://www.reuters.com/world/europe/kosovo-closes-two-border-crossings-with-serbia-after-protest-2024-09-07/
Prior audit access record
Full-register audit source access (evidence cutoff 25 October 2026)
https://www.rferl.org/amp/kosovo-serbia-border-blockade/33110717.html: full text
https://kossev.info/kosovo-online-najnovije-vesti-prelazi-merdare-i-brnjak-otvoreni-za-saobracaj/: full text
Earlier source URLs not separately listed in this audit’s retrieval log (historical access notes below are not fresh verification):
https://www.investing.com/news/world-news/kosovo-closes-two-border-crossings-with-serbia-after-protest-3606194
https://www.reuters.com/world/europe/kosovo-closes-two-border-crossings-with-serbia-after-protest-2024-09-07/
Earlier recorded access
Source 1: full page
Source 2: search extract
Source 3: access detail is retained in the source catalogue.</x:v>
      </x:c>
      <x:c r="P400" s="20" t="n">
        <x:v>1</x:v>
      </x:c>
      <x:c r="Q400" s="4" t="str">
        <x:v>Europe</x:v>
      </x:c>
      <x:c r="R400" s="4" t="str">
        <x:v>Included</x:v>
      </x:c>
    </x:row>
    <x:row r="401" ht="409" hidden="0" customHeight="1">
      <x:c r="A401" s="16" t="str">
        <x:v>R2-ME-007</x:v>
      </x:c>
      <x:c r="B401" s="4" t="str">
        <x:v>Gaza de facto authorities restrict Erez access after assassination, March–April 2017</x:v>
      </x:c>
      <x:c r="C401" s="4" t="str">
        <x:v>Israel; Palestine (Gaza)</x:v>
      </x:c>
      <x:c r="D401" s="4" t="str">
        <x:v>Arba-Arba (4/4) checkpoint controlling access to Erez / Beit Hanoun</x:v>
      </x:c>
      <x:c r="E401" s="4" t="str">
        <x:v>Passengers using Arba-Arba to reach Erez.
Direction: Initially entry and exit; subsequently principally Gaza departures.
Exceptions: Entry restored March 26 afternoon for Gaza ID holders and March 27 morning for others. Female patients gained departure access March 27, while male patients and companions aged 15–45 remained denied as of March 29. Other exit exemptions changed during the regime. Kerem Shalom goods continued.</x:v>
      </x:c>
      <x:c r="F401" s="4" t="str">
        <x:v>R2-ME-007-D1 — Formal policy
Additional Gaza outward-passenger restrictions at Arba-Arba controlling Erez access
Start: 2017-03-26.
Policy endpoint: 2017-04-06.
Formal policy: 11 calendar-day difference; operational continuity not established</x:v>
      </x:c>
      <x:c r="G401" s="4" t="str">
        <x:v>Security / Crime and law enforcement
Attributed official justification
Applies to: Recorded episode; exact overlap not separately established
The recorded rationale and claim assessment support the selected subcategories. All applicable broad categories are retained together; no primary rationale is imposed.</x:v>
      </x:c>
      <x:c r="H401" s="4" t="str">
        <x:v>R2-ME-007-D1: The March 26–April 6 interval describes a formal exit-restriction regime with changing exemptions, not a total two-way closure. Direct OCHA full text verifies the onset and March 26–27 entry restoration. OCHA records the April 6 removal announcement, which does not prove first actual passage by every category that day. Kerem Shalom goods were unaffected; exact clocks and category-level operational continuity remain unknown.</x:v>
      </x:c>
      <x:c r="I401" s="4" t="str">
        <x:v>Second full-register audit, 26 October 2026: additional source-audited corrections incorporated. See the phase, scope and qualification columns for the accepted findings.</x:v>
      </x:c>
      <x:c r="J401" s="18" t="d">
        <x:v>2026-10-26T00:00:00.000Z</x:v>
      </x:c>
      <x:c r="K401" s="21" t="str">
        <x:f>IFERROR(HYPERLINK("https://www.un.org/unispal/document/continuing-access-restrictions-by-the-de-facto-authorities-in-gaza-add-to-humanitarian-concerns-ocha-flash-update/","UNISPAL"),"UNISPAL")</x:f>
        <x:v>UNISPAL</x:v>
      </x:c>
      <x:c r="L401" s="21" t="str">
        <x:f>IFERROR(HYPERLINK("https://www.ochaopt.org/content/march-overview-march-2017","OCHA oPt"),"OCHA oPt")</x:f>
        <x:v>OCHA oPt</x:v>
      </x:c>
      <x:c r="M401" s="21" t="str">
        <x:f>IFERROR(HYPERLINK("https://www.ochaopt.org/content/continuing-access-restrictions-de-facto-authorities-gaza-add-humanitarian-concerns","ochaopt.org"),"ochaopt.org")</x:f>
        <x:v>ochaopt.org</x:v>
      </x:c>
      <x:c r="N401" s="4" t="str">
        <x:v>https://www.un.org/unispal/document/continuing-access-restrictions-by-the-de-facto-authorities-in-gaza-add-to-humanitarian-concerns-ocha-flash-update/
https://www.ochaopt.org/content/march-overview-march-2017
https://www.ochaopt.org/content/continuing-access-restrictions-de-facto-authorities-gaza-add-humanitarian-concerns
https://www.ochaopt.org/content/protection-civilians-report-21-march-3-april-2017
https://www.unrwa.org/newsroom/emergency-reports/gaza-situation-report-189</x:v>
      </x:c>
      <x:c r="O401" s="4" t="str">
        <x:v>Second full-register audit source access, 26 October 2026
https://www.ochaopt.org/content/continuing-access-restrictions-de-facto-authorities-gaza-add-humanitarian-concerns: full text (fresh retrieval)
https://www.ochaopt.org/content/march-overview-march-2017: full text (fresh retrieval)
https://www.unrwa.org/newsroom/emergency-reports/gaza-situation-report-189: inaccessible (fresh retrieval) — Direct request returned 403; not used to verify claims.
Earlier URLs not separately inspected in this second assessment:
https://www.un.org/unispal/document/continuing-access-restrictions-by-the-de-facto-authorities-in-gaza-add-to-humanitarian-concerns-ocha-flash-update/
https://www.ochaopt.org/content/protection-civilians-report-21-march-3-april-2017
Prior audit access record
Full-register audit source access (evidence cutoff 25 October 2026)
https://www.ochaopt.org/content/continuing-access-restrictions-de-facto-authorities-gaza-add-humanitarian-concerns: full text
https://www.ochaopt.org/content/march-overview-march-2017: full text
Earlier source URLs not separately listed in this audit’s retrieval log (historical access notes below are not fresh verification):
https://www.un.org/unispal/document/continuing-access-restrictions-by-the-de-facto-authorities-in-gaza-add-to-humanitarian-concerns-ocha-flash-update/
https://www.ochaopt.org/content/protection-civilians-report-21-march-3-april-2017
https://www.unrwa.org/newsroom/emergency-reports/gaza-situation-report-189
Earlier recorded access
Source 1: search extract
Source 2: full page
Source 3: access detail is retained in the source catalogue.</x:v>
      </x:c>
      <x:c r="P401" s="20" t="n">
        <x:v>1</x:v>
      </x:c>
      <x:c r="Q401" s="4" t="str">
        <x:v>Middle East</x:v>
      </x:c>
      <x:c r="R401" s="4" t="str">
        <x:v>Included</x:v>
      </x:c>
    </x:row>
    <x:row r="402" ht="409" hidden="0" customHeight="1">
      <x:c r="A402" s="16" t="str">
        <x:v>R2-ME-001</x:v>
      </x:c>
      <x:c r="B402" s="4" t="str">
        <x:v>Kerem Shalom additional import/export restrictions, July–August 2018</x:v>
      </x:c>
      <x:c r="C402" s="4" t="str">
        <x:v>Israel; Palestine (Gaza)</x:v>
      </x:c>
      <x:c r="D402" s="4" t="str">
        <x:v>Kerem Shalom / Karm Abu Salem</x:v>
      </x:c>
      <x:c r="E402" s="4" t="str">
        <x:v>Exports and most imports
Direction: Gaza inward and outward goods
Exceptions: Food, medical supplies and fodder; fuel and gas restrictions changed within the period.</x:v>
      </x:c>
      <x:c r="F402" s="4" t="str">
        <x:v>R2-ME-001-D1 — Observed operation
Additional Kerem Shalom restrictions on ordinary non-exempt goods, excluding food, medical supplies, fodder, fuel and gas
Start: 2018-07-09.
Observed scoped reopening: 2018-08-15.
37 calendar-day difference; scoped endpoint only</x:v>
      </x:c>
      <x:c r="G402" s="4" t="str">
        <x:v>Security / Armed conflict and military confrontation
Attributed official justification
Applies to: Recorded episode; exact overlap not separately established
The recorded rationale and claim assessment support the selected subcategories. All applicable broad categories are retained together; no primary rationale is imposed.
Security / Armed attacks and terrorism
Attributed official justification
Applies to: Recorded episode; exact overlap not separately established
The recorded rationale and claim assessment support the selected subcategories. All applicable broad categories are retained together; no primary rationale is imposed.</x:v>
      </x:c>
      <x:c r="H402" s="4" t="str">
        <x:v>R2-ME-001-D1: Essentials continued and fuel/gas had different phases, so they are outside this stable scope. Endpoint removes the additional restriction, not the underlying blockade or every trade control; EEAS source access was limited.</x:v>
      </x:c>
      <x:c r="I402" s="4" t="str">
        <x:v>Second full-register audit, 26 October 2026: qualified. OCHA confirms the ordinary non-exempt goods restriction July 9–August 15. Essentials continued and intermittent fuel/gas limits cannot be treated as the same uninterrupted cohort.</x:v>
      </x:c>
      <x:c r="J402" s="18" t="d">
        <x:v>2026-10-26T00:00:00.000Z</x:v>
      </x:c>
      <x:c r="K402" s="21" t="str">
        <x:f>IFERROR(HYPERLINK("https://www.ochaopt.org/content/temporary-tightening-gaza-strip-blockade-worsens-dire-humanitarian-situation","OCHA oPt"),"OCHA oPt")</x:f>
        <x:v>OCHA oPt</x:v>
      </x:c>
      <x:c r="L402" s="21" t="str">
        <x:f>IFERROR(HYPERLINK("https://www.eeas.europa.eu/node/48347_en","EEAS"),"EEAS")</x:f>
        <x:v>EEAS</x:v>
      </x:c>
      <x:c r="M402" s="21" t="str">
        <x:f>IFERROR(HYPERLINK("https://www.ochaopt.org/content/humanitarian-coordinator-warns-worsened-crisis-gaza-following-new-import-and-export","ochaopt.org"),"ochaopt.org")</x:f>
        <x:v>ochaopt.org</x:v>
      </x:c>
      <x:c r="N402" s="4" t="str">
        <x:v>https://www.ochaopt.org/content/temporary-tightening-gaza-strip-blockade-worsens-dire-humanitarian-situation
https://www.eeas.europa.eu/node/48347_en
https://www.ochaopt.org/content/humanitarian-coordinator-warns-worsened-crisis-gaza-following-new-import-and-export
https://www.ochaopt.org/content/protection-civilians-report-31-july-13-august-2018
https://www.aa.com.tr/en/middle-east/israel-to-partially-reopen-gaza-s-commercial-crossing/1212074
https://english.wafa.ps/Pages/Details/95206</x:v>
      </x:c>
      <x:c r="O402" s="4" t="str">
        <x:v>Second full-register audit source access, 26 October 2026
https://www.ochaopt.org/content/temporary-tightening-gaza-strip-blockade-worsens-dire-humanitarian-situation: full text (fresh retrieval)
Earlier URLs not separately inspected in this second assessment:
https://www.eeas.europa.eu/node/48347_en
https://www.ochaopt.org/content/humanitarian-coordinator-warns-worsened-crisis-gaza-following-new-import-and-export
https://www.ochaopt.org/content/protection-civilians-report-31-july-13-august-2018
https://www.aa.com.tr/en/middle-east/israel-to-partially-reopen-gaza-s-commercial-crossing/1212074
https://english.wafa.ps/Pages/Details/95206
Prior audit access record
Full-register audit source access (evidence cutoff 25 October 2026)
https://www.ochaopt.org/content/temporary-tightening-gaza-strip-blockade-worsens-dire-humanitarian-situation: full text
Earlier source URLs not separately listed in this audit’s retrieval log (historical access notes below are not fresh verification):
https://www.eeas.europa.eu/node/48347_en
https://www.ochaopt.org/content/humanitarian-coordinator-warns-worsened-crisis-gaza-following-new-import-and-export
https://www.ochaopt.org/content/protection-civilians-report-31-july-13-august-2018
https://www.aa.com.tr/en/middle-east/israel-to-partially-reopen-gaza-s-commercial-crossing/1212074
https://english.wafa.ps/Pages/Details/95206
Earlier recorded access
Source 1: full page
Source 2: search extract
Source 3: access detail is retained in the source catalogue.</x:v>
      </x:c>
      <x:c r="P402" s="20" t="n">
        <x:v>1</x:v>
      </x:c>
      <x:c r="Q402" s="4" t="str">
        <x:v>Middle East</x:v>
      </x:c>
      <x:c r="R402" s="4" t="str">
        <x:v>Included</x:v>
      </x:c>
    </x:row>
    <x:row r="403" ht="186" hidden="0" customHeight="1">
      <x:c r="A403" s="16" t="str">
        <x:v>R2-ME-008</x:v>
      </x:c>
      <x:c r="B403" s="4" t="str">
        <x:v>Erez and Kerem Shalom security closure, March 2019</x:v>
      </x:c>
      <x:c r="C403" s="4" t="str">
        <x:v>Israel; Palestine (Gaza)</x:v>
      </x:c>
      <x:c r="D403" s="4" t="str">
        <x:v>Erez / Beit Hanoun and Kerem Shalom / Karm Abu Salem</x:v>
      </x:c>
      <x:c r="E403" s="4" t="str">
        <x:v>Passenger and goods traffic
Direction: Both directions within named crossing categories
Exceptions: Urgent humanitarian cases allowed.</x:v>
      </x:c>
      <x:c r="F403" s="4" t="str">
        <x:v>R2-ME-008-D1 — Observed operation
Erez / Beit Hanoun and Kerem Shalom / Karm Abu Salem; Passenger and goods traffic; Both directions within named crossing categories
Start: 2019-03-25.
Observed scoped reopening: 2019-03-31.
6 calendar-day difference; scoped endpoint only</x:v>
      </x:c>
      <x:c r="G403"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x:v>
      </x:c>
      <x:c r="H403" s="4" t="str">
        <x:v>R2-ME-008-D1: Underlying blockade and permit regime continued; end refers to additional exceptional closure only. Urgent humanitarian cases allowed.</x:v>
      </x:c>
      <x:c r="I403" s="4" t="str">
        <x:v>Second full-register audit, 26 October 2026: qualified. March 25–31 reopening chronology is confirmed with urgent humanitarian exceptions. This ends the added security closure, not the underlying access controls.</x:v>
      </x:c>
      <x:c r="J403" s="18" t="d">
        <x:v>2026-10-26T00:00:00.000Z</x:v>
      </x:c>
      <x:c r="K403" s="21" t="str">
        <x:f>IFERROR(HYPERLINK("https://www.ochaopt.org/content/overview-march-2019","OCHA oPt"),"OCHA oPt")</x:f>
        <x:v>OCHA oPt</x:v>
      </x:c>
      <x:c r="L403" s="21" t="str">
        <x:f>IFERROR(HYPERLINK("https://www.timesofisrael.com/israel-reopens-gaza-border-crossings-despite-overnight-rocket-fire/amp/","Times of Israel"),"Times of Israel")</x:f>
        <x:v>Times of Israel</x:v>
      </x:c>
      <x:c r="M403" s="21"/>
      <x:c r="N403" s="4" t="str">
        <x:v>https://www.ochaopt.org/content/overview-march-2019
https://www.timesofisrael.com/israel-reopens-gaza-border-crossings-despite-overnight-rocket-fire/amp/</x:v>
      </x:c>
      <x:c r="O403" s="4" t="str">
        <x:v>Second full-register audit source access, 26 October 2026
https://www.ochaopt.org/content/overview-march-2019: full text (fresh retrieval)
https://www.timesofisrael.com/israel-reopens-gaza-border-crossings-despite-overnight-rocket-fire/amp/: full text (fresh retrieval)
Prior audit access record
Full-register audit source access (evidence cutoff 25 October 2026)
https://www.ochaopt.org/content/overview-march-2019: full text
https://www.timesofisrael.com/israel-reopens-gaza-border-crossings-despite-overnight-rocket-fire/amp/: full text
Earlier recorded access
Source 1: full page
Source 2: search extract</x:v>
      </x:c>
      <x:c r="P403" s="20" t="n">
        <x:v>1</x:v>
      </x:c>
      <x:c r="Q403" s="4" t="str">
        <x:v>Middle East</x:v>
      </x:c>
      <x:c r="R403" s="4" t="str">
        <x:v>Included</x:v>
      </x:c>
    </x:row>
    <x:row r="404" ht="294" hidden="0" customHeight="1">
      <x:c r="A404" s="16" t="str">
        <x:v>R2-ME-009</x:v>
      </x:c>
      <x:c r="B404" s="4" t="str">
        <x:v>Erez and Kerem Shalom closure during May 2019 fighting</x:v>
      </x:c>
      <x:c r="C404" s="4" t="str">
        <x:v>Israel; Palestine (Gaza)</x:v>
      </x:c>
      <x:c r="D404" s="4" t="str">
        <x:v>Erez / Beit Hanoun and Kerem Shalom / Karm Abu Salem</x:v>
      </x:c>
      <x:c r="E404" s="4" t="str">
        <x:v>Ordinary permitted passengers at Erez and ordinary goods at Kerem Shalom.
Direction: Named crossing traffic; complete direction-specific counts are not available.
Exceptions: OCHA reports exceptions for specific international travellers and imports of fuel for the Gaza Power Plant. Their day-by-day operation is not reconstructed.</x:v>
      </x:c>
      <x:c r="F404" s="4" t="str">
        <x:v>R2-ME-009-D1 — Observed operation
Additional closure to ordinary permitted passengers at Erez and ordinary goods at Kerem Shalom, excluding documented international-traveller and power-plant-fuel exceptions.
Start: 2019-05-04.
Observed scoped reopening: 2019-05-12.
8 calendar-day difference; scoped endpoint only.</x:v>
      </x:c>
      <x:c r="G404"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x:v>
      </x:c>
      <x:c r="H404" s="4" t="str">
        <x:v>May 12 operation is supported by AFP reporting a COGAT statement and Xinhua reporting Palestinian coordinator Raed Fatouh. OCHA documents exceptions for specific international travellers and power-plant fuel; these must not be represented as a total halt. Exact exception dates and quantities remain unquantified. The interval includes the May 7–9 Memorial/Independence holiday overlap, so it is not eight days of active fighting. Underlying access restrictions continued.</x:v>
      </x:c>
      <x:c r="I404" s="4" t="str">
        <x:v>Second full-register audit, 26 October 2026: qualified. May 4–12 ordinary-traffic restriction is confirmed; international-traveller and power-plant-fuel exceptions and the holiday overlap remain essential qualifications.</x:v>
      </x:c>
      <x:c r="J404" s="18" t="d">
        <x:v>2026-10-26T00:00:00.000Z</x:v>
      </x:c>
      <x:c r="K404" s="21" t="str">
        <x:f>IFERROR(HYPERLINK("https://www.arabnews.com/middle-east/israel-reopens-gaza-crossings-as-calm-restored-1495921","Arab News"),"Arab News")</x:f>
        <x:v>Arab News</x:v>
      </x:c>
      <x:c r="L404" s="21" t="str">
        <x:f>IFERROR(HYPERLINK("https://www.xinhuanet.com/english/2019-05/12/c_138052993.htm","xinhuanet.com"),"xinhuanet.com")</x:f>
        <x:v>xinhuanet.com</x:v>
      </x:c>
      <x:c r="M404" s="21" t="str">
        <x:f>IFERROR(HYPERLINK("https://www.timesofisrael.com/israel-to-reopen-gaza-crossings-after-border-clashes-fail-to-derail-ceasefire/amp/","timesofisrael.com"),"timesofisrael.com")</x:f>
        <x:v>timesofisrael.com</x:v>
      </x:c>
      <x:c r="N404" s="4" t="str">
        <x:v>https://www.arabnews.com/middle-east/israel-reopens-gaza-crossings-as-calm-restored-1495921
https://www.xinhuanet.com/english/2019-05/12/c_138052993.htm
https://www.timesofisrael.com/israel-to-reopen-gaza-crossings-after-border-clashes-fail-to-derail-ceasefire/amp/
https://www.ochaopt.org/content/protection-civilians-report-23-april-6-may-2019</x:v>
      </x:c>
      <x:c r="O404" s="4" t="str">
        <x:v>Second full-register audit source access, 26 October 2026
https://www.arabnews.com/middle-east/israel-reopens-gaza-crossings-as-calm-restored-1495921: full text (fresh retrieval)
https://www.xinhuanet.com/english/2019-05/12/c_138052993.htm: full text (fresh retrieval)
https://www.ochaopt.org/content/protection-civilians-report-23-april-6-may-2019: full text (fresh retrieval)
https://www.timesofisrael.com/israel-to-reopen-gaza-crossings-after-border-clashes-fail-to-derail-ceasefire/amp/: full text (fresh retrieval)
Prior audit access record
Full-register audit source access (evidence cutoff 25 October 2026)
https://www.arabnews.com/middle-east/israel-reopens-gaza-crossings-as-calm-restored-1495921: full text
https://www.xinhuanet.com/english/2019-05/12/c_138052993.htm: full text
https://www.timesofisrael.com/israel-to-reopen-gaza-crossings-after-border-clashes-fail-to-derail-ceasefire/amp/: full text
https://www.ochaopt.org/content/protection-civilians-report-23-april-6-may-2019: full text
Earlier recorded access
Source 1: full page
Source 2: access detail is retained in the source catalogue.
Source 3: access detail is retained in the source catalogue.</x:v>
      </x:c>
      <x:c r="P404" s="20" t="n">
        <x:v>1</x:v>
      </x:c>
      <x:c r="Q404" s="4" t="str">
        <x:v>Middle East</x:v>
      </x:c>
      <x:c r="R404" s="4" t="str">
        <x:v>Included</x:v>
      </x:c>
    </x:row>
    <x:row r="405" ht="354" hidden="0" customHeight="1">
      <x:c r="A405" s="16" t="str">
        <x:v>R2-ME-005</x:v>
      </x:c>
      <x:c r="B405" s="4" t="str">
        <x:v>Shalamcheh passenger closure during Iran/Iraq protests, November 2019</x:v>
      </x:c>
      <x:c r="C405" s="4" t="str">
        <x:v>Iraq; Iran</x:v>
      </x:c>
      <x:c r="D405" s="4" t="str">
        <x:v>Shalamcheh / Shalamcha</x:v>
      </x:c>
      <x:c r="E405" s="4" t="str">
        <x:v>Travellers from both countries
Direction: Confirmed interval: Iraq to Iran passenger travel; reverse-direction chronology not separately established
Exceptions: Goods and trade unaffected.</x:v>
      </x:c>
      <x:c r="F405" s="4" t="str">
        <x:v>R2-ME-005-D1 — Observed operation
Shalamcheh passenger travel from Iraq into Iran; goods and trade excluded
Start: 2019-11-16.
Observed scoped reopening: 2019-11-23.
7 calendar-day difference; scoped endpoint only</x:v>
      </x:c>
      <x:c r="G405" s="4" t="str">
        <x:v>Security / Public order and immediate safety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05" s="4" t="str">
        <x:v>Duration narrowed to the explicitly reported Iraq→Iran passenger flow. Both-country traveller nationality in Reuters is not proof of both directions. Goods/trade unaffected; reports share the Iraqi border-authority source.
R2-ME-005-D1: Seven-day interval applies to Iraq→Iran passenger movement. Reuters describes travellers from both countries but does not separately establish reverse-direction restoration; goods and trade unaffected. Shafaq and Reuters share the Iraqi authority source.</x:v>
      </x:c>
      <x:c r="I405" s="4" t="str">
        <x:v>Second full-register audit, 26 October 2026: qualified. Fresh reports support the existing Iraq-to-Iran passenger interval November 16–23. Nationality wording does not establish separately timed movement in both directions.</x:v>
      </x:c>
      <x:c r="J405" s="18" t="d">
        <x:v>2026-10-26T00:00:00.000Z</x:v>
      </x:c>
      <x:c r="K405" s="21" t="str">
        <x:f>IFERROR(HYPERLINK("https://www.euronews.com/2019/11/16/iraq-closes-southern-border-with-iran-to-travellers-security-source-diplomat","Euronews"),"Euronews")</x:f>
        <x:v>Euronews</x:v>
      </x:c>
      <x:c r="L405" s="21" t="str">
        <x:f>IFERROR(HYPERLINK("https://www.euronews.com/2019/11/23/iraq-iran-border-crossing-reopens-after-week-long-closure-statement","Euronews"),"Euronews")</x:f>
        <x:v>Euronews</x:v>
      </x:c>
      <x:c r="M405" s="21" t="str">
        <x:f>IFERROR(HYPERLINK("https://shafaq.com/en/World/iraq-reopens-border-crossing-with-iran","shafaq.com"),"shafaq.com")</x:f>
        <x:v>shafaq.com</x:v>
      </x:c>
      <x:c r="N405" s="4" t="str">
        <x:v>https://www.euronews.com/2019/11/16/iraq-closes-southern-border-with-iran-to-travellers-security-source-diplomat
https://www.euronews.com/2019/11/23/iraq-iran-border-crossing-reopens-after-week-long-closure-statement
https://shafaq.com/en/World/iraq-reopens-border-crossing-with-iran
https://www.aa.com.tr/en/middle-east/iraq-closes-border-crossings-with-protest-hit-iran/1647425</x:v>
      </x:c>
      <x:c r="O405" s="4" t="str">
        <x:v>Second full-register audit source access, 26 October 2026
https://www.euronews.com/2019/11/16/iraq-closes-southern-border-with-iran-to-travellers-security-source-diplomat: full text (fresh retrieval)
https://www.euronews.com/2019/11/23/iraq-iran-border-crossing-reopens-after-week-long-closure-statement: full text (fresh retrieval)
https://shafaq.com/en/World/iraq-reopens-border-crossing-with-iran: full text (fresh retrieval)
Earlier URLs not separately inspected in this second assessment:
https://www.aa.com.tr/en/middle-east/iraq-closes-border-crossings-with-protest-hit-iran/1647425
Prior audit access record
Full-register audit source access (evidence cutoff 25 October 2026)
https://www.euronews.com/2019/11/16/iraq-closes-southern-border-with-iran-to-travellers-security-source-diplomat: full text
https://www.euronews.com/2019/11/23/iraq-iran-border-crossing-reopens-after-week-long-closure-statement: full text
https://shafaq.com/en/World/iraq-reopens-border-crossing-with-iran: full text
Earlier source URLs not separately listed in this audit’s retrieval log (historical access notes below are not fresh verification):
https://www.aa.com.tr/en/middle-east/iraq-closes-border-crossings-with-protest-hit-iran/1647425
Earlier recorded access
Source 1: full page
Source 2: full page
Source 3: access detail is retained in the source catalogue.</x:v>
      </x:c>
      <x:c r="P405" s="20" t="n">
        <x:v>1</x:v>
      </x:c>
      <x:c r="Q405" s="4" t="str">
        <x:v>Middle East</x:v>
      </x:c>
      <x:c r="R405" s="4" t="str">
        <x:v>Included</x:v>
      </x:c>
    </x:row>
    <x:row r="406" ht="409" hidden="0" customHeight="1">
      <x:c r="A406" s="16" t="str">
        <x:v>R2-ME-014</x:v>
      </x:c>
      <x:c r="B406" s="4" t="str">
        <x:v>Al Wadea full COVID closure and commercial reopening, April 2020</x:v>
      </x:c>
      <x:c r="C406" s="4" t="str">
        <x:v>Yemen; Saudi Arabia</x:v>
      </x:c>
      <x:c r="D406" s="4" t="str">
        <x:v>Al Wadea / Al Wadia</x:v>
      </x:c>
      <x:c r="E406" s="4" t="str">
        <x:v>Commercial trucking during the additional complete shutdown; passenger restrictions began earlier and continued later.
Direction: Crossing traffic; precise directional order not established.
Exceptions: From 12 April commercial traffic resumed; passenger ban remained.</x:v>
      </x:c>
      <x:c r="F406" s="4" t="str">
        <x:v>R2-ME-014-D1 — Observed operation
Al Wadea / Al Wadia; Commercial trucking during the additional complete shutdown; passenger restrictions began earlier and continued later.; Crossing traffic; precise directional order not established.
Start: 2020-04-08.
Observed scoped reopening: 2020-04-12.
4 calendar-day difference; scoped endpoint only</x:v>
      </x:c>
      <x:c r="G40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06" s="4" t="str">
        <x:v>R2-ME-014-D1: The four-day interval applies to the additional commercial-trucking shutdown of 8–12 April, not the longer passenger ban. Broader March passenger policy and May returnee exceptions remain separate phases. From 12 April commercial traffic resumed; passenger ban remained.</x:v>
      </x:c>
      <x:c r="I406" s="4" t="str">
        <x:v>Second full-register audit, 26 October 2026: qualified. Arabic reopening report directly confirms the additional April 8–12 commercial shutdown; passenger ban continued.</x:v>
      </x:c>
      <x:c r="J406" s="18" t="d">
        <x:v>2026-10-26T00:00:00.000Z</x:v>
      </x:c>
      <x:c r="K406" s="21" t="str">
        <x:f>IFERROR(HYPERLINK("https://aa.com.tr/en/middle-east/yemen-seals-border-with-saudi-arabia-over-virus-fears/1797604","Anadolu Agency"),"Anadolu Agency")</x:f>
        <x:v>Anadolu Agency</x:v>
      </x:c>
      <x:c r="L406" s="21" t="str">
        <x:f>IFERROR(HYPERLINK("https://yemen-media.com/news_details.php?lng=english&amp;sid=47245","yemen-media.com"),"yemen-media.com")</x:f>
        <x:v>yemen-media.com</x:v>
      </x:c>
      <x:c r="M406" s="21" t="str">
        <x:f>IFERROR(HYPERLINK("https://alsahwa-yemen.net/p-39551","alsahwa-yemen.net"),"alsahwa-yemen.net")</x:f>
        <x:v>alsahwa-yemen.net</x:v>
      </x:c>
      <x:c r="N406" s="4" t="str">
        <x:v>https://aa.com.tr/en/middle-east/yemen-seals-border-with-saudi-arabia-over-virus-fears/1797604
https://www.aa.com.tr/ar/%D8%A7%D9%84%D8%AF%D9%88%D9%84-%D8%A7%D9%84%D8%B9%D8%B1%D8%A8%D9%8A%D8%A9/%D8%A7%D9%84%D9%8A%D9%85%D9%86-%D9%81%D8%AA%D8%AD-%D8%A7%D9%84%D9%85%D9%86%D9%81%D8%B0-%D8%A7%D9%84%D8%A8%D8%B1%D9%8A-%D8%A7%D9%84%D9%88%D8%AD%D9%8A%D8%AF-%D9%85%D8%B9-%D8%A7%D9%84%D8%B3%D8%B9%D9%88%D8%AF%D9%8A%D8%A9-%D8%A3%D9%85%D8%A7%D9%85-%D8%AD%D8%B1%D9%83%D8%A9-%D8%A7%D9%84%D8%AA%D8%AC%D8%A7%D8%B1%D8%A9/1802272
https://yemen-media.com/news_details.php?lng=english&amp;sid=47245
https://alsahwa-yemen.net/p-39551
https://www.aa.com.tr/ar/الدول-العربية/اليمن-فتح-المنفذ-البري-الوحيد-مع-السعودية-أمام-حركة-التجارة/1802272
https://www.hadhramaut.info/view/96214.aspx
https://www.aajae.co/%D8%A7%D9%84%D9%8A%D9%85%D9%86-%D9%8A%D8%B9%D9%8A%D8%AF-%D9%81%D8%AA%D8%AD-%D9%85%D9%86%D9%81%D8%B0-%D8%A7%D9%84%D9%88%D8%AF%D9%8A%D8%B9%D8%A9-%D8%A3%D9%85%D8%A7%D9%85-%D8%AD%D8%B1%D9%83%D8%A9-%D8%A7%D9%84%D8%A8%D8%B6%D8%A7%D8%A6%D8%B9</x:v>
      </x:c>
      <x:c r="O406" s="4" t="str">
        <x:v>Second full-register audit source access, 26 October 2026
https://aa.com.tr/en/middle-east/yemen-seals-border-with-saudi-arabia-over-virus-fears/1797604: full text (fresh retrieval)
https://www.aa.com.tr/ar/الدول-العربية/اليمن-فتح-المنفذ-البري-الوحيد-مع-السعودية-أمام-حركة-التجارة/1802272: full text (fresh retrieval)
Earlier URLs not separately inspected in this second assessment:
https://www.aa.com.tr/ar/%D8%A7%D9%84%D8%AF%D9%88%D9%84-%D8%A7%D9%84%D8%B9%D8%B1%D8%A8%D9%8A%D8%A9/%D8%A7%D9%84%D9%8A%D9%85%D9%86-%D9%81%D8%AA%D8%AD-%D8%A7%D9%84%D9%85%D9%86%D9%81%D8%B0-%D8%A7%D9%84%D8%A8%D8%B1%D9%8A-%D8%A7%D9%84%D9%88%D8%AD%D9%8A%D8%AF-%D9%85%D8%B9-%D8%A7%D9%84%D8%B3%D8%B9%D9%88%D8%AF%D9%8A%D8%A9-%D8%A3%D9%85%D8%A7%D9%85-%D8%AD%D8%B1%D9%83%D8%A9-%D8%A7%D9%84%D8%AA%D8%AC%D8%A7%D8%B1%D8%A9/1802272
https://yemen-media.com/news_details.php?lng=english&amp;sid=47245
https://alsahwa-yemen.net/p-39551
https://www.hadhramaut.info/view/96214.aspx
https://www.aajae.co/%D8%A7%D9%84%D9%8A%D9%85%D9%86-%D9%8A%D8%B9%D9%8A%D8%AF-%D9%81%D8%AA%D8%AD-%D9%85%D9%86%D9%81%D8%B0-%D8%A7%D9%84%D9%88%D8%AF%D9%8A%D8%B9%D8%A9-%D8%A3%D9%85%D8%A7%D9%85-%D8%AD%D8%B1%D9%83%D8%A9-%D8%A7%D9%84%D8%A8%D8%B6%D8%A7%D8%A6%D8%B9
Prior audit access record
Full-register audit source access (evidence cutoff 25 October 2026)
https://aa.com.tr/en/middle-east/yemen-seals-border-with-saudi-arabia-over-virus-fears/1797604: full text
https://www.aa.com.tr/ar/الدول-العربية/اليمن-فتح-المنفذ-البري-الوحيد-مع-السعودية-أمام-حركة-التجارة/1802272: full text
Earlier source URLs not separately listed in this audit’s retrieval log (historical access notes below are not fresh verification):
https://www.aa.com.tr/ar/%D8%A7%D9%84%D8%AF%D9%88%D9%84-%D8%A7%D9%84%D8%B9%D8%B1%D8%A8%D9%8A%D8%A9/%D8%A7%D9%84%D9%8A%D9%85%D9%86-%D9%81%D8%AA%D8%AD-%D8%A7%D9%84%D9%85%D9%86%D9%81%D8%B0-%D8%A7%D9%84%D8%A8%D8%B1%D9%8A-%D8%A7%D9%84%D9%88%D8%AD%D9%8A%D8%AF-%D9%85%D8%B9-%D8%A7%D9%84%D8%B3%D8%B9%D9%88%D8%AF%D9%8A%D8%A9-%D8%A3%D9%85%D8%A7%D9%85-%D8%AD%D8%B1%D9%83%D8%A9-%D8%A7%D9%84%D8%AA%D8%AC%D8%A7%D8%B1%D8%A9/1802272
https://yemen-media.com/news_details.php?lng=english&amp;sid=47245
https://alsahwa-yemen.net/p-39551
https://www.hadhramaut.info/view/96214.aspx
https://www.aajae.co/%D8%A7%D9%84%D9%8A%D9%85%D9%86-%D9%8A%D8%B9%D9%8A%D8%AF-%D9%81%D8%AA%D8%AD-%D9%85%D9%86%D9%81%D8%B0-%D8%A7%D9%84%D9%88%D8%AF%D9%8A%D8%B9%D8%A9-%D8%A3%D9%85%D8%A7%D9%85-%D8%AD%D8%B1%D9%83%D8%A9-%D8%A7%D9%84%D8%A8%D8%B6%D8%A7%D8%A6%D8%B9
Earlier recorded access
Source 1: search extract
Source 2: access detail is retained in the source catalogue.
Source 3: access detail is retained in the source catalogue.</x:v>
      </x:c>
      <x:c r="P406" s="20" t="n">
        <x:v>1</x:v>
      </x:c>
      <x:c r="Q406" s="4" t="str">
        <x:v>Middle East</x:v>
      </x:c>
      <x:c r="R406" s="4" t="str">
        <x:v>Included</x:v>
      </x:c>
    </x:row>
    <x:row r="407" ht="409" hidden="0" customHeight="1">
      <x:c r="A407" s="16" t="str">
        <x:v>R2-ME-004</x:v>
      </x:c>
      <x:c r="B407" s="4" t="str">
        <x:v>Kerem Shalom goods restrictions after incendiary balloon launches, August 2020</x:v>
      </x:c>
      <x:c r="C407" s="4" t="str">
        <x:v>Israel; Palestine (Gaza)</x:v>
      </x:c>
      <x:c r="D407" s="4" t="str">
        <x:v>Kerem Shalom / Karm Abu Salem</x:v>
      </x:c>
      <x:c r="E407" s="4" t="str">
        <x:v>Most inward commercial goods; fuel subsequently restricted
Direction: Gaza inward goods
Exceptions: Humanitarian equipment and initially fuel; categories changed during the episode.</x:v>
      </x:c>
      <x:c r="F407" s="4" t="str">
        <x:v>R2-ME-004-D1 — Observed operation
Ordinary non-humanitarian, non-fuel goods entering Gaza through Kerem Shalom
Start: 2020-08-11.
Observed scoped reopening: 2020-09-01.
21 calendar-day difference; scoped endpoint only</x:v>
      </x:c>
      <x:c r="G407"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x:v>
      </x:c>
      <x:c r="H407" s="4" t="str">
        <x:v>R2-ME-004-D1: Humanitarian equipment and initially fuel were exempt; later fuel prohibition is a different phase and excluded from this period. Erez remained separately restricted. The accessible Reuters mirror shares its original reporting lineage. A later PCHR monthly account dates reopening August 31, the ceasefire agreement date. The September 1 endpoint is preferred: contemporary reporting on the agreement still describes reopening prospectively, September 1 reporting observes fuel trucks, and OCHA explicitly dates crossing restoration September 1. This source disagreement is retained; the fuel observations alone do not establish every goods category.</x:v>
      </x:c>
      <x:c r="I407" s="4" t="str">
        <x:v>Second full-register audit, 26 October 2026: additional source-audited corrections incorporated. See the phase, scope and qualification columns for the accepted findings.</x:v>
      </x:c>
      <x:c r="J407" s="18" t="d">
        <x:v>2026-10-26T00:00:00.000Z</x:v>
      </x:c>
      <x:c r="K407" s="21" t="str">
        <x:f>IFERROR(HYPERLINK("https://kfgo.com/2020/08/11/israel-closes-gaza-crossing-after-palestinians-launch-incendiary-balloons/","KFGO"),"KFGO")</x:f>
        <x:v>KFGO</x:v>
      </x:c>
      <x:c r="L407" s="21" t="str">
        <x:f>IFERROR(HYPERLINK("https://www.ochaopt.org/content/covid-19-emergency-situation-report-17","OCHA oPt"),"OCHA oPt")</x:f>
        <x:v>OCHA oPt</x:v>
      </x:c>
      <x:c r="M407" s="21" t="str">
        <x:f>IFERROR(HYPERLINK("https://www.ochaopt.org/content/israel-must-immediately-allow-entry-fuel-and-other-essential-items-gaza-hamas-must-end","OCHA oPt"),"OCHA oPt")</x:f>
        <x:v>OCHA oPt</x:v>
      </x:c>
      <x:c r="N407" s="4" t="str">
        <x:v>https://kfgo.com/2020/08/11/israel-closes-gaza-crossing-after-palestinians-launch-incendiary-balloons/
https://www.ochaopt.org/content/covid-19-emergency-situation-report-17
https://www.ochaopt.org/content/israel-must-immediately-allow-entry-fuel-and-other-essential-items-gaza-hamas-must-end
https://www.egyptindependent.com/israel-closes-gaza-crossing-after-palestinians-launch-incendiary-balloons/
https://pchrgaza.org/state-of-the-gaza-strip-border-crossings-01-31-august-2020/
https://www.timesofisrael.com/fuel-begins-entering-power-starved-gaza-after-ceasefire-declared/amp/
https://www.egyptindependent.com/israel-hamas-agree-to-restore-calm-along-gaza-border/</x:v>
      </x:c>
      <x:c r="O407" s="4" t="str">
        <x:v>Second full-register audit source access, 26 October 2026
https://www.egyptindependent.com/israel-closes-gaza-crossing-after-palestinians-launch-incendiary-balloons/: full text (fresh retrieval)
https://www.ochaopt.org/content/covid-19-emergency-situation-report-17: full text (fresh retrieval)
https://pchrgaza.org/state-of-the-gaza-strip-border-crossings-01-31-august-2020/: full text (fresh retrieval)
https://www.timesofisrael.com/fuel-begins-entering-power-starved-gaza-after-ceasefire-declared/amp/: full text (fresh retrieval)
https://www.egyptindependent.com/israel-hamas-agree-to-restore-calm-along-gaza-border/: full text (fresh retrieval)
Earlier URLs not separately inspected in this second assessment:
https://kfgo.com/2020/08/11/israel-closes-gaza-crossing-after-palestinians-launch-incendiary-balloons/
https://www.ochaopt.org/content/israel-must-immediately-allow-entry-fuel-and-other-essential-items-gaza-hamas-must-end
Prior audit access record
Full-register audit source access (evidence cutoff 25 October 2026)
https://www.egyptindependent.com/israel-closes-gaza-crossing-after-palestinians-launch-incendiary-balloons/: full text
https://www.ochaopt.org/content/covid-19-emergency-situation-report-17: full text
https://www.timesofisrael.com/fuel-begins-entering-power-starved-gaza-after-ceasefire-declared/amp/: full text
Earlier source URLs not separately listed in this audit’s retrieval log (historical access notes below are not fresh verification):
https://kfgo.com/2020/08/11/israel-closes-gaza-crossing-after-palestinians-launch-incendiary-balloons/
https://www.ochaopt.org/content/israel-must-immediately-allow-entry-fuel-and-other-essential-items-gaza-hamas-must-end
https://pchrgaza.org/state-of-the-gaza-strip-border-crossings-01-31-august-2020/
Earlier recorded access
Source 1: search extract
Source 2: full page
Source 3: full page</x:v>
      </x:c>
      <x:c r="P407" s="20" t="n">
        <x:v>1</x:v>
      </x:c>
      <x:c r="Q407" s="4" t="str">
        <x:v>Middle East</x:v>
      </x:c>
      <x:c r="R407" s="4" t="str">
        <x:v>Included</x:v>
      </x:c>
    </x:row>
    <x:row r="408" ht="409" hidden="0" customHeight="1">
      <x:c r="A408" s="16" t="str">
        <x:v>R2-ME-010</x:v>
      </x:c>
      <x:c r="B408" s="4" t="str">
        <x:v>Gaza Israeli crossings closure and humanitarian reopening phases, May 2021</x:v>
      </x:c>
      <x:c r="C408" s="4" t="str">
        <x:v>Israel; Palestine (Gaza)</x:v>
      </x:c>
      <x:c r="D408" s="4" t="str">
        <x:v>Erez / Beit Hanoun and Kerem Shalom / Karm Abu Salem</x:v>
      </x:c>
      <x:c r="E408" s="4" t="str">
        <x:v>Passenger and freight access through Israeli crossings
Direction: Both directions within named crossing categories
Exceptions: Limited Kerem openings 18/21 May; 60 international staff/journalists at Erez 21 May. By 25 May humanitarian imports and selected travellers admitted.</x:v>
      </x:c>
      <x:c r="F408" s="4" t="str">
        <x:v>R2-ME-010-R1 — Observed operation
Erez closure to Palestinian patients with medical referrals for treatment outside Gaza
Start: 2021-05-11.
Last confirmed blanket patient restriction: 2021-05-24. Qualified partial reopening for life-saving treatment: 2021-05-25, according to United Nations reporting; wider medical access remained restricted.
14 calendar-day difference to the qualified relaxation, not unrestricted restoration or an exact elapsed duration. First physical patient passage remains unknown.</x:v>
      </x:c>
      <x:c r="G408"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08" s="4" t="str">
        <x:v>R2-ME-010-R1: PCHR distinguishes the May 10 humanitarian exception from the May 11 complete patient restriction, confirmed through May 24. United Nations report A/76/333, paragraphs 37 and 45, dates reopening for life-saving treatment to May 25. This narrows the previous by-May-27 bound. OCHA confirms the urgent-referral exception by May 27 and reports patient-exit approvals rising from 13% in the last week of May to 43% in the first week of June. Wider patient access remained restricted; the first physical patient passage and unrestricted restoration are unknown. International-personnel passage and Kerem Shalom aid deliveries do not end this patient-specific restriction. Source legal characterisations are not adopted.</x:v>
      </x:c>
      <x:c r="I408" s="4" t="str">
        <x:v>Second full-register audit, 26 October 2026: additional source-audited corrections incorporated. See the phase, scope and qualification columns for the accepted findings.</x:v>
      </x:c>
      <x:c r="J408" s="18" t="d">
        <x:v>2026-10-26T00:00:00.000Z</x:v>
      </x:c>
      <x:c r="K408" s="21" t="str">
        <x:f>IFERROR(HYPERLINK("https://pchrgaza.org/israeli-authorities-maintain-beit-hanoun-crossing-closed-and-ban-entry-of-humanitarian-cases-including-patients-their-companions-and-bodies-of-patienta-who-died-in-hospitals-abroad/","PCHR"),"PCHR")</x:f>
        <x:v>PCHR</x:v>
      </x:c>
      <x:c r="L408" s="21" t="str">
        <x:f>IFERROR(HYPERLINK("https://www.un.org/unispal/document/situation-in-gaza-25-may-2021-daily-press-briefing-excerpts/","United Nations"),"United Nations")</x:f>
        <x:v>United Nations</x:v>
      </x:c>
      <x:c r="M408" s="21" t="str">
        <x:f>IFERROR(HYPERLINK("https://pchrgaza.org/weekly-report-on-israeli-human-rights-violations-in-the-occupied-palestinian-territory-20-26-may-2021/","PCHR"),"PCHR")</x:f>
        <x:v>PCHR</x:v>
      </x:c>
      <x:c r="N408" s="4" t="str">
        <x:v>https://pchrgaza.org/israeli-authorities-maintain-beit-hanoun-crossing-closed-and-ban-entry-of-humanitarian-cases-including-patients-their-companions-and-bodies-of-patienta-who-died-in-hospitals-abroad/
https://www.un.org/unispal/document/situation-in-gaza-25-may-2021-daily-press-briefing-excerpts/
https://pchrgaza.org/weekly-report-on-israeli-human-rights-violations-in-the-occupied-palestinian-territory-20-26-may-2021/
https://www.ochaopt.org/content/response-escalation-opt-situation-report-no-1-21-27-may-2021
https://www.ochaopt.org/content/escalation-gaza-strip-west-bank-and-israel-flash-update-12-covering-1200-21-may-1200-23-may
https://www.ochaopt.org/content/escalation-gaza-strip-west-bank-and-israel-flash-update-7-1200-17-may-2021
https://www.ochaopt.org/content/escalation-gaza-strip-west-bank-and-israel-flash-update-8-1200-18-may-2021
https://www.timesofisrael.com/as-ceasefire-holds-israel-reopens-gaza-crossings-for-humanitarian-aid/
https://www.ochaopt.org/content/response-escalation-opt-situation-report-no-3-4-10-june-2021
https://mezan.org/public/en/post/32290/Press-Release:-Gaza-patients-blocked-from-urgent-medical-care-in-Israel-authority%E2%80%99s-heightened-closure-measures-following-bombardment-
https://www.ecoi.net/en/file/local/2062311/A_76_333_E.pdf</x:v>
      </x:c>
      <x:c r="O408" s="4" t="str">
        <x:v>Second full-register audit source access, 26 October 2026
https://pchrgaza.org/israeli-authorities-maintain-beit-hanoun-crossing-closed-and-ban-entry-of-humanitarian-cases-including-patients-their-companions-and-bodies-of-patienta-who-died-in-hospitals-abroad/: full text (fresh retrieval)
https://www.ecoi.net/en/file/local/2062311/A_76_333_E.pdf: full text (fresh retrieval)
https://www.ochaopt.org/content/response-escalation-opt-situation-report-no-1-21-27-may-2021: full text (fresh retrieval)
https://www.ochaopt.org/content/response-escalation-opt-situation-report-no-3-4-10-june-2021: full text (fresh retrieval)
Earlier URLs not separately inspected in this second assessment:
https://www.un.org/unispal/document/situation-in-gaza-25-may-2021-daily-press-briefing-excerpts/
https://pchrgaza.org/weekly-report-on-israeli-human-rights-violations-in-the-occupied-palestinian-territory-20-26-may-2021/
https://www.ochaopt.org/content/escalation-gaza-strip-west-bank-and-israel-flash-update-12-covering-1200-21-may-1200-23-may
https://www.ochaopt.org/content/escalation-gaza-strip-west-bank-and-israel-flash-update-7-1200-17-may-2021
https://www.ochaopt.org/content/escalation-gaza-strip-west-bank-and-israel-flash-update-8-1200-18-may-2021
https://www.timesofisrael.com/as-ceasefire-holds-israel-reopens-gaza-crossings-for-humanitarian-aid/
https://mezan.org/public/en/post/32290/Press-Release:-Gaza-patients-blocked-from-urgent-medical-care-in-Israel-authority%E2%80%99s-heightened-closure-measures-following-bombardment-
Prior audit access record
Full-register audit source access (evidence cutoff 25 October 2026)
https://pchrgaza.org/israeli-authorities-maintain-beit-hanoun-crossing-closed-and-ban-entry-of-humanitarian-cases-including-patients-their-companions-and-bodies-of-patienta-who-died-in-hospitals-abroad/: full text
https://www.ochaopt.org/content/response-escalation-opt-situation-report-no-1-21-27-may-2021: full text
https://www.ochaopt.org/content/response-escalation-opt-situation-report-no-3-4-10-june-2021: full text
Earlier source URLs not separately listed in this audit’s retrieval log (historical access notes below are not fresh verification):
https://www.un.org/unispal/document/situation-in-gaza-25-may-2021-daily-press-briefing-excerpts/
https://pchrgaza.org/weekly-report-on-israeli-human-rights-violations-in-the-occupied-palestinian-territory-20-26-may-2021/
https://www.ochaopt.org/content/escalation-gaza-strip-west-bank-and-israel-flash-update-12-covering-1200-21-may-1200-23-may
https://www.ochaopt.org/content/escalation-gaza-strip-west-bank-and-israel-flash-update-7-1200-17-may-2021
https://www.ochaopt.org/content/escalation-gaza-strip-west-bank-and-israel-flash-update-8-1200-18-may-2021
https://www.timesofisrael.com/as-ceasefire-holds-israel-reopens-gaza-crossings-for-humanitarian-aid/
https://mezan.org/public/en/post/32290/Press-Release:-Gaza-patients-blocked-from-urgent-medical-care-in-Israel-authority%E2%80%99s-heightened-closure-measures-following-bombardment-
Earlier recorded access
Source 1: full
Source 2: indexed excerpt; failed
Source 3: indexed excerpt; full</x:v>
      </x:c>
      <x:c r="P408" s="20" t="n">
        <x:v>1</x:v>
      </x:c>
      <x:c r="Q408" s="4" t="str">
        <x:v>Middle East</x:v>
      </x:c>
      <x:c r="R408" s="4" t="str">
        <x:v>Included</x:v>
      </x:c>
    </x:row>
    <x:row r="409" ht="409" hidden="0" customHeight="1">
      <x:c r="A409" s="16" t="str">
        <x:v>R2-ME-012</x:v>
      </x:c>
      <x:c r="B409" s="4" t="str">
        <x:v>Semalka–Fishkhabour closure after border clashes, December 2021–January 2022</x:v>
      </x:c>
      <x:c r="C409" s="4" t="str">
        <x:v>Iraq; Syria</x:v>
      </x:c>
      <x:c r="D409" s="4" t="str">
        <x:v>Semalka–Fishkhabour / Faysh Khabur</x:v>
      </x:c>
      <x:c r="E409" s="4" t="str">
        <x:v>Trade and transit; ordinary passengers faced additional restrictions.
Direction: Crossing traffic; direction not separately established.
Exceptions: January 24–25 restored commercial trade, initially twice weekly, alongside selected passenger access. Humanitarian exceptions were disputed. On January 27 crossing management announced that travellers could use the crossing under the prior arrangements; later reporting still documented excluded brides.</x:v>
      </x:c>
      <x:c r="F409" s="4" t="str">
        <x:v>R2-ME-012-D1 — Observed operation
Ordinary commercial trade at Semalka–Fishkhabour
Start: 2021-12-15 to 2021-12-16.
Observed scoped reopening: 2022-01-24 to 2022-01-25.
39–41 calendar-day difference; scoped endpoint only
Later passenger status: on 2022-01-27, crossing management announced restoration of the prior travel arrangements. This is a reported permission change, not proof of unrestricted access for every passenger or a continuous all-passenger closure.</x:v>
      </x:c>
      <x:c r="G409"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Power and regime politics / Contested governing authority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09" s="4" t="str">
        <x:v>R2-ME-012-D1: Commercial trade only. North Press January 24 and Shafaq January 25 reports differ on trade resumption, retained as January 24–25 bounds; December 15–16 onset bounds also remain. Kurdistan24 January 28 attributes restoration of previous passenger arrangements to a January 27 management announcement. This does not replace the earlier trade endpoint or prove unrestricted passenger access: Rudaw March 3 reports newlywed women still unable to reunite with husbands. Humanitarian and selected passenger exceptions prevent treating the entire interval as a total closure to all people. Exact first passenger passage and complete category-by-category restoration remain unknown.</x:v>
      </x:c>
      <x:c r="I409" s="4" t="str">
        <x:v>Second full-register audit, 26 October 2026: additional source-audited corrections incorporated. See the phase, scope and qualification columns for the accepted findings.</x:v>
      </x:c>
      <x:c r="J409" s="18" t="d">
        <x:v>2026-10-26T00:00:00.000Z</x:v>
      </x:c>
      <x:c r="K409" s="21" t="str">
        <x:f>IFERROR(HYPERLINK("https://npasyria.com/en/71303/","North Press Agency"),"North Press Agency")</x:f>
        <x:v>North Press Agency</x:v>
      </x:c>
      <x:c r="L409" s="21" t="str">
        <x:f>IFERROR(HYPERLINK("https://www.rudaw.net/english/middleeast/syria/24012022","Rudaw"),"Rudaw")</x:f>
        <x:v>Rudaw</x:v>
      </x:c>
      <x:c r="M409" s="21" t="str">
        <x:f>IFERROR(HYPERLINK("https://www.rudaw.net/english/categories/middleeast/1066444","Rudaw"),"Rudaw")</x:f>
        <x:v>Rudaw</x:v>
      </x:c>
      <x:c r="N409" s="4" t="str">
        <x:v>https://npasyria.com/en/71303/
https://www.rudaw.net/english/middleeast/syria/24012022
https://www.rudaw.net/english/categories/middleeast/1066444
https://www.shafaq.com/en/Kurdistan/Semalka-Fishkhabour-border-crossing-reopened-after-40-days-of-closure
https://shafaq.com/en/Kurdistan/Semalka-Fishkhabour-border-crossing-reopened-after-40-days-of-closure
https://www.ecoi.net/en/document/2073007.html
https://www.kurdistan24.net/en/story/387065/Kurdistan-Region-Rojava-border-crossing-fully-reopened:-Official%C2%A0</x:v>
      </x:c>
      <x:c r="O409" s="4" t="str">
        <x:v>Second full-register audit source access, 26 October 2026
https://npasyria.com/en/71303/: full text (fresh retrieval)
https://shafaq.com/en/Kurdistan/Semalka-Fishkhabour-border-crossing-reopened-after-40-days-of-closure: full text (fresh retrieval)
https://www.rudaw.net/english/categories/middleeast/1066444: full text (fresh retrieval)
https://www.kurdistan24.net/en/story/387065/Kurdistan-Region-Rojava-border-crossing-fully-reopened:-Official%C2%A0: full text (fresh retrieval) — Publication date verified by indexed original and ACCORD bibliography; migrated page displays only relative age.
https://www.rudaw.net/english/middleeast/syria/24012022: full text (fresh retrieval)
Earlier URLs not separately inspected in this second assessment:
https://www.shafaq.com/en/Kurdistan/Semalka-Fishkhabour-border-crossing-reopened-after-40-days-of-closure
https://www.ecoi.net/en/document/2073007.html
Prior audit access record
Full-register audit source access (evidence cutoff 25 October 2026)
https://npasyria.com/en/71303/: full text
https://www.rudaw.net/english/middleeast/syria/24012022: full text
https://shafaq.com/en/Kurdistan/Semalka-Fishkhabour-border-crossing-reopened-after-40-days-of-closure: full text
https://www.rudaw.net/english/categories/middleeast/1066444: full text
Earlier source URLs not separately listed in this audit’s retrieval log (historical access notes below are not fresh verification):
https://www.shafaq.com/en/Kurdistan/Semalka-Fishkhabour-border-crossing-reopened-after-40-days-of-closure
https://www.ecoi.net/en/document/2073007.html
Earlier recorded access
Source 1: full page
Source 2: full page
Source 3: search extract</x:v>
      </x:c>
      <x:c r="P409" s="20" t="n">
        <x:v>1</x:v>
      </x:c>
      <x:c r="Q409" s="4" t="str">
        <x:v>Middle East</x:v>
      </x:c>
      <x:c r="R409" s="4" t="str">
        <x:v>Included</x:v>
      </x:c>
    </x:row>
    <x:row r="410" ht="366" hidden="0" customHeight="1">
      <x:c r="A410" s="16" t="str">
        <x:v>R2-ME-011</x:v>
      </x:c>
      <x:c r="B410" s="4" t="str">
        <x:v>Erez workers security closure extending Passover shutdown, April 2022</x:v>
      </x:c>
      <x:c r="C410" s="4" t="str">
        <x:v>Israel; Palestine (Gaza)</x:v>
      </x:c>
      <x:c r="D410" s="4" t="str">
        <x:v>Erez / Beit Hanoun</x:v>
      </x:c>
      <x:c r="E410" s="4" t="str">
        <x:v>Ordinary permit-holding Gaza workers travelling to Israel; selected businessmen, patients and foreigners were exempt.
Direction: Gaza outward to Israel
Exceptions: Patients, foreigners and selected businessmen were excepted, according to the Gaza Interior Ministry spokesman.</x:v>
      </x:c>
      <x:c r="F410" s="4" t="str">
        <x:v>R2-ME-011-D1 — Observed operation
Erez / Beit Hanoun; Ordinary permit-holding Gaza workers travelling to Israel; selected businessmen, patients and foreigners were exempt.; Gaza outward to Israel
Start: 2022-04-24.
Observed scoped reopening: 2022-04-26.
2 calendar-day difference; scoped endpoint only</x:v>
      </x:c>
      <x:c r="G410" s="4" t="str">
        <x:v>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x:v>
      </x:c>
      <x:c r="H410" s="4" t="str">
        <x:v>R2-ME-011-D1: The interval is limited to the additional worker restriction on 24–26 April. PCHR independently reports the reopening; its Sunday 23 April onset typo is not used. Earlier Passover closure and continuing permit restrictions remain separate. Patients, foreigners and selected businessmen were excepted, according to the Gaza Interior Ministry spokesman.</x:v>
      </x:c>
      <x:c r="I410" s="4" t="str">
        <x:v>Second full-register audit, 26 October 2026: qualified. The April 24–26 additional worker restriction is supported; the source onset typo is correctly excluded and exceptions retained.</x:v>
      </x:c>
      <x:c r="J410" s="18" t="d">
        <x:v>2026-10-26T00:00:00.000Z</x:v>
      </x:c>
      <x:c r="K410" s="21" t="str">
        <x:f>IFERROR(HYPERLINK("https://www.aa.com.tr/en/middle-east/israel-closes-erez-crossing-to-gaza-workers/2571076","Anadolu Agency"),"Anadolu Agency")</x:f>
        <x:v>Anadolu Agency</x:v>
      </x:c>
      <x:c r="L410" s="21" t="str">
        <x:f>IFERROR(HYPERLINK("https://www.timesofisrael.com/gaza-pedestrian-crossing-to-reopen-following-closure-over-rocket-attacks/amp/","Times of Israel"),"Times of Israel")</x:f>
        <x:v>Times of Israel</x:v>
      </x:c>
      <x:c r="M410" s="21" t="str">
        <x:f>IFERROR(HYPERLINK("https://www.aa.com.tr/en/middle-east/israel-shuts-erez-crossing-to-gaza-workers/2571702","Anadolu Agency"),"Anadolu Agency")</x:f>
        <x:v>Anadolu Agency</x:v>
      </x:c>
      <x:c r="N410" s="4" t="str">
        <x:v>https://www.aa.com.tr/en/middle-east/israel-closes-erez-crossing-to-gaza-workers/2571076
https://www.timesofisrael.com/gaza-pedestrian-crossing-to-reopen-following-closure-over-rocket-attacks/amp/
https://www.aa.com.tr/en/middle-east/israel-shuts-erez-crossing-to-gaza-workers/2571702
https://pchrgaza.org/israeli-human-rights-violations-in-the-occupied-palestinian-territory-weekly-update-21-27-april-2022/</x:v>
      </x:c>
      <x:c r="O410" s="4" t="str">
        <x:v>Second full-register audit source access, 26 October 2026
https://www.aa.com.tr/en/middle-east/israel-shuts-erez-crossing-to-gaza-workers/2571702: full text (fresh retrieval)
https://pchrgaza.org/israeli-human-rights-violations-in-the-occupied-palestinian-territory-weekly-update-21-27-april-2022/: full text (fresh retrieval)
Earlier URLs not separately inspected in this second assessment:
https://www.aa.com.tr/en/middle-east/israel-closes-erez-crossing-to-gaza-workers/2571076
https://www.timesofisrael.com/gaza-pedestrian-crossing-to-reopen-following-closure-over-rocket-attacks/amp/
Prior audit access record
Full-register audit source access (evidence cutoff 25 October 2026)
https://www.aa.com.tr/en/middle-east/israel-shuts-erez-crossing-to-gaza-workers/2571702: full text
https://pchrgaza.org/israeli-human-rights-violations-in-the-occupied-palestinian-territory-weekly-update-21-27-april-2022/: full text
Earlier source URLs not separately listed in this audit’s retrieval log (historical access notes below are not fresh verification):
https://www.aa.com.tr/en/middle-east/israel-closes-erez-crossing-to-gaza-workers/2571076
https://www.timesofisrael.com/gaza-pedestrian-crossing-to-reopen-following-closure-over-rocket-attacks/amp/
Earlier recorded access
Source 1: full page
Source 2: full page
Source 3: substantive indexed original</x:v>
      </x:c>
      <x:c r="P410" s="20" t="n">
        <x:v>1</x:v>
      </x:c>
      <x:c r="Q410" s="4" t="str">
        <x:v>Middle East</x:v>
      </x:c>
      <x:c r="R410" s="4" t="str">
        <x:v>Included</x:v>
      </x:c>
    </x:row>
    <x:row r="411" ht="198" hidden="0" customHeight="1">
      <x:c r="A411" s="16" t="str">
        <x:v>R2-ME-013</x:v>
      </x:c>
      <x:c r="B411" s="4" t="str">
        <x:v>Erez security extension of holiday closure after Elad attack, May 2022</x:v>
      </x:c>
      <x:c r="C411" s="4" t="str">
        <x:v>Israel; Palestine (Gaza)</x:v>
      </x:c>
      <x:c r="D411" s="4" t="str">
        <x:v>Erez / Beit Hanoun</x:v>
      </x:c>
      <x:c r="E411" s="4" t="str">
        <x:v>Gaza workers/merchants and other affected exit-permit holders
Direction: Gaza outward to Israel
Exceptions: Some passenger exceptions; not all categories reconstructed.</x:v>
      </x:c>
      <x:c r="F411" s="4" t="str">
        <x:v>R2-ME-013-D1 — Observed operation
Erez / Beit Hanoun; Gaza workers/merchants and other affected exit-permit holders; Gaza outward to Israel
Start: 2022-05-06.
Observed scoped reopening: 2022-05-15.
9 calendar-day difference; scoped endpoint only</x:v>
      </x:c>
      <x:c r="G411" s="4" t="str">
        <x:v>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x:v>
      </x:c>
      <x:c r="H411" s="4" t="str">
        <x:v>R2-ME-013-D1: Sources date preceding holiday onset 3 May evening or 4 May; record starts 6 May security extension, avoiding both discrepancy and routine holiday double counting. Some passenger exceptions; not all categories reconstructed.</x:v>
      </x:c>
      <x:c r="I411" s="4" t="str">
        <x:v>Second full-register audit, 26 October 2026: qualified. The May 6–15 security extension remains supported, distinct from the earlier holiday closure and continuing permit requirements.</x:v>
      </x:c>
      <x:c r="J411" s="18" t="d">
        <x:v>2026-10-26T00:00:00.000Z</x:v>
      </x:c>
      <x:c r="K411" s="21" t="str">
        <x:f>IFERROR(HYPERLINK("https://www.timesofisrael.com/erez-crossing-reopens-after-two-weeks-allowing-12000-gazans-back-to-work/","Times of Israel"),"Times of Israel")</x:f>
        <x:v>Times of Israel</x:v>
      </x:c>
      <x:c r="L411" s="21" t="str">
        <x:f>IFERROR(HYPERLINK("https://www.ochaopt.org/content/movement-and-out-gaza-update-covering-may-2022","OCHA oPt"),"OCHA oPt")</x:f>
        <x:v>OCHA oPt</x:v>
      </x:c>
      <x:c r="M411" s="21"/>
      <x:c r="N411" s="4" t="str">
        <x:v>https://www.timesofisrael.com/erez-crossing-reopens-after-two-weeks-allowing-12000-gazans-back-to-work/
https://www.ochaopt.org/content/movement-and-out-gaza-update-covering-may-2022</x:v>
      </x:c>
      <x:c r="O411" s="4" t="str">
        <x:v>Second full-register audit source access, 26 October 2026
https://www.timesofisrael.com/erez-crossing-reopens-after-two-weeks-allowing-12000-gazans-back-to-work/: full text (fresh retrieval)
https://www.ochaopt.org/content/movement-and-out-gaza-update-covering-may-2022: full text (fresh retrieval)
Prior audit access record
Full-register audit source access (evidence cutoff 25 October 2026)
https://www.timesofisrael.com/erez-crossing-reopens-after-two-weeks-allowing-12000-gazans-back-to-work/: full text
https://www.ochaopt.org/content/movement-and-out-gaza-update-covering-may-2022: full text
Earlier recorded access
Source 1: full page
Source 2: full page</x:v>
      </x:c>
      <x:c r="P411" s="20" t="n">
        <x:v>1</x:v>
      </x:c>
      <x:c r="Q411" s="4" t="str">
        <x:v>Middle East</x:v>
      </x:c>
      <x:c r="R411" s="4" t="str">
        <x:v>Included</x:v>
      </x:c>
    </x:row>
    <x:row r="412" ht="409" hidden="0" customHeight="1">
      <x:c r="A412" s="16" t="str">
        <x:v>R2-ME-002</x:v>
      </x:c>
      <x:c r="B412" s="4" t="str">
        <x:v>Gaza Israeli crossing closure around August 2022 hostilities</x:v>
      </x:c>
      <x:c r="C412" s="4" t="str">
        <x:v>Israel; Palestine (Gaza)</x:v>
      </x:c>
      <x:c r="D412" s="4" t="str">
        <x:v>Erez / Beit Hanoun and Kerem Shalom / Karm Abu Salem</x:v>
      </x:c>
      <x:c r="E412" s="4" t="str">
        <x:v>People and goods through Erez and Kerem Shalom.
Direction: Both directions within previously authorized movement.
Exceptions and phased restoration: Complete added halt August 2–7; humanitarian passenger access and initial cargo restoration August 8. Previously authorized non-humanitarian Erez passengers, including ordinary worker permits, resumed under the prior access regime August 9. Baseline permit restrictions remained.</x:v>
      </x:c>
      <x:c r="F412" s="4" t="str">
        <x:v>R2-ME-002-D1 — Observed operation
Complete added halt at Erez for people and Kerem Shalom for goods from August 2 until first limited authorized movement August 8
Start: 2022-08-02.
Observed scoped reopening: 2022-08-08.
6 calendar-day difference; scoped endpoint only
R2-ME-002-R2P1 — Observed operation
Erez restriction on previously authorized non-humanitarian passenger movement, including ordinary worker permits; overlaps the complete-halt phase above and must not be added to its duration.
Start: 2022-08-02.
Observed scoped reopening: 2022-08-09, restoring previous authorized categories.
7 calendar-day difference; strict greater-than-24-hour restriction supported, exact hours unknown.</x:v>
      </x:c>
      <x:c r="G412"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12" s="4" t="str">
        <x:v>R2-ME-002-D1: August 8 ended the complete halt through limited humanitarian passenger access and initial goods restoration. WAFA directly reports fuel trucks that day; this is not universal restoration.
R2-ME-002-R2P1: OCHA’s August 19 report explicitly dates removal of the added restrictions and restoration of authorized people and commodities to August 9. WHO’s indexed monthly report agrees that Erez was humanitarian-only August 8 and returned to previous functioning August 9, but its PDF could not be opened. The seven-day passenger phase overlaps D1; durations must not be summed. Baseline permit restrictions remained in force.</x:v>
      </x:c>
      <x:c r="I412" s="4" t="str">
        <x:v>Second full-register audit, 26 October 2026: additional source-audited corrections incorporated. See the phase, scope and qualification columns for the accepted findings.</x:v>
      </x:c>
      <x:c r="J412" s="18" t="d">
        <x:v>2026-10-26T00:00:00.000Z</x:v>
      </x:c>
      <x:c r="K412" s="21" t="str">
        <x:f>IFERROR(HYPERLINK("https://www.ochaopt.org/content/movement-and-out-gaza-update-covering-august-2022","OCHA oPt"),"OCHA oPt")</x:f>
        <x:v>OCHA oPt</x:v>
      </x:c>
      <x:c r="L412" s="21" t="str">
        <x:f>IFERROR(HYPERLINK("https://www.idf.il/en/articles/2022/the-kerem-shalom-crossing-reopens-to-enable-entrance-of-humanitarian-aid/","IDF"),"IDF")</x:f>
        <x:v>IDF</x:v>
      </x:c>
      <x:c r="M412" s="21" t="str">
        <x:f>IFERROR(HYPERLINK("https://www.ochaopt.org/content/escalation-gaza-strip-and-israel-flash-update-2-august-2022","ochaopt.org"),"ochaopt.org")</x:f>
        <x:v>ochaopt.org</x:v>
      </x:c>
      <x:c r="N412" s="4" t="str">
        <x:v>https://www.ochaopt.org/content/movement-and-out-gaza-update-covering-august-2022
https://www.idf.il/en/articles/2022/the-kerem-shalom-crossing-reopens-to-enable-entrance-of-humanitarian-aid/
https://www.ochaopt.org/content/escalation-gaza-strip-and-israel-flash-update-2-august-2022
https://english.wafa.ps/Pages/Details/130352
https://www.timesofisrael.com/liveblog_entry/gaza-pedestrian-crossing-expected-to-reopen-in-coming-days-if-calm-holds/
https://www.ochaopt.org/poc/2-15-august-2022
https://www.emro.who.int/images/stories/palestine/AUG_2022_Monthly.pdf</x:v>
      </x:c>
      <x:c r="O412" s="4" t="str">
        <x:v>Second full-register audit source access, 26 October 2026
https://www.ochaopt.org/content/movement-and-out-gaza-update-covering-august-2022: full text (fresh retrieval)
https://english.wafa.ps/Pages/Details/130352: full text (fresh retrieval)
https://www.ochaopt.org/poc/2-15-august-2022: full text (fresh retrieval)
https://www.emro.who.int/images/stories/palestine/AUG_2022_Monthly.pdf: search extract (fresh retrieval) — Fresh PDF open failed 502 (b075, turn1438view1). Indexed text specifically distinguishes August 8 humanitarian-only passage and August 9 previous functioning. Not treated as independently inspected full PDF.
Earlier URLs not separately inspected in this second assessment:
https://www.idf.il/en/articles/2022/the-kerem-shalom-crossing-reopens-to-enable-entrance-of-humanitarian-aid/
https://www.ochaopt.org/content/escalation-gaza-strip-and-israel-flash-update-2-august-2022
https://www.timesofisrael.com/liveblog_entry/gaza-pedestrian-crossing-expected-to-reopen-in-coming-days-if-calm-holds/
Prior audit access record
Full-register audit source access (evidence cutoff 25 October 2026)
https://www.ochaopt.org/content/movement-and-out-gaza-update-covering-august-2022: full text
https://www.idf.il/en/articles/2022/the-kerem-shalom-crossing-reopens-to-enable-entrance-of-humanitarian-aid/: full text — Authority account; template text prevents reliance on a precise clock.
https://english.wafa.ps/Pages/Details/130352: full text
Earlier source URLs not separately listed in this audit’s retrieval log (historical access notes below are not fresh verification):
https://www.ochaopt.org/content/escalation-gaza-strip-and-israel-flash-update-2-august-2022
https://www.timesofisrael.com/liveblog_entry/gaza-pedestrian-crossing-expected-to-reopen-in-coming-days-if-calm-holds/
Earlier recorded access
Source 1: full page
Source 2: full page
Source 3: access detail is retained in the source catalogue.</x:v>
      </x:c>
      <x:c r="P412" s="20" t="n">
        <x:v>2</x:v>
      </x:c>
      <x:c r="Q412" s="4" t="str">
        <x:v>Middle East</x:v>
      </x:c>
      <x:c r="R412" s="4" t="str">
        <x:v>Included</x:v>
      </x:c>
    </x:row>
    <x:row r="413" ht="234" hidden="0" customHeight="1">
      <x:c r="A413" s="16" t="str">
        <x:v>R2-ME-003</x:v>
      </x:c>
      <x:c r="B413" s="4" t="str">
        <x:v>Gaza Israeli crossings closed during May 2023 escalation</x:v>
      </x:c>
      <x:c r="C413" s="4" t="str">
        <x:v>Israel; Palestine (Gaza)</x:v>
      </x:c>
      <x:c r="D413" s="4" t="str">
        <x:v>Erez / Beit Hanoun and Kerem Shalom / Karm Abu Salem</x:v>
      </x:c>
      <x:c r="E413" s="4" t="str">
        <x:v>Passenger and goods movement through Israeli-controlled crossings
Direction: Both directions within permitted crossing traffic
Exceptions: Not established for full interval.</x:v>
      </x:c>
      <x:c r="F413" s="4" t="str">
        <x:v>R2-ME-003-D1 — Observed operation
Previously authorised goods including fuel at Kerem Shalom during the May escalation
Start: 2023-05-09.
Observed scoped reopening: 2023-05-14.
5 calendar-day difference; scoped endpoint only</x:v>
      </x:c>
      <x:c r="G413"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13" s="4" t="str">
        <x:v>R2-ME-003-D1: Endpoint is gradual goods access, not full trade restoration or simultaneous Erez passenger reopening. The two accounts share OCHA monitoring lineage and are not independent confirmations.</x:v>
      </x:c>
      <x:c r="I413" s="4" t="str">
        <x:v>Second full-register audit, 26 October 2026: qualified. The existing May 9–14 goods phase is supported by OCHA monitoring. Contemporary announcement clocks remain distinct from observed commodity restoration; passenger category restoration is not fully detailed.</x:v>
      </x:c>
      <x:c r="J413" s="18" t="d">
        <x:v>2026-10-26T00:00:00.000Z</x:v>
      </x:c>
      <x:c r="K413" s="21" t="str">
        <x:f>IFERROR(HYPERLINK("https://www.ochaopt.org/content/flash-update-5-15-may-2023","OCHA oPt"),"OCHA oPt")</x:f>
        <x:v>OCHA oPt</x:v>
      </x:c>
      <x:c r="L413" s="21" t="str">
        <x:f>IFERROR(HYPERLINK("https://www.ochaopt.org/content/flash-update-3-12-may-2023","OCHA oPt"),"OCHA oPt")</x:f>
        <x:v>OCHA oPt</x:v>
      </x:c>
      <x:c r="M413" s="21" t="str">
        <x:f>IFERROR(HYPERLINK("https://www.timesofisrael.com/israel-reopens-gaza-crossings-shut-since-launch-of-operation-shield-and-arrow/","timesofisrael.com"),"timesofisrael.com")</x:f>
        <x:v>timesofisrael.com</x:v>
      </x:c>
      <x:c r="N413" s="4" t="str">
        <x:v>https://www.ochaopt.org/content/flash-update-5-15-may-2023
https://www.ochaopt.org/content/flash-update-3-12-may-2023
https://www.timesofisrael.com/israel-reopens-gaza-crossings-shut-since-launch-of-operation-shield-and-arrow/</x:v>
      </x:c>
      <x:c r="O413" s="4" t="str">
        <x:v>Second full-register audit source access, 26 October 2026
https://www.ochaopt.org/content/flash-update-5-15-may-2023: full text (fresh retrieval)
https://www.ochaopt.org/content/flash-update-3-12-may-2023: full text (fresh retrieval)
https://www.timesofisrael.com/israel-reopens-gaza-crossings-shut-since-launch-of-operation-shield-and-arrow/: full text (fresh retrieval)
Prior audit access record
Full-register audit source access (evidence cutoff 25 October 2026)
https://www.ochaopt.org/content/flash-update-5-15-may-2023: full text
https://www.ochaopt.org/content/flash-update-3-12-may-2023: full text
https://www.timesofisrael.com/israel-reopens-gaza-crossings-shut-since-launch-of-operation-shield-and-arrow/: full text
Earlier recorded access
Source 1: full page
Source 2: search extract
Source 3: access detail is retained in the source catalogue.</x:v>
      </x:c>
      <x:c r="P413" s="20" t="n">
        <x:v>1</x:v>
      </x:c>
      <x:c r="Q413" s="4" t="str">
        <x:v>Middle East</x:v>
      </x:c>
      <x:c r="R413" s="4" t="str">
        <x:v>Included</x:v>
      </x:c>
    </x:row>
    <x:row r="414" ht="409" hidden="0" customHeight="1">
      <x:c r="A414" s="16" t="str">
        <x:v>R2-ME-006</x:v>
      </x:c>
      <x:c r="B414" s="4" t="str">
        <x:v>Semalka–Fishkhabour closure and selective reopening, May–June 2023</x:v>
      </x:c>
      <x:c r="C414" s="4" t="str">
        <x:v>Iraq; Syria</x:v>
      </x:c>
      <x:c r="D414" s="4" t="str">
        <x:v>Semalka–Fishkhabour / Faysh Khabur</x:v>
      </x:c>
      <x:c r="E414" s="4" t="str">
        <x:v>Commercial traffic and passenger access
Direction: Crossing traffic; a direction-specific prohibition was not established.
Exceptions: The 3 June announcement limited planned passage to selected persons and humanitarian cases three days weekly. Later evidence reports 5 June resumption including commerce under the existing crossing procedures; unrestricted daily passage and all directions are not established.</x:v>
      </x:c>
      <x:c r="F414" s="4" t="str">
        <x:v>R2-ME-006-D1 — Observed operation
Commercial suspension at Semalka–Fishkhabour until reported June 5 commercial resumption
Start: 2023-05-11.
Observed scoped reopening: 2023-06-05.
25 calendar-day difference; scoped endpoint only</x:v>
      </x:c>
      <x:c r="G414" s="4" t="str">
        <x:v>Power and regime politics / Contested governing authority
Analytical interpretation of reported context
Applies to: May–June 2023 closure; exact daily overlap not established
Classification concerns rival border-administering authorities. Formal order text and truth of breach allegation were not independently recovered.</x:v>
      </x:c>
      <x:c r="H414" s="4" t="str">
        <x:v>R2-ME-006-D1: Scoped resumption under existing crossing procedures, not unrestricted everyday passage. Lead IG footnote 523 is a July 19 State vetting comment; OCHA is accessed through an official court quotation. Its May 20 humanitarian shutdown is a different cohort from the May 11 commercial onset. Exact hours, directions and complete gate logs remain unverified.</x:v>
      </x:c>
      <x:c r="I414" s="4" t="str">
        <x:v>Second full-register audit, 26 October 2026: qualified. The current May 11–June 5 commercial phase is supported after separating June 3 plans from later actual-operation reporting and May 20 humanitarian closure.</x:v>
      </x:c>
      <x:c r="J414" s="18" t="d">
        <x:v>2026-10-26T00:00:00.000Z</x:v>
      </x:c>
      <x:c r="K414" s="21" t="str">
        <x:f>IFERROR(HYPERLINK("https://npasyria.com/en/99073/","North Press Agency"),"North Press Agency")</x:f>
        <x:v>North Press Agency</x:v>
      </x:c>
      <x:c r="L414" s="21" t="str">
        <x:f>IFERROR(HYPERLINK("https://www.arabnews.com/middle-east/iraq-and-syria-to-reopen-semalka-border-crossing-after-3-week-closure-2315261","Arab News"),"Arab News")</x:f>
        <x:v>Arab News</x:v>
      </x:c>
      <x:c r="M414" s="21" t="str">
        <x:f>IFERROR(HYPERLINK("https://www.oversight.gov/sites/default/files/documents/reports/2025-01/OIR_Q3_JUN2023_Revise.pdf","US Lead Inspector General / Oversight.gov"),"US Lead Inspector General / Oversight.gov")</x:f>
        <x:v>US Lead Inspector General / Oversight.gov</x:v>
      </x:c>
      <x:c r="N414" s="4" t="str">
        <x:v>https://npasyria.com/en/99073/
https://www.arabnews.com/middle-east/iraq-and-syria-to-reopen-semalka-border-crossing-after-3-week-closure-2315261
https://www.oversight.gov/sites/default/files/documents/reports/2025-01/OIR_Q3_JUN2023_Revise.pdf
https://syrianobserver.com/uncategorized/semalka-border-crossing-resumes-operation-after-weeks-of-closure.html
https://ris.bka.gv.at/Dokumente/Bvwg/BVWGT_20231018_W200_2264706_1_00/BVWGT_20231018_W200_2264706_1_00.pdf
https://hawarnews.com/en/168380328036301
https://www.kurdistan24.net/en/story/391621/UK-welcomes-reopening-of-key-northeast-Syria-Kurdistan-Region-border-crossing
https://ca-syr.org/periodical/may-2023-monthly-report
https://hawarnews.com/en/168580566036558
https://ris.bka.gv.at/Dokumente/Bvwg/BVWGT_20231018_W200_2264706_1_00/BVWGT_20231018_W200_2264706_1_00.html
https://www.jusline.at/entscheidung/926150
https://static1.squarespace.com/static/63aaf55888b0247733b9a42f/t/64a294c0df04412c40b568a9/1688376523021/20230607_Monthly%2BReport_May.pdf</x:v>
      </x:c>
      <x:c r="O414" s="4" t="str">
        <x:v>Second full-register audit source access, 26 October 2026
https://npasyria.com/en/99073/: full text (fresh retrieval)
https://www.arabnews.com/middle-east/iraq-and-syria-to-reopen-semalka-border-crossing-after-3-week-closure-2315261: full text (fresh retrieval)
https://www.oversight.gov/sites/default/files/documents/reports/2025-01/OIR_Q3_JUN2023_Revise.pdf: full text (fresh retrieval) — June 5 reopening footnote 523 is a State Department vetting comment dated July 19; not a separate gate observation.
https://ris.bka.gv.at/Dokumente/Bvwg/BVWGT_20231018_W200_2264706_1_00/BVWGT_20231018_W200_2264706_1_00.html: full text (fresh retrieval) — Official court reproduces OCHA passage; underlying OCHA report not independently opened.
https://syrianobserver.com/uncategorized/semalka-border-crossing-resumes-operation-after-weeks-of-closure.html: full text (fresh retrieval) — Translation expressly disclaims independent verification of original story.
Earlier URLs not separately inspected in this second assessment:
https://ris.bka.gv.at/Dokumente/Bvwg/BVWGT_20231018_W200_2264706_1_00/BVWGT_20231018_W200_2264706_1_00.pdf
https://hawarnews.com/en/168380328036301
https://www.kurdistan24.net/en/story/391621/UK-welcomes-reopening-of-key-northeast-Syria-Kurdistan-Region-border-crossing
https://ca-syr.org/periodical/may-2023-monthly-report
https://hawarnews.com/en/168580566036558
https://www.jusline.at/entscheidung/926150
https://static1.squarespace.com/static/63aaf55888b0247733b9a42f/t/64a294c0df04412c40b568a9/1688376523021/20230607_Monthly%2BReport_May.pdf
Prior audit access record
Full-register audit source access (evidence cutoff 25 October 2026)
https://npasyria.com/en/99073/: full text
https://syrianobserver.com/uncategorized/semalka-border-crossing-resumes-operation-after-weeks-of-closure.html: full text
https://www.oversight.gov/sites/default/files/documents/reports/2025-01/OIR_Q3_JUN2023_Revise.pdf: full text
https://hawarnews.com/en/168380328036301: full text
https://static1.squarespace.com/static/63aaf55888b0247733b9a42f/t/64a294c0df04412c40b568a9/1688376523021/20230607_Monthly%2BReport_May.pdf: full text
Earlier source URLs not separately listed in this audit’s retrieval log (historical access notes below are not fresh verification):
https://www.arabnews.com/middle-east/iraq-and-syria-to-reopen-semalka-border-crossing-after-3-week-closure-2315261
https://ris.bka.gv.at/Dokumente/Bvwg/BVWGT_20231018_W200_2264706_1_00/BVWGT_20231018_W200_2264706_1_00.pdf
https://www.kurdistan24.net/en/story/391621/UK-welcomes-reopening-of-key-northeast-Syria-Kurdistan-Region-border-crossing
https://ca-syr.org/periodical/may-2023-monthly-report
https://hawarnews.com/en/168580566036558
https://ris.bka.gv.at/Dokumente/Bvwg/BVWGT_20231018_W200_2264706_1_00/BVWGT_20231018_W200_2264706_1_00.html
https://www.jusline.at/entscheidung/926150
Earlier recorded access
Source 1: full text
Source 2: full text
Source 3: full text</x:v>
      </x:c>
      <x:c r="P414" s="20" t="n">
        <x:v>1</x:v>
      </x:c>
      <x:c r="Q414" s="4" t="str">
        <x:v>Middle East</x:v>
      </x:c>
      <x:c r="R414" s="4" t="str">
        <x:v>Included</x:v>
      </x:c>
    </x:row>
    <x:row r="415" ht="378" hidden="0" customHeight="1">
      <x:c r="A415" s="16" t="str">
        <x:v>R2-SC-008</x:v>
      </x:c>
      <x:c r="B415" s="4" t="str">
        <x:v>Nepal closes Rasuwagadhi and Kimathanka for November 2017 election</x:v>
      </x:c>
      <x:c r="C415" s="4" t="str">
        <x:v>Nepal; China</x:v>
      </x:c>
      <x:c r="D415" s="4" t="str">
        <x:v>Rasuwagadhi; Kimathanka
People and vehicle passage through two China-facing crossings</x:v>
      </x:c>
      <x:c r="E415" s="4" t="str">
        <x:v>People and vehicle passage through two China-facing crossings
Direction: Cross-border people and vehicle movement; direction not further specified.
Exceptions: Not established</x:v>
      </x:c>
      <x:c r="F415" s="4" t="str">
        <x:v>R2-SC-008-R1 — Announced window
Rasuwagadhi and Kimathanka under named district election order
Start: 2017-11-24.
Scheduled endpoint: 2017-11-27.
Ordered window: 3 calendar-day difference; actual end not established
REC50-R33-R2SC008-P1 — Observed operation
Observed Rasuwa/Rasuwagadhi freight return after the November 2017 election restriction
Start: approximately 2017-11-24, derived from the reported 72-hour election closure ending at Sunday midnight.
Observed scoped reopening: 2017-11-27.
Reported duration: about 72 hours; strict duration greater than 24 hours supported for Rasuwa freight. Exact first enforcement clock is not independently observed.</x:v>
      </x:c>
      <x:c r="G415" s="4" t="str">
        <x:v>Electoral politics / Election administration and security
Attributed official justification
Applies to: November 2017 ordered window
Mandatory election procedure stated for these crossings; district security deployment alone is not a separate closure justification.</x:v>
      </x:c>
      <x:c r="H415" s="4" t="str">
        <x:v>R2-SC-008-R1: The wider Rasuwagadhi and Kimathanka order remains scheduled, from Thursday midnight to Sunday midnight. The official 72-hour wording is preferred for this schedule; a local resident’s four-day description is retained as a differing account.
REC50-R33-R2SC008-P1: Republica retrospectively says Rasuwa had been closed for 72 hours for the previous day’s election, then reports reopening from Sunday midnight and actual trucks crossing in both directions on 27 November 2017. Together with the contemporaneous 24 November order, this supports an approximate 24 November operational onset and duration greater than 24 hours for Rasuwa freight. The onset is derived from reported duration, not an independently observed first enforcement clock. It is not a new phase beginning on the reopening date. No Kimathanka or all-passenger operational endpoint is inferred.</x:v>
      </x:c>
      <x:c r="I415" s="4" t="str">
        <x:v>Second full-register audit, 26 October 2026: additional source-audited corrections incorporated. See the phase, scope and qualification columns for the accepted findings.</x:v>
      </x:c>
      <x:c r="J415" s="18" t="d">
        <x:v>2026-10-26T00:00:00.000Z</x:v>
      </x:c>
      <x:c r="K415" s="21" t="str">
        <x:f>IFERROR(HYPERLINK("https://kathmandupost.com/national/2017/11/24/border-with-china-sealed-for-72-hrs","The Kathmandu Post"),"The Kathmandu Post")</x:f>
        <x:v>The Kathmandu Post</x:v>
      </x:c>
      <x:c r="L415" s="21" t="str">
        <x:f>IFERROR(HYPERLINK("https://www.myrepublica.nagariknetwork.com/news/rasuwa-border-reopens","MyRepublica"),"MyRepublica")</x:f>
        <x:v>MyRepublica</x:v>
      </x:c>
      <x:c r="M415" s="21" t="str">
        <x:f>IFERROR(HYPERLINK("https://timesofindia.indiatimes.com/world/nepal-closes-border-with-china-india-ahead-of-nov-26-polls/articleshow/61780606.cms","Times of India"),"Times of India")</x:f>
        <x:v>Times of India</x:v>
      </x:c>
      <x:c r="N415" s="4" t="str">
        <x:v>https://kathmandupost.com/national/2017/11/24/border-with-china-sealed-for-72-hrs
https://www.myrepublica.nagariknetwork.com/news/rasuwa-border-reopens
https://timesofindia.indiatimes.com/world/nepal-closes-border-with-china-india-ahead-of-nov-26-polls/articleshow/61780606.cms
https://myrepublica.nagariknetwork.com/news/rasuwa-border-reopens</x:v>
      </x:c>
      <x:c r="O415" s="4" t="str">
        <x:v>Second full-register audit source access, 26 October 2026
https://kathmandupost.com/national/2017/11/24/border-with-china-sealed-for-72-hrs: full text (fresh retrieval)
https://myrepublica.nagariknetwork.com/news/rasuwa-border-reopens: full text (fresh retrieval) — Rendered article omits year; dated same-event election chronology corroborates the accepted 2017 date.
Earlier URLs not separately inspected in this second assessment:
https://www.myrepublica.nagariknetwork.com/news/rasuwa-border-reopens
https://timesofindia.indiatimes.com/world/nepal-closes-border-with-china-india-ahead-of-nov-26-polls/articleshow/61780606.cms
Prior audit access record
Full-register audit source access (evidence cutoff 25 October 2026)
https://kathmandupost.com/national/2017/11/24/border-with-china-sealed-for-72-hrs: full text — Evidence supports only the stated event and scope; scheduled opening is not observed passage.
https://www.myrepublica.nagariknetwork.com/news/rasuwa-border-reopens: full text — Evidence supports only the stated event and scope; scheduled opening is not observed passage.
Earlier source URLs not separately listed in this audit’s retrieval log (historical access notes below are not fresh verification):
https://timesofindia.indiatimes.com/world/nepal-closes-border-with-china-india-ahead-of-nov-26-polls/articleshow/61780606.cms
https://myrepublica.nagariknetwork.com/news/rasuwa-border-reopens
Earlier recorded access
Source 1: indexed excerpt; full; full text
Source 2: full; full text
Source 3: search extract</x:v>
      </x:c>
      <x:c r="P415" s="20" t="n">
        <x:v>2</x:v>
      </x:c>
      <x:c r="Q415" s="4" t="str">
        <x:v>South Asia</x:v>
      </x:c>
      <x:c r="R415" s="4" t="str">
        <x:v>Included</x:v>
      </x:c>
    </x:row>
    <x:row r="416" ht="402" hidden="0" customHeight="1">
      <x:c r="A416" s="16" t="str">
        <x:v>R2-SC-009</x:v>
      </x:c>
      <x:c r="B416" s="4" t="str">
        <x:v>Nepal restricts India-facing crossings for December 2017 second-round election</x:v>
      </x:c>
      <x:c r="C416" s="4" t="str">
        <x:v>Nepal; India</x:v>
      </x:c>
      <x:c r="D416" s="4" t="str">
        <x:v>Including Kakadbhitta and Kailali district crossings
More than22 India-facing entry points, with local directional exceptions</x:v>
      </x:c>
      <x:c r="E416" s="4" t="str">
        <x:v>More than22 India-facing entry points, with local directional exceptions
Direction: Restrictions varied: Kakadbhitta allowed Nepalese entry and travel towards India; do not code universal bidirectional ban.
Exceptions: Kakadbhitta police said Nepalese citizens could enter and travellers could leave for India.</x:v>
      </x:c>
      <x:c r="F416" s="4" t="str">
        <x:v>R2-SC-009-R1 — Announced window
Kailali district India-facing entry points described in dispatch
Start: 2017-12-05.
Scheduled endpoint: 2017-12-07 to 2017-12-08.
Ordered window: 2–3 calendar-day difference; actual end not established</x:v>
      </x:c>
      <x:c r="G416"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16" s="4" t="str">
        <x:v>R2-SC-009-R1: End bound extends to December 8 to preserve 72-hour interpretation. Not actual restoration; Kakadbhitta permissions are not applied to Kailali.
continuity: PTI specifically reports Kailali entry points sealed for 72 hours, with planned Thursday-evening restoration. Its publication/update timestamps and duration conflict require bounded dates. Directional exceptions elsewhere in the same article cannot establish Kailali practice.</x:v>
      </x:c>
      <x:c r="I416" s="4" t="str">
        <x:v>Second full-register audit, 26 October 2026: qualified. The current bounded December 2017 Kailali order is supported. Fresh contemporaneous reporting confirms Kakadbhitta nationality/direction exceptions and shows why the broad countrywide headline cannot be treated as a universal two-way ban.</x:v>
      </x:c>
      <x:c r="J416" s="18" t="d">
        <x:v>2026-10-26T00:00:00.000Z</x:v>
      </x:c>
      <x:c r="K416" s="21" t="str">
        <x:f>IFERROR(HYPERLINK("https://www.newindianexpress.com/amp/story/world/2017/Dec/05/nepal-closes-border-with-india-for-72-hours-ahead-of-december-7-polls-1719242.html","New Indian Express"),"New Indian Express")</x:f>
        <x:v>New Indian Express</x:v>
      </x:c>
      <x:c r="L416" s="21" t="str">
        <x:f>IFERROR(HYPERLINK("https://kathmandupost.com/visual-stories/2017/12/05/general-people-face-difficulties-after-border-sealed-for-elections","Kathmandu Post"),"Kathmandu Post")</x:f>
        <x:v>Kathmandu Post</x:v>
      </x:c>
      <x:c r="M416" s="21" t="str">
        <x:f>IFERROR(HYPERLINK("https://www.hindustantimes.com/dehradun/nepal-polls-border-sealed-till-thursday-evening/story-5nzBYeFkbzXAMG3PoGnLwO.html","hindustantimes.com"),"hindustantimes.com")</x:f>
        <x:v>hindustantimes.com</x:v>
      </x:c>
      <x:c r="N416" s="4" t="str">
        <x:v>https://www.newindianexpress.com/amp/story/world/2017/Dec/05/nepal-closes-border-with-india-for-72-hours-ahead-of-december-7-polls-1719242.html
https://kathmandupost.com/visual-stories/2017/12/05/general-people-face-difficulties-after-border-sealed-for-elections
https://www.hindustantimes.com/dehradun/nepal-polls-border-sealed-till-thursday-evening/story-5nzBYeFkbzXAMG3PoGnLwO.html
https://kathmandupost.com/national/2017/12/03/security-stepped-up-in-rautahat</x:v>
      </x:c>
      <x:c r="O416" s="4" t="str">
        <x:v>Second full-register audit source access, 26 October 2026
https://www.newindianexpress.com/amp/story/world/2017/Dec/05/nepal-closes-border-with-india-for-72-hours-ahead-of-december-7-polls-1719242.html: full text (fresh retrieval)
https://kathmandupost.com/visual-stories/2017/12/05/general-people-face-difficulties-after-border-sealed-for-elections: full text (fresh retrieval)
Earlier URLs not separately inspected in this second assessment:
https://www.hindustantimes.com/dehradun/nepal-polls-border-sealed-till-thursday-evening/story-5nzBYeFkbzXAMG3PoGnLwO.html
https://kathmandupost.com/national/2017/12/03/security-stepped-up-in-rautahat
Prior audit access record
Full-register audit source access (evidence cutoff 25 October 2026)
https://www.newindianexpress.com/amp/story/world/2017/Dec/05/nepal-closes-border-with-india-for-72-hours-ahead-of-december-7-polls-1719242.html: full text — Evidence supports only the stated event and scope; scheduled opening is not observed passage.
Earlier source URLs not separately listed in this audit’s retrieval log (historical access notes below are not fresh verification):
https://kathmandupost.com/visual-stories/2017/12/05/general-people-face-difficulties-after-border-sealed-for-elections
https://www.hindustantimes.com/dehradun/nepal-polls-border-sealed-till-thursday-evening/story-5nzBYeFkbzXAMG3PoGnLwO.html
https://kathmandupost.com/national/2017/12/03/security-stepped-up-in-rautahat
Earlier recorded access
Source 1: indexed excerpt; full
Source 2: indexed excerpt; full
Source 3: access detail is retained in the source catalogue.</x:v>
      </x:c>
      <x:c r="P416" s="20" t="n">
        <x:v>1</x:v>
      </x:c>
      <x:c r="Q416" s="4" t="str">
        <x:v>South Asia</x:v>
      </x:c>
      <x:c r="R416" s="4" t="str">
        <x:v>Included</x:v>
      </x:c>
    </x:row>
    <x:row r="417" ht="409" hidden="0" customHeight="1">
      <x:c r="A417" s="16" t="str">
        <x:v>R2-SC-001</x:v>
      </x:c>
      <x:c r="B417" s="4" t="str">
        <x:v>Pakistan closes Chaman and Kharlachi for July 2018 general election</x:v>
      </x:c>
      <x:c r="C417" s="4" t="str">
        <x:v>Pakistan; Afghanistan</x:v>
      </x:c>
      <x:c r="D417" s="4" t="str">
        <x:v>Chaman; Kharlachi
Two named land crossings; not the whole Afghan frontier</x:v>
      </x:c>
      <x:c r="E417" s="4" t="str">
        <x:v>Two named land crossings; not the whole Afghan frontier
Direction: Not directionally disaggregated in retrieved evidence
Exceptions: Torkham remained open for normal traffic (outside the two-point closure).</x:v>
      </x:c>
      <x:c r="F417" s="4" t="str">
        <x:v>R2-SC-001-R1 — Announced window
Chaman and Kharlachi only; Torkham excluded
Start: 2018-07-24.
Scheduled endpoint: 2018-07-25.
Ordered window: 1 calendar-day difference; actual end not established</x:v>
      </x:c>
      <x:c r="G417"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17" s="4" t="str">
        <x:v>R2-SC-001-R1: Foreign Office schedule covers July 24 and July 25 inclusively; clock times unspecified. Tribune and The News separately give conflicting July 26 security-official wording. No actual reopening established; Torkham excluded.
continuity: Foreign Office order closes Chaman and Kharlachi July 24–25 inclusive while Torkham remains open. This establishes an election schedule, not observed July 26 reopening.</x:v>
      </x:c>
      <x:c r="I417" s="4" t="str">
        <x:v>Second full-register audit, 26 October 2026: qualified. The Foreign Office announcement clearly covers Chaman and Kharlachi on 24–25 July 2018 with Torkham excluded. Competing security-official reports extend Chaman to July 26; no actual first reopening was located.</x:v>
      </x:c>
      <x:c r="J417" s="18" t="d">
        <x:v>2026-10-26T00:00:00.000Z</x:v>
      </x:c>
      <x:c r="K417" s="21" t="str">
        <x:f>IFERROR(HYPERLINK("https://www.app.com.pk/national/pak-afghan-border-at-chaman-kharlachi-to-be-closed-on-july-24-25-fo/","APP"),"APP")</x:f>
        <x:v>APP</x:v>
      </x:c>
      <x:c r="L417" s="21" t="str">
        <x:f>IFERROR(HYPERLINK("https://www.radio.gov.pk/24-07-2018/pak-afghan-border-at-chaman-to-be-closed","Radio Pakistan"),"Radio Pakistan")</x:f>
        <x:v>Radio Pakistan</x:v>
      </x:c>
      <x:c r="M417" s="21" t="str">
        <x:f>IFERROR(HYPERLINK("https://tribune.com.pk/story/1765409/chaman-border-crossing-closed-two-days","Express Tribune"),"Express Tribune")</x:f>
        <x:v>Express Tribune</x:v>
      </x:c>
      <x:c r="N417" s="4" t="str">
        <x:v>https://www.app.com.pk/national/pak-afghan-border-at-chaman-kharlachi-to-be-closed-on-july-24-25-fo/
https://www.radio.gov.pk/24-07-2018/pak-afghan-border-at-chaman-to-be-closed
https://tribune.com.pk/story/1765409/chaman-border-crossing-closed-two-days
https://www.thenews.com.pk/latest/345703-elections-2018-pak-afghan-border-closed-for-3-days-over-security-reasons
https://www.xinhuanet.com/english/2018-07/24/c_137345081.htm</x:v>
      </x:c>
      <x:c r="O417" s="4" t="str">
        <x:v>Second full-register audit source access, 26 October 2026
https://www.app.com.pk/national/pak-afghan-border-at-chaman-kharlachi-to-be-closed-on-july-24-25-fo/: full text (fresh retrieval)
https://www.thenews.com.pk/latest/345703-elections-2018-pak-afghan-border-closed-for-3-days-over-security-reasons: search extract (fresh retrieval) — Indexed text, not observed endpoint.
https://www.xinhuanet.com/english/2018-07/24/c_137345081.htm: search extract (fresh retrieval) — Indexed article.
Earlier URLs not separately inspected in this second assessment:
https://www.radio.gov.pk/24-07-2018/pak-afghan-border-at-chaman-to-be-closed
https://tribune.com.pk/story/1765409/chaman-border-crossing-closed-two-days
Prior audit access record
Full-register audit source access (evidence cutoff 25 October 2026)
https://www.app.com.pk/national/pak-afghan-border-at-chaman-kharlachi-to-be-closed-on-july-24-25-fo/: full text — Evidence supports only the stated event and scope; scheduled opening is not observed passage.
https://www.thenews.com.pk/latest/345703-elections-2018-pak-afghan-border-closed-for-3-days-over-security-reasons: full text — Evidence supports only the stated event and scope; scheduled opening is not observed passage.
Earlier source URLs not separately listed in this audit’s retrieval log (historical access notes below are not fresh verification):
https://www.radio.gov.pk/24-07-2018/pak-afghan-border-at-chaman-to-be-closed
https://tribune.com.pk/story/1765409/chaman-border-crossing-closed-two-days
https://www.xinhuanet.com/english/2018-07/24/c_137345081.htm
Earlier recorded access
Source 1: indexed excerpt; failed
Source 2: indexed excerpt; full
Source 3: indexed excerpt</x:v>
      </x:c>
      <x:c r="P417" s="20" t="n">
        <x:v>1</x:v>
      </x:c>
      <x:c r="Q417" s="4" t="str">
        <x:v>South Asia</x:v>
      </x:c>
      <x:c r="R417" s="4" t="str">
        <x:v>Included</x:v>
      </x:c>
    </x:row>
    <x:row r="418" ht="409" hidden="0" customHeight="1">
      <x:c r="A418" s="16" t="str">
        <x:v>R2-SC-002</x:v>
      </x:c>
      <x:c r="B418" s="4" t="str">
        <x:v>Chaman freight closure after October 2018 fencing clash</x:v>
      </x:c>
      <x:c r="C418" s="4" t="str">
        <x:v>Pakistan; Afghanistan</x:v>
      </x:c>
      <x:c r="D418" s="4" t="str">
        <x:v>Chaman–Spin Boldak / Friendship Gate
Freight through Chaman Friendship Gate</x:v>
      </x:c>
      <x:c r="E418" s="4" t="str">
        <x:v>Commercial trucks, Afghan transit cargo and NATO supplies.
Direction: Goods movement in both directions documented at reopening.
Exceptions: Passenger traffic resumed 15 October and is excluded from this freight-duration series.</x:v>
      </x:c>
      <x:c r="F418" s="4" t="str">
        <x:v>R2-SC-002-D1 — Observed operation
Freight through Chaman Friendship Gate; Commercial trucks, Afghan transit cargo and NATO supplies.; Goods movement in both directions documented at reopening.
Start: 2018-10-14.
Observed scoped reopening: 2018-10-16.
2 calendar-day difference; scoped endpoint only</x:v>
      </x:c>
      <x:c r="G418"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Territorial and frontier disputes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18" s="4" t="str">
        <x:v>R2-SC-002-D1: The reported 'three days' counts calendar dates inclusively. The 14–16 October dates give a two-calendar-day difference, not exactly 48 elapsed hours. Continued freight closure through 15 October and recovery on 16 October support duration greater than 24 hours. Broad RFE/RL closed wording does not distinguish the pedestrian exception. Passenger traffic resumed on 15 October and is excluded from this freight-duration series.</x:v>
      </x:c>
      <x:c r="I418" s="4" t="str">
        <x:v>Second full-register audit, 26 October 2026: additional source-audited corrections incorporated. See the phase, scope and qualification columns for the accepted findings.</x:v>
      </x:c>
      <x:c r="J418" s="18" t="d">
        <x:v>2026-10-26T00:00:00.000Z</x:v>
      </x:c>
      <x:c r="K418" s="21" t="str">
        <x:f>IFERROR(HYPERLINK("https://tribune.com.pk/story/1827531/trade-activities-resume-friendship-gate","Express Tribune"),"Express Tribune")</x:f>
        <x:v>Express Tribune</x:v>
      </x:c>
      <x:c r="L418" s="21" t="str">
        <x:f>IFERROR(HYPERLINK("https://www.rferl.org/a/afghan-pakistani-border-crossing-closed-after-clashes/29546025.html","Radio Free Europe/Radio Liberty"),"Radio Free Europe/Radio Liberty")</x:f>
        <x:v>Radio Free Europe/Radio Liberty</x:v>
      </x:c>
      <x:c r="M418" s="21" t="str">
        <x:f>IFERROR(HYPERLINK("https://www.ecoi.net/en/document/1447192.html","ecoi.net"),"ecoi.net")</x:f>
        <x:v>ecoi.net</x:v>
      </x:c>
      <x:c r="N418" s="4" t="str">
        <x:v>https://tribune.com.pk/story/1827531/trade-activities-resume-friendship-gate
https://www.rferl.org/a/afghan-pakistani-border-crossing-closed-after-clashes/29546025.html
https://www.ecoi.net/en/document/1447192.html
https://tribune.com.pk/story/1827531/trade-activities-resume-friendship-gate?amp=1
https://tribune.com.pk/story/1826255/chaman-border-crossing-reopens?amp=1
https://tribune.com.pk/story/1826610/pakistan-opens-friendship-gate-pedestrians</x:v>
      </x:c>
      <x:c r="O418" s="4" t="str">
        <x:v>Second full-register audit source access, 26 October 2026
https://www.rferl.org/a/afghan-pakistani-border-crossing-closed-after-clashes/29546025.html: full text (fresh retrieval)
https://tribune.com.pk/story/1827531/trade-activities-resume-friendship-gate?amp=1: search extract (fresh retrieval) — Direct attempts returned 403; complete substantive indexed article inspected.
https://tribune.com.pk/story/1826255/chaman-border-crossing-reopens?amp=1: search extract (fresh retrieval) — Indexed article.
Earlier URLs not separately inspected in this second assessment:
https://tribune.com.pk/story/1827531/trade-activities-resume-friendship-gate
https://www.ecoi.net/en/document/1447192.html
https://tribune.com.pk/story/1826610/pakistan-opens-friendship-gate-pedestrians
Prior audit access record
Full-register audit source access (evidence cutoff 25 October 2026)
https://tribune.com.pk/story/1827531/trade-activities-resume-friendship-gate?amp=1: search extract — Direct retrieval 403; substantial indexed article inspected
https://tribune.com.pk/story/1826255/chaman-border-crossing-reopens?amp=1: search extract — Direct retrieval 403
https://tribune.com.pk/story/1826610/pakistan-opens-friendship-gate-pedestrians: search extract
Earlier source URLs not separately listed in this audit’s retrieval log (historical access notes below are not fresh verification):
https://tribune.com.pk/story/1827531/trade-activities-resume-friendship-gate
https://www.rferl.org/a/afghan-pakistani-border-crossing-closed-after-clashes/29546025.html
https://www.ecoi.net/en/document/1447192.html
Earlier recorded access
Source 1: full page
Source 2: search extract
Source 3: access detail is retained in the source catalogue.</x:v>
      </x:c>
      <x:c r="P418" s="20" t="n">
        <x:v>1</x:v>
      </x:c>
      <x:c r="Q418" s="4" t="str">
        <x:v>South Asia</x:v>
      </x:c>
      <x:c r="R418" s="4" t="str">
        <x:v>Included</x:v>
      </x:c>
    </x:row>
    <x:row r="419" ht="409" hidden="0" customHeight="1">
      <x:c r="A419" s="16" t="str">
        <x:v>R2-SC-003</x:v>
      </x:c>
      <x:c r="B419" s="4" t="str">
        <x:v>Torkham and Chaman closed for Afghanistan's October 2018 parliamentary election</x:v>
      </x:c>
      <x:c r="C419" s="4" t="str">
        <x:v>Pakistan; Afghanistan</x:v>
      </x:c>
      <x:c r="D419" s="4" t="str">
        <x:v>Torkham; Chaman
All ordinary traffic at two named gates</x:v>
      </x:c>
      <x:c r="E419" s="4" t="str">
        <x:v>All ordinary traffic at two named gates
Direction: Entry and exit traffic at both gates; reopening report describes people and freight on both sides.
Exceptions: Emergency cases.</x:v>
      </x:c>
      <x:c r="F419" s="4" t="str">
        <x:v>R2-SC-003-D1 — Observed operation
Ordinary pedestrian and cargo traffic at Torkham and Chaman, excluding emergency cases
Start: 2018-10-19.
Observed scoped reopening: 2018-10-21.
2 calendar-day difference; scoped endpoint only</x:v>
      </x:c>
      <x:c r="G419"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19" s="4" t="str">
        <x:v>R2-SC-003-D1: Calendar-day boundaries only: exact onset hour is unknown and reported two-and-a-half days is not converted to precise hours. Emergency access was excepted; foot traffic and freight resumed at slightly different times on the same day.</x:v>
      </x:c>
      <x:c r="I419" s="4" t="str">
        <x:v>Second full-register audit, 26 October 2026: qualified. Current 19–21 October 2018 two-gate episode is supported by the substantial Tribune index and Radio Pakistan’s fresh Torkham reopening report. Emergency exceptions and staggered same-day pedestrian/freight return remain appropriate.</x:v>
      </x:c>
      <x:c r="J419" s="18" t="d">
        <x:v>2026-10-26T00:00:00.000Z</x:v>
      </x:c>
      <x:c r="K419" s="21" t="str">
        <x:f>IFERROR(HYPERLINK("https://mofa.gov.pk/afghan-request-for-closure-of-friendship-gates-at-chaman-torkham","Pakistan Ministry of Foreign Affairs"),"Pakistan Ministry of Foreign Affairs")</x:f>
        <x:v>Pakistan Ministry of Foreign Affairs</x:v>
      </x:c>
      <x:c r="L419" s="21" t="str">
        <x:f>IFERROR(HYPERLINK("https://tribune.com.pk/story/1830756/two-days-hiatus-pak-afghan-border-crossing-torkham-reopened?amp=1","Express Tribune"),"Express Tribune")</x:f>
        <x:v>Express Tribune</x:v>
      </x:c>
      <x:c r="M419" s="21" t="str">
        <x:f>IFERROR(HYPERLINK("https://www.dawn.com/news/1440546","dawn.com"),"dawn.com")</x:f>
        <x:v>dawn.com</x:v>
      </x:c>
      <x:c r="N419" s="4" t="str">
        <x:v>https://mofa.gov.pk/afghan-request-for-closure-of-friendship-gates-at-chaman-torkham
https://tribune.com.pk/story/1830756/two-days-hiatus-pak-afghan-border-crossing-torkham-reopened?amp=1
https://www.dawn.com/news/1440546
https://tribune.com.pk/story/1830756/two-days-hiatus-pak-afghan-border-crossing-torkham-reopened
https://www.radio.gov.pk/21-10-2018/pak-afghan-border-at-torkham-reopened
https://www.thenews.com.pk/amp/383229-torkham-border-closed-for-two-days-for-afghan-elections
https://tribune.com.pk/story/1829487/pak-afghan-border-closed-two-days
https://tribune.com.pk/story/1830109/1-torkham-border-crossing-remains-closed-afghan-elections</x:v>
      </x:c>
      <x:c r="O419" s="4" t="str">
        <x:v>Second full-register audit source access, 26 October 2026
https://tribune.com.pk/story/1830756/two-days-hiatus-pak-afghan-border-crossing-torkham-reopened?amp=1: search extract (fresh retrieval) — Direct opening 403; substantial indexed article inspected.
https://www.radio.gov.pk/21-10-2018/pak-afghan-border-at-torkham-reopened: full text (fresh retrieval)
https://www.dawn.com/news/1440546: full text (fresh retrieval) — Used only as compact corroboration.
https://mofa.gov.pk/afghan-request-for-closure-of-friendship-gates-at-chaman-torkham: inaccessible (fresh retrieval) — Timeout.
Earlier URLs not separately inspected in this second assessment:
https://tribune.com.pk/story/1830756/two-days-hiatus-pak-afghan-border-crossing-torkham-reopened
https://www.thenews.com.pk/amp/383229-torkham-border-closed-for-two-days-for-afghan-elections
https://tribune.com.pk/story/1829487/pak-afghan-border-closed-two-days
https://tribune.com.pk/story/1830109/1-torkham-border-crossing-remains-closed-afghan-elections
Prior audit access record
Full-register audit source access (evidence cutoff 25 October 2026)
https://mofa.gov.pk/afghan-request-for-closure-of-friendship-gates-at-chaman-torkham: inaccessible — Timeout; title-only indexed result does not verify body
https://tribune.com.pk/story/1829487/pak-afghan-border-closed-two-days: search extract
https://tribune.com.pk/story/1830756/two-days-hiatus-pak-afghan-border-crossing-torkham-reopened?amp=1: search extract — Direct 403; indexed article inspected
https://tribune.com.pk/story/1830109/1-torkham-border-crossing-remains-closed-afghan-elections: search extract
Earlier source URLs not separately listed in this audit’s retrieval log (historical access notes below are not fresh verification):
https://www.dawn.com/news/1440546
https://tribune.com.pk/story/1830756/two-days-hiatus-pak-afghan-border-crossing-torkham-reopened
https://www.radio.gov.pk/21-10-2018/pak-afghan-border-at-torkham-reopened
https://www.thenews.com.pk/amp/383229-torkham-border-closed-for-two-days-for-afghan-elections
Earlier recorded access
Source 1: search-indexed official text; direct page timed out
Source 2: full page
Source 3: access detail is retained in the source catalogue.</x:v>
      </x:c>
      <x:c r="P419" s="20" t="n">
        <x:v>1</x:v>
      </x:c>
      <x:c r="Q419" s="4" t="str">
        <x:v>South Asia</x:v>
      </x:c>
      <x:c r="R419" s="4" t="str">
        <x:v>Included</x:v>
      </x:c>
    </x:row>
    <x:row r="420" ht="409" hidden="0" customHeight="1">
      <x:c r="A420" s="16" t="str">
        <x:v>R2-SC-004</x:v>
      </x:c>
      <x:c r="B420" s="4" t="str">
        <x:v>Pakistan closes Afghan and Iranian crossings on February 2024 polling day</x:v>
      </x:c>
      <x:c r="C420" s="4" t="str">
        <x:v>Pakistan; Afghanistan; Iran</x:v>
      </x:c>
      <x:c r="D420" s="4" t="str">
        <x:v>All Afghan and Iranian land crossings under Pakistan's announced order
Border crossings with Afghanistan and Iran; pedestrians and cargo</x:v>
      </x:c>
      <x:c r="E420" s="4" t="str">
        <x:v>Border crossings with Afghanistan and Iran; pedestrians and cargo
Direction: Not directionally disaggregated in retrieved evidence
Exceptions: None specified in retrieved announcement.</x:v>
      </x:c>
      <x:c r="F420" s="4" t="str">
        <x:v>R2-SC-004-R1 — Announced window
Pakistan-controlled border crossings with Afghanistan and Iran
Start: 2024-02-08.
Scheduled endpoint: 2024-02-09.
Ordered window: 1 calendar-day difference; actual end not established</x:v>
      </x:c>
      <x:c r="G420" s="4" t="str">
        <x:v>Electoral politics / Election administration and security
Attributed official justification
Applies to: February 8 2024 order
MOFA stated purpose.
Security / Armed attacks and terrorism
Analytical interpretation of reported context
Applies to: Announcement following February 7 blasts
Reported context only; original closure statement does not expressly assign causation to a particular attack.</x:v>
      </x:c>
      <x:c r="H420" s="4" t="str">
        <x:v>R2-SC-004-R1: No actual reopening retrieved; Afghan three-post onset evidence does not establish every Iran-side point.
continuity: February 7 Foreign Office statement schedules February 8 cargo/passenger closure at Afghan and Iranian crossings and February 9 resumption. It establishes an election order; completed operational reopening was not observed.</x:v>
      </x:c>
      <x:c r="I420" s="4" t="str">
        <x:v>Second full-register audit, 26 October 2026: qualified. The official indexed statement supports the 8 February 2024 election order and planned 9 February return. A fresh Afghan-side report observes three crossing closures, but searches did not establish actual recovery at every Afghan and Iranian point.</x:v>
      </x:c>
      <x:c r="J420" s="18" t="d">
        <x:v>2026-10-26T00:00:00.000Z</x:v>
      </x:c>
      <x:c r="K420" s="21" t="str">
        <x:f>IFERROR(HYPERLINK("https://mofa.gov.pk/press-releases/statement-by-the-spokesperson-on-closure-of-border-crossings-with-afghanistan-and-iran-on-8-february-2024","Pakistan Ministry of Foreign Affairs"),"Pakistan Ministry of Foreign Affairs")</x:f>
        <x:v>Pakistan Ministry of Foreign Affairs</x:v>
      </x:c>
      <x:c r="L420" s="21" t="str">
        <x:f>IFERROR(HYPERLINK("https://swn.af/en/2024/02/afghan-pakistan-border-crossings-closed-due-to-pakistani-national-elections/","Salam Watandar"),"Salam Watandar")</x:f>
        <x:v>Salam Watandar</x:v>
      </x:c>
      <x:c r="M420" s="21" t="str">
        <x:f>IFERROR(HYPERLINK("https://amu.tv/82598/","Amu TV"),"Amu TV")</x:f>
        <x:v>Amu TV</x:v>
      </x:c>
      <x:c r="N420" s="4" t="str">
        <x:v>https://mofa.gov.pk/press-releases/statement-by-the-spokesperson-on-closure-of-border-crossings-with-afghanistan-and-iran-on-8-february-2024
https://swn.af/en/2024/02/afghan-pakistan-border-crossings-closed-due-to-pakistani-national-elections/
https://amu.tv/82598/
https://humenglish.com/latest/border-closed-afghanistan/
https://mofa.gov.pk/press-releases/statement-by-the-spokesperson-on-closure-of-border-crossings-with-afghanistan-and-iran-on-8-february-2024?mission=statements
https://www.aa.com.tr/en/asia-pacific/pakistan-to-close-borders-with-iran-afghanistan-during-thursdays-general-elections/3130559
https://www.brecorder.com/news/40288029/</x:v>
      </x:c>
      <x:c r="O420" s="4" t="str">
        <x:v>Second full-register audit source access, 26 October 2026
https://mofa.gov.pk/press-releases/statement-by-the-spokesperson-on-closure-of-border-crossings-with-afghanistan-and-iran-on-8-february-2024: search extract (fresh retrieval) — Direct opening timed out; indexed statement inspected.
https://swn.af/en/2024/02/afghan-pakistan-border-crossings-closed-due-to-pakistani-national-elections/: full text (fresh retrieval)
https://www.brecorder.com/news/40288029/: search extract (fresh retrieval) — No explicit first reopened passage.
https://amu.tv/82598/: search extract (fresh retrieval) — Indexed article.
Earlier URLs not separately inspected in this second assessment:
https://humenglish.com/latest/border-closed-afghanistan/
https://mofa.gov.pk/press-releases/statement-by-the-spokesperson-on-closure-of-border-crossings-with-afghanistan-and-iran-on-8-february-2024?mission=statements
https://www.aa.com.tr/en/asia-pacific/pakistan-to-close-borders-with-iran-afghanistan-during-thursdays-general-elections/3130559
Prior audit access record
Full-register audit source access (evidence cutoff 25 October 2026)
https://mofa.gov.pk/press-releases/statement-by-the-spokesperson-on-closure-of-border-crossings-with-afghanistan-and-iran-on-8-february-2024?mission=statements: search extract — Evidence supports only the stated event and scope; scheduled opening is not observed passage.
https://swn.af/en/2024/02/afghan-pakistan-border-crossings-closed-due-to-pakistani-national-elections/: full text — Evidence supports only the stated event and scope; scheduled opening is not observed passage.
Earlier source URLs not separately listed in this audit’s retrieval log (historical access notes below are not fresh verification):
https://mofa.gov.pk/press-releases/statement-by-the-spokesperson-on-closure-of-border-crossings-with-afghanistan-and-iran-on-8-february-2024
https://amu.tv/82598/
https://humenglish.com/latest/border-closed-afghanistan/
https://www.aa.com.tr/en/asia-pacific/pakistan-to-close-borders-with-iran-afghanistan-during-thursdays-general-elections/3130559
Earlier recorded access
Source 1: indexed excerpt; failed; indexed extract
Source 2: indexed excerpt; full; full text
Source 3: indexed extract</x:v>
      </x:c>
      <x:c r="P420" s="20" t="n">
        <x:v>1</x:v>
      </x:c>
      <x:c r="Q420" s="4" t="str">
        <x:v>South Asia</x:v>
      </x:c>
      <x:c r="R420" s="4" t="str">
        <x:v>Included</x:v>
      </x:c>
    </x:row>
    <x:row r="421" ht="409" hidden="0" customHeight="1">
      <x:c r="A421" s="16" t="str">
        <x:v>R2-AF-006</x:v>
      </x:c>
      <x:c r="B421" s="4" t="str">
        <x:v>Chad renewed Libya-frontier security closure March 2019</x:v>
      </x:c>
      <x:c r="C421" s="4" t="str">
        <x:v>Chad; Libya</x:v>
      </x:c>
      <x:c r="D421" s="4" t="str">
        <x:v>Not individually established
Chadian side of Libya land frontier</x:v>
      </x:c>
      <x:c r="E421" s="4" t="str">
        <x:v>Movement categories not separately established
Direction: Not separately established
Exceptions: Not established</x:v>
      </x:c>
      <x:c r="F421" s="4" t="str">
        <x:v>R2-AF-006-FU1 — Formal policy
Chadian restriction on the Libya land frontier; subsequent supply impacts documented in Tibesti
Start: 2019-03-03.
Continuing restriction confirmed in an April 2019 assessment (2019-04-01 to 2019-04-30; exact assessment day unstated). Reopening is not established.
Sustained restriction exceeds 24 hours; exact operational duration is not established.</x:v>
      </x:c>
      <x:c r="G421" s="4" t="str">
        <x:v>Security / Armed attacks and terrorism
Attributed official justification
Applies to: March 2019 renewed Libya-frontier order
The Security Minister cited armed rebels, terrorism and trafficking after an incursion from Libya. These are attributed official reasons; porous routes and enforcement limits remain acknowledged.
Security / Armed conflict and military confrontation
Attributed official justification
Applies to: March 2019 renewed Libya-frontier order
The Security Minister cited armed rebels, terrorism and trafficking after an incursion from Libya. These are attributed official reasons; porous routes and enforcement limits remain acknowledged.</x:v>
      </x:c>
      <x:c r="H421" s="4" t="str">
        <x:v>R2-AF-006-FU1: Contemporary AFP and Xinhua reports place the immediate order on Sunday March 3, 2019. The later VOA account says March 5 and even calls that date Sunday; this inconsistent retrospective wording does not displace the contemporary chronology. FEWS NET reports current border-closure supply effects in March and their continuation in April 2019. April is an assessment month, not an exact gate-observation date. This supports a sustained restriction exceeding 24 hours, while porous desert routes, unspecified category exemptions and later August corridor exceptions prevent a claim of complete sealing or uninterrupted March–August operation. The exact reopening remains unknown.</x:v>
      </x:c>
      <x:c r="I421" s="4" t="str">
        <x:v>Second full-register audit, 26 October 2026: additional source-audited corrections incorporated. See the phase, scope and qualification columns for the accepted findings.</x:v>
      </x:c>
      <x:c r="J421" s="18" t="d">
        <x:v>2026-10-26T00:00:00.000Z</x:v>
      </x:c>
      <x:c r="K421" s="21" t="str">
        <x:f>IFERROR(HYPERLINK("https://www.voaafrique.com/a/tchad-fermeture-de-la-frontiere-avec-la-libye/4812034.html","voaafrique.com"),"voaafrique.com")</x:f>
        <x:v>voaafrique.com</x:v>
      </x:c>
      <x:c r="L421" s="21" t="str">
        <x:f>IFERROR(HYPERLINK("https://www.latribune.fr/politique/2019-03-04/tchad-la-frontiere-avec-la-libye-de-nouveau-fermee-jusqu-a-nouvel-ordre-809450.html","La Tribune Afrique"),"La Tribune Afrique")</x:f>
        <x:v>La Tribune Afrique</x:v>
      </x:c>
      <x:c r="M421" s="21" t="str">
        <x:f>IFERROR(HYPERLINK("https://www.voaafrique.com/a/le-tchad-annonce-la-fermeture-de-sa-fronti%C3%A8re-avec-la-libye-pour-la-deuxi%C3%A8me-fois-en-moins-de-trois-ans/4824100.html","VOA Afrique"),"VOA Afrique")</x:f>
        <x:v>VOA Afrique</x:v>
      </x:c>
      <x:c r="N421" s="4" t="str">
        <x:v>https://www.voaafrique.com/a/tchad-fermeture-de-la-frontiere-avec-la-libye/4812034.html
https://www.latribune.fr/politique/2019-03-04/tchad-la-frontiere-avec-la-libye-de-nouveau-fermee-jusqu-a-nouvel-ordre-809450.html
https://www.voaafrique.com/a/le-tchad-annonce-la-fermeture-de-sa-fronti%C3%A8re-avec-la-libye-pour-la-deuxi%C3%A8me-fois-en-moins-de-trois-ans/4824100.html
https://www.alwihdainfo.com/tchad-six-corridors-et-postes-d-entree-ouverts-a-trois-frontieres-a76325/
https://dtm.iom.int/sites/g/files/tmzbdl1461/files/reports/Rapport%20Q2%20FMS%20Tchad%20Avril_Juin%202024_for_publishing.pdf
https://libyaherald.com/2019/03/chad-closes-its-border-with-libya
https://french.xinhuanet.com/2019-03/04/c_137868749.htm
https://fews.net/fr/west-africa/tchad/mise-jour-du-message-cle/mars-2019
https://www.safetravel.govt.nz/destinations/chad
https://fews.net/fr/west-africa/tchad/mise-jour-du-message-cle/avril-2019</x:v>
      </x:c>
      <x:c r="O421" s="4" t="str">
        <x:v>Second full-register audit source access, 26 October 2026
https://french.xinhuanet.com/2019-03/04/c_137868749.htm: full text (fresh retrieval)
https://www.voaafrique.com/a/tchad-fermeture-de-la-frontiere-avec-la-libye/4812034.html: search extract (fresh retrieval)
https://www.voaafrique.com/a/le-tchad-annonce-la-fermeture-de-sa-fronti%C3%A8re-avec-la-libye-pour-la-deuxi%C3%A8me-fois-en-moins-de-trois-ans/4824100.html: full text (fresh retrieval) — Not adopted over contemporary March 4 reports.
https://fews.net/fr/west-africa/tchad/mise-jour-du-message-cle/mars-2019: full text (fresh retrieval)
https://fews.net/fr/west-africa/tchad/mise-jour-du-message-cle/avril-2019: full text (fresh retrieval) — Month-level assessment, not exact gate timestamp.
Earlier URLs not separately inspected in this second assessment:
https://www.latribune.fr/politique/2019-03-04/tchad-la-frontiere-avec-la-libye-de-nouveau-fermee-jusqu-a-nouvel-ordre-809450.html
https://www.alwihdainfo.com/tchad-six-corridors-et-postes-d-entree-ouverts-a-trois-frontieres-a76325/
https://dtm.iom.int/sites/g/files/tmzbdl1461/files/reports/Rapport%20Q2%20FMS%20Tchad%20Avril_Juin%202024_for_publishing.pdf
https://libyaherald.com/2019/03/chad-closes-its-border-with-libya
https://www.safetravel.govt.nz/destinations/chad
Prior audit access record
Full-register audit source access (evidence cutoff 25 October 2026)
https://www.voaafrique.com/a/tchad-fermeture-de-la-frontiere-avec-la-libye/4812034.html: full text
https://french.xinhuanet.com/2019-03/04/c_137868749.htm: search extract
https://fews.net/fr/west-africa/tchad/mise-jour-du-message-cle/mars-2019: search extract — No exact border-operation end date.
https://www.alwihdainfo.com/tchad-six-corridors-et-postes-d-entree-ouverts-a-trois-frontieres-a76325/: full text
https://www.safetravel.govt.nz/destinations/chad: inaccessible — Retrieved page omitted detailed border section; previous indexed current closure claim not freshly verified.
Earlier source URLs not separately listed in this audit’s retrieval log (historical access notes below are not fresh verification):
https://www.latribune.fr/politique/2019-03-04/tchad-la-frontiere-avec-la-libye-de-nouveau-fermee-jusqu-a-nouvel-ordre-809450.html
https://www.voaafrique.com/a/le-tchad-annonce-la-fermeture-de-sa-fronti%C3%A8re-avec-la-libye-pour-la-deuxi%C3%A8me-fois-en-moins-de-trois-ans/4824100.html
https://dtm.iom.int/sites/g/files/tmzbdl1461/files/reports/Rapport%20Q2%20FMS%20Tchad%20Avril_Juin%202024_for_publishing.pdf
https://libyaherald.com/2019/03/chad-closes-its-border-with-libya
Earlier recorded access
Source 1: access detail is retained in the source catalogue.
Source 2: full
Source 3: indexed excerpt; full</x:v>
      </x:c>
      <x:c r="P421" s="20" t="n">
        <x:v>1</x:v>
      </x:c>
      <x:c r="Q421" s="4" t="str">
        <x:v>West Africa and Sahel</x:v>
      </x:c>
      <x:c r="R421" s="4" t="str">
        <x:v>Included</x:v>
      </x:c>
    </x:row>
    <x:row r="422" ht="409" hidden="0" customHeight="1">
      <x:c r="A422" s="16" t="str">
        <x:v>R2-AF-007</x:v>
      </x:c>
      <x:c r="B422" s="4" t="str">
        <x:v>Chad selective three-frontier emergency restriction August 2019</x:v>
      </x:c>
      <x:c r="C422" s="4" t="str">
        <x:v>Chad; Libya; Sudan; Central African Republic</x:v>
      </x:c>
      <x:c r="D422" s="4" t="str">
        <x:v>Not individually established
Libya, Sudan and CAR frontiers restricted to designated corridors</x:v>
      </x:c>
      <x:c r="E422" s="4" t="str">
        <x:v>Movement categories not separately established
Direction: Entry and exit explicitly covered
Exceptions: Designated corridors: Kouri 35, Ounianga and Mourdi towards Libya (APA/Europa Press gives Kuri and Mudi only); Adré, Tiné and Amdjirémé towards Sudan; Sido and Goré towards CAR. No reliable total corridor count asserted.</x:v>
      </x:c>
      <x:c r="F422" s="4" t="str">
        <x:v>R2-AF-007-FU1 — Formal policy
Chad selective routing restriction on Libya, Sudan and CAR frontiers except named corridors
Start: unknown.
Last confirmed: 2019-08-21. Reopening is not established.
Formal policy: dated evidence; numeric duration withheld; see qualification
Later scoped evidence: September 2019 restrictions affecting Libya–Chad and Sudan–Chad supplies, with designated supply corridors remaining open. The exact later day and CAR-specific continuation are not established. Sustained restricted routing exceeds 24 hours; no exact operational duration is calculated.</x:v>
      </x:c>
      <x:c r="G422" s="4" t="str">
        <x:v>Security / Unspecified security
Attributed official justification
Applies to: August 2019 selective routing restriction
The Defence Minister cited security and control of entry and exit; authorized corridors remained available.</x:v>
      </x:c>
      <x:c r="H422" s="4" t="str">
        <x:v>R2-AF-007-FU1: August 21 is a documentary confirmation boundary. The UN later dates the announcement to August 21, while local Tuesday/date wording is inconsistent; no exact original effective day is imposed. Named corridors qualify the restriction, and inconsistent headline counts are not used as a total. September reporting and Crisis Group interviews describe continuing Libya- and Sudan-related supply restrictions with open designated corridors; this does not independently confirm every CAR route in September. These sources support a sustained restriction exceeding 24 hours. Neither the emergency extension nor its expiry supplies a border-reopening date, and the exact end remains unknown.</x:v>
      </x:c>
      <x:c r="I422" s="4" t="str">
        <x:v>Second full-register audit, 26 October 2026: additional source-audited corrections incorporated. See the phase, scope and qualification columns for the accepted findings.</x:v>
      </x:c>
      <x:c r="J422" s="18" t="d">
        <x:v>2026-10-26T00:00:00.000Z</x:v>
      </x:c>
      <x:c r="K422" s="21" t="str">
        <x:f>IFERROR(HYPERLINK("https://www.lepaystchad.com/risque-dasphyxie-economique-des-provinces-sous-etat-durgence/","lepaystchad.com"),"lepaystchad.com")</x:f>
        <x:v>lepaystchad.com</x:v>
      </x:c>
      <x:c r="L422" s="21" t="str">
        <x:f>IFERROR(HYPERLINK("https://www.alwihdainfo.com/tchad-six-corridors-et-postes-d-entree-ouverts-a-trois-frontieres-a76325/","Alwihda Info"),"Alwihda Info")</x:f>
        <x:v>Alwihda Info</x:v>
      </x:c>
      <x:c r="M422" s="21" t="str">
        <x:f>IFERROR(HYPERLINK("https://www.europapress.es/internacional/noticia-chad-cierra-fronteras-libia-sudan-rca-motivos-seguridad-20190822083126.html","Europa Press"),"Europa Press")</x:f>
        <x:v>Europa Press</x:v>
      </x:c>
      <x:c r="N422" s="4" t="str">
        <x:v>https://www.lepaystchad.com/risque-dasphyxie-economique-des-provinces-sous-etat-durgence/
https://www.alwihdainfo.com/tchad-six-corridors-et-postes-d-entree-ouverts-a-trois-frontieres-a76325/
https://www.europapress.es/internacional/noticia-chad-cierra-fronteras-libia-sudan-rca-motivos-seguridad-20190822083126.html
https://journaldutchad.com/tag/etat-durgence/
https://www.libyanexpress.com/chad-shuts-down-border-with-libya-citing-security-concerns/
https://libyaobserver.ly/inbrief/chad-shuts-down-borders-libya-sudan-and-central-african-republic
https://www.lepaystchad.com/les-12-mesure-de-letat-durgence-dans-le-ouaddai-le-sila-et-le-tibesti/
https://digitallibrary.un.org/record/3837466/files/S_2019_913-FR.pdf
https://crisisgroup-staging.sbx.so/fr/rpt/africa/chad/284-eviter-la-reprise-des-violences-communautaires-lest-du-tchad
https://www.lepaystchad.com/letat-durgence-proroge-pour-4-mois-dans-le-sila-le-ouaddai-et-le-tibesti/</x:v>
      </x:c>
      <x:c r="O422" s="4" t="str">
        <x:v>Second full-register audit source access, 26 October 2026
https://www.alwihdainfo.com/tchad-six-corridors-et-postes-d-entree-ouverts-a-trois-frontieres-a76325/: full text (fresh retrieval)
https://www.lepaystchad.com/risque-dasphyxie-economique-des-provinces-sous-etat-durgence/: full text (fresh retrieval)
https://www.europapress.es/internacional/noticia-chad-cierra-fronteras-libia-sudan-rca-motivos-seguridad-20190822083126.html: full text (fresh retrieval)
https://digitallibrary.un.org/record/3837466/files/S_2019_913-FR.pdf: search extract (fresh retrieval) — Indexed extract; direct PDF returned 403.
https://crisisgroup-staging.sbx.so/fr/rpt/africa/chad/284-eviter-la-reprise-des-violences-communautaires-lest-du-tchad: search extract (fresh retrieval) — Relevant full indexed passage inspected; report publication is not the date of each observation.
https://www.lepaystchad.com/letat-durgence-proroge-pour-4-mois-dans-le-sila-le-ouaddai-et-le-tibesti/: full text (fresh retrieval)
Earlier URLs not separately inspected in this second assessment:
https://journaldutchad.com/tag/etat-durgence/
https://www.libyanexpress.com/chad-shuts-down-border-with-libya-citing-security-concerns/
https://libyaobserver.ly/inbrief/chad-shuts-down-borders-libya-sudan-and-central-african-republic
https://www.lepaystchad.com/les-12-mesure-de-letat-durgence-dans-le-ouaddai-le-sila-et-le-tibesti/
Prior audit access record
Full-register audit source access (evidence cutoff 25 October 2026)
https://www.alwihdainfo.com/tchad-six-corridors-et-postes-d-entree-ouverts-a-trois-frontieres-a76325/: full text
https://www.europapress.es/internacional/noticia-chad-cierra-fronteras-libia-sudan-rca-motivos-seguridad-20190822083126.html: full text
https://www.lepaystchad.com/les-12-mesure-de-letat-durgence-dans-le-ouaddai-le-sila-et-le-tibesti/: full text
https://www.lepaystchad.com/risque-dasphyxie-economique-des-provinces-sous-etat-durgence/: full text
Earlier source URLs not separately listed in this audit’s retrieval log (historical access notes below are not fresh verification):
https://journaldutchad.com/tag/etat-durgence/
https://www.libyanexpress.com/chad-shuts-down-border-with-libya-citing-security-concerns/
https://libyaobserver.ly/inbrief/chad-shuts-down-borders-libya-sudan-and-central-african-republic
Earlier recorded access
Source 1: access detail is retained in the source catalogue.
Source 2: full
Source 3: full</x:v>
      </x:c>
      <x:c r="P422" s="20" t="n">
        <x:v>1</x:v>
      </x:c>
      <x:c r="Q422" s="4" t="str">
        <x:v>West Africa and Sahel</x:v>
      </x:c>
      <x:c r="R422" s="4" t="str">
        <x:v>Included</x:v>
      </x:c>
    </x:row>
    <x:row r="423" ht="409" hidden="0" customHeight="1">
      <x:c r="A423" s="16" t="str">
        <x:v>R2-AF-002</x:v>
      </x:c>
      <x:c r="B423" s="4" t="str">
        <x:v>Burkina Faso COVID land and rail border closure</x:v>
      </x:c>
      <x:c r="C423" s="4" t="str">
        <x:v>Burkina Faso; Mali; Niger; Benin; Togo; Ghana; Côte d’Ivoire</x:v>
      </x:c>
      <x:c r="D423" s="4" t="str">
        <x:v>Not individually established
National land and rail passenger crossings; freight exempt</x:v>
      </x:c>
      <x:c r="E423" s="4" t="str">
        <x:v>Land/rail passengers
Direction: Entry and exit covered by reopening decree
Exceptions: Freight under initial order</x:v>
      </x:c>
      <x:c r="F423" s="4" t="str">
        <x:v>R2-AF-002-D1 — Formal policy
Burkina Faso-side land and rail passenger restriction, with freight exempt
Start: 2020-03-21 to 2020-03-22.
Policy endpoint: 2021-12-01.
Formal policy: 619–620 calendar-day difference; operational continuity not established</x:v>
      </x:c>
      <x:c r="G423" s="4" t="str">
        <x:v>Health and biosecurity / Human disease control
Reported reason
Applies to: Burkina Faso land and rail COVID restriction
The President announced the border restrictions to limit COVID-19 transmission; freight was excepted.</x:v>
      </x:c>
      <x:c r="H423" s="4" t="str">
        <x:v>R2-AF-002-D1: Policy interval only; neighbouring-country restrictions and health conditions persisted. Yendere activity is local and does not prove uniform bilateral bus resumption. August 2020 air reopening is not used as a land endpoint.</x:v>
      </x:c>
      <x:c r="I423" s="4" t="str">
        <x:v>Second full-register audit, 26 October 2026: additional source-audited corrections incorporated. See the phase, scope and qualification columns for the accepted findings.</x:v>
      </x:c>
      <x:c r="J423" s="18" t="d">
        <x:v>2026-10-26T00:00:00.000Z</x:v>
      </x:c>
      <x:c r="K423" s="21" t="str">
        <x:f>IFERROR(HYPERLINK("https://www.iburkina.com/2020/03/lutte-contre-le-coronavirus-au-burkina-instauration-de-couvre-feu-fermeture-des-frontieres-terrestres-ferroviaires-et-aeriennes-etc/","IBurkina"),"IBurkina")</x:f>
        <x:v>IBurkina</x:v>
      </x:c>
      <x:c r="L423" s="21" t="str">
        <x:f>IFERROR(HYPERLINK("https://www.aib.media/burkina-les-frontieres-terrestres-et-ferroviaires-officiellement-rouvertes-decret-presidentiel/","Agence d’Information du Burkina"),"Agence d’Information du Burkina")</x:f>
        <x:v>Agence d’Information du Burkina</x:v>
      </x:c>
      <x:c r="M423" s="21" t="str">
        <x:f>IFERROR(HYPERLINK("https://www.sidwaya.info/2021/12/01/reouverture-des-frontieres-terrestres-du-burkina-la-delivrance-en-attendant-abidjan/","Sidwaya"),"Sidwaya")</x:f>
        <x:v>Sidwaya</x:v>
      </x:c>
      <x:c r="N423" s="4" t="str">
        <x:v>https://www.iburkina.com/2020/03/lutte-contre-le-coronavirus-au-burkina-instauration-de-couvre-feu-fermeture-des-frontieres-terrestres-ferroviaires-et-aeriennes-etc/
https://www.aib.media/burkina-les-frontieres-terrestres-et-ferroviaires-officiellement-rouvertes-decret-presidentiel/
https://www.sidwaya.info/2021/12/01/reouverture-des-frontieres-terrestres-du-burkina-la-delivrance-en-attendant-abidjan/
https://www.aa.com.tr/fr/afrique/covid-19-le-burkina-faso-rouvre-ses-fronti%C3%A8res-terrestres-et-ferroviaires-le-1er-d%C3%A9cembre/2423835
https://www.koaci.com/index.php/article/2021/12/02/burkina-faso/sante/burkina-faso-coronavirus-reouverture-effective-des-frontieres-et-renforcement-du-dispositif-sanitaire_155904.html
https://www.sidwaya.info/wp-content/uploads/2021/11/Decret-portant-ouverture-des-frontieres-du-Burkina-Faso.pdf</x:v>
      </x:c>
      <x:c r="O423" s="4" t="str">
        <x:v>Second full-register audit source access, 26 October 2026
https://www.iburkina.com/2020/03/lutte-contre-le-coronavirus-au-burkina-instauration-de-couvre-feu-fermeture-des-frontieres-terrestres-ferroviaires-et-aeriennes-etc/: full text (fresh retrieval)
https://www.sidwaya.info/wp-content/uploads/2021/11/Decret-portant-ouverture-des-frontieres-du-Burkina-Faso.pdf: search extract (fresh retrieval) — Direct PDF is image-only; indexed text inspected, no fresh visual inspection claimed.
https://www.aib.media/burkina-les-frontieres-terrestres-et-ferroviaires-officiellement-rouvertes-decret-presidentiel/: search extract (fresh retrieval) — Direct page returned 404.
https://www.sidwaya.info/2021/12/01/reouverture-des-frontieres-terrestres-du-burkina-la-delivrance-en-attendant-abidjan/: full text (fresh retrieval)
Earlier URLs not separately inspected in this second assessment:
https://www.aa.com.tr/fr/afrique/covid-19-le-burkina-faso-rouvre-ses-fronti%C3%A8res-terrestres-et-ferroviaires-le-1er-d%C3%A9cembre/2423835
https://www.koaci.com/index.php/article/2021/12/02/burkina-faso/sante/burkina-faso-coronavirus-reouverture-effective-des-frontieres-et-renforcement-du-dispositif-sanitaire_155904.html
Prior audit access record
Full-register audit source access (evidence cutoff 25 October 2026)
https://www.iburkina.com/2020/03/lutte-contre-le-coronavirus-au-burkina-instauration-de-couvre-feu-fermeture-des-frontieres-terrestres-ferroviaires-et-aeriennes-etc/: full text
https://www.sidwaya.info/wp-content/uploads/2021/11/Decret-portant-ouverture-des-frontieres-du-Burkina-Faso.pdf: search extract — Search passage or failed direct retrieval; see assessment.
https://www.aib.media/burkina-les-frontieres-terrestres-et-ferroviaires-officiellement-rouvertes-decret-presidentiel/: inaccessible — Search passage or failed direct retrieval; see assessment.
Earlier source URLs not separately listed in this audit’s retrieval log (historical access notes below are not fresh verification):
https://www.sidwaya.info/2021/12/01/reouverture-des-frontieres-terrestres-du-burkina-la-delivrance-en-attendant-abidjan/
https://www.aa.com.tr/fr/afrique/covid-19-le-burkina-faso-rouvre-ses-fronti%C3%A8res-terrestres-et-ferroviaires-le-1er-d%C3%A9cembre/2423835
https://www.koaci.com/index.php/article/2021/12/02/burkina-faso/sante/burkina-faso-coronavirus-reouverture-effective-des-frontieres-et-renforcement-du-dispositif-sanitaire_155904.html
Earlier recorded access
Source 1: full page
Source 2: full page
Source 3: full page</x:v>
      </x:c>
      <x:c r="P423" s="20" t="n">
        <x:v>1</x:v>
      </x:c>
      <x:c r="Q423" s="4" t="str">
        <x:v>West Africa and Sahel</x:v>
      </x:c>
      <x:c r="R423" s="4" t="str">
        <x:v>Included</x:v>
      </x:c>
    </x:row>
    <x:row r="424" ht="270" hidden="0" customHeight="1">
      <x:c r="A424" s="16" t="str">
        <x:v>R2-AF-001</x:v>
      </x:c>
      <x:c r="B424" s="4" t="str">
        <x:v>Benin municipal-election land-border closure May 2020</x:v>
      </x:c>
      <x:c r="C424" s="4" t="str">
        <x:v>Benin; Nigeria; Niger; Burkina Faso; Togo</x:v>
      </x:c>
      <x:c r="D424" s="4" t="str">
        <x:v>Not individually established
All land frontiers with adjacent countries</x:v>
      </x:c>
      <x:c r="E424" s="4" t="str">
        <x:v>Movement categories not separately established
Direction: Not separately established
Exceptions: Not established</x:v>
      </x:c>
      <x:c r="F424" s="4" t="str">
        <x:v>R2-AF-001-R1 — Announced window
Benin-side land frontier election order.
Scheduled start: 2020-05-17 at 00:00.
Scheduled endpoint: 2020-05-18 at 06:00.
Ordered duration: 30 hours (1 calendar-day difference). Actual enforcement and reopening are not established.</x:v>
      </x:c>
      <x:c r="G424" s="4" t="str">
        <x:v>Electoral politics / Election administration and security
Reported reason
Applies to: May 17, 2020 election closure
The Interior Minister linked these measures to calm, order and discipline during the municipal vote.
Security / Public order and immediate safety
Reported reason
Applies to: May 17, 2020 election closure
The Interior Minister linked these measures to calm, order and discipline during the municipal vote.</x:v>
      </x:c>
      <x:c r="H424" s="4" t="str">
        <x:v>R2-AF-001-R1: The primary notice supplies an explicit 30-hour scheduled window, not measured enforcement or observed reopening. Movement categories and exceptions are not separately specified. COVID restrictions overlap and these country-days must not be added independently.</x:v>
      </x:c>
      <x:c r="I424" s="4" t="str">
        <x:v>Second full-register audit, 26 October 2026: additional source-audited corrections incorporated. See the phase, scope and qualification columns for the accepted findings.</x:v>
      </x:c>
      <x:c r="J424" s="18" t="d">
        <x:v>2026-10-26T00:00:00.000Z</x:v>
      </x:c>
      <x:c r="K424" s="21" t="str">
        <x:f>IFERROR(HYPERLINK("https://www.gouv.bj/article/681/communique-misp-relatif-fermeture-marches-frontieres-terrestres-debits-boissons-dimanche-17-2020/","Government of Benin"),"Government of Benin")</x:f>
        <x:v>Government of Benin</x:v>
      </x:c>
      <x:c r="L424" s="21" t="str">
        <x:f>IFERROR(HYPERLINK("https://wiki.unece.org/pages/viewpage.action?navigatingVersions=true&amp;pageId=177242848","UNECE"),"UNECE")</x:f>
        <x:v>UNECE</x:v>
      </x:c>
      <x:c r="M424" s="21"/>
      <x:c r="N424" s="4" t="str">
        <x:v>https://www.gouv.bj/article/681/communique-misp-relatif-fermeture-marches-frontieres-terrestres-debits-boissons-dimanche-17-2020/
https://wiki.unece.org/pages/viewpage.action?navigatingVersions=true&amp;pageId=177242848</x:v>
      </x:c>
      <x:c r="O424" s="4" t="str">
        <x:v>Second full-register audit source access, 26 October 2026
https://www.gouv.bj/article/681/communique-misp-relatif-fermeture-marches-frontieres-terrestres-debits-boissons-dimanche-17-2020/: full text (fresh retrieval)
Earlier URLs not separately inspected in this second assessment:
https://wiki.unece.org/pages/viewpage.action?navigatingVersions=true&amp;pageId=177242848
Prior audit access record
Full-register audit source access (evidence cutoff 25 October 2026)
https://www.gouv.bj/article/681/communique-misp-relatif-fermeture-marches-frontieres-terrestres-debits-boissons-dimanche-17-2020/: full text
Earlier source URLs not separately listed in this audit’s retrieval log (historical access notes below are not fresh verification):
https://wiki.unece.org/pages/viewpage.action?navigatingVersions=true&amp;pageId=177242848
Earlier recorded access
Source 1: full
Source 2: indexed excerpt</x:v>
      </x:c>
      <x:c r="P424" s="20" t="n">
        <x:v>1</x:v>
      </x:c>
      <x:c r="Q424" s="4" t="str">
        <x:v>West Africa and Sahel</x:v>
      </x:c>
      <x:c r="R424" s="4" t="str">
        <x:v>Included</x:v>
      </x:c>
    </x:row>
    <x:row r="425" ht="294" hidden="0" customHeight="1">
      <x:c r="A425" s="16" t="str">
        <x:v>R2-AF-005</x:v>
      </x:c>
      <x:c r="B425" s="4" t="str">
        <x:v>Niger presidential-runoff terrestrial and river border order February 2021</x:v>
      </x:c>
      <x:c r="C425" s="4" t="str">
        <x:v>Niger; Algeria; Libya; Chad; Nigeria; Benin; Burkina Faso; Mali</x:v>
      </x:c>
      <x:c r="D425" s="4" t="str">
        <x:v>Not individually established
National terrestrial and international river frontiers (air element excluded)</x:v>
      </x:c>
      <x:c r="E425" s="4" t="str">
        <x:v>Movement categories not separately established
Direction: Not separately established
Exceptions: Land freight explicitly excepted; air-specific exemptions excluded from this land record.</x:v>
      </x:c>
      <x:c r="F425" s="4" t="str">
        <x:v>R2-AF-005-R1 — Announced window
Niger-side terrestrial and river frontier election order
Start: 2021-02-20 to 2021-02-21.
Scheduled endpoint: 2021-02-21 to 2021-02-22.
Ordered window: dated evidence; numeric duration withheld; see qualification</x:v>
      </x:c>
      <x:c r="G425" s="4" t="str">
        <x:v>Electoral politics / Election administration and security
Reported reason
Applies to: February 2021 presidential runoff
The Interior Ministry announced the border order for the second-round presidential election.</x:v>
      </x:c>
      <x:c r="H425" s="4" t="str">
        <x:v>R2-AF-005-R1: Xinhua reports a Saturday February 20 to Sunday February 21 midnight order, while the election-day APS account describes a 24-hour Sunday closure. The midnight date convention remains ambiguous, so the existing correlated date alternatives are retained; a zero-day cross-product is unsupported. The reported 24-hour window does not establish a restriction strictly longer than 24 hours, exact operational hours or observed reopening. Land freight was exempt; air-specific exemptions are outside this record.</x:v>
      </x:c>
      <x:c r="I425" s="4" t="str">
        <x:v>Second full-register audit, 26 October 2026: additional source-audited corrections incorporated. See the phase, scope and qualification columns for the accepted findings.</x:v>
      </x:c>
      <x:c r="J425" s="18" t="d">
        <x:v>2026-10-26T00:00:00.000Z</x:v>
      </x:c>
      <x:c r="K425" s="21" t="str">
        <x:f>IFERROR(HYPERLINK("https://www.yeclo.com/nigerpresidentielle-fermeture-des-frontieres-du-samedi-au-dimanche-prochain-en-raison-du-second-tour-actualites-19022021/","Yeclo / Xinhua"),"Yeclo / Xinhua")</x:f>
        <x:v>Yeclo / Xinhua</x:v>
      </x:c>
      <x:c r="L425" s="21" t="str">
        <x:f>IFERROR(HYPERLINK("https://radioalgerie.dz/news/fr/article/20210221/207532.html","Radio Algérienne / APS"),"Radio Algérienne / APS")</x:f>
        <x:v>Radio Algérienne / APS</x:v>
      </x:c>
      <x:c r="M425" s="21" t="str">
        <x:f>IFERROR(HYPERLINK("https://french.people.com.cn/Afrique/n3/2021/0220/c96852-9820211.html","People’s Daily French"),"People’s Daily French")</x:f>
        <x:v>People’s Daily French</x:v>
      </x:c>
      <x:c r="N425" s="4" t="str">
        <x:v>https://www.yeclo.com/nigerpresidentielle-fermeture-des-frontieres-du-samedi-au-dimanche-prochain-en-raison-du-second-tour-actualites-19022021/
https://radioalgerie.dz/news/fr/article/20210221/207532.html
https://french.people.com.cn/Afrique/n3/2021/0220/c96852-9820211.html</x:v>
      </x:c>
      <x:c r="O425" s="4" t="str">
        <x:v>Second full-register audit source access, 26 October 2026
https://www.yeclo.com/nigerpresidentielle-fermeture-des-frontieres-du-samedi-au-dimanche-prochain-en-raison-du-second-tour-actualites-19022021/: full text (fresh retrieval)
https://radioalgerie.dz/news/fr/article/20210221/207532.html: search extract (fresh retrieval) — Direct page rejects access; no observed border reopening.
Earlier URLs not separately inspected in this second assessment:
https://french.people.com.cn/Afrique/n3/2021/0220/c96852-9820211.html
Prior audit access record
Full-register audit source access (evidence cutoff 25 October 2026)
https://www.yeclo.com/nigerpresidentielle-fermeture-des-frontieres-du-samedi-au-dimanche-prochain-en-raison-du-second-tour-actualites-19022021/: full text
https://french.people.com.cn/Afrique/n3/2021/0220/c96852-9820211.html: search extract — Not independent corroboration; direct inaccessible.
https://radioalgerie.dz/news/fr/article/20210221/207532.html: inaccessible — Request rejected.
Earlier recorded access
Source 1: full
Source 2: full
Source 3: search extract</x:v>
      </x:c>
      <x:c r="P425" s="20" t="n">
        <x:v>1</x:v>
      </x:c>
      <x:c r="Q425" s="4" t="str">
        <x:v>West Africa and Sahel</x:v>
      </x:c>
      <x:c r="R425" s="4" t="str">
        <x:v>Included</x:v>
      </x:c>
    </x:row>
    <x:row r="426" ht="390" hidden="0" customHeight="1">
      <x:c r="A426" s="16" t="str">
        <x:v>R2-AF-003</x:v>
      </x:c>
      <x:c r="B426" s="4" t="str">
        <x:v>Benin legislative-election land-border closure January 2023</x:v>
      </x:c>
      <x:c r="C426" s="4" t="str">
        <x:v>Benin; Nigeria; Niger; Burkina Faso; Togo</x:v>
      </x:c>
      <x:c r="D426" s="4" t="str">
        <x:v>Not individually established
All land frontiers with adjacent countries</x:v>
      </x:c>
      <x:c r="E426" s="4" t="str">
        <x:v>Movement categories not separately established
Direction: Not separately established
Exceptions: Not established</x:v>
      </x:c>
      <x:c r="F426" s="4" t="str">
        <x:v>R2-AF-003-R1 — Announced window
Benin-side land frontier election order
Scheduled start: 2023-01-08; hour not specified.
Scheduled endpoint: 2023-01-09 at 06:00.
Ordered window: 1 calendar-day difference; actual end not established</x:v>
      </x:c>
      <x:c r="G426" s="4" t="str">
        <x:v>Electoral politics / Election administration and security
Reported reason
Applies to: January 8, 2023 legislative-election order
The Interior Ministry linked the measures to calm, order and discipline during voting.
Security / Public order and immediate safety
Reported reason
Applies to: January 8, 2023 legislative-election order
The Interior Ministry linked the measures to calm, order and discipline during voting.</x:v>
      </x:c>
      <x:c r="H426" s="4" t="str">
        <x:v>R2-AF-003-R1: The scheduled endpoint was January 9, 2023 at 06:00. The border start hour on January 8 is not stated; the separate 06:00–20:00 market and drinking-establishment hours are not border hours. Reports reproduce one ministerial order. Actual enforcement, reopening, movement categories and exceptions remain unestablished, so exact elapsed duration and strict greater-than-24-hour eligibility are unresolved.</x:v>
      </x:c>
      <x:c r="I426" s="4" t="str">
        <x:v>Second full-register audit, 26 October 2026: additional source-audited corrections incorporated. See the phase, scope and qualification columns for the accepted findings.</x:v>
      </x:c>
      <x:c r="J426" s="18" t="d">
        <x:v>2026-10-26T00:00:00.000Z</x:v>
      </x:c>
      <x:c r="K426" s="21" t="str">
        <x:f>IFERROR(HYPERLINK("https://leleaderinfobenin.bj/elections-legislatives-le-gouvernement-prend-3-mesures-pour-garantir-la-securite-du-scrutin/","Le Leader Info Bénin"),"Le Leader Info Bénin")</x:f>
        <x:v>Le Leader Info Bénin</x:v>
      </x:c>
      <x:c r="L426" s="21" t="str">
        <x:f>IFERROR(HYPERLINK("https://beninwebtv.bj/legislatives-2023-au-benin-le-gouvernement-prend-03-mesures-pour-le-8-janvier/","Benin Web TV"),"Benin Web TV")</x:f>
        <x:v>Benin Web TV</x:v>
      </x:c>
      <x:c r="M426" s="21" t="str">
        <x:f>IFERROR(HYPERLINK("https://www.panapress.com/Fermeture-des-samedi-des-frontie-a_630737907-lang1.html","panapress.com"),"panapress.com")</x:f>
        <x:v>panapress.com</x:v>
      </x:c>
      <x:c r="N426" s="4" t="str">
        <x:v>https://leleaderinfobenin.bj/elections-legislatives-le-gouvernement-prend-3-mesures-pour-garantir-la-securite-du-scrutin/
https://beninwebtv.bj/legislatives-2023-au-benin-le-gouvernement-prend-03-mesures-pour-le-8-janvier/
https://www.panapress.com/Fermeture-des-samedi-des-frontie-a_630737907-lang1.html
https://www.banouto.bj/politique/article/20230106-legislatives-2023-au-benin-le-gouvernement-interdit-la-tenue-des-marches-et-manifestations-le-8-janvier</x:v>
      </x:c>
      <x:c r="O426" s="4" t="str">
        <x:v>Second full-register audit source access, 26 October 2026
https://beninwebtv.bj/legislatives-2023-au-benin-le-gouvernement-prend-03-mesures-pour-le-8-janvier/: full text (fresh retrieval)
https://leleaderinfobenin.bj/elections-legislatives-le-gouvernement-prend-3-mesures-pour-garantir-la-securite-du-scrutin/: search extract (fresh retrieval)
Earlier URLs not separately inspected in this second assessment:
https://www.panapress.com/Fermeture-des-samedi-des-frontie-a_630737907-lang1.html
https://www.banouto.bj/politique/article/20230106-legislatives-2023-au-benin-le-gouvernement-interdit-la-tenue-des-marches-et-manifestations-le-8-janvier
Prior audit access record
Full-register audit source access (evidence cutoff 25 October 2026)
https://leleaderinfobenin.bj/elections-legislatives-le-gouvernement-prend-3-mesures-pour-garantir-la-securite-du-scrutin/: full text
https://www.banouto.bj/politique/article/20230106-legislatives-2023-au-benin-le-gouvernement-interdit-la-tenue-des-marches-et-manifestations-le-8-janvier: full text
https://www.panapress.com/Fermeture-des-samedi-des-frontie-a_630737907-lang1.html: search extract — Original full order and complete article not recovered; midnight convention not forced.
Earlier source URLs not separately listed in this audit’s retrieval log (historical access notes below are not fresh verification):
https://beninwebtv.bj/legislatives-2023-au-benin-le-gouvernement-prend-03-mesures-pour-le-8-janvier/
Earlier recorded access
Source 1: full
Source 2: indexed excerpt
Source 3: indexed excerpt</x:v>
      </x:c>
      <x:c r="P426" s="20" t="n">
        <x:v>1</x:v>
      </x:c>
      <x:c r="Q426" s="4" t="str">
        <x:v>West Africa and Sahel</x:v>
      </x:c>
      <x:c r="R426" s="4" t="str">
        <x:v>Included</x:v>
      </x:c>
    </x:row>
    <x:row r="427" ht="270" hidden="0" customHeight="1">
      <x:c r="A427" s="16" t="str">
        <x:v>R2-AF-004</x:v>
      </x:c>
      <x:c r="B427" s="4" t="str">
        <x:v>Liberia general-election land-border closure October 2023</x:v>
      </x:c>
      <x:c r="C427" s="4" t="str">
        <x:v>Liberia; Guinea; Sierra Leone; Côte d’Ivoire</x:v>
      </x:c>
      <x:c r="D427" s="4" t="str">
        <x:v>Not individually established
All authorised and unauthorised land borders</x:v>
      </x:c>
      <x:c r="E427" s="4" t="str">
        <x:v>Movement categories not separately established
Direction: Entry explicitly prohibited; blanket closure wording also used, exit not separately specified
Exceptions: Not established</x:v>
      </x:c>
      <x:c r="F427" s="4" t="str">
        <x:v>R2-AF-004-R1 — Announced window
Liberia-side authorized and unauthorized land borders with Guinea, Sierra Leone and Côte d’Ivoire.
Scheduled start: 2023-10-09 at 18:00.
Scheduled endpoint: 2023-10-11, with conflicting reported times of 08:00 and 12:00.
Reported scheduled duration: 38–42 hours (2 calendar-day difference). Actual enforcement and reopening are not established.</x:v>
      </x:c>
      <x:c r="G427" s="4" t="str">
        <x:v>Electoral politics / Election administration and security
Reported reason
Applies to: October 2023 election closure
LIS spokesman Abraham Dorley described routine election border-safety protocol. LIS operations director Danny Sartee separately cited preventing foreign participation in the vote; these are attributed official explanations.
Security / Public order and immediate safety
Reported reason
Applies to: October 2023 election closure
LIS spokesman Abraham Dorley described routine election border-safety protocol. LIS operations director Danny Sartee separately cited preventing foreign participation in the vote; these are attributed official explanations.</x:v>
      </x:c>
      <x:c r="H427" s="4" t="str">
        <x:v>R2-AF-004-R1: FrontPageAfrica and GNN quote LIS spokesman Abraham Dorley giving October 9 at 18:00 to October 11 at 08:00. Sierraloaded agrees on the start but reports a noon October 11 endpoint attributed to Joint Security. Preserve the conflict and do not code an exact observed duration or physical reopening. Official assurances about trade impact are not measured consequences. Sources also differ between routine election protocol and preventing foreign interference; retain attributed electoral/security rationale without treating either as exclusive.</x:v>
      </x:c>
      <x:c r="I427" s="4" t="str">
        <x:v>Second full-register audit, 26 October 2026: additional source-audited corrections incorporated. See the phase, scope and qualification columns for the accepted findings.</x:v>
      </x:c>
      <x:c r="J427" s="18" t="d">
        <x:v>2026-10-26T00:00:00.000Z</x:v>
      </x:c>
      <x:c r="K427" s="21" t="str">
        <x:f>IFERROR(HYPERLINK("https://frontpageafricaonline.com/liberia-immigration-service-to-close-all-borders-beginning-monday/","FrontPageAfrica"),"FrontPageAfrica")</x:f>
        <x:v>FrontPageAfrica</x:v>
      </x:c>
      <x:c r="L427" s="21" t="str">
        <x:f>IFERROR(HYPERLINK("https://sierraloaded.sl/africa/liberia-shuts-borders-sierra-leone-guinea-ivory-coast-elections/","Sierraloaded"),"Sierraloaded")</x:f>
        <x:v>Sierraloaded</x:v>
      </x:c>
      <x:c r="M427" s="21" t="str">
        <x:f>IFERROR(HYPERLINK("https://gnnliberia.com/justice-minister-orders-closure-of-borders-ahead-of-tuesdays-elections/","gnnliberia.com"),"gnnliberia.com")</x:f>
        <x:v>gnnliberia.com</x:v>
      </x:c>
      <x:c r="N427" s="4" t="str">
        <x:v>https://frontpageafricaonline.com/liberia-immigration-service-to-close-all-borders-beginning-monday/
https://sierraloaded.sl/africa/liberia-shuts-borders-sierra-leone-guinea-ivory-coast-elections/
https://gnnliberia.com/justice-minister-orders-closure-of-borders-ahead-of-tuesdays-elections/</x:v>
      </x:c>
      <x:c r="O427" s="4" t="str">
        <x:v>Second full-register audit source access, 26 October 2026
https://frontpageafricaonline.com/liberia-immigration-service-to-close-all-borders-beginning-monday/: full text (fresh retrieval)
https://sierraloaded.sl/africa/liberia-shuts-borders-sierra-leone-guinea-ivory-coast-elections/: full text (fresh retrieval) — Official assertions, not independent gate observation.
https://gnnliberia.com/justice-minister-orders-closure-of-borders-ahead-of-tuesdays-elections/: search extract (fresh retrieval)
Prior audit access record
Full-register audit source access (evidence cutoff 25 October 2026)
https://frontpageafricaonline.com/liberia-immigration-service-to-close-all-borders-beginning-monday/: full text
https://gnnliberia.com/justice-minister-orders-closure-of-borders-ahead-of-tuesdays-elections/: full text
https://sierraloaded.sl/africa/liberia-shuts-borders-sierra-leone-guinea-ivory-coast-elections/: full text
Earlier recorded access
Source 1: full
Source 2: indexed excerpt; full
Source 3: indexed excerpt</x:v>
      </x:c>
      <x:c r="P427" s="20" t="n">
        <x:v>1</x:v>
      </x:c>
      <x:c r="Q427" s="4" t="str">
        <x:v>West Africa and Sahel</x:v>
      </x:c>
      <x:c r="R427" s="4" t="str">
        <x:v>Included</x:v>
      </x:c>
    </x:row>
    <x:row r="428" ht="198" hidden="0" customHeight="1">
      <x:c r="A428" s="16" t="str">
        <x:v>R2-AF-008</x:v>
      </x:c>
      <x:c r="B428" s="4" t="str">
        <x:v>Liberia presidential-runoff land-border closure November 2023</x:v>
      </x:c>
      <x:c r="C428" s="4" t="str">
        <x:v>Liberia; Guinea; Sierra Leone; Côte d’Ivoire</x:v>
      </x:c>
      <x:c r="D428" s="4" t="str">
        <x:v>Not individually established
All land frontiers with the three neighbouring countries</x:v>
      </x:c>
      <x:c r="E428" s="4" t="str">
        <x:v>Movement categories not separately established
Direction: Not separately established
Exceptions: Not established</x:v>
      </x:c>
      <x:c r="F428" s="4" t="str">
        <x:v>R2-AF-008-FU1 — Formal policy
Liberian runoff-election order covering land borders with Guinea, Ivory Coast and Sierra Leone
Start: 2023-11-12.
Last confirmed: 2023-11-12. Reopening is not established.
Formal policy: dated evidence; numeric duration withheld; see qualification</x:v>
      </x:c>
      <x:c r="G428" s="4" t="str">
        <x:v>Electoral politics / Election administration and security
Attributed official justification
Applies to: November 2023 presidential-runoff order
Joint Security described the closure as protecting the land frontiers during the runoff election.
Security / Public order and immediate safety
Attributed official justification
Applies to: November 2023 presidential-runoff order
Joint Security described the closure as protecting the land frontiers during the runoff election.</x:v>
      </x:c>
      <x:c r="H428" s="4" t="str">
        <x:v>R2-AF-008-FU1: The reported November 12 order was to remain in place until the electoral process ended. That expression does not establish November 14 or another exact reopening date. The intended span covers more than a day, but crossing-by-crossing enforcement, actual reopening and complete operational duration are unestablished. Movement categories, direction and exemptions are not specified.</x:v>
      </x:c>
      <x:c r="I428" s="4" t="str">
        <x:v>Second full-register audit, 26 October 2026: additional source-audited corrections incorporated. See the phase, scope and qualification columns for the accepted findings.</x:v>
      </x:c>
      <x:c r="J428" s="18" t="d">
        <x:v>2026-10-26T00:00:00.000Z</x:v>
      </x:c>
      <x:c r="K428" s="21" t="str">
        <x:f>IFERROR(HYPERLINK("https://analystliberiaonline.com/rest-assured-of-maximum-security-joint-security-tells-liberians-ahead-of-runoff/","The Analyst"),"The Analyst")</x:f>
        <x:v>The Analyst</x:v>
      </x:c>
      <x:c r="L428" s="21" t="str">
        <x:f>IFERROR(HYPERLINK("https://liberia.un.org/en/download/167665/277577","liberia.un.org"),"liberia.un.org")</x:f>
        <x:v>liberia.un.org</x:v>
      </x:c>
      <x:c r="M428" s="21"/>
      <x:c r="N428" s="4" t="str">
        <x:v>https://analystliberiaonline.com/rest-assured-of-maximum-security-joint-security-tells-liberians-ahead-of-runoff/
https://liberia.un.org/en/download/167665/277577</x:v>
      </x:c>
      <x:c r="O428" s="4" t="str">
        <x:v>Second full-register audit source access, 26 October 2026
https://analystliberiaonline.com/rest-assured-of-maximum-security-joint-security-tells-liberians-ahead-of-runoff/: full text (fresh retrieval)
https://liberia.un.org/en/download/167665/277577: full text (fresh retrieval) — Election completion is not a reopening observation.
Prior audit access record
Full-register audit source access (evidence cutoff 25 October 2026)
https://analystliberiaonline.com/rest-assured-of-maximum-security-joint-security-tells-liberians-ahead-of-runoff/: full text
https://liberia.un.org/en/download/167665/277577: full text — No border reference located; does not establish reopening.
Earlier recorded access
Source 1: full
Source 2: access detail is retained in the source catalogue.</x:v>
      </x:c>
      <x:c r="P428" s="20" t="n">
        <x:v>1</x:v>
      </x:c>
      <x:c r="Q428" s="4" t="str">
        <x:v>West Africa and Sahel</x:v>
      </x:c>
      <x:c r="R428" s="4" t="str">
        <x:v>Included</x:v>
      </x:c>
    </x:row>
    <x:row r="429" ht="390" hidden="0" customHeight="1">
      <x:c r="A429" s="16" t="str">
        <x:v>R2-AF-009</x:v>
      </x:c>
      <x:c r="B429" s="4" t="str">
        <x:v>Guinea-Bissau coup land-border order November 2025</x:v>
      </x:c>
      <x:c r="C429" s="4" t="str">
        <x:v>Guinea-Bissau; Guinea; Senegal</x:v>
      </x:c>
      <x:c r="D429" s="4" t="str">
        <x:v>Not individually established
National land frontiers (sea/air portions excluded)</x:v>
      </x:c>
      <x:c r="E429" s="4" t="str">
        <x:v>Movement categories not separately established
Direction: Not separately established
Exceptions: Not established</x:v>
      </x:c>
      <x:c r="F429" s="4" t="str">
        <x:v>R2-AF-009-D1 — Formal policy
Guinea-Bissau national land-border order during the coup
Start: 2025-11-26.
Policy endpoint: 2025-11-27.
Formal policy: 1 calendar-day difference; operational continuity not established</x:v>
      </x:c>
      <x:c r="G429" s="4" t="str">
        <x:v>Power and regime politics / Coups and succession
Analytical interpretation of reported context
Applies to: November 2025 coup order
Documented context, not a proven distinct closure motive.
Electoral politics / Electoral disputes and transitions
Analytical interpretation of reported context
Applies to: November 2025 coup order
Documented election-result dispute context.
Security / Unspecified security
Attributed official justification
Applies to: November 26 closure declaration
Allegation attributed to military; truth not independently established.</x:v>
      </x:c>
      <x:c r="H429" s="4" t="str">
        <x:v>R2-AF-009-D1: Formal reversal only, not crossing-level traffic verification or exact hours. Alleged destabilisation is an attributed military rationale, not an independently established plot.</x:v>
      </x:c>
      <x:c r="I429" s="4" t="str">
        <x:v>Second full-register audit, 26 October 2026: qualified. The November 26 coup closure and November 27 military reversal are supported; one calendar-day separation is not proof of &gt;24 elapsed hours.</x:v>
      </x:c>
      <x:c r="J429" s="18" t="d">
        <x:v>2026-10-26T00:00:00.000Z</x:v>
      </x:c>
      <x:c r="K429" s="21" t="str">
        <x:f>IFERROR(HYPERLINK("https://www.aa.com.tr/en/africa/guinea-bissau-military-deposes-president-closes-borders-after-alleging-plot-to-destabilize-country/3754892","Anadolu Agency"),"Anadolu Agency")</x:f>
        <x:v>Anadolu Agency</x:v>
      </x:c>
      <x:c r="L429" s="21" t="str">
        <x:f>IFERROR(HYPERLINK("https://www.fidh.org/en/region/Africa/guinea-bissau/coup-d-etat-in-guinea-bissau-the-fidh-and-the-lgdh-call-for-a-return","FIDH"),"FIDH")</x:f>
        <x:v>FIDH</x:v>
      </x:c>
      <x:c r="M429" s="21" t="str">
        <x:f>IFERROR(HYPERLINK("https://telegraph.ng/news/2025/11/27/guinea-bissau-military-reopens-borders-after-seizing-power/","The Telegraph Nigeria"),"The Telegraph Nigeria")</x:f>
        <x:v>The Telegraph Nigeria</x:v>
      </x:c>
      <x:c r="N429" s="4" t="str">
        <x:v>https://www.aa.com.tr/en/africa/guinea-bissau-military-deposes-president-closes-borders-after-alleging-plot-to-destabilize-country/3754892
https://www.fidh.org/en/region/Africa/guinea-bissau/coup-d-etat-in-guinea-bissau-the-fidh-and-the-lgdh-call-for-a-return
https://telegraph.ng/news/2025/11/27/guinea-bissau-military-reopens-borders-after-seizing-power/
https://punchng.com/guinea-bissau-military-announces-reopening-of-borders-after-seizing-power/</x:v>
      </x:c>
      <x:c r="O429" s="4" t="str">
        <x:v>Second full-register audit source access, 26 October 2026
https://www.aa.com.tr/en/africa/guinea-bissau-military-deposes-president-closes-borders-after-alleging-plot-to-destabilize-country/3754892: full text (fresh retrieval)
https://punchng.com/guinea-bissau-military-announces-reopening-of-borders-after-seizing-power/: full text (fresh retrieval) — Official statement, not independent crossing observation.
Earlier URLs not separately inspected in this second assessment:
https://www.fidh.org/en/region/Africa/guinea-bissau/coup-d-etat-in-guinea-bissau-the-fidh-and-the-lgdh-call-for-a-return
https://telegraph.ng/news/2025/11/27/guinea-bissau-military-reopens-borders-after-seizing-power/
Prior audit access record
Full-register audit source access (evidence cutoff 25 October 2026)
https://www.aa.com.tr/en/africa/guinea-bissau-military-deposes-president-closes-borders-after-alleging-plot-to-destabilize-country/3754892: full text
https://punchng.com/guinea-bissau-military-announces-reopening-of-borders-after-seizing-power/: full text
https://www.fidh.org/en/region/Africa/guinea-bissau/coup-d-etat-in-guinea-bissau-the-fidh-and-the-lgdh-call-for-a-return: full text
Earlier source URLs not separately listed in this audit’s retrieval log (historical access notes below are not fresh verification):
https://telegraph.ng/news/2025/11/27/guinea-bissau-military-reopens-borders-after-seizing-power/
Earlier recorded access
Source 1: full text
Source 2: full page
Source 3: full page</x:v>
      </x:c>
      <x:c r="P429" s="20" t="n">
        <x:v>1</x:v>
      </x:c>
      <x:c r="Q429" s="4" t="str">
        <x:v>West Africa and Sahel</x:v>
      </x:c>
      <x:c r="R429" s="4" t="str">
        <x:v>Included</x:v>
      </x:c>
    </x:row>
    <x:row r="430" ht="409" hidden="0" customHeight="1">
      <x:c r="A430" s="16" t="str">
        <x:v>R3-AM-003</x:v>
      </x:c>
      <x:c r="B430" s="4" t="str">
        <x:v>El Amatillo La Amistad bridge blockade during Honduras postelection crisis</x:v>
      </x:c>
      <x:c r="C430" s="4" t="str">
        <x:v>Honduras; El Salvador</x:v>
      </x:c>
      <x:c r="D430" s="4" t="str">
        <x:v>La Amistad bridge, El Amatillo
El Amatillo international crossing</x:v>
      </x:c>
      <x:c r="E430" s="4" t="str">
        <x:v>Cross-border road users; traveler categories are not fully specified.
Direction: Entry from El Salvador into Honduras is explicitly described. Reverse-direction effects are not separately established.
Exceptions: Not established.</x:v>
      </x:c>
      <x:c r="F430" s="4" t="str">
        <x:v>R3-AM-003-FU1 — Observed operation
La Amistad bridge at El Amatillo
Start: unknown.
Last confirmed: 2017-12-22. Reopening is not established.
confirmed through 2017-12-22; reopening unknown</x:v>
      </x:c>
      <x:c r="G430" s="4" t="str">
        <x:v>Electoral politics / Electoral disputes and transitions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30" s="4" t="str">
        <x:v>R3-AM-003-FU1: Obstruction at La Amistad bridge is documented on December 22, 2017, with no exact first onset or complete duration. The DGME-based account reports police dispersal but explicitly leaves unrestricted passage unresolved. This does not establish completed reopening, a whole-day closure, or continuity with other December road blockades.</x:v>
      </x:c>
      <x:c r="I430" s="4" t="str">
        <x:v>Second full-register audit, 26 October 2026: additional source-audited corrections incorporated. See the phase, scope and qualification columns for the accepted findings.</x:v>
      </x:c>
      <x:c r="J430" s="18" t="d">
        <x:v>2026-10-26T00:00:00.000Z</x:v>
      </x:c>
      <x:c r="K430" s="21" t="str">
        <x:f>IFERROR(HYPERLINK("https://www.laprensagrafica.com/elsalvador/Cierran-paso-en-fronteras-El-Salvador-Honduras-quien-cruce-es-bajo-propio-riesgo-20171222-0047.html","laprensagrafica.com"),"laprensagrafica.com")</x:f>
        <x:v>laprensagrafica.com</x:v>
      </x:c>
      <x:c r="L430" s="21" t="str">
        <x:f>IFERROR(HYPERLINK("https://www.laprensa.hn/honduras/cierre-fronteras-honduras-el_salvador-manifestaciones-crisis-protestas-JYLP1137284","La Prensa Honduras"),"La Prensa Honduras")</x:f>
        <x:v>La Prensa Honduras</x:v>
      </x:c>
      <x:c r="M430" s="21" t="str">
        <x:f>IFERROR(HYPERLINK("https://aa.com.tr/es/titulares-de-hoy/cierran-paso-fronterizo-entre-el-salvador-y-honduras-por-crisis-poselectoral/1012905","Anadolu"),"Anadolu")</x:f>
        <x:v>Anadolu</x:v>
      </x:c>
      <x:c r="N430" s="4" t="str">
        <x:v>https://www.laprensagrafica.com/elsalvador/Cierran-paso-en-fronteras-El-Salvador-Honduras-quien-cruce-es-bajo-propio-riesgo-20171222-0047.html
https://www.laprensa.hn/honduras/cierre-fronteras-honduras-el_salvador-manifestaciones-crisis-protestas-JYLP1137284
https://aa.com.tr/es/titulares-de-hoy/cierran-paso-fronterizo-entre-el-salvador-y-honduras-por-crisis-poselectoral/1012905
https://www.elsalvadortimes.com/articulo/servicios/c/20171222073926033595.html
https://www.prensalibre.com/ahora/economia/se-confirman-bloqueos-en-frontera-hondurena/
https://www.tn8.ni/america-latina/439594-anuncian-cierre-paso-fronteras-entre-salvador-honduras-crisis-politica/</x:v>
      </x:c>
      <x:c r="O430" s="4" t="str">
        <x:v>Second full-register audit source access, 26 October 2026
https://www.laprensa.hn/honduras/cierre-fronteras-honduras-el_salvador-manifestaciones-crisis-protestas-JYLP1137284: full text (fresh retrieval)
https://www.elsalvadortimes.com/articulo/servicios/c/20171222073926033595.html: full text (fresh retrieval) — Updated December 23; body refers to Friday December 22. Shared DGME lineage, not independent observation.
Earlier URLs not separately inspected in this second assessment:
https://www.laprensagrafica.com/elsalvador/Cierran-paso-en-fronteras-El-Salvador-Honduras-quien-cruce-es-bajo-propio-riesgo-20171222-0047.html
https://aa.com.tr/es/titulares-de-hoy/cierran-paso-fronterizo-entre-el-salvador-y-honduras-por-crisis-poselectoral/1012905
https://www.prensalibre.com/ahora/economia/se-confirman-bloqueos-en-frontera-hondurena/
https://www.tn8.ni/america-latina/439594-anuncian-cierre-paso-fronteras-entre-salvador-honduras-crisis-politica/
Prior audit access record
Full-register audit source access (evidence cutoff 25 October 2026)
https://www.laprensa.hn/honduras/cierre-fronteras-honduras-el_salvador-manifestaciones-crisis-protestas-JYLP1137284: full text
https://aa.com.tr/es/titulares-de-hoy/cierran-paso-fronterizo-entre-el-salvador-y-honduras-por-crisis-poselectoral/1012905: search extract
Earlier source URLs not separately listed in this audit’s retrieval log (historical access notes below are not fresh verification):
https://www.laprensagrafica.com/elsalvador/Cierran-paso-en-fronteras-El-Salvador-Honduras-quien-cruce-es-bajo-propio-riesgo-20171222-0047.html
https://www.elsalvadortimes.com/articulo/servicios/c/20171222073926033595.html
https://www.prensalibre.com/ahora/economia/se-confirman-bloqueos-en-frontera-hondurena/
https://www.tn8.ni/america-latina/439594-anuncian-cierre-paso-fronteras-entre-salvador-honduras-crisis-politica/
Earlier recorded access
Source 1: access detail is retained in the source catalogue.
Source 2: indexed excerpt
Source 3: indexed excerpt</x:v>
      </x:c>
      <x:c r="P430" s="20" t="n">
        <x:v>1</x:v>
      </x:c>
      <x:c r="Q430" s="4" t="str">
        <x:v>Americas</x:v>
      </x:c>
      <x:c r="R430" s="4" t="str">
        <x:v>Included</x:v>
      </x:c>
    </x:row>
    <x:row r="431" ht="409" hidden="0" customHeight="1">
      <x:c r="A431" s="16" t="str">
        <x:v>R3-AM-008</x:v>
      </x:c>
      <x:c r="B431" s="4" t="str">
        <x:v>Suchiate border-access blockade seeking reconstruction of schools</x:v>
      </x:c>
      <x:c r="C431" s="4" t="str">
        <x:v>Mexico; Guatemala</x:v>
      </x:c>
      <x:c r="D431" s="4" t="str">
        <x:v>Suchiate I / Rodolfo Robles bridge access; Suchiate II / Tecún Umán II
Mexican access junction to Suchiate I/II, subsequently Suchiate II freight crossing</x:v>
      </x:c>
      <x:c r="E431" s="4" t="str">
        <x:v>International freight and road travellers.
Direction: Road access in both directions; Guatemala-to-Mexico freight explicitly affected.
Exceptions: Some travellers diverted to El Carmen; freight alternatives reported limited.</x:v>
      </x:c>
      <x:c r="F431" s="4" t="str">
        <x:v>R3-AM-008-D1 — Observed operation
Suchiate II freight access affected by the school-reconstruction blockade
Start: 2019-03-19.
Observed scoped reopening: 2019-03-21.
2 calendar-day difference; scoped endpoint only</x:v>
      </x:c>
      <x:c r="G431" s="4" t="str">
        <x:v>Policy and socioeconomic demands / Jobs, services and livelihoods
Reported reason
Parents and teachers sought reconstruction or repair of schools damaged by the September 2017 earthquake. They lifted the blockade after reaching an agreement with state representatives.</x:v>
      </x:c>
      <x:c r="H431" s="4" t="str">
        <x:v>Fresh March 22 Reforma-derived reporting establishes lifting March 21 and resumed traffic, resolving the former Prensa Libre metadata conflict for the day-level endpoint. Exact hours and equivalent continuous impact at Suchiate I remain unestablished.
R3-AM-008-D1: Suchiate II freight access only; no exact hourly duration. Earlier holiday and March 8 protest excluded; changing Suchiate I coverage not equated with this spell.</x:v>
      </x:c>
      <x:c r="I431" s="4" t="str">
        <x:v>Second full-register audit, 26 October 2026: additional source-audited corrections incorporated. See the phase, scope and qualification columns for the accepted findings.</x:v>
      </x:c>
      <x:c r="J431" s="18" t="d">
        <x:v>2026-10-26T00:00:00.000Z</x:v>
      </x:c>
      <x:c r="K431" s="21" t="str">
        <x:f>IFERROR(HYPERLINK("https://www.prensalibre.com/ciudades/san-marcos/manifestacion-padres-familia-complica-el-paso-en-frontera-entre-guatemala-y-mexico/","Prensa Libre"),"Prensa Libre")</x:f>
        <x:v>Prensa Libre</x:v>
      </x:c>
      <x:c r="L431" s="21" t="str">
        <x:f>IFERROR(HYPERLINK("https://www.prensalibre.com/ciudades/san-marcos/culmina-protesta-en-la-frontera-entre-guatemala-y-mexico-se-reportan-perdidas-millonarias/","Prensa Libre"),"Prensa Libre")</x:f>
        <x:v>Prensa Libre</x:v>
      </x:c>
      <x:c r="M431" s="21" t="str">
        <x:f>IFERROR(HYPERLINK("https://www.cuartopoder.mx/chiapas/en-bloqueo-exigen-reconstruccion-de-escuelas-danadas/279773","Cuarto Poder"),"Cuarto Poder")</x:f>
        <x:v>Cuarto Poder</x:v>
      </x:c>
      <x:c r="N431" s="4" t="str">
        <x:v>https://www.prensalibre.com/ciudades/san-marcos/manifestacion-padres-familia-complica-el-paso-en-frontera-entre-guatemala-y-mexico/
https://www.prensalibre.com/ciudades/san-marcos/culmina-protesta-en-la-frontera-entre-guatemala-y-mexico-se-reportan-perdidas-millonarias/
https://www.cuartopoder.mx/chiapas/en-bloqueo-exigen-reconstruccion-de-escuelas-danadas/279773
https://mexiconewsdaily.com/news/lack-of-action-provokes-border-protest/
https://www.mural.com/aplicacioneslibre/articulo/default.aspx?id=1636504&amp;md5=c6327eb9aeb736363d8f351091f4ae2b&amp;ta=0dfdbac11765226904c16cb9ad1b2efe</x:v>
      </x:c>
      <x:c r="O431" s="4" t="str">
        <x:v>Second full-register audit source access, 26 October 2026
https://www.prensalibre.com/ciudades/san-marcos/manifestacion-padres-familia-complica-el-paso-en-frontera-entre-guatemala-y-mexico/: full text (fresh retrieval)
https://www.prensalibre.com/ciudades/san-marcos/culmina-protesta-en-la-frontera-entre-guatemala-y-mexico-se-reportan-perdidas-millonarias/: full text (fresh retrieval) — Date/weekday and one onset sentence conflict; exact clocks not adopted.
https://www.cuartopoder.mx/chiapas/en-bloqueo-exigen-reconstruccion-de-escuelas-danadas/279773: full text (fresh retrieval)
https://mexiconewsdaily.com/news/lack-of-action-provokes-border-protest/: full text (fresh retrieval)
Earlier URLs not separately inspected in this second assessment:
https://www.mural.com/aplicacioneslibre/articulo/default.aspx?id=1636504&amp;md5=c6327eb9aeb736363d8f351091f4ae2b&amp;ta=0dfdbac11765226904c16cb9ad1b2efe
Prior audit access record
Full-register audit source access (evidence cutoff 25 October 2026)
https://www.prensalibre.com/ciudades/san-marcos/manifestacion-padres-familia-complica-el-paso-en-frontera-entre-guatemala-y-mexico/: full text
https://www.prensalibre.com/ciudades/san-marcos/culmina-protesta-en-la-frontera-entre-guatemala-y-mexico-se-reportan-perdidas-millonarias/: full text — Metadata and weekday inconsistent; corroborated by separately dated March 22 report.
https://www.cuartopoder.mx/chiapas/en-bloqueo-exigen-reconstruccion-de-escuelas-danadas/279773: full text
https://mexiconewsdaily.com/news/lack-of-action-provokes-border-protest/: full text
Earlier source URLs not separately listed in this audit’s retrieval log (historical access notes below are not fresh verification):
https://www.mural.com/aplicacioneslibre/articulo/default.aspx?id=1636504&amp;md5=c6327eb9aeb736363d8f351091f4ae2b&amp;ta=0dfdbac11765226904c16cb9ad1b2efe
Earlier recorded access
Source 1: full page
Source 2: full page
Source 3: full page</x:v>
      </x:c>
      <x:c r="P431" s="20" t="n">
        <x:v>1</x:v>
      </x:c>
      <x:c r="Q431" s="4" t="str">
        <x:v>Americas</x:v>
      </x:c>
      <x:c r="R431" s="4" t="str">
        <x:v>Included</x:v>
      </x:c>
    </x:row>
    <x:row r="432" ht="409" hidden="0" customHeight="1">
      <x:c r="A432" s="16" t="str">
        <x:v>R3-AM-009</x:v>
      </x:c>
      <x:c r="B432" s="4" t="str">
        <x:v>Peñas Blancas trucker blockade over Nicaragua vehicle-registration fees</x:v>
      </x:c>
      <x:c r="C432" s="4" t="str">
        <x:v>Costa Rica; Nicaragua</x:v>
      </x:c>
      <x:c r="D432" s="4" t="str">
        <x:v>Peñas Blancas
Road freight access at Peñas Blancas</x:v>
      </x:c>
      <x:c r="E432" s="4" t="str">
        <x:v>Freight vehicles, with Nicaraguan entry into Costa Rica specifically reported.
Direction: Nicaragua to Costa Rica explicitly affected; broader road obstruction reported.
Exceptions: Other traffic details not established.</x:v>
      </x:c>
      <x:c r="F432" s="4" t="str">
        <x:v>R3-AM-009-D1 — Observed operation
Peñas Blancas episode on 19 March 2019.
Start: 2019-03-19.
Observed scoped reopening: 2019-03-19 at approximately 15:34 local time, according to CRHoy.
Same-day episode; no whole-day duration inferred</x:v>
      </x:c>
      <x:c r="G432" s="4" t="str">
        <x:v>Trade and protectionism / Trade and transport protests
Reported reason
Truckers protested Nicaragua’s US$50 charge for temporary registration of freight vehicles entering its territory.</x:v>
      </x:c>
      <x:c r="H432" s="4" t="str">
        <x:v>R3-AM-009-D1: Shown as an episode occurring on this date, not a whole-day closure. Official source has a weekday typo; dated Tuesday reporting fixes 19 March. Do not code as a Costa Rican state closure or infer implementation of later threats.</x:v>
      </x:c>
      <x:c r="I432" s="4" t="str">
        <x:v>Second full-register audit, 26 October 2026: additional source-audited corrections incorporated. See the phase, scope and qualification columns for the accepted findings.</x:v>
      </x:c>
      <x:c r="J432" s="18" t="d">
        <x:v>2026-10-26T00:00:00.000Z</x:v>
      </x:c>
      <x:c r="K432" s="21" t="str">
        <x:f>IFERROR(HYPERLINK("https://www.seguridadpublica.go.cr/sala_prensa/comunicados/2019/marzo/CP0231.aspx","Ministry of Public Security of Costa Rica"),"Ministry of Public Security of Costa Rica")</x:f>
        <x:v>Ministry of Public Security of Costa Rica</x:v>
      </x:c>
      <x:c r="L432" s="21" t="str">
        <x:f>IFERROR(HYPERLINK("https://crhoy.com/nacionales/sindicalista-da-ultimatum-a-gobierno-por-cobro-en-frontera-norte/","CRHoy"),"CRHoy")</x:f>
        <x:v>CRHoy</x:v>
      </x:c>
      <x:c r="M432" s="21" t="str">
        <x:f>IFERROR(HYPERLINK("https://www.laprensani.com/2019/03/19/nacionales/2534830-asociacion-de-transportistas-nicaraguenses-denuncia-que-camiones-no-pueden-pasar-por-penas-blancas-hacia-costa-rica","La Prensa, Nicaragua"),"La Prensa, Nicaragua")</x:f>
        <x:v>La Prensa, Nicaragua</x:v>
      </x:c>
      <x:c r="N432" s="4" t="str">
        <x:v>https://www.seguridadpublica.go.cr/sala_prensa/comunicados/2019/marzo/CP0231.aspx
https://crhoy.com/nacionales/sindicalista-da-ultimatum-a-gobierno-por-cobro-en-frontera-norte/
https://www.laprensani.com/2019/03/19/nacionales/2534830-asociacion-de-transportistas-nicaraguenses-denuncia-que-camiones-no-pueden-pasar-por-penas-blancas-hacia-costa-rica
https://www.prensalibre.com/ciudades/san-marcos/culmina-protesta-en-la-frontera-entre-guatemala-y-mexico-se-reportan-perdidas-millonarias/</x:v>
      </x:c>
      <x:c r="O432" s="4" t="str">
        <x:v>Second full-register audit source access, 26 October 2026
https://www.seguridadpublica.go.cr/sala_prensa/comunicados/2019/marzo/CP0231.aspx: search extract (fresh retrieval) — Direct open timed out; substantive official indexed text inspected. Weekday/date typo.
https://crhoy.com/nacionales/sindicalista-da-ultimatum-a-gobierno-por-cobro-en-frontera-norte/: full text (fresh retrieval)
https://www.laprensani.com/2019/03/19/nacionales/2534830-asociacion-de-transportistas-nicaraguenses-denuncia-que-camiones-no-pueden-pasar-por-penas-blancas-hacia-costa-rica: full text (fresh retrieval) — Attribution to Costa Rican authorities is not accepted against the ministry’s clarification.
Earlier URLs not separately inspected in this second assessment:
https://www.prensalibre.com/ciudades/san-marcos/culmina-protesta-en-la-frontera-entre-guatemala-y-mexico-se-reportan-perdidas-millonarias/
Prior audit access record
Full-register audit source access (evidence cutoff 25 October 2026)
https://www.seguridadpublica.go.cr/sala_prensa/comunicados/2019/marzo/CP0231.aspx: search extract
https://crhoy.com/nacionales/sindicalista-da-ultimatum-a-gobierno-por-cobro-en-frontera-norte/: full text
https://www.laprensani.com/2019/03/19/nacionales/2534830-asociacion-de-transportistas-nicaraguenses-denuncia-que-camiones-no-pueden-pasar-por-penas-blancas-hacia-costa-rica: full text
Earlier source URLs not separately listed in this audit’s retrieval log (historical access notes below are not fresh verification):
https://www.prensalibre.com/ciudades/san-marcos/culmina-protesta-en-la-frontera-entre-guatemala-y-mexico-se-reportan-perdidas-millonarias/
Earlier recorded access
Source 1: indexed extract
Source 2: full text
Source 3: full text</x:v>
      </x:c>
      <x:c r="P432" s="20" t="n">
        <x:v>1</x:v>
      </x:c>
      <x:c r="Q432" s="4" t="str">
        <x:v>Americas</x:v>
      </x:c>
      <x:c r="R432" s="4" t="str">
        <x:v>Included</x:v>
      </x:c>
    </x:row>
    <x:row r="433" ht="409" hidden="0" customHeight="1">
      <x:c r="A433" s="16" t="str">
        <x:v>R3-AM-002</x:v>
      </x:c>
      <x:c r="B433" s="4" t="str">
        <x:v>Desaguadero/Puerto Acosta customs closure during Bolivia political unrest</x:v>
      </x:c>
      <x:c r="C433" s="4" t="str">
        <x:v>Bolivia; Peru</x:v>
      </x:c>
      <x:c r="D433" s="4" t="str">
        <x:v>Desaguadero; Puerto Acosta customs administration
Bolivian Desaguadero/Puerto Acosta customs administration and Desaguadero crossing access</x:v>
      </x:c>
      <x:c r="E433" s="4" t="str">
        <x:v>Customs processing and road traffic.
Direction: Formal cross-border traffic; direction not separately established.
Exceptions: Some travellers crossed on foot; no universal pedestrian prohibition established.</x:v>
      </x:c>
      <x:c r="F433" s="4" t="str">
        <x:v>R3-AM-002-D1 — Observed operation
Desaguadero/Puerto Acosta customs administration's documented inability to operate
Start: 2019-11-12.
Last confirmed: 2019-11-23. Reopening is not established.
confirmed through 2019-11-23; at least 11 calendar-day difference; reopening unknown
Desaguadero road passage — Observed scoped restoration
Passenger and truck passage resumed on 24 November 2019 during a 48-hour truce, according to reporting published on 25 November. This is separate evidence from the customs administration's documented 12–23 November interruption and does not establish restored operations at Puerto Acosta.</x:v>
      </x:c>
      <x:c r="G433" s="4" t="str">
        <x:v>Power and regime politics / Opposition and political reform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Electoral politics / Electoral disputes and transitions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33" s="4" t="str">
        <x:v>R3-AM-002-D1 concerns the customs administration's documented inability to operate from 12 through 23 November 2019. Some pedestrians passed during the wider disruption. Passenger and truck movement at Desaguadero resumed on 24 November during a reported 48-hour truce; later continuity of that restoration is not established. Puerto Acosta's physical crossing conditions and exact customs-service resumption remain unverified. The official PDF could not be opened, but its operative text was recovered in the official search index.</x:v>
      </x:c>
      <x:c r="I433" s="4" t="str">
        <x:v>Second full-register audit, 26 October 2026: qualified. Official indexed resolution still supports the November 12–23 administrative interruption; November 24 road resumption during a truce remains a separate, narrower endpoint.</x:v>
      </x:c>
      <x:c r="J433" s="18" t="d">
        <x:v>2026-10-26T00:00:00.000Z</x:v>
      </x:c>
      <x:c r="K433" s="21" t="str">
        <x:f>IFERROR(HYPERLINK("https://www.aduana.gob.bo/sites/default/files/archivos/circular2742019.pdf","Aduana Nacional, Bolivia"),"Aduana Nacional, Bolivia")</x:f>
        <x:v>Aduana Nacional, Bolivia</x:v>
      </x:c>
      <x:c r="L433" s="21" t="str">
        <x:f>IFERROR(HYPERLINK("https://larepublica.pe/sociedad/2019/11/13/frontera-puno-bolivia-permanece-cerrada-por-conflictos-en-el-vecino-pais-lrsd","La República"),"La República")</x:f>
        <x:v>La República</x:v>
      </x:c>
      <x:c r="M433" s="21" t="str">
        <x:f>IFERROR(HYPERLINK("https://es.scribd.com/document/729945288/circular2742019","Scribd-hosted transcript of Aduana Nacional resolutions"),"Scribd-hosted transcript of Aduana Nacional resolutions")</x:f>
        <x:v>Scribd-hosted transcript of Aduana Nacional resolutions</x:v>
      </x:c>
      <x:c r="N433" s="4" t="str">
        <x:v>https://www.aduana.gob.bo/sites/default/files/archivos/circular2742019.pdf
https://larepublica.pe/sociedad/2019/11/13/frontera-puno-bolivia-permanece-cerrada-por-conflictos-en-el-vecino-pais-lrsd
https://es.scribd.com/document/729945288/circular2742019
https://www.aduana.gob.bo/NOR_circulares?field_fechacir_value%5Bmax%5D=&amp;field_fechacir_value%5Bmin%5D=&amp;field_fechacir_value%5Bvalue%5D=&amp;field_fechacir_value_op=between&amp;field_pdf_uri=&amp;field_resumen_value=&amp;field_tipocir_value=&amp;order=title&amp;page=147&amp;sort=asc&amp;title=
https://gestion.pe/economia/bolivia-cierra-frontera-con-peru-y-se-paraliza-comercio-binacional-noticia/
https://comunicacion.crdascz.com/img/documentos/b221_circular2742019.pdf
https://larepublica.pe/sociedad/2019/11/25/puno-se-reactiva-flujo-comercial-entre-peru-y-bolivia-tras-tregua-de-48-horas-lrsd</x:v>
      </x:c>
      <x:c r="O433" s="4" t="str">
        <x:v>Second full-register audit source access, 26 October 2026
https://www.aduana.gob.bo/sites/default/files/archivos/circular2742019.pdf: search extract (fresh retrieval) — Direct PDF timed out; official indexed operative passage recovered.
https://larepublica.pe/sociedad/2019/11/13/frontera-puno-bolivia-permanece-cerrada-por-conflictos-en-el-vecino-pais-lrsd: full text (fresh retrieval)
https://larepublica.pe/sociedad/2019/11/25/puno-se-reactiva-flujo-comercial-entre-peru-y-bolivia-tras-tregua-de-48-horas-lrsd: full text (fresh retrieval)
Earlier URLs not separately inspected in this second assessment:
https://es.scribd.com/document/729945288/circular2742019
https://www.aduana.gob.bo/NOR_circulares?field_fechacir_value%5Bmax%5D=&amp;field_fechacir_value%5Bmin%5D=&amp;field_fechacir_value%5Bvalue%5D=&amp;field_fechacir_value_op=between&amp;field_pdf_uri=&amp;field_resumen_value=&amp;field_tipocir_value=&amp;order=title&amp;page=147&amp;sort=asc&amp;title=
https://gestion.pe/economia/bolivia-cierra-frontera-con-peru-y-se-paraliza-comercio-binacional-noticia/
https://comunicacion.crdascz.com/img/documentos/b221_circular2742019.pdf
Prior audit access record
Full-register audit source access (evidence cutoff 25 October 2026)
https://www.aduana.gob.bo/sites/default/files/archivos/circular2742019.pdf: search extract — Official PDF timed out; mirror 502; official indexed operative text recovered.
https://larepublica.pe/sociedad/2019/11/13/frontera-puno-bolivia-permanece-cerrada-por-conflictos-en-el-vecino-pais-lrsd: full text
https://larepublica.pe/sociedad/2019/11/25/puno-se-reactiva-flujo-comercial-entre-peru-y-bolivia-tras-tregua-de-48-horas-lrsd: full text
Earlier source URLs not separately listed in this audit’s retrieval log (historical access notes below are not fresh verification):
https://es.scribd.com/document/729945288/circular2742019
https://www.aduana.gob.bo/NOR_circulares?field_fechacir_value%5Bmax%5D=&amp;field_fechacir_value%5Bmin%5D=&amp;field_fechacir_value%5Bvalue%5D=&amp;field_fechacir_value_op=between&amp;field_pdf_uri=&amp;field_resumen_value=&amp;field_tipocir_value=&amp;order=title&amp;page=147&amp;sort=asc&amp;title=
https://gestion.pe/economia/bolivia-cierra-frontera-con-peru-y-se-paraliza-comercio-binacional-noticia/
https://comunicacion.crdascz.com/img/documentos/b221_circular2742019.pdf
Earlier recorded access
Source 1: unavailable
Source 2: full text
Source 3: full text</x:v>
      </x:c>
      <x:c r="P433" s="20" t="n">
        <x:v>1</x:v>
      </x:c>
      <x:c r="Q433" s="4" t="str">
        <x:v>Americas</x:v>
      </x:c>
      <x:c r="R433" s="4" t="str">
        <x:v>Included</x:v>
      </x:c>
    </x:row>
    <x:row r="434" ht="409" hidden="0" customHeight="1">
      <x:c r="A434" s="16" t="str">
        <x:v>R3-AM-007</x:v>
      </x:c>
      <x:c r="B434" s="4" t="str">
        <x:v>Rodolfo Robles bridge temporary gate closure during migrant-caravan confrontation</x:v>
      </x:c>
      <x:c r="C434" s="4" t="str">
        <x:v>Mexico; Guatemala</x:v>
      </x:c>
      <x:c r="D434" s="4" t="str">
        <x:v>Rodolfo Robles bridge
Entry into Mexico at Ciudad Hidalgo–Tecún Umán bridge</x:v>
      </x:c>
      <x:c r="E434" s="4" t="str">
        <x:v>Migrant-caravan members entering Mexico; broader traffic not fully documented.
Direction: Guatemala to Mexico.
Exceptions: Small groups admitted for processing after the confrontation.</x:v>
      </x:c>
      <x:c r="F434" s="4" t="str">
        <x:v>R3-AM-007-D1 — Observed operation
Temporary Mexico-entry gate stoppage at Rodolfo Robles bridge during the January 18 confrontation
Start: 2020-01-18.
Observed scoped reopening: 2020-01-18.
Same-day episode; no whole-day duration inferred</x:v>
      </x:c>
      <x:c r="G434" s="4" t="str">
        <x:v>Migration / Entry and asylum control
Attributed official rationale
Mexican migration authorities required registration and orderly processing, and warned against unauthorized entry or onward passage.
Security / Public order and immediate safety
Reported immediate context
Security forces shut the crossing during pushing and scuffles and restored order at the gate.</x:v>
      </x:c>
      <x:c r="H434" s="4" t="str">
        <x:v>R3-AM-007-D1: Same-day episode ending in selective processing, not unrestricted reopening or a full day of closure. Exact hours are unavailable; January 20 restrictions are separate. Later host publication dates are not onset dates.</x:v>
      </x:c>
      <x:c r="I434" s="4" t="str">
        <x:v>Second full-register audit, 26 October 2026: additional source-audited corrections incorporated. See the phase, scope and qualification columns for the accepted findings.</x:v>
      </x:c>
      <x:c r="J434" s="18" t="d">
        <x:v>2026-10-26T00:00:00.000Z</x:v>
      </x:c>
      <x:c r="K434" s="21" t="str">
        <x:f>IFERROR(HYPERLINK("https://www.mprnews.org/story/2020/01/18/mexico-blocks-hundreds-of-migrants-from-crossing-border-span","MPR News / Associated Press"),"MPR News / Associated Press")</x:f>
        <x:v>MPR News / Associated Press</x:v>
      </x:c>
      <x:c r="L434" s="21" t="str">
        <x:f>IFERROR(HYPERLINK("https://www.fijitimes.com.fj/brief-scuffles-at-guatemala-mexico-border-as-migrants-try-to-cross/","The Fiji Times / Reuters"),"The Fiji Times / Reuters")</x:f>
        <x:v>The Fiji Times / Reuters</x:v>
      </x:c>
      <x:c r="M434" s="21" t="str">
        <x:f>IFERROR(HYPERLINK("https://animalpolitico.com/2020/01/caravana-migrante-mexico-abren-frontera","animalpolitico.com"),"animalpolitico.com")</x:f>
        <x:v>animalpolitico.com</x:v>
      </x:c>
      <x:c r="N434" s="4" t="str">
        <x:v>https://www.mprnews.org/story/2020/01/18/mexico-blocks-hundreds-of-migrants-from-crossing-border-span
https://www.fijitimes.com.fj/brief-scuffles-at-guatemala-mexico-border-as-migrants-try-to-cross/
https://animalpolitico.com/2020/01/caravana-migrante-mexico-abren-frontera
https://nau.mx/policiacas/regresa-a-la-normalidad-la-frontera-sur-tras-contener-la-primera-caravana-2020-que-inicio-en-honduras/
https://www.lajornadamaya.mx/nacional/167852/Migrantes-intentan-ingresar-a-Mexico--Guardia-Nacional-lo-impide</x:v>
      </x:c>
      <x:c r="O434" s="4" t="str">
        <x:v>Second full-register audit source access, 26 October 2026
https://www.mprnews.org/story/2020/01/18/mexico-blocks-hundreds-of-migrants-from-crossing-border-span: full text (fresh retrieval)
https://www.fijitimes.com.fj/brief-scuffles-at-guatemala-mexico-border-as-migrants-try-to-cross/: full text (fresh retrieval) — Host publication January 20 and update January 19; event is explicitly Saturday January 18.
https://animalpolitico.com/2020/01/caravana-migrante-mexico-abren-frontera: inaccessible (fresh retrieval) — 504 timeout
Earlier URLs not separately inspected in this second assessment:
https://nau.mx/policiacas/regresa-a-la-normalidad-la-frontera-sur-tras-contener-la-primera-caravana-2020-que-inicio-en-honduras/
https://www.lajornadamaya.mx/nacional/167852/Migrantes-intentan-ingresar-a-Mexico--Guardia-Nacional-lo-impide
Prior audit access record
Full-register audit source access (evidence cutoff 25 October 2026)
https://www.mprnews.org/story/2020/01/18/mexico-blocks-hundreds-of-migrants-from-crossing-border-span: full text
https://www.fijitimes.com.fj/brief-scuffles-at-guatemala-mexico-border-as-migrants-try-to-cross/: full text
Earlier source URLs not separately listed in this audit’s retrieval log (historical access notes below are not fresh verification):
https://animalpolitico.com/2020/01/caravana-migrante-mexico-abren-frontera
https://nau.mx/policiacas/regresa-a-la-normalidad-la-frontera-sur-tras-contener-la-primera-caravana-2020-que-inicio-en-honduras/
https://www.lajornadamaya.mx/nacional/167852/Migrantes-intentan-ingresar-a-Mexico--Guardia-Nacional-lo-impide
Earlier recorded access
Source 1: full page
Source 2: full page
Source 3: access detail is retained in the source catalogue.</x:v>
      </x:c>
      <x:c r="P434" s="20" t="n">
        <x:v>1</x:v>
      </x:c>
      <x:c r="Q434" s="4" t="str">
        <x:v>Americas</x:v>
      </x:c>
      <x:c r="R434" s="4" t="str">
        <x:v>Included</x:v>
      </x:c>
    </x:row>
    <x:row r="435" ht="366" hidden="0" customHeight="1">
      <x:c r="A435" s="16" t="str">
        <x:v>R3-AM-004</x:v>
      </x:c>
      <x:c r="B435" s="4" t="str">
        <x:v>Peñas Blancas trucker blockade over regional freight restrictions, October 2020</x:v>
      </x:c>
      <x:c r="C435" s="4" t="str">
        <x:v>Costa Rica; Nicaragua</x:v>
      </x:c>
      <x:c r="D435" s="4" t="str">
        <x:v>Peñas Blancas
Truck passage at Peñas Blancas</x:v>
      </x:c>
      <x:c r="E435" s="4" t="str">
        <x:v>International freight vehicles.
Direction: Freight crossing in both directions; report does not disaggregate.
Exceptions: Border offices remained staffed; passenger scope not established.</x:v>
      </x:c>
      <x:c r="F435" s="4" t="str">
        <x:v>R3-AM-004-D1 — Observed operation
Truck passage at Penas Blancas during the October transporter blockade
Start: 2020-10-01 to 2020-10-08.
Observed scoped reopening: 2020-10-09.
1–8 calendar-day difference; scoped endpoint only</x:v>
      </x:c>
      <x:c r="G435" s="4" t="str">
        <x:v>Trade and protectionism / Trade and transport protests
Reported reason
Transporters sought removal of GPS tracking requirements, longer permitted stays and reciprocal treatment for Costa Rican trucks elsewhere in Central America.</x:v>
      </x:c>
      <x:c r="H435" s="4" t="str">
        <x:v>R3-AM-004-D1: Onset is bounded within October through the first securely dated observation, not assigned to October 8. The October 7 indexed report has changed live metadata; October 9 blockage and later lifting can be sequential within the day. Offices remained staffed; passenger impact and Paso Canoas are separate.</x:v>
      </x:c>
      <x:c r="I435" s="4" t="str">
        <x:v>Second full-register audit, 26 October 2026: additional source-audited corrections incorporated. See the phase, scope and qualification columns for the accepted findings.</x:v>
      </x:c>
      <x:c r="J435" s="18" t="d">
        <x:v>2026-10-26T00:00:00.000Z</x:v>
      </x:c>
      <x:c r="K435" s="21" t="str">
        <x:f>IFERROR(HYPERLINK("https://www.nacion.com/economia/politica-economica/transportistas-de-la-region-cierran-pasos/YDLUNSZRUJG6RPE4AJMLTJTXKI/story/","La Nación Costa Rica"),"La Nación Costa Rica")</x:f>
        <x:v>La Nación Costa Rica</x:v>
      </x:c>
      <x:c r="L435" s="21" t="str">
        <x:f>IFERROR(HYPERLINK("https://www.nacion.com/economia/politica-economica/gobierno-elimina-control-con-gps-a-los/EUR5GRWYENBCJJ6IU52B5LLH3M/story/","La Nación Costa Rica"),"La Nación Costa Rica")</x:f>
        <x:v>La Nación Costa Rica</x:v>
      </x:c>
      <x:c r="M435" s="21" t="str">
        <x:f>IFERROR(HYPERLINK("https://www.repretel.com/noticia/penas-blancas-transportistas-se-manifiestan-por-cierre-de-frontera/","Repretel"),"Repretel")</x:f>
        <x:v>Repretel</x:v>
      </x:c>
      <x:c r="N435" s="4" t="str">
        <x:v>https://www.nacion.com/economia/politica-economica/transportistas-de-la-region-cierran-pasos/YDLUNSZRUJG6RPE4AJMLTJTXKI/story/
https://www.nacion.com/economia/politica-economica/gobierno-elimina-control-con-gps-a-los/EUR5GRWYENBCJJ6IU52B5LLH3M/story/
https://www.repretel.com/noticia/penas-blancas-transportistas-se-manifiestan-por-cierre-de-frontera/
https://www.eleconomista.net/actualidad/Peligran-insumos-contra-covid-19-para-Centroamerica-por-bloqueo-en-Costa-Rica-20201012-0038.html</x:v>
      </x:c>
      <x:c r="O435" s="4" t="str">
        <x:v>Second full-register audit source access, 26 October 2026
https://www.nacion.com/economia/politica-economica/transportistas-de-la-region-cierran-pasos/YDLUNSZRUJG6RPE4AJMLTJTXKI/story/: full text (fresh retrieval)
https://www.nacion.com/economia/politica-economica/gobierno-elimina-control-con-gps-a-los/EUR5GRWYENBCJJ6IU52B5LLH3M/story/: full text (fresh retrieval)
https://www.repretel.com/noticia/penas-blancas-transportistas-se-manifiestan-por-cierre-de-frontera/: full text (fresh retrieval) — Live metadata displays October 25, 2026; not a sound 2020 onset.
https://www.eleconomista.net/actualidad/Peligran-insumos-contra-covid-19-para-Centroamerica-por-bloqueo-en-Costa-Rica-20201012-0038.html: full text (fresh retrieval)
Prior audit access record
Full-register audit source access (evidence cutoff 25 October 2026)
https://www.nacion.com/economia/politica-economica/transportistas-de-la-region-cierran-pasos/YDLUNSZRUJG6RPE4AJMLTJTXKI/story/: full text
https://www.nacion.com/economia/politica-economica/gobierno-elimina-control-con-gps-a-los/EUR5GRWYENBCJJ6IU52B5LLH3M/story/: full text
https://www.eleconomista.net/actualidad/Peligran-insumos-contra-covid-19-para-Centroamerica-por-bloqueo-en-Costa-Rica-20201012-0038.html: full text
https://www.repretel.com/noticia/penas-blancas-transportistas-se-manifiestan-por-cierre-de-frontera/: full text — Live metadata now October 22 2026, unusable for precise 2020 onset.
Earlier recorded access
Source 1: full page
Source 2: full page
Source 3: indexed dated extract plus full short body; live metadata changed</x:v>
      </x:c>
      <x:c r="P435" s="20" t="n">
        <x:v>1</x:v>
      </x:c>
      <x:c r="Q435" s="4" t="str">
        <x:v>Americas</x:v>
      </x:c>
      <x:c r="R435" s="4" t="str">
        <x:v>Included</x:v>
      </x:c>
    </x:row>
    <x:row r="436" ht="409" hidden="0" customHeight="1">
      <x:c r="A436" s="16" t="str">
        <x:v>R3-AM-006</x:v>
      </x:c>
      <x:c r="B436" s="4" t="str">
        <x:v>Paso Canoas renewed freight blockade over Panama reciprocity rules</x:v>
      </x:c>
      <x:c r="C436" s="4" t="str">
        <x:v>Costa Rica; Panama</x:v>
      </x:c>
      <x:c r="D436" s="4" t="str">
        <x:v>Paso Canoas
International freight passage at Paso Canoas</x:v>
      </x:c>
      <x:c r="E436" s="4" t="str">
        <x:v>International freight vehicles.
Direction: International freight passage; directions of actual obstruction and return not separately measured. The triggering rule affected Costa Rican trucks entering Panama.
Exceptions: Passenger impact not established.</x:v>
      </x:c>
      <x:c r="F436" s="4" t="str">
        <x:v>R3-AM-006-D1 — Observed operation
International freight passage at Paso Canoas; direction-specific obstruction and return are not separately measured. The triggering rule affected Costa Rican trucks entering Panama; passenger impact is not established.
Start: 2020-10-21 at approximately 17:00 local time.
Observed scoped reopening: morning of 2020-10-24.
3 calendar-day difference; scoped endpoint only</x:v>
      </x:c>
      <x:c r="G436" s="4" t="str">
        <x:v>Trade and protectionism / Trade and transport protests
Reported reason
Costa Rican truckers protested Panama’s restrictions on their vehicles and the requirement to transfer trailers to Panamanian tractor units. They sought reciprocal access and freight-handling treatment.</x:v>
      </x:c>
      <x:c r="H436" s="4" t="str">
        <x:v>R3-AM-006-D1: Onset 17:00 on 21 October; reopening Saturday morning. Rounded descriptions of three or five days do not override explicit chronology. Passenger impact not established.</x:v>
      </x:c>
      <x:c r="I436" s="4" t="str">
        <x:v>Second full-register audit, 26 October 2026: additional source-audited corrections incorporated. See the phase, scope and qualification columns for the accepted findings.</x:v>
      </x:c>
      <x:c r="J436" s="18" t="d">
        <x:v>2026-10-26T00:00:00.000Z</x:v>
      </x:c>
      <x:c r="K436" s="21" t="str">
        <x:f>IFERROR(HYPERLINK("https://www.nacion.com/economia/politica-economica/medida-de-autoridades-panamenas-permite-levantar/BNX7CX7NRNBTLAGRJ2JSFUISS4/story/","La Nación"),"La Nación")</x:f>
        <x:v>La Nación</x:v>
      </x:c>
      <x:c r="L436" s="21" t="str">
        <x:f>IFERROR(HYPERLINK("https://www.tvn-2.com/nacionales/camioneros-panama-costa-rica-transporte_1_1140718.html","TVN Panamá"),"TVN Panamá")</x:f>
        <x:v>TVN Panamá</x:v>
      </x:c>
      <x:c r="M436" s="21" t="str">
        <x:f>IFERROR(HYPERLINK("https://www.prensa.com/economia/bloquearon-la-frontera-tico-panamena-en-paso-canoas-tensa-calma-en-el-area/","prensa.com"),"prensa.com")</x:f>
        <x:v>prensa.com</x:v>
      </x:c>
      <x:c r="N436" s="4" t="str">
        <x:v>https://www.nacion.com/economia/politica-economica/medida-de-autoridades-panamenas-permite-levantar/BNX7CX7NRNBTLAGRJ2JSFUISS4/story/
https://www.tvn-2.com/nacionales/camioneros-panama-costa-rica-transporte_1_1140718.html
https://www.prensa.com/economia/bloquearon-la-frontera-tico-panamena-en-paso-canoas-tensa-calma-en-el-area/
https://presidencia.gobiernocarlosalvarado.cr/comunicados/2020/10/gracias-al-trabajo-de-dialogo-se-levantan-pacificamente-los-bloqueos-en-la-zona-sur-del-pais/
https://observador.cr/transportistas-ticos-bloquean-transito-en-paso-canoas-protestan-por-medidas-panamenas-sobre-descarga/</x:v>
      </x:c>
      <x:c r="O436" s="4" t="str">
        <x:v>Second full-register audit source access, 26 October 2026
https://www.nacion.com/economia/politica-economica/medida-de-autoridades-panamenas-permite-levantar/BNX7CX7NRNBTLAGRJ2JSFUISS4/story/: full text (fresh retrieval)
https://www.tvn-2.com/nacionales/camioneros-panama-costa-rica-transporte_1_1140718.html: full text (fresh retrieval)
Earlier URLs not separately inspected in this second assessment:
https://www.prensa.com/economia/bloquearon-la-frontera-tico-panamena-en-paso-canoas-tensa-calma-en-el-area/
https://presidencia.gobiernocarlosalvarado.cr/comunicados/2020/10/gracias-al-trabajo-de-dialogo-se-levantan-pacificamente-los-bloqueos-en-la-zona-sur-del-pais/
https://observador.cr/transportistas-ticos-bloquean-transito-en-paso-canoas-protestan-por-medidas-panamenas-sobre-descarga/
Prior audit access record
Full-register audit source access (evidence cutoff 25 October 2026)
https://www.nacion.com/economia/politica-economica/medida-de-autoridades-panamenas-permite-levantar/BNX7CX7NRNBTLAGRJ2JSFUISS4/story/: full text
https://www.tvn-2.com/nacionales/camioneros-panama-costa-rica-transporte_1_1140718.html: full text
Earlier source URLs not separately listed in this audit’s retrieval log (historical access notes below are not fresh verification):
https://www.prensa.com/economia/bloquearon-la-frontera-tico-panamena-en-paso-canoas-tensa-calma-en-el-area/
https://presidencia.gobiernocarlosalvarado.cr/comunicados/2020/10/gracias-al-trabajo-de-dialogo-se-levantan-pacificamente-los-bloqueos-en-la-zona-sur-del-pais/
https://observador.cr/transportistas-ticos-bloquean-transito-en-paso-canoas-protestan-por-medidas-panamenas-sobre-descarga/
Earlier recorded access
Source 1: full text
Source 2: full text
Source 3: access detail is retained in the source catalogue.</x:v>
      </x:c>
      <x:c r="P436" s="20" t="n">
        <x:v>1</x:v>
      </x:c>
      <x:c r="Q436" s="4" t="str">
        <x:v>Americas</x:v>
      </x:c>
      <x:c r="R436" s="4" t="str">
        <x:v>Included</x:v>
      </x:c>
    </x:row>
    <x:row r="437" ht="409" hidden="0" customHeight="1">
      <x:c r="A437" s="16" t="str">
        <x:v>R3-AM-001</x:v>
      </x:c>
      <x:c r="B437" s="4" t="str">
        <x:v>Desaguadero bridges: protest blockade and staged restoration in 2023</x:v>
      </x:c>
      <x:c r="C437" s="4" t="str">
        <x:v>Peru; Bolivia</x:v>
      </x:c>
      <x:c r="D437" s="4" t="str">
        <x:v>Desaguadero pedestrian bridge; Carancas bridge
Desaguadero pedestrian and Carancas international bridges</x:v>
      </x:c>
      <x:c r="E437" s="4" t="str">
        <x:v>Pedestrians, passengers and freight; severity varied by phase.
Direction: Cross-border travel in both directions; February humanitarian return to Bolivia specifically documented.
Exceptions: Negotiated humanitarian movements and later truce days.</x:v>
      </x:c>
      <x:c r="F437" s="4" t="str">
        <x:v>R3-AM-001-R2OBS1 — Observed operation
Renewed Desaguadero bridge blockade affecting vehicles and people.
Onset observed: 2023-01-04 in the early morning, following the year-end truce.
Last directly confirmed in this initial observation: 2023-01-04. Exact first reopening is not established.
This dated onset observation is separate from the later intermittent regime; no continuous January–March closure is inferred.
R3-AM-001-REV1 — Intermittent regime
Desaguadero corridor negotiated weekly passenger-access restriction regime; bridge eligibility varies by traveler
Start: 2023-03-23.
Last confirmed: 2023-03-30. Reopening is not established.
Intermittent regime envelope; total closed days unknown
Separate access evidence: by the March 3 official report, stranded Bolivian trucks had returned through Carancas under a humanitarian arrangement in late February. The report names February 25 but calls it Sunday, creating a February 25–26 dating uncertainty. This was a selected return movement, not unrestricted reopening. March 24 reporting confirms resumed immigration controls on the weekly access days. June 23 concerns the separately identified CEBAF immigration-control service.</x:v>
      </x:c>
      <x:c r="G437" s="4" t="str">
        <x:v>Power and regime politics / Opposition and political reform
Reported reason
Applies to: 2023 Desaguadero protest episode; overlap varies by phase
Reported protest demands; not a government-imposed closure justification or independently recovered organizer order.</x:v>
      </x:c>
      <x:c r="H437" s="4" t="str">
        <x:v>R3-AM-001-R2OBS1: January 4 is a contemporary observed renewed onset after the holiday truce, not an inferred start from a later report. It does not prove uninterrupted closure until March. The late-February truck return was humanitarian and direction-specific; the official account’s date/weekday conflict prevents choosing an exact February 25 or 26 clock.
R3-AM-001-REV1: March 23–30 documents a recurring restriction regime with access on specified days, not seven continuously closed days. Traveler eligibility differed by bridge and heavy-freight hours differed from passenger access. March 24 immigration-control resumption occurred on flexible days. June 23 CEBAF immigration-control resumption concerns a separate facility and does not establish the final end of the bridge-blockade regime.</x:v>
      </x:c>
      <x:c r="I437" s="4" t="str">
        <x:v>Second full-register audit, 26 October 2026: additional source-audited corrections incorporated. See the phase, scope and qualification columns for the accepted findings.</x:v>
      </x:c>
      <x:c r="J437" s="18" t="d">
        <x:v>2026-10-26T00:00:00.000Z</x:v>
      </x:c>
      <x:c r="K437" s="21" t="str">
        <x:f>IFERROR(HYPERLINK("https://diariosinfronteras.com.pe/2023/03/23/determinan-flexibilidad-en-la-zona-de-frontera/","Diario Sin Fronteras"),"Diario Sin Fronteras")</x:f>
        <x:v>Diario Sin Fronteras</x:v>
      </x:c>
      <x:c r="L437" s="21" t="str">
        <x:f>IFERROR(HYPERLINK("https://television.unitel.bo/portada/noticias/levantan-bloqueo-en-desaguadero-y-se-restablecen-los-viajes-a-peru-AH7009714","Unitel"),"Unitel")</x:f>
        <x:v>Unitel</x:v>
      </x:c>
      <x:c r="M437" s="21" t="str">
        <x:f>IFERROR(HYPERLINK("https://gestion.pe/peru/protestas-en-peru-puno-transito-libre-entre-peru-y-bolivia-tras-desbloqueo-de-la-via-desaguadero-noticia/","Gestión"),"Gestión")</x:f>
        <x:v>Gestión</x:v>
      </x:c>
      <x:c r="N437" s="4" t="str">
        <x:v>https://diariosinfronteras.com.pe/2023/03/23/determinan-flexibilidad-en-la-zona-de-frontera/
https://television.unitel.bo/portada/noticias/levantan-bloqueo-en-desaguadero-y-se-restablecen-los-viajes-a-peru-AH7009714
https://gestion.pe/peru/protestas-en-peru-puno-transito-libre-entre-peru-y-bolivia-tras-desbloqueo-de-la-via-desaguadero-noticia/
https://www.gob.pe/institucion/migraciones/noticias/787685-migraciones-reanuda-acciones-de-control-migratorio-en-el-centro-binacional-de-atencion-fronteriza-cebaf-desaguadero
https://rpp.pe/peru/puno/puno-desde-esta-medianoche-hasta-el-lunes-se-reabriran-los-puentes-internacionales-de-desaguadero-noticia-1474383
https://www.gob.pe/institucion/migraciones/noticias/733905-migraciones-reanuda-control-migratorio-en-desaguadero-puno
https://hemeroteca.larazon.bo/economia/2023/03/30/el-transporte-pesado-boliviano-circula-por-desaguadero-tres-dias-a-la-semana/
https://cancilleria.gob.bo/mre/2023/03/03/3098/
https://andina.pe/agencia/noticia-buena-noticia-puno-migraciones-reanuda-control-migratorio-desaguadero-934055.aspx
https://www.noticiasfides.com/nacional/sociedad/desaguadero-refuerza-bloqueo-con-alambre-de-puas-y-la-economia-local-agoniza-
https://www.noticiasfides.com/nacional/sociedad/reactivan-bloqueo-en-desaguadero-y-cierran-la-frontera-con-calaminas-palos-y-fierros
https://radioondaazul.com/migraciones-reanudo-el-control-migratorio-en-desaguadero/</x:v>
      </x:c>
      <x:c r="O437" s="4" t="str">
        <x:v>Second full-register audit source access, 26 October 2026
https://www.noticiasfides.com/nacional/sociedad/reactivan-bloqueo-en-desaguadero-y-cierran-la-frontera-con-calaminas-palos-y-fierros: full text (fresh retrieval)
https://cancilleria.gob.bo/mre/2023/03/03/3098/: full text (fresh retrieval) — February 25 is called Sunday, whereas Sunday was February 26.
https://rpp.pe/peru/puno/puno-desde-esta-medianoche-hasta-el-lunes-se-reabriran-los-puentes-internacionales-de-desaguadero-noticia-1474383: full text (fresh retrieval)
https://hemeroteca.larazon.bo/economia/2023/03/30/el-transporte-pesado-boliviano-circula-por-desaguadero-tres-dias-a-la-semana/: full text (fresh retrieval)
https://gestion.pe/peru/protestas-en-peru-puno-transito-libre-entre-peru-y-bolivia-tras-desbloqueo-de-la-via-desaguadero-noticia/: full text (fresh retrieval)
https://radioondaazul.com/migraciones-reanudo-el-control-migratorio-en-desaguadero/: full text (fresh retrieval)
https://www.gob.pe/institucion/migraciones/noticias/787685-migraciones-reanuda-acciones-de-control-migratorio-en-el-centro-binacional-de-atencion-fronteriza-cebaf-desaguadero: search extract (fresh retrieval) — Direct opening returned 418.
Earlier URLs not separately inspected in this second assessment:
https://diariosinfronteras.com.pe/2023/03/23/determinan-flexibilidad-en-la-zona-de-frontera/
https://television.unitel.bo/portada/noticias/levantan-bloqueo-en-desaguadero-y-se-restablecen-los-viajes-a-peru-AH7009714
https://www.gob.pe/institucion/migraciones/noticias/733905-migraciones-reanuda-control-migratorio-en-desaguadero-puno
https://andina.pe/agencia/noticia-buena-noticia-puno-migraciones-reanuda-control-migratorio-desaguadero-934055.aspx
https://www.noticiasfides.com/nacional/sociedad/desaguadero-refuerza-bloqueo-con-alambre-de-puas-y-la-economia-local-agoniza-
Prior audit access record
Full-register audit source access (evidence cutoff 25 October 2026)
https://rpp.pe/peru/puno/puno-desde-esta-medianoche-hasta-el-lunes-se-reabriran-los-puentes-internacionales-de-desaguadero-noticia-1474383: full text
https://hemeroteca.larazon.bo/economia/2023/03/30/el-transporte-pesado-boliviano-circula-por-desaguadero-tres-dias-a-la-semana/: full text
https://www.gob.pe/institucion/migraciones/noticias/787685-migraciones-reanuda-acciones-de-control-migratorio-en-el-centro-binacional-de-atencion-fronteriza-cebaf-desaguadero: search extract — Direct 418; indexed body read.
Earlier source URLs not separately listed in this audit’s retrieval log (historical access notes below are not fresh verification):
https://diariosinfronteras.com.pe/2023/03/23/determinan-flexibilidad-en-la-zona-de-frontera/
https://television.unitel.bo/portada/noticias/levantan-bloqueo-en-desaguadero-y-se-restablecen-los-viajes-a-peru-AH7009714
https://gestion.pe/peru/protestas-en-peru-puno-transito-libre-entre-peru-y-bolivia-tras-desbloqueo-de-la-via-desaguadero-noticia/
https://www.gob.pe/institucion/migraciones/noticias/733905-migraciones-reanuda-control-migratorio-en-desaguadero-puno
https://cancilleria.gob.bo/mre/2023/03/03/3098/
https://andina.pe/agencia/noticia-buena-noticia-puno-migraciones-reanuda-control-migratorio-desaguadero-934055.aspx
https://www.noticiasfides.com/nacional/sociedad/desaguadero-refuerza-bloqueo-con-alambre-de-puas-y-la-economia-local-agoniza-
Earlier recorded access
Source 1: indexed excerpt; full
Source 2: full; full text
Source 3: indexed excerpt; full</x:v>
      </x:c>
      <x:c r="P437" s="20" t="n">
        <x:v>2</x:v>
      </x:c>
      <x:c r="Q437" s="4" t="str">
        <x:v>Americas</x:v>
      </x:c>
      <x:c r="R437" s="4" t="str">
        <x:v>Included</x:v>
      </x:c>
    </x:row>
    <x:row r="438" ht="354" hidden="0" customHeight="1">
      <x:c r="A438" s="16" t="str">
        <x:v>R3-AM-010</x:v>
      </x:c>
      <x:c r="B438" s="4" t="str">
        <x:v>Santa Rosa–Chacalluta road blocked by stranded migrants, 25 April 2023</x:v>
      </x:c>
      <x:c r="C438" s="4" t="str">
        <x:v>Peru; Chile</x:v>
      </x:c>
      <x:c r="D438" s="4" t="str">
        <x:v>Santa Rosa–Chacalluta Panamericana connection
Road connecting Santa Rosa and Chacalluta border posts</x:v>
      </x:c>
      <x:c r="E438" s="4" t="str">
        <x:v>International vehicles and passengers.
Direction: Road passage both ways affected.
Exceptions: No blockade exceptions established.</x:v>
      </x:c>
      <x:c r="F438" s="4" t="str">
        <x:v>R3-AM-010-D1 — Observed operation
Santa Rosa episode on 25 April 2023.
Start: 2023-04-25.
Observed scoped reopening: 2023-04-25.
Same-day episode; no whole-day duration inferred</x:v>
      </x:c>
      <x:c r="G438" s="4" t="str">
        <x:v>Migration / Admission and document disputes
Reported protest demand
Stranded migrants sought permission to enter or transit Peru to return to their countries of origin; authorities were refusing entry to people without the required documentation.</x:v>
      </x:c>
      <x:c r="H438" s="4" t="str">
        <x:v>R3-AM-010-D1: Shown as an episode occurring on this date, not a whole-day closure. This record covers the observed morning blockade and clearance, not the duration of migrants’ inadmissibility or the entire April crisis. The listed Tacna government release describes a separate incident on 16 April 2023; direct evidence for this 25 April episode comes from RPP and the same-day Arica mayor’s account.</x:v>
      </x:c>
      <x:c r="I438" s="4" t="str">
        <x:v>Second full-register audit, 26 October 2026: additional source-audited corrections incorporated. See the phase, scope and qualification columns for the accepted findings.</x:v>
      </x:c>
      <x:c r="J438" s="18" t="d">
        <x:v>2026-10-26T00:00:00.000Z</x:v>
      </x:c>
      <x:c r="K438" s="21" t="str">
        <x:f>IFERROR(HYPERLINK("https://rpp.pe/peru/tacna/tacna-policia-libero-carretera-bloqueada-por-migrantes-en-la-frontera-con-chile-noticia-1480706","RPP"),"RPP")</x:f>
        <x:v>RPP</x:v>
      </x:c>
      <x:c r="L438" s="21" t="str">
        <x:f>IFERROR(HYPERLINK("https://www.fronteranorte.cl/2023/04/25/alcalde-espindola-reitero-urgencia-de-corredor-humanitario-ante-nuevo-bloqueo-de-migrantes-en-la-frontera/","FronteraNorte.cl"),"FronteraNorte.cl")</x:f>
        <x:v>FronteraNorte.cl</x:v>
      </x:c>
      <x:c r="M438" s="21" t="str">
        <x:f>IFERROR(HYPERLINK("https://www.gob.pe/institucion/regiontacna/noticias/742832-restablecen-transito-de-turistas-y-mercancias-en-control-fronterizo-santa-rosa-tras-intento-de-bloqueo","Tacna government — 16 April background"),"Tacna government — 16 April background")</x:f>
        <x:v>Tacna government — 16 April background</x:v>
      </x:c>
      <x:c r="N438" s="4" t="str">
        <x:v>https://rpp.pe/peru/tacna/tacna-policia-libero-carretera-bloqueada-por-migrantes-en-la-frontera-con-chile-noticia-1480706
https://www.fronteranorte.cl/2023/04/25/alcalde-espindola-reitero-urgencia-de-corredor-humanitario-ante-nuevo-bloqueo-de-migrantes-en-la-frontera/
https://www.gob.pe/institucion/regiontacna/noticias/742832-restablecen-transito-de-turistas-y-mercancias-en-control-fronterizo-santa-rosa-tras-intento-de-bloqueo</x:v>
      </x:c>
      <x:c r="O438" s="4" t="str">
        <x:v>Second full-register audit source access, 26 October 2026
https://rpp.pe/peru/tacna/tacna-policia-libero-carretera-bloqueada-por-migrantes-en-la-frontera-con-chile-noticia-1480706: full text (fresh retrieval)
https://www.fronteranorte.cl/2023/04/25/alcalde-espindola-reitero-urgencia-de-corredor-humanitario-ante-nuevo-bloqueo-de-migrantes-en-la-frontera/: full text (fresh retrieval)
https://www.gob.pe/institucion/regiontacna/noticias/742832-restablecen-transito-de-turistas-y-mercancias-en-control-fronterizo-santa-rosa-tras-intento-de-bloqueo: search extract (fresh retrieval) — Direct 418; complete substantive indexed release read.
Prior audit access record
Full-register audit source access (evidence cutoff 25 October 2026)
https://rpp.pe/peru/tacna/tacna-policia-libero-carretera-bloqueada-por-migrantes-en-la-frontera-con-chile-noticia-1480706: full text
https://www.fronteranorte.cl/2023/04/25/alcalde-espindola-reitero-urgencia-de-corredor-humanitario-ante-nuevo-bloqueo-de-migrantes-en-la-frontera/: full text
Earlier source URLs not separately listed in this audit’s retrieval log (historical access notes below are not fresh verification):
https://www.gob.pe/institucion/regiontacna/noticias/742832-restablecen-transito-de-turistas-y-mercancias-en-control-fronterizo-santa-rosa-tras-intento-de-bloqueo
Earlier recorded access
Source 1: full page
Source 2: full page
Source 3: access detail is retained in the source catalogue.</x:v>
      </x:c>
      <x:c r="P438" s="20" t="n">
        <x:v>1</x:v>
      </x:c>
      <x:c r="Q438" s="4" t="str">
        <x:v>Americas</x:v>
      </x:c>
      <x:c r="R438" s="4" t="str">
        <x:v>Included</x:v>
      </x:c>
    </x:row>
    <x:row r="439" ht="409" hidden="0" customHeight="1">
      <x:c r="A439" s="16" t="str">
        <x:v>R3-AM-011</x:v>
      </x:c>
      <x:c r="B439" s="4" t="str">
        <x:v>Santa Rosa–Chacalluta renewed and intermittent migrant blockade, 29 April 2023</x:v>
      </x:c>
      <x:c r="C439" s="4" t="str">
        <x:v>Peru; Chile</x:v>
      </x:c>
      <x:c r="D439" s="4" t="str">
        <x:v>Santa Rosa–Chacalluta Panamericana connection
Road connection between Santa Rosa and Chacalluta</x:v>
      </x:c>
      <x:c r="E439" s="4" t="str">
        <x:v>International vehicles and passengers.
Direction: Both directions affected; Arica-to-Tacna lane later reopened while opposite lane remained blocked.
Exceptions: Traffic reopened temporarily and later in one direction.</x:v>
      </x:c>
      <x:c r="F439" s="4" t="str">
        <x:v>R3-AM-011-D1 — Observed operation
Initial April 29 two-way road obstruction between Santa Rosa and Chacalluta, ending at the early-afternoon clearance
Start: 2023-04-29.
Observed scoped reopening: 2023-04-29.
Same-day episode; no whole-day duration inferred; Initial obstruction reported as more than six hours; not the duration of the entire intermittent episode.
R3-AM-011-R2OBS1 — Renewed afternoon obstruction and partial clearance
Road connection between Santa Rosa and Chacalluta
Start: 2023-04-29 afternoon, after the initial clearance; exact clock unknown.
A La República update at 17:58 reports a renewed two-way blockage lasting about 30 minutes before the Arica-to-Tacna direction was cleared. The opposite direction toward Arica remained obstructed at that observation.
Last confirmed restricted: 2023-04-29. The first subsequent reopening of the remaining direction is not established. No uninterrupted link to the earlier spell or greater-than-24-hour duration is inferred.</x:v>
      </x:c>
      <x:c r="G439" s="4" t="str">
        <x:v>Migration / Admission and document disputes
Reported protest demand
Migrants blocked the road while demanding entry into Peru to continue toward their countries of origin.</x:v>
      </x:c>
      <x:c r="H439" s="4" t="str">
        <x:v>The initial April 29 blockage ended in early-afternoon clearance. A separate afternoon recurrence is documented by 17:58, when Arica-to-Tacna traffic had been restored after about 30 minutes but the opposite direction remained blocked. Its subsequent endpoint is unknown; these are not a single all-day closure or proof of continuing closure beyond the dated observation. The listed government release concerns April 16 and the additional RPP link concerns April 25; neither directly verifies April 29.</x:v>
      </x:c>
      <x:c r="I439" s="4" t="str">
        <x:v>Second full-register audit, 26 October 2026: additional source-audited corrections incorporated. See the phase, scope and qualification columns for the accepted findings.</x:v>
      </x:c>
      <x:c r="J439" s="18" t="d">
        <x:v>2026-10-26T00:00:00.000Z</x:v>
      </x:c>
      <x:c r="K439" s="21" t="str">
        <x:f>IFERROR(HYPERLINK("https://rpp.pe/peru/tacna/tacna-migrantes-liberan-la-panamericana-sur-tras-bloquear-la-via-por-mas-de-seis-horas-noticia-1481598","RPP"),"RPP")</x:f>
        <x:v>RPP</x:v>
      </x:c>
      <x:c r="L439" s="21" t="str">
        <x:f>IFERROR(HYPERLINK("https://larepublica.pe/sociedad/2023/04/29/crisis-migratoria-en-frontera-peru-chile-en-vivo-situacion-de-migrantes-estado-de-emergencia-en-tacna-y-ultimas-noticias-en-directo-cancilleria-dina-boluarte-migraciones-policias-carabineros-gabriel-boric-lrnd-2229578","La República — 29 April live report"),"La República — 29 April live report")</x:f>
        <x:v>La República — 29 April live report</x:v>
      </x:c>
      <x:c r="M439" s="21" t="str">
        <x:f>IFERROR(HYPERLINK("https://rpp.pe/peru/tacna/tacna-policia-libero-carretera-bloqueada-por-migrantes-en-la-frontera-con-chile-noticia-1480706","RPP — 25 April background"),"RPP — 25 April background")</x:f>
        <x:v>RPP — 25 April background</x:v>
      </x:c>
      <x:c r="N439" s="4" t="str">
        <x:v>https://rpp.pe/peru/tacna/tacna-migrantes-liberan-la-panamericana-sur-tras-bloquear-la-via-por-mas-de-seis-horas-noticia-1481598
https://larepublica.pe/sociedad/2023/04/29/crisis-migratoria-en-frontera-peru-chile-en-vivo-situacion-de-migrantes-estado-de-emergencia-en-tacna-y-ultimas-noticias-en-directo-cancilleria-dina-boluarte-migraciones-policias-carabineros-gabriel-boric-lrnd-2229578
https://www.gob.pe/institucion/regiontacna/noticias/742832-restablecen-transito-de-turistas-y-mercancias-en-control-fronterizo-santa-rosa-tras-intento-de-bloqueo
https://rpp.pe/peru/tacna/tacna-policia-libero-carretera-bloqueada-por-migrantes-en-la-frontera-con-chile-noticia-1480706</x:v>
      </x:c>
      <x:c r="O439" s="4" t="str">
        <x:v>Second full-register audit source access, 26 October 2026
https://rpp.pe/peru/tacna/tacna-migrantes-liberan-la-panamericana-sur-tras-bloquear-la-via-por-mas-de-seis-horas-noticia-1481598: full text (fresh retrieval)
https://larepublica.pe/sociedad/2023/04/29/crisis-migratoria-en-frontera-peru-chile-en-vivo-situacion-de-migrantes-estado-de-emergencia-en-tacna-y-ultimas-noticias-en-directo-cancilleria-dina-boluarte-migraciones-policias-carabineros-gabriel-boric-lrnd-2229578: full text (fresh retrieval) — Use dated live entries, not final May 1 page metadata; no later endpoint identified.
https://www.gob.pe/institucion/regiontacna/noticias/742832-restablecen-transito-de-turistas-y-mercancias-en-control-fronterizo-santa-rosa-tras-intento-de-bloqueo: search extract (fresh retrieval) — Direct 418; indexed dated release inspected.
https://rpp.pe/peru/tacna/tacna-policia-libero-carretera-bloqueada-por-migrantes-en-la-frontera-con-chile-noticia-1480706: full text (fresh retrieval)
Prior audit access record
Full-register audit source access (evidence cutoff 25 October 2026)
https://rpp.pe/peru/tacna/tacna-migrantes-liberan-la-panamericana-sur-tras-bloquear-la-via-por-mas-de-seis-horas-noticia-1481598: full text
https://larepublica.pe/sociedad/2023/04/29/crisis-migratoria-en-frontera-peru-chile-en-vivo-situacion-de-migrantes-estado-de-emergencia-en-tacna-y-ultimas-noticias-en-directo-cancilleria-dina-boluarte-migraciones-policias-carabineros-gabriel-boric-lrnd-2229578: full text
Earlier source URLs not separately listed in this audit’s retrieval log (historical access notes below are not fresh verification):
https://www.gob.pe/institucion/regiontacna/noticias/742832-restablecen-transito-de-turistas-y-mercancias-en-control-fronterizo-santa-rosa-tras-intento-de-bloqueo
https://rpp.pe/peru/tacna/tacna-policia-libero-carretera-bloqueada-por-migrantes-en-la-frontera-con-chile-noticia-1480706
Earlier recorded access
Source 1: full page
Source 2: access detail is retained in the source catalogue.
Source 3: access detail is retained in the source catalogue.</x:v>
      </x:c>
      <x:c r="P439" s="20" t="n">
        <x:v>2</x:v>
      </x:c>
      <x:c r="Q439" s="4" t="str">
        <x:v>Americas</x:v>
      </x:c>
      <x:c r="R439" s="4" t="str">
        <x:v>Included</x:v>
      </x:c>
    </x:row>
    <x:row r="440" ht="409" hidden="0" customHeight="1">
      <x:c r="A440" s="16" t="str">
        <x:v>R3-AM-005</x:v>
      </x:c>
      <x:c r="B440" s="4" t="str">
        <x:v>Paso Canoas fiscal-protest and trucker blockade, September–October 2020</x:v>
      </x:c>
      <x:c r="C440" s="4" t="str">
        <x:v>Costa Rica; Panama</x:v>
      </x:c>
      <x:c r="D440" s="4" t="str">
        <x:v>Paso Canoas
Paso Canoas border road and access to customs</x:v>
      </x:c>
      <x:c r="E440" s="4" t="str">
        <x:v>Vehicles and international freight; pedestrian obstruction specifically reported after the night of 4 October 2020.
Direction: International road access in both directions; actual freight passage was documented in both directions on 4 and 15 October, with residual delays on 4 October.
Exceptions: Some stranded Nicaraguan passengers resumed travel on 4 October. Humanitarian and perishable cargo had priority on 15 October. Access and protest groups changed during the episode.</x:v>
      </x:c>
      <x:c r="F440" s="4" t="str">
        <x:v>R3-AM-005-R2P1 — Earlier freight interruption and partial resumption
Paso Canoas road and freight crossing
Start: unknown; EFE reported several days of suspension before 2020-10-04.
Observed scoped reopening: 2020-10-04, following clearance in the early hours. Trucks were entering Panama and some traffic had resumed toward Costa Rica; a midday obstruction at the Costa Rican fumigation area still slowed that direction. Some stranded Nicaraguan passengers also resumed travel. Exact onset and continuous duration are unknown; this was not uninterrupted closure through mid-October.
R3-AM-005-FU1 — Renewed blockade
Paso Canoas road before Panamanian customs
Start: night of 2020-10-04, when protesters placed earth and stones across the Costa Rican approach. Pedestrian and vehicle obstruction was reported on 2020-10-05; freight obstruction was again confirmed on 2020-10-08.
Last confirmed in this early renewed phase: 2020-10-08. A separate exact reopening before the later change of protest groups is not established.
The multi-day freight blockade supports greater-than-24-hour eligibility, but no exact elapsed duration or continuously identical pedestrian scope is established.
R3-AM-005-C7P1 — Later road clearance and freight resumption
Physical barriers at Paso Canoas crossing approach
Start of the later occupation: unknown; an agreement with one group on 2020-10-12 was followed by occupation by other protesters. Blockage was directly reported on 2020-10-13.
Observed physical barrier removal: 2020-10-14.
Observed freight resumption: morning of 2020-10-15, when articulated trucks crossed Panamanian customs in both directions, with humanitarian and perishable cargo given priority. The previous evening's announced 07:00 restart was a plan; the following day's report establishes actual passage without an exact first-truck clock.
No single continuous fifteen-day closure or duration spanning all three phases is established.</x:v>
      </x:c>
      <x:c r="G440" s="4" t="str">
        <x:v>Trade and protectionism / Trade and transport protests
Reported reason
Applies to: Recorded episode; exact overlap not separately established
Both the fiscal-policy grievance and transporters' equal-treatment demand are retained.
Policy and socioeconomic demands / Jobs, services and livelihoods
Reported reason
Applies to: Recorded episode; exact overlap not separately established
Both the fiscal-policy grievance and transporters' equal-treatment demand are retained.</x:v>
      </x:c>
      <x:c r="H440" s="4" t="str">
        <x:v>Actual traffic resumed on 4 October 2020 before renewed obstruction that night, so September–October disruption is not one uninterrupted closure. The 4 October report describes several preceding suspended days but does not establish their exact onset. The renewed blockade is dated to the night of 4 October and documented again on 5 and 8 October; identical pedestrian effects throughout are not established. The government reported an agreement with one group on 12 October followed by occupation by others, without a measurable unrestricted gap. Its 14 October release contains inconsistent Wednesday/Thursday wording; dated Crítica reports establish barrier removal on 14 October and actual truck passage on 15 October. These later milestones are separate from a proven exact first reopening of every earlier phase. No additive or continuous fifteen-day duration is calculated.</x:v>
      </x:c>
      <x:c r="I440" s="4" t="str">
        <x:v>Second full-register audit, 26 October 2026: additional source-audited corrections incorporated. See the phase, scope and qualification columns for the accepted findings.</x:v>
      </x:c>
      <x:c r="J440" s="18" t="d">
        <x:v>2026-10-26T00:00:00.000Z</x:v>
      </x:c>
      <x:c r="K440" s="21" t="str">
        <x:f>IFERROR(HYPERLINK("https://semanariouniversidad.com/pais/manifestantes-mantienen-bloqueado-el-paso-en-la-frontera-costarricense-en-paso-canoas/","Semanario Universidad / Fabiola Pomareda García"),"Semanario Universidad / Fabiola Pomareda García")</x:f>
        <x:v>Semanario Universidad / Fabiola Pomareda García</x:v>
      </x:c>
      <x:c r="L440" s="21" t="str">
        <x:f>IFERROR(HYPERLINK("https://www.critica.com.pa/nacional/se-reabre-la-frontera-de-paso-canoas-llegan-acuerdo-con-el-gobierno-390262","Crítica / Mayra Madrid"),"Crítica / Mayra Madrid")</x:f>
        <x:v>Crítica / Mayra Madrid</x:v>
      </x:c>
      <x:c r="M440" s="21" t="str">
        <x:f>IFERROR(HYPERLINK("https://presidencia.gobiernocarlosalvarado.cr/comunicados/2020/10/gracias-al-trabajo-de-dialogo-se-levantan-pacificamente-los-bloqueos-en-la-zona-sur-del-pais/","Presidency of Costa Rica"),"Presidency of Costa Rica")</x:f>
        <x:v>Presidency of Costa Rica</x:v>
      </x:c>
      <x:c r="N440" s="4" t="str">
        <x:v>https://semanariouniversidad.com/pais/manifestantes-mantienen-bloqueado-el-paso-en-la-frontera-costarricense-en-paso-canoas/
https://www.critica.com.pa/nacional/se-reabre-la-frontera-de-paso-canoas-llegan-acuerdo-con-el-gobierno-390262
https://presidencia.gobiernocarlosalvarado.cr/comunicados/2020/10/gracias-al-trabajo-de-dialogo-se-levantan-pacificamente-los-bloqueos-en-la-zona-sur-del-pais/
https://www.critica.com.pa/provincias/inicia-transito-de-camiones-en-frontera-390295
https://www.nacion.com/economia/politica-economica/medida-de-autoridades-panamenas-permite-levantar/BNX7CX7NRNBTLAGRJ2JSFUISS4/story/
https://www.tvn-2.com/nacionales/continuan-manifestaciones-panama-costa-rica-video_1_1145289.html
https://delfino.cr/2020/10/se-confirma-levantamiento-de-bloqueos-en-la-zona-sur-tras-acuerdo-con-manifestantes
https://www.telemetro.com/nacionales/2020/10/16/reinicio-el-transito-del-transporte-de-carga-por-paso-canoas/3350786.html
https://www.nacion.com/economia/politica-economica/transportistas-de-la-region-cierran-pasos/YDLUNSZRUJG6RPE4AJMLTJTXKI/story/
https://siseco.seguridadpublica.go.cr/sala_prensa/comunicados/2022/octubre/CP0518.aspx
https://dtm.iom.int/reports/costa-rica-panama-monitoreo-de-flujos-de-personas-en-situacion-de-movilidad-por-las-1
https://www.telemetro.com/nacionales/2020/10/04/se-reanuda-transito-en-frontera-de-panama-y-costa-rica-en-medio-de-protestas/3309240.html
https://www.prensa.com/economia/bloquearon-la-frontera-tico-panamena-en-paso-canoas-tensa-calma-en-el-area/
https://www.critica.com.pa/nacional/tensa-situacion-en-paso-canoas-transportistas-se-enfrentan-videos-390154</x:v>
      </x:c>
      <x:c r="O440" s="4" t="str">
        <x:v>Second full-register audit source access, 26 October 2026
https://www.telemetro.com/nacionales/2020/10/04/se-reanuda-transito-en-frontera-de-panama-y-costa-rica-en-medio-de-protestas/3309240.html: full text (fresh retrieval)
https://www.prensa.com/economia/bloquearon-la-frontera-tico-panamena-en-paso-canoas-tensa-calma-en-el-area/: full text (fresh retrieval)
https://semanariouniversidad.com/pais/manifestantes-mantienen-bloqueado-el-paso-en-la-frontera-costarricense-en-paso-canoas/: full text (fresh retrieval)
https://presidencia.gobiernocarlosalvarado.cr/comunicados/2020/10/gracias-al-trabajo-de-dialogo-se-levantan-pacificamente-los-bloqueos-en-la-zona-sur-del-pais/: full text (fresh retrieval) — Wednesday/Thursday wording conflicts; actual clearance dated using contemporary Crítica.
https://www.critica.com.pa/nacional/tensa-situacion-en-paso-canoas-transportistas-se-enfrentan-videos-390154: full text (fresh retrieval)
https://www.critica.com.pa/nacional/se-reabre-la-frontera-de-paso-canoas-llegan-acuerdo-con-el-gobierno-390262: full text (fresh retrieval)
https://www.critica.com.pa/provincias/inicia-transito-de-camiones-en-frontera-390295: full text (fresh retrieval)
https://www.nacion.com/economia/politica-economica/transportistas-de-la-region-cierran-pasos/YDLUNSZRUJG6RPE4AJMLTJTXKI/story/: full text (fresh retrieval)
Earlier URLs not separately inspected in this second assessment:
https://www.nacion.com/economia/politica-economica/medida-de-autoridades-panamenas-permite-levantar/BNX7CX7NRNBTLAGRJ2JSFUISS4/story/
https://www.tvn-2.com/nacionales/continuan-manifestaciones-panama-costa-rica-video_1_1145289.html
https://delfino.cr/2020/10/se-confirma-levantamiento-de-bloqueos-en-la-zona-sur-tras-acuerdo-con-manifestantes
https://www.telemetro.com/nacionales/2020/10/16/reinicio-el-transito-del-transporte-de-carga-por-paso-canoas/3350786.html
https://siseco.seguridadpublica.go.cr/sala_prensa/comunicados/2022/octubre/CP0518.aspx
https://dtm.iom.int/reports/costa-rica-panama-monitoreo-de-flujos-de-personas-en-situacion-de-movilidad-por-las-1
Prior audit access record
Full-register audit source access (evidence cutoff 25 October 2026)
https://semanariouniversidad.com/pais/manifestantes-mantienen-bloqueado-el-paso-en-la-frontera-costarricense-en-paso-canoas/: full text
https://www.critica.com.pa/nacional/se-reabre-la-frontera-de-paso-canoas-llegan-acuerdo-con-el-gobierno-390262: full text
https://www.critica.com.pa/provincias/inicia-transito-de-camiones-en-frontera-390295: full text
Earlier source URLs not separately listed in this audit’s retrieval log (historical access notes below are not fresh verification):
https://presidencia.gobiernocarlosalvarado.cr/comunicados/2020/10/gracias-al-trabajo-de-dialogo-se-levantan-pacificamente-los-bloqueos-en-la-zona-sur-del-pais/
https://www.nacion.com/economia/politica-economica/medida-de-autoridades-panamenas-permite-levantar/BNX7CX7NRNBTLAGRJ2JSFUISS4/story/
https://www.tvn-2.com/nacionales/continuan-manifestaciones-panama-costa-rica-video_1_1145289.html
https://delfino.cr/2020/10/se-confirma-levantamiento-de-bloqueos-en-la-zona-sur-tras-acuerdo-con-manifestantes
https://www.telemetro.com/nacionales/2020/10/16/reinicio-el-transito-del-transporte-de-carga-por-paso-canoas/3350786.html
https://www.nacion.com/economia/politica-economica/transportistas-de-la-region-cierran-pasos/YDLUNSZRUJG6RPE4AJMLTJTXKI/story/
https://siseco.seguridadpublica.go.cr/sala_prensa/comunicados/2022/octubre/CP0518.aspx
https://dtm.iom.int/reports/costa-rica-panama-monitoreo-de-flujos-de-personas-en-situacion-de-movilidad-por-las-1
Earlier recorded access
Source 1: full text
Source 2: full text
Source 3: indexed excerpt; full; full text</x:v>
      </x:c>
      <x:c r="P440" s="20" t="n">
        <x:v>3</x:v>
      </x:c>
      <x:c r="Q440" s="4" t="str">
        <x:v>Americas</x:v>
      </x:c>
      <x:c r="R440" s="4" t="str">
        <x:v>Included</x:v>
      </x:c>
    </x:row>
    <x:row r="441" ht="409" hidden="0" customHeight="1">
      <x:c r="A441" s="16" t="str">
        <x:v>R3-SC-004</x:v>
      </x:c>
      <x:c r="B441" s="4" t="str">
        <x:v>Madaniyat pedestrian post closure continuing into 2017</x:v>
      </x:c>
      <x:c r="C441" s="4" t="str">
        <x:v>Kyrgyzstan; Uzbekistan</x:v>
      </x:c>
      <x:c r="D441" s="4" t="str">
        <x:v>Madaniyat / Burgondu–Madaniyat, Jalal-Abad–Andijan
Ordinary pedestrian passage through Madaniyat</x:v>
      </x:c>
      <x:c r="E441" s="4" t="str">
        <x:v>Pedestrian passage at Madaniyat; the October 2017 restoration evidence specifies residents of Pakhtaabad district and Jalal-Abad province under simplified conditions, not unrestricted all-nationality admission.
Direction: Both directions
Exceptions: Not established</x:v>
      </x:c>
      <x:c r="F441" s="4" t="str">
        <x:v>R3-SC-004-D1 — Observed operation
Ordinary pedestrian service at Madaniyat
Start: 2016-01-01 to 2016-12-31.
Observed scoped reopening: 2017-10-01.
Contested: dated evidence; numeric duration withheld; see qualification
Held evidence: excluded from numeric duration and animation displays.</x:v>
      </x:c>
      <x:c r="G441" s="4" t="str">
        <x:v>Uncoded / Unresolved rationale
Not assigned
Applies to: Not assigned
No additional motive inferred</x:v>
      </x:c>
      <x:c r="H441" s="4" t="str">
        <x:v>Reference only: Correction pass: reviewed; see attribute findings
R3-SC-004-D1: Year-level pedestrian onset and October 1 pedestrian reopening remain the historical bounds. Interfax reports a March 18, 2016 motor-post suspension attributed to repairs; contemporary 24.kg reporting places the action in a border-security confrontation. The same-scope link and eligibility as a deliberate admission prohibition rather than an excluded construction outage remain unresolved. Parent quarantined and this duration held from operational counts; no precise March 18 pedestrian onset is inferred. The 2017 customs account describes simplified pedestrian admission for residents of Pakhtaabad district and Jalal-Abad province from 07:00 to 19:00, with ceremonial delegations crossing both directions. It does not establish unrestricted all-nationality restoration. Kabar uses the motor-post name for that reopening, so different terminology alone does not prove different facilities.
eligibility/scope: Fresh sources leave unresolved whether the repair-related motor-post closure is the same continuing pedestrian restriction. Quarantine remains appropriate.
rationale: Repair explanation is attributable but does not establish a rationale within this taxonomy for the same scoped episode. Do not infer a territorial/security purpose from troop presence alone.
Current finding: Fresh Kyrgyz and Uzbek reports support the 2016 pedestrian closure and October 1 2017 local-resident reopening. March 18 reporting concerns the motor checkpoint during a security confrontation; its linkage to pedestrian service and repair-based exclusion remains unresolved. Preserve quarantine.</x:v>
      </x:c>
      <x:c r="I441" s="4" t="str">
        <x:v>Second full-register audit, 26 October 2026: qualified. The 2016 pedestrian restriction and October 2017 local-resident return are corroborated. Whether the motor-post repair suspension is the same qualifying episode remains unresolved.</x:v>
      </x:c>
      <x:c r="J441" s="18" t="d">
        <x:v>2026-10-26T00:00:00.000Z</x:v>
      </x:c>
      <x:c r="K441" s="21" t="str">
        <x:f>IFERROR(HYPERLINK("https://www.centralasian.org/a/28767487.html","RFE/RL Central Asian service"),"RFE/RL Central Asian service")</x:f>
        <x:v>RFE/RL Central Asian service</x:v>
      </x:c>
      <x:c r="L441" s="21" t="str">
        <x:f>IFERROR(HYPERLINK("https://gazeta.norma.uz/publish/doc/text136150_madaniyat_chegara_bojhona_posti_ochildi?paper=sbx","Norma / Andijan customs information service"),"Norma / Andijan customs information service")</x:f>
        <x:v>Norma / Andijan customs information service</x:v>
      </x:c>
      <x:c r="M441" s="21" t="str">
        <x:f>IFERROR(HYPERLINK("https://interfax.com/newsroom/top-stories/32925/","Interfax"),"Interfax")</x:f>
        <x:v>Interfax</x:v>
      </x:c>
      <x:c r="N441" s="4" t="str">
        <x:v>https://www.centralasian.org/a/28767487.html
https://gazeta.norma.uz/publish/doc/text136150_madaniyat_chegara_bojhona_posti_ochildi?paper=sbx
https://interfax.com/newsroom/top-stories/32925/
https://24.kg/archive/en/news-stall/179734-news24.html/
https://ru.archive.kabar.kg/news/kpp-madaniiat-avtodorozhnyi-na-kyrgyzsko-uzbekskoi-granitce-nachal-rabotat-v-uproshchennom-poriadke/
https://www.azattyqasia.org/a/28766865.html
https://24.kg/obschestvo/29379_rossiyskie_smi_kpp_madaniyat-avtodorojnyiy_v_kr_zakryit_v_svyazi_s_remontnyimi_rabotami/
https://www.azattyqasia.org/a/28767410.html
https://uz.sputniknews.ru/20160318/2055345.html
https://www.tandfonline.com/doi/full/10.1080/14650045.2025.2575986</x:v>
      </x:c>
      <x:c r="O441" s="4" t="str">
        <x:v>Second full-register audit source access, 26 October 2026
https://www.centralasian.org/a/28767487.html: full text (fresh retrieval)
https://gazeta.norma.uz/publish/doc/text136150_madaniyat_chegara_bojhona_posti_ochildi?paper=sbx: full text (fresh retrieval)
https://interfax.com/newsroom/top-stories/32925/: full text (fresh retrieval) — Same-scope linkage to pedestrian episode not established.
https://www.tandfonline.com/doi/full/10.1080/14650045.2025.2575986: search extract (fresh retrieval) — Full article blocked; extract does not establish closure cause.
Earlier URLs not separately inspected in this second assessment:
https://24.kg/archive/en/news-stall/179734-news24.html/
https://ru.archive.kabar.kg/news/kpp-madaniiat-avtodorozhnyi-na-kyrgyzsko-uzbekskoi-granitce-nachal-rabotat-v-uproshchennom-poriadke/
https://www.azattyqasia.org/a/28766865.html
https://24.kg/obschestvo/29379_rossiyskie_smi_kpp_madaniyat-avtodorojnyiy_v_kr_zakryit_v_svyazi_s_remontnyimi_rabotami/
https://www.azattyqasia.org/a/28767410.html
https://uz.sputniknews.ru/20160318/2055345.html
Prior audit access record
Full-register audit source access (evidence cutoff 25 October 2026)
https://www.centralasian.org/a/28767487.html: full text
https://gazeta.norma.uz/publish/doc/text136150_madaniyat_chegara_bojhona_posti_ochildi?paper=sbx: full text
https://interfax.com/newsroom/top-stories/32925/: full text
https://uz.sputniknews.ru/20160318/2055345.html: search extract — Same official origin, not independent confirmation
Earlier source URLs not separately listed in this audit’s retrieval log (historical access notes below are not fresh verification):
https://24.kg/archive/en/news-stall/179734-news24.html/
https://ru.archive.kabar.kg/news/kpp-madaniiat-avtodorozhnyi-na-kyrgyzsko-uzbekskoi-granitce-nachal-rabotat-v-uproshchennom-poriadke/
https://www.azattyqasia.org/a/28766865.html
https://24.kg/obschestvo/29379_rossiyskie_smi_kpp_madaniyat-avtodorojnyiy_v_kr_zakryit_v_svyazi_s_remontnyimi_rabotami/
https://www.azattyqasia.org/a/28767410.html
Earlier recorded access
Source 1: full text
Source 2: full text
Source 3: full text</x:v>
      </x:c>
      <x:c r="P441" s="20" t="n">
        <x:v>1</x:v>
      </x:c>
      <x:c r="Q441" s="4" t="str">
        <x:v>Central Asia and Caucasus</x:v>
      </x:c>
      <x:c r="R441" s="4" t="str">
        <x:v>Reference only (excluded)</x:v>
      </x:c>
    </x:row>
    <x:row r="442" ht="409" hidden="0" customHeight="1">
      <x:c r="A442" s="16" t="str">
        <x:v>R3-SC-005</x:v>
      </x:c>
      <x:c r="B442" s="4" t="str">
        <x:v>Baymak–Kasansay closure under Kyrgyz May 2016 decree</x:v>
      </x:c>
      <x:c r="C442" s="4" t="str">
        <x:v>Kyrgyzstan; Uzbekistan</x:v>
      </x:c>
      <x:c r="D442" s="4" t="str">
        <x:v>Baymak-Avtodorozhny / Kasansay
Persons, vehicles, goods and animals through Baymak</x:v>
      </x:c>
      <x:c r="E442" s="4" t="str">
        <x:v>Persons, vehicles, goods and animals through Baymak
Direction: Not separately established
Exceptions: At later19 September operation passenger cars and pedestrians permitted; trucks barred and hand baggage limited.</x:v>
      </x:c>
      <x:c r="F442" s="4" t="str">
        <x:v>R3-SC-005-D1 — Observed operation
Pedestrians and passenger cars at Baymak–Kasansay
Start: 2016-05-06 to 2016-05-31.
Observed scoped reopening: 2017-09-19.
476–501 calendar-day difference; scoped endpoint only</x:v>
      </x:c>
      <x:c r="G442" s="4" t="str">
        <x:v>Trade and protectionism / Customs and transport rules
Official instrument
Applies to: May 2016 decree-based Baymak suspension
EAEU-compliance border-control arrangement is the documented purpose/content; not evidence of protectionist intent.</x:v>
      </x:c>
      <x:c r="H442" s="4" t="str">
        <x:v>R3-SC-005-D1: May 6–31 remains an operational-onset uncertainty range, not a decree-day assumption. Decree No. 231 requires effectiveness fifteen days after publication; contemporary Toktom bulletin dates legal effectiveness May 25. Actual implementation day remains unknown. September 16 permission preceded September 19 limited operation; trucks stayed excluded.</x:v>
      </x:c>
      <x:c r="I442" s="4" t="str">
        <x:v>Second full-register audit, 26 October 2026: qualified. The May 2016 Baymak suspension and actual limited pedestrian/car return on 19 September 2017 remain supported. Legal permission on 16 September was earlier than operation.</x:v>
      </x:c>
      <x:c r="J442" s="18" t="d">
        <x:v>2026-10-26T00:00:00.000Z</x:v>
      </x:c>
      <x:c r="K442" s="21" t="str">
        <x:f>IFERROR(HYPERLINK("https://knews.kg/2017/09/16/kpp-bajmak-avtodorozhnyj-na-kyrgyzsko-uzbekskoj-granitse-snova-rabotaet-v-uproshhennom-poryadke/","K-News"),"K-News")</x:f>
        <x:v>K-News</x:v>
      </x:c>
      <x:c r="L442" s="21" t="str">
        <x:f>IFERROR(HYPERLINK("https://www.azattyqasia.org/a/28748620.html","Azattyk / RFE-RL"),"Azattyk / RFE-RL")</x:f>
        <x:v>Azattyk / RFE-RL</x:v>
      </x:c>
      <x:c r="M442" s="21" t="str">
        <x:f>IFERROR(HYPERLINK("https://www.gov.kg/ru/npa/s/1176","gov.kg"),"gov.kg")</x:f>
        <x:v>gov.kg</x:v>
      </x:c>
      <x:c r="N442" s="4" t="str">
        <x:v>https://knews.kg/2017/09/16/kpp-bajmak-avtodorozhnyj-na-kyrgyzsko-uzbekskoj-granitse-snova-rabotaet-v-uproshhennom-poryadke/
https://www.azattyqasia.org/a/28748620.html
https://www.gov.kg/ru/npa/s/1176
https://subscribe.ru/archive/socio.state.toktom544323/201605/24130832.html/
https://www.azattyqasia.org/a/28738764.html
https://www.azattyqasia.org/a/28744061.html
https://24.kg/english/62911_sheckpoint_on_Kyrgyz-Uzbek_border_starts_working_under_simplified_procedure/</x:v>
      </x:c>
      <x:c r="O442" s="4" t="str">
        <x:v>Second full-register audit source access, 26 October 2026
https://knews.kg/2017/09/16/kpp-bajmak-avtodorozhnyj-na-kyrgyzsko-uzbekskoj-granitse-snova-rabotaet-v-uproshhennom-poryadke/: full text (fresh retrieval)
https://www.azattyqasia.org/a/28748620.html: full text (fresh retrieval)
https://24.kg/english/62911_sheckpoint_on_Kyrgyz-Uzbek_border_starts_working_under_simplified_procedure/: full text (fresh retrieval)
https://subscribe.ru/archive/socio.state.toktom544323/201605/24130832.html/: search extract (previously retrieved text re-examined) — Indexed text only; operative fifteen-day clause not independently retrieved this round.
https://www.gov.kg/ru/npa/s/1176: inaccessible (fresh retrieval) — Timeout; exact operative wording not independently re-read.
Earlier URLs not separately inspected in this second assessment:
https://www.azattyqasia.org/a/28738764.html
https://www.azattyqasia.org/a/28744061.html
Prior audit access record
Full-register audit source access (evidence cutoff 25 October 2026)
https://knews.kg/2017/09/16/kpp-bajmak-avtodorozhnyj-na-kyrgyzsko-uzbekskoj-granitse-snova-rabotaet-v-uproshhennom-poryadke/: full text
https://www.azattyqasia.org/a/28748620.html: full text
https://www.gov.kg/ru/npa/s/1176: inaccessible — Repeated timeout
https://subscribe.ru/archive/socio.state.toktom544323/201605/24130832.html/: search extract — Substantive indexed text inspected; direct later retrieval failed
Earlier source URLs not separately listed in this audit’s retrieval log (historical access notes below are not fresh verification):
https://www.azattyqasia.org/a/28738764.html
https://www.azattyqasia.org/a/28744061.html
https://24.kg/english/62911_sheckpoint_on_Kyrgyz-Uzbek_border_starts_working_under_simplified_procedure/
Earlier recorded access
Source 1: full page
Source 2: full text
Source 3: access detail is retained in the source catalogue.</x:v>
      </x:c>
      <x:c r="P442" s="20" t="n">
        <x:v>1</x:v>
      </x:c>
      <x:c r="Q442" s="4" t="str">
        <x:v>Central Asia and Caucasus</x:v>
      </x:c>
      <x:c r="R442" s="4" t="str">
        <x:v>Included</x:v>
      </x:c>
    </x:row>
    <x:row r="443" ht="409" hidden="0" customHeight="1">
      <x:c r="A443" s="16" t="str">
        <x:v>R3-SC-006</x:v>
      </x:c>
      <x:c r="B443" s="4" t="str">
        <x:v>Dostuk ordinary-travel restriction lifted in September 2017</x:v>
      </x:c>
      <x:c r="C443" s="4" t="str">
        <x:v>Kyrgyzstan; Uzbekistan</x:v>
      </x:c>
      <x:c r="D443" s="4" t="str">
        <x:v>Dostuk / Dustlik, Osh–Andijan
Ordinary travellers lacking documentary proof of qualifying family events</x:v>
      </x:c>
      <x:c r="E443" s="4" t="str">
        <x:v>Ordinary travellers lacking documentary proof of qualifying family events
Direction: Entry to Uzbekistan by Kyrgyz citizens/local travellers documented
Exceptions: Qualifying family-event travellers could enter before relaxation.</x:v>
      </x:c>
      <x:c r="F443" s="4" t="str">
        <x:v>R3-SC-006-FU1 — Formal policy, with observed scoped easing
Dostuk admission-document condition for Kyrgyz citizens entering Uzbekistan.
Start: unknown; retrospective 2000 and 2010 claims conflict.
Policy endpoint: 2017-09-06 to 2017-09-07.
Observed passport-only passage: 2017-09-06.
The prolonged restriction exceeds 24 hours; exact continuous duration is not established.</x:v>
      </x:c>
      <x:c r="G443" s="4" t="str">
        <x:v>Uncoded / Unresolved rationale
Not assigned
Applies to: Not assigned
No additional motive inferred</x:v>
      </x:c>
      <x:c r="H443" s="4" t="str">
        <x:v>The September 6 Kabar correspondent explicitly observed small numbers crossing in both directions with passports and no telegram. This supplies an operational easing date, while the ambassador’s September 7 statement retains a different formal effective-day account. Retrospective onset claims of 2000 and 2010 remain unresolved. Contemporary July 2012 reporting already described a special-invitation regime before a separate temporary tightening. An August 12, 2013 Border Service account documents a conditional-admission spell from August 9 at 08:00, with family-event invitations and air-transit exceptions and unrestricted third-country nationals. These earlier observations establish that conditional admission predates 2017 and that qualifying spells exceeded 24 hours; they do not prove uninterrupted identical conditions throughout 2012–2017. The cause of the longstanding regime remains unassigned; the 2013 independence-day explanation is specific to that announced spell.</x:v>
      </x:c>
      <x:c r="I443" s="4" t="str">
        <x:v>Second full-register audit, 26 October 2026: additional source-audited corrections incorporated. See the phase, scope and qualification columns for the accepted findings.</x:v>
      </x:c>
      <x:c r="J443" s="18" t="d">
        <x:v>2026-10-26T00:00:00.000Z</x:v>
      </x:c>
      <x:c r="K443" s="21" t="str">
        <x:f>IFERROR(HYPERLINK("https://www.gov.kg/ru/post/s/russkiy-vitse-premer-ministr-duyshenbek-zilaliev-s-segodnyashnego-dnya-kpp-dostuk-avtodorozhnyiy-vozobnovlyaet-rabotu-v-kruglosutochnom-rezhime-i-v-uproshhennom-poryadke","gov.kg"),"gov.kg")</x:f>
        <x:v>gov.kg</x:v>
      </x:c>
      <x:c r="L443" s="21" t="str">
        <x:f>IFERROR(HYPERLINK("https://en.archive.kabar.kg/news/ambassador-kyrgyz-citizens-are-able-to-enter-uzbekistan-without-restrictions-through-dostuk-checkpoint/","Kabar"),"Kabar")</x:f>
        <x:v>Kabar</x:v>
      </x:c>
      <x:c r="M443" s="21" t="str">
        <x:f>IFERROR(HYPERLINK("https://uztag.info/ru/news/kpp-dostuk-avtodorozhnyy-na-kyrgyzsko-uzbekskoy-granitse-vozobnovlyaet-rabotu-v-kruglosutochnom-rezhime","UzTAG"),"UzTAG")</x:f>
        <x:v>UzTAG</x:v>
      </x:c>
      <x:c r="N443" s="4" t="str">
        <x:v>https://www.gov.kg/ru/post/s/russkiy-vitse-premer-ministr-duyshenbek-zilaliev-s-segodnyashnego-dnya-kpp-dostuk-avtodorozhnyiy-vozobnovlyaet-rabotu-v-kruglosutochnom-rezhime-i-v-uproshhennom-poryadke
https://en.archive.kabar.kg/news/ambassador-kyrgyz-citizens-are-able-to-enter-uzbekistan-without-restrictions-through-dostuk-checkpoint/
https://uztag.info/ru/news/kpp-dostuk-avtodorozhnyy-na-kyrgyzsko-uzbekskoy-granitse-vozobnovlyaet-rabotu-v-kruglosutochnom-rezhime
https://24.kg/obschestvo/66866_kpp_dostuk_ivslujbu_ivdrujbu/amp/
https://cabar.asia/en/commodity-turnover-at-dostuk-checkpoint-silence-boom-decline
https://kloop.kg/blog/2017/09/06/otkrytie-kpp-dostuk-kyrgyzstan-i-uzbekistan-oslabili-kontrol-na-granitse/
https://subscribe.ru/archive/news.world.turkestan/201709/08090202.html/
https://www.rferl.org/a/kyrgyzstan-uzbekistan-major-border-checkpoint-reopened/28720427.html
https://ru.archive.kabar.kg/news/v-oshe-na-kyrgyzsko-uzbekskoi-granitce-ofitcial-no-otkrylsia-kpp-dostuk/
https://vesti.kg/obshchestvo/item/47636-propusknoy-punkt-dostuk-rabotaet-v-obyichnom-rezhime.html
https://24.kg/obschestvo/66866_kpp_dostuk_ivslujbu_ivdrujbu/
https://www.azattyqasia.org/a/28721899.html
https://www.azattyqasia.org/a/kyrgyzstan_osh_dostuk/24652065.html
https://www.azattyqasia.org/a/25072773.html</x:v>
      </x:c>
      <x:c r="O443" s="4" t="str">
        <x:v>Second full-register audit source access, 26 October 2026
https://en.archive.kabar.kg/news/ambassador-kyrgyz-citizens-are-able-to-enter-uzbekistan-without-restrictions-through-dostuk-checkpoint/: full text (fresh retrieval)
https://ru.archive.kabar.kg/news/v-oshe-na-kyrgyzsko-uzbekskoi-granitce-ofitcial-no-otkrylsia-kpp-dostuk/: full text (fresh retrieval)
https://kloop.kg/blog/2017/09/06/otkrytie-kpp-dostuk-kyrgyzstan-i-uzbekistan-oslabili-kontrol-na-granitse/: full text (fresh retrieval) — Retrospective chronology, not exact continuous onset.
https://www.azattyqasia.org/a/kyrgyzstan_osh_dostuk/24652065.html: full text (fresh retrieval) — Not evidence of uniform continuous conditions through 2017.
https://www.azattyqasia.org/a/25072773.html: full text (fresh retrieval)
Earlier URLs not separately inspected in this second assessment:
https://www.gov.kg/ru/post/s/russkiy-vitse-premer-ministr-duyshenbek-zilaliev-s-segodnyashnego-dnya-kpp-dostuk-avtodorozhnyiy-vozobnovlyaet-rabotu-v-kruglosutochnom-rezhime-i-v-uproshhennom-poryadke
https://uztag.info/ru/news/kpp-dostuk-avtodorozhnyy-na-kyrgyzsko-uzbekskoy-granitse-vozobnovlyaet-rabotu-v-kruglosutochnom-rezhime
https://24.kg/obschestvo/66866_kpp_dostuk_ivslujbu_ivdrujbu/amp/
https://cabar.asia/en/commodity-turnover-at-dostuk-checkpoint-silence-boom-decline
https://subscribe.ru/archive/news.world.turkestan/201709/08090202.html/
https://www.rferl.org/a/kyrgyzstan-uzbekistan-major-border-checkpoint-reopened/28720427.html
https://vesti.kg/obshchestvo/item/47636-propusknoy-punkt-dostuk-rabotaet-v-obyichnom-rezhime.html
https://24.kg/obschestvo/66866_kpp_dostuk_ivslujbu_ivdrujbu/
https://www.azattyqasia.org/a/28721899.html
Prior audit access record
Full-register audit source access (evidence cutoff 25 October 2026)
https://www.gov.kg/ru/post/s/russkiy-vitse-premer-ministr-duyshenbek-zilaliev-s-segodnyashnego-dnya-kpp-dostuk-avtodorozhnyiy-vozobnovlyaet-rabotu-v-kruglosutochnom-rezhime-i-v-uproshhennom-poryadke: search extract — Direct timeout; indexed text; date conflict retained
https://en.archive.kabar.kg/news/ambassador-kyrgyz-citizens-are-able-to-enter-uzbekistan-without-restrictions-through-dostuk-checkpoint/: full text — 2000 retrospective conflicts with government 2010
Earlier source URLs not separately listed in this audit’s retrieval log (historical access notes below are not fresh verification):
https://uztag.info/ru/news/kpp-dostuk-avtodorozhnyy-na-kyrgyzsko-uzbekskoy-granitse-vozobnovlyaet-rabotu-v-kruglosutochnom-rezhime
https://24.kg/obschestvo/66866_kpp_dostuk_ivslujbu_ivdrujbu/amp/
https://cabar.asia/en/commodity-turnover-at-dostuk-checkpoint-silence-boom-decline
https://kloop.kg/blog/2017/09/06/otkrytie-kpp-dostuk-kyrgyzstan-i-uzbekistan-oslabili-kontrol-na-granitse/
https://subscribe.ru/archive/news.world.turkestan/201709/08090202.html/
https://www.rferl.org/a/kyrgyzstan-uzbekistan-major-border-checkpoint-reopened/28720427.html
https://ru.archive.kabar.kg/news/v-oshe-na-kyrgyzsko-uzbekskoi-granitce-ofitcial-no-otkrylsia-kpp-dostuk/
https://vesti.kg/obshchestvo/item/47636-propusknoy-punkt-dostuk-rabotaet-v-obyichnom-rezhime.html
https://24.kg/obschestvo/66866_kpp_dostuk_ivslujbu_ivdrujbu/
https://www.azattyqasia.org/a/28721899.html
Earlier recorded access
Source 1: indexed excerpt
Source 2: full
Source 3: full</x:v>
      </x:c>
      <x:c r="P443" s="20" t="n">
        <x:v>1</x:v>
      </x:c>
      <x:c r="Q443" s="4" t="str">
        <x:v>Central Asia and Caucasus</x:v>
      </x:c>
      <x:c r="R443" s="4" t="str">
        <x:v>Included</x:v>
      </x:c>
    </x:row>
    <x:row r="444" ht="409" hidden="0" customHeight="1">
      <x:c r="A444" s="16" t="str">
        <x:v>R3-SC-009</x:v>
      </x:c>
      <x:c r="B444" s="4" t="str">
        <x:v>Afghan–Iran TIR transit restrictions during July 2021 conflict</x:v>
      </x:c>
      <x:c r="C444" s="4" t="str">
        <x:v>Afghanistan; Iran</x:v>
      </x:c>
      <x:c r="D444" s="4" t="str">
        <x:v>Islam Qala / Dogharoun; Abu Nasr Farahi / Mahiroud; Milak / Zaranj
International transit under TIR; T2 additionally documented at Islam Qala</x:v>
      </x:c>
      <x:c r="E444" s="4" t="str">
        <x:v>International transit under TIR; T2 additionally documented at Islam Qala
Direction: Not separately established
Exceptions: July 27 bulletin describes Milak as open except international transit to Tajikistan under TIR; broader July 28 wording leaves the category transition unresolved.</x:v>
      </x:c>
      <x:c r="F444" s="4" t="str">
        <x:v>R3-SC-009-FU1 — Formal policy
Milak border transit bound for Tajikistan under TIR
Start: unknown.
Last confirmed: 2021-07-27. Reopening is not established.
Formal policy: dated evidence; numeric duration withheld; see qualification</x:v>
      </x:c>
      <x:c r="G444"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44" s="4" t="str">
        <x:v>R3-SC-009-FU1: Dated policy status only; unknown start/end. General freight and other TIR destinations are not declared closed. July 28 wording remains unreconciled.
scope/continuity: Distinct bulletin wording remains unresolved; no original ACCI clarification or operator log found.
Current continuity finding: No evidence establishes uninterrupted enforcement between the dated observations or actual lifting of an announced order.
duration: The narrower July 27 Tajikistan-bound restriction can be represented at that date without extending it across the broader July 28 list.
Current continuity finding: No evidence establishes uninterrupted enforcement between the dated observations or actual lifting of an announced order.
onset: July 27 IRU/ACCI entry expressly says Milak remained open except international transit destined for Tajikistan. July 28 generic closed-office list differs. Preserve a dated policy observation with unknown start/end and destination-specific scope.</x:v>
      </x:c>
      <x:c r="I444" s="4" t="str">
        <x:v>Second full-register audit, 26 October 2026: qualified. Fresh UNECE indexed bulletins reproduce the narrowly scoped July 27 Milak restriction and broader July 28 wording; their relationship remains unreconciled.</x:v>
      </x:c>
      <x:c r="J444" s="18" t="d">
        <x:v>2026-10-26T00:00:00.000Z</x:v>
      </x:c>
      <x:c r="K444" s="21" t="str">
        <x:f>IFERROR(HYPERLINK("https://wiki.unece.org/pages/viewpage.action?navigatingVersions=true&amp;pageId=166723685","UNECE"),"UNECE")</x:f>
        <x:v>UNECE</x:v>
      </x:c>
      <x:c r="L444" s="21" t="str">
        <x:f>IFERROR(HYPERLINK("https://wiki.unece.org/pages/viewpage.action?navigatingVersions=true&amp;pageId=172852545","UNECE/IRU"),"UNECE/IRU")</x:f>
        <x:v>UNECE/IRU</x:v>
      </x:c>
      <x:c r="M444" s="21" t="str">
        <x:f>IFERROR(HYPERLINK("https://iranpress.com/content/45124/milak-border-crossing-between-iran-afghanistan-reopens","Iran Press"),"Iran Press")</x:f>
        <x:v>Iran Press</x:v>
      </x:c>
      <x:c r="N444" s="4" t="str">
        <x:v>https://wiki.unece.org/pages/viewpage.action?navigatingVersions=true&amp;pageId=166723685
https://wiki.unece.org/pages/viewpage.action?navigatingVersions=true&amp;pageId=172852545
https://iranpress.com/content/45124/milak-border-crossing-between-iran-afghanistan-reopens
https://wiki.unece.org/pages/viewpage.action?navigatingVersions=true&amp;pageId=136446653
https://www.government.nl/site/binaries/site-content/collections/documents/2022/03/28/country-of-origin-information-report-afghanistan-march-2022/afghanistan-aab-2022-en.pdf
https://wiki.unece.org/spaces/CTRBSBC/pages/101548399/Afghanistan
https://wiki.unece.org/pages/viewpage.action?navigatingVersions=true&amp;pageId=136446306
https://wiki.unece.org/plugins/viewsource/viewpagesrc.action?pageId=166723685
https://wiki.unece.org/pages/viewpage.action?navigatingVersions=true&amp;pageId=177242625</x:v>
      </x:c>
      <x:c r="O444" s="4" t="str">
        <x:v>Second full-register audit source access, 26 October 2026
https://wiki.unece.org/pages/viewpage.action?navigatingVersions=true&amp;pageId=177242625: search extract (fresh retrieval) — Direct versions return 403; no original ACCI clarification.
https://wiki.unece.org/pages/viewpage.action?navigatingVersions=true&amp;pageId=166723685: inaccessible (fresh retrieval) — 403.
https://iranpress.com/content/45124/milak-border-crossing-between-iran-afghanistan-reopens: inaccessible (fresh retrieval) — 502; cannot substantiate a TIR endpoint.
Earlier URLs not separately inspected in this second assessment:
https://wiki.unece.org/pages/viewpage.action?navigatingVersions=true&amp;pageId=172852545
https://wiki.unece.org/pages/viewpage.action?navigatingVersions=true&amp;pageId=136446653
https://www.government.nl/site/binaries/site-content/collections/documents/2022/03/28/country-of-origin-information-report-afghanistan-march-2022/afghanistan-aab-2022-en.pdf
https://wiki.unece.org/spaces/CTRBSBC/pages/101548399/Afghanistan
https://wiki.unece.org/pages/viewpage.action?navigatingVersions=true&amp;pageId=136446306
https://wiki.unece.org/plugins/viewsource/viewpagesrc.action?pageId=166723685
Prior audit access record
Full-register audit source access (evidence cutoff 25 October 2026)
https://wiki.unece.org/pages/viewpage.action?navigatingVersions=true&amp;pageId=136446653: search extract — Direct fetch 403; substantive indexed bulletin
https://wiki.unece.org/pages/viewpage.action?navigatingVersions=true&amp;pageId=166723685: search extract — Unreconciled change in wording
https://iranpress.com/content/45124/milak-border-crossing-between-iran-afghanistan-reopens: inaccessible — 502
Earlier source URLs not separately listed in this audit’s retrieval log (historical access notes below are not fresh verification):
https://wiki.unece.org/pages/viewpage.action?navigatingVersions=true&amp;pageId=172852545
https://www.government.nl/site/binaries/site-content/collections/documents/2022/03/28/country-of-origin-information-report-afghanistan-march-2022/afghanistan-aab-2022-en.pdf
https://wiki.unece.org/spaces/CTRBSBC/pages/101548399/Afghanistan
https://wiki.unece.org/pages/viewpage.action?navigatingVersions=true&amp;pageId=136446306
https://wiki.unece.org/plugins/viewsource/viewpagesrc.action?pageId=166723685
Earlier recorded access
Source 1: failed
Source 2: indexed excerpt
Source 3: indexed excerpt; failed</x:v>
      </x:c>
      <x:c r="P444" s="20" t="n">
        <x:v>1</x:v>
      </x:c>
      <x:c r="Q444" s="4" t="str">
        <x:v>Central Asia and Caucasus</x:v>
      </x:c>
      <x:c r="R444" s="4" t="str">
        <x:v>Included</x:v>
      </x:c>
    </x:row>
    <x:row r="445" ht="378" hidden="0" customHeight="1">
      <x:c r="A445" s="16" t="str">
        <x:v>R3-EA-001</x:v>
      </x:c>
      <x:c r="B445" s="4" t="str">
        <x:v>Intermittent Laos–Cambodia crossing closure during outpost dispute</x:v>
      </x:c>
      <x:c r="C445" s="4" t="str">
        <x:v>Laos; Cambodia</x:v>
      </x:c>
      <x:c r="D445" s="4" t="str">
        <x:v>Voen Kham / Stung Treng border area; second report names Trapaing Kriel</x:v>
      </x:c>
      <x:c r="E445" s="4" t="str">
        <x:v>Crossing users; finer categories unreported
Direction: Crossing closure; direction unreported
Exceptions: Not established</x:v>
      </x:c>
      <x:c r="F445" s="4" t="str">
        <x:v>R3-EA-001-R1 — Intermittent regime
Crossing called Voen Kham by Phnom Penh Post local officials; Trapaing Kriel naming in other report unresolved
Start: 2017-04-02.
Scoped endpoint: 2017-04-03.
Intermittent regime envelope; total closed days unknown</x:v>
      </x:c>
      <x:c r="G445"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Interstate disputes and pressure / Territorial and frontier disputes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45" s="4" t="str">
        <x:v>R3-EA-001-R1: Attributed local-official intermittent regime April 2–3; open by April 3 interview, exact closure lengths and first/last times unknown. Commander denies closure and Voen Kham/Trapaing Kriel naming unresolved. Not two complete closed days. Post inspected through index after direct 403; Cambodia Daily read fully.
scope: Crossing naming differs.
continuity: The freshly indexed Phnom Penh Post account says closure on April 2 and intermittently April 3, while Cambodia Daily records a commander denying closure and a provincial spokesman confirming Trapaing Kriel. The timing is recoverable but the source disagreement and crossing-name attribution remain material; this is a contested intermittent episode.</x:v>
      </x:c>
      <x:c r="I445" s="4" t="str">
        <x:v>Second full-register audit, 26 October 2026: qualified. Fresh excerpts sustain an intermittent, contested April 2–3 episode; April 5 de-escalation is not a reopening date.</x:v>
      </x:c>
      <x:c r="J445" s="18" t="d">
        <x:v>2026-10-26T00:00:00.000Z</x:v>
      </x:c>
      <x:c r="K445" s="21" t="str">
        <x:f>IFERROR(HYPERLINK("https://www.phnompenhpost.com/national/laos-cambodia-border-closed-over-tensions","Phnom Penh Post"),"Phnom Penh Post")</x:f>
        <x:v>Phnom Penh Post</x:v>
      </x:c>
      <x:c r="L445" s="21" t="str">
        <x:f>IFERROR(HYPERLINK("https://english.cambodiadaily.com/2017/04/06/military-tension-on-laos-border-de-escalated-for-khmer-new-year/","Cambodia Daily"),"Cambodia Daily")</x:f>
        <x:v>Cambodia Daily</x:v>
      </x:c>
      <x:c r="M445" s="21" t="str">
        <x:f>IFERROR(HYPERLINK("https://opendevelopmentmekong.net/news/laos-cambodia-border-closed-over-tensions/","opendevelopmentmekong.net"),"opendevelopmentmekong.net")</x:f>
        <x:v>opendevelopmentmekong.net</x:v>
      </x:c>
      <x:c r="N445" s="4" t="str">
        <x:v>https://www.phnompenhpost.com/national/laos-cambodia-border-closed-over-tensions
https://english.cambodiadaily.com/2017/04/06/military-tension-on-laos-border-de-escalated-for-khmer-new-year/
https://opendevelopmentmekong.net/news/laos-cambodia-border-closed-over-tensions/
https://m.phnompenhpost.com/national/laos-cambodia-border-closed-over-tensions</x:v>
      </x:c>
      <x:c r="O445" s="4" t="str">
        <x:v>Second full-register audit source access, 26 October 2026
https://english.cambodiadaily.com/2017/04/06/military-tension-on-laos-border-de-escalated-for-khmer-new-year/: full text (fresh retrieval)
https://opendevelopmentmekong.net/news/laos-cambodia-border-closed-over-tensions/: full text (fresh retrieval) — Reproduced article excerpt, not an independent reporting origin.
https://www.phnompenhpost.com/national/laos-cambodia-border-closed-over-tensions: inaccessible (fresh retrieval) — Direct 403.
Earlier URLs not separately inspected in this second assessment:
https://m.phnompenhpost.com/national/laos-cambodia-border-closed-over-tensions
Prior audit access record
Full-register audit source access (evidence cutoff 25 October 2026)
https://www.phnompenhpost.com/national/laos-cambodia-border-closed-over-tensions: inaccessible — 403 response; recovered substantive mobile index.
https://m.phnompenhpost.com/national/laos-cambodia-border-closed-over-tensions: search extract
https://english.cambodiadaily.com/2017/04/06/military-tension-on-laos-border-de-escalated-for-khmer-new-year/: full text
Earlier source URLs not separately listed in this audit’s retrieval log (historical access notes below are not fresh verification):
https://opendevelopmentmekong.net/news/laos-cambodia-border-closed-over-tensions/
Earlier recorded access
Source 1: indexed excerpt; failed
Source 2: indexed excerpt; full
Source 3: access detail is retained in the source catalogue.</x:v>
      </x:c>
      <x:c r="P445" s="20" t="n">
        <x:v>1</x:v>
      </x:c>
      <x:c r="Q445" s="4" t="str">
        <x:v>East and Southeast Asia and Oceania</x:v>
      </x:c>
      <x:c r="R445" s="4" t="str">
        <x:v>Included</x:v>
      </x:c>
    </x:row>
    <x:row r="446" ht="378" hidden="0" customHeight="1">
      <x:c r="A446" s="16" t="str">
        <x:v>R3-EA-002</x:v>
      </x:c>
      <x:c r="B446" s="4" t="str">
        <x:v>Skouw–Wutung security closures amid Papua unrest and border gunfire</x:v>
      </x:c>
      <x:c r="C446" s="4" t="str">
        <x:v>Indonesia; Papua New Guinea</x:v>
      </x:c>
      <x:c r="D446" s="4" t="str">
        <x:v>Skouw–Wutung</x:v>
      </x:c>
      <x:c r="E446" s="4" t="str">
        <x:v>Public crossing and border-market access
Direction: Both-way public crossing restriction
Exceptions: Not established</x:v>
      </x:c>
      <x:c r="F446" s="4" t="str">
        <x:v>R3-EA-002-D1 — Observed operation
Skouw–Wutung public passage in the October gunfire-related closure segment
Start: 2019-10-01.
Last confirmed closure: 2019-10-06. Later ordinary passenger access confirmed during January 2020 (month precision; by 2020-01-31).
confirmed through 2019-10-06; at least 5 calendar-day difference; exact reopening unknown. January 2020 passenger counts establish later access, not continuous closure until that month.</x:v>
      </x:c>
      <x:c r="G446" s="4" t="str">
        <x:v>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46" s="4" t="str">
        <x:v>R3-EA-002-D1: Retain the conservative October 1–6, 2019 security-closure segment. September closure references and the announced October 3 reopening conflict with the October 6 continued-closure report; none should be treated as a complete operational chronology.
A March 18, 2020 Medcom report quotes Skouw official Mathilda Pusung giving January 2020 passenger totals: passport and border-pass arrivals and departures. Those counts establish later public crossing during January 2020, so use January 31 only as a conservative month-precision upper bound. This does not assert that the crossing remained open on January 31: a separate COVID closure began late that month. Exact 2019 reopening and intervening continuity remain unknown.</x:v>
      </x:c>
      <x:c r="I446" s="4" t="str">
        <x:v>Second full-register audit, 26 October 2026: qualified. The conservative October 1–6, 2019 security segment and January 2020 later passenger-access bound remain justified despite conflicting September references and an October 3 reopening plan.</x:v>
      </x:c>
      <x:c r="J446" s="18" t="d">
        <x:v>2026-10-26T00:00:00.000Z</x:v>
      </x:c>
      <x:c r="K446" s="21" t="str">
        <x:f>IFERROR(HYPERLINK("https://en.antaranews.com/news/134212/ri-png-border-remains-closed-for-security-reason","Antara"),"Antara")</x:f>
        <x:v>Antara</x:v>
      </x:c>
      <x:c r="L446" s="21" t="str">
        <x:f>IFERROR(HYPERLINK("https://en.antaranews.com/news/133912/indonesias-skouw-wutung-border-post-temporarily-closed-mily","Antara"),"Antara")</x:f>
        <x:v>Antara</x:v>
      </x:c>
      <x:c r="M446" s="21" t="str">
        <x:f>IFERROR(HYPERLINK("https://daerah.sindonews.com/berita/1445055/174/pascapenembakan-opm-perbatasan-ri-png-di-skouw-dibuka-besok","SINDOnews"),"SINDOnews")</x:f>
        <x:v>SINDOnews</x:v>
      </x:c>
      <x:c r="N446" s="4" t="str">
        <x:v>https://en.antaranews.com/news/134212/ri-png-border-remains-closed-for-security-reason
https://en.antaranews.com/news/133912/indonesias-skouw-wutung-border-post-temporarily-closed-mily
https://daerah.sindonews.com/berita/1445055/174/pascapenembakan-opm-perbatasan-ri-png-di-skouw-dibuka-besok
https://www.medcom.id/nasional/daerah/PNgW45PN-ekonomi-di-lintas-batas-ri-png-mati-suri</x:v>
      </x:c>
      <x:c r="O446" s="4" t="str">
        <x:v>Second full-register audit source access, 26 October 2026
https://en.antaranews.com/news/134212/ri-png-border-remains-closed-for-security-reason: full text (fresh retrieval) — September 24 reference differs from October 1 account.
https://en.antaranews.com/news/133912/indonesias-skouw-wutung-border-post-temporarily-closed-mily: full text (previously retrieved text re-examined) — Cached actual article inspected.
https://daerah.sindonews.com/berita/1445055/174/pascapenembakan-opm-perbatasan-ri-png-di-skouw-dibuka-besok: search extract (fresh retrieval) — Forecast only; inconsistent September date in body.
https://www.medcom.id/nasional/daerah/PNgW45PN-ekonomi-di-lintas-batas-ri-png-mati-suri: full text (previously retrieved text re-examined) — Cached actual text inspected; January counts retrospectively supplied by named official.
Prior audit access record
Full-register audit source access (evidence cutoff 25 October 2026)
https://en.antaranews.com/news/133912/indonesias-skouw-wutung-border-post-temporarily-closed-mily: full text — See specific claim qualifications.
https://en.antaranews.com/news/134212/ri-png-border-remains-closed-for-security-reason: full text — See specific claim qualifications.
https://daerah.sindonews.com/berita/1445055/174/pascapenembakan-opm-perbatasan-ri-png-di-skouw-dibuka-besok: search extract — See specific claim qualifications.
https://www.medcom.id/nasional/daerah/PNgW45PN-ekonomi-di-lintas-batas-ri-png-mati-suri: full text — See specific claim qualifications.
Earlier recorded access
Source 1: full text
Source 2: full text
Source 3: indexed extract</x:v>
      </x:c>
      <x:c r="P446" s="20" t="n">
        <x:v>1</x:v>
      </x:c>
      <x:c r="Q446" s="4" t="str">
        <x:v>East and Southeast Asia and Oceania</x:v>
      </x:c>
      <x:c r="R446" s="4" t="str">
        <x:v>Included</x:v>
      </x:c>
    </x:row>
    <x:row r="447" ht="409" hidden="0" customHeight="1">
      <x:c r="A447" s="16" t="str">
        <x:v>R3-EA-005</x:v>
      </x:c>
      <x:c r="B447" s="4" t="str">
        <x:v>Gashuunsukhait–Ganqimaodu coal-export closure in first COVID wave</x:v>
      </x:c>
      <x:c r="C447" s="4" t="str">
        <x:v>Mongolia; China</x:v>
      </x:c>
      <x:c r="D447" s="4" t="str">
        <x:v>Gashuunsukhait–Ganqimaodu</x:v>
      </x:c>
      <x:c r="E447" s="4" t="str">
        <x:v>Mongolian coal-export trucks
Direction: Mongolia to China
Exceptions: Other transport categories not determined.</x:v>
      </x:c>
      <x:c r="F447" s="4" t="str">
        <x:v>R3-EA-005-D1 — Observed operation
Gashuunsukhait–Ganqimaodu; Mongolian coal-export trucks; Mongolia to China
Start: 2020-02-11.
Observed scoped reopening: 2020-03-23.
41 calendar-day difference; scoped endpoint only</x:v>
      </x:c>
      <x:c r="G44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47" s="4" t="str">
        <x:v>R3-EA-005-D1: Expected March 2 restart did not establish an endpoint; post-restart health controls persisted. Other transport categories not determined.</x:v>
      </x:c>
      <x:c r="I447" s="4" t="str">
        <x:v>Second full-register audit, 26 October 2026: qualified. The Gashuunsukhait coal-export suspension ended with reported March 23, 2020 resumption, not the earlier anticipated March 2 date.</x:v>
      </x:c>
      <x:c r="J447" s="18" t="d">
        <x:v>2026-10-26T00:00:00.000Z</x:v>
      </x:c>
      <x:c r="K447" s="21" t="str">
        <x:f>IFERROR(HYPERLINK("https://www.spglobal.com/energy/en/news-research/latest-news/coal/022020-mongolia-china-borders-for-coking-coal-exports-to-reopen-march-2-sources","S&amp;P Global Platts"),"S&amp;P Global Platts")</x:f>
        <x:v>S&amp;P Global Platts</x:v>
      </x:c>
      <x:c r="L447" s="21" t="str">
        <x:f>IFERROR(HYPERLINK("https://en.imsilkroad.com/p/312393.html","Xinhua Silk Road"),"Xinhua Silk Road")</x:f>
        <x:v>Xinhua Silk Road</x:v>
      </x:c>
      <x:c r="M447" s="21" t="str">
        <x:f>IFERROR(HYPERLINK("https://www.ubpost.mn/a/11839","The UB Post"),"The UB Post")</x:f>
        <x:v>The UB Post</x:v>
      </x:c>
      <x:c r="N447" s="4" t="str">
        <x:v>https://www.spglobal.com/energy/en/news-research/latest-news/coal/022020-mongolia-china-borders-for-coking-coal-exports-to-reopen-march-2-sources
https://en.imsilkroad.com/p/312393.html
https://www.ubpost.mn/a/11839
https://www.spglobal.com/commodity-insights/en/news-research/latest-news/coal/022720-mongolia-china-borders-opening-delayed-for-coking-coal-exports-till-mar-15-sources
https://www.xinhuanet.com/english/2020-03/23/c_138909024.htm</x:v>
      </x:c>
      <x:c r="O447" s="4" t="str">
        <x:v>Second full-register audit source access, 26 October 2026
https://www.spglobal.com/energy/en/news-research/latest-news/coal/022020-mongolia-china-borders-for-coking-coal-exports-to-reopen-march-2-sources: full text (previously retrieved text re-examined) — Cached actual relevant article body inspected; forecast distinct from reported prior closure.
https://www.xinhuanet.com/english/2020-03/23/c_138909024.htm: full text (fresh retrieval) — Minister confirms resumption; not normalisation of every category.
Earlier URLs not separately inspected in this second assessment:
https://en.imsilkroad.com/p/312393.html
https://www.ubpost.mn/a/11839
https://www.spglobal.com/commodity-insights/en/news-research/latest-news/coal/022720-mongolia-china-borders-opening-delayed-for-coking-coal-exports-till-mar-15-sources
Prior audit access record
Full-register audit source access (evidence cutoff 25 October 2026)
https://www.spglobal.com/energy/en/news-research/latest-news/coal/022020-mongolia-china-borders-for-coking-coal-exports-to-reopen-march-2-sources: full text — See specific claim qualifications.
https://www.xinhuanet.com/english/2020-03/23/c_138909024.htm: full text — See specific claim qualifications.
https://en.imsilkroad.com/p/312393.html: full text — See specific claim qualifications.
https://www.ubpost.mn/a/11839: full text — See specific claim qualifications.
Earlier source URLs not separately listed in this audit’s retrieval log (historical access notes below are not fresh verification):
https://www.spglobal.com/commodity-insights/en/news-research/latest-news/coal/022720-mongolia-china-borders-opening-delayed-for-coking-coal-exports-till-mar-15-sources
Earlier recorded access
Source 1: full page
Source 2: full page
Source 3: full page</x:v>
      </x:c>
      <x:c r="P447" s="20" t="n">
        <x:v>1</x:v>
      </x:c>
      <x:c r="Q447" s="4" t="str">
        <x:v>East and Southeast Asia and Oceania</x:v>
      </x:c>
      <x:c r="R447" s="4" t="str">
        <x:v>Included</x:v>
      </x:c>
    </x:row>
    <x:row r="448" ht="409" hidden="0" customHeight="1">
      <x:c r="A448" s="16" t="str">
        <x:v>R3-EA-006</x:v>
      </x:c>
      <x:c r="B448" s="4" t="str">
        <x:v>Shiveekhuren–Ceke coal-export closure and trial reopening</x:v>
      </x:c>
      <x:c r="C448" s="4" t="str">
        <x:v>Mongolia; China</x:v>
      </x:c>
      <x:c r="D448" s="4" t="str">
        <x:v>Shiveekhuren–Ceke</x:v>
      </x:c>
      <x:c r="E448" s="4" t="str">
        <x:v>Coal-export trucks
Direction: Mongolia to China
Exceptions: Partial trial access from March 28.</x:v>
      </x:c>
      <x:c r="F448" s="4" t="str">
        <x:v>R3-EA-006-D1 — Observed operation
Shiveekhuren–Ceke; Coal-export trucks; Mongolia to China
Start: 2020-02-11.
Observed scoped reopening: 2020-03-28.
46 calendar-day difference; scoped endpoint only</x:v>
      </x:c>
      <x:c r="G44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48" s="4" t="str">
        <x:v>R3-EA-006-D1: March 28 is demonstrated trial access; March 30 ministerial account does not quantify a wider restart. Market-source overlap with exporters is unknown. Partial trial access from March 28.</x:v>
      </x:c>
      <x:c r="I448" s="4" t="str">
        <x:v>Second full-register audit, 26 October 2026: qualified. Corporate export reporting and crossing-specific account confirm February 11 suspension and March 28 trial coal movement.</x:v>
      </x:c>
      <x:c r="J448" s="18" t="d">
        <x:v>2026-10-26T00:00:00.000Z</x:v>
      </x:c>
      <x:c r="K448" s="21" t="str">
        <x:f>IFERROR(HYPERLINK("https://www.spglobal.com/energy/en/news-research/latest-news/coal/022020-mongolia-china-borders-for-coking-coal-exports-to-reopen-march-2-sources","S&amp;P Global Platts"),"S&amp;P Global Platts")</x:f>
        <x:v>S&amp;P Global Platts</x:v>
      </x:c>
      <x:c r="L448" s="21" t="str">
        <x:f>IFERROR(HYPERLINK("https://en.imsilkroad.com/p/312393.html","Xinhua Silk Road"),"Xinhua Silk Road")</x:f>
        <x:v>Xinhua Silk Road</x:v>
      </x:c>
      <x:c r="M448" s="21" t="str">
        <x:f>IFERROR(HYPERLINK("https://www.ubpost.mn/a/11839","The UB Post"),"The UB Post")</x:f>
        <x:v>The UB Post</x:v>
      </x:c>
      <x:c r="N448" s="4" t="str">
        <x:v>https://www.spglobal.com/energy/en/news-research/latest-news/coal/022020-mongolia-china-borders-for-coking-coal-exports-to-reopen-march-2-sources
https://en.imsilkroad.com/p/312393.html
https://www.ubpost.mn/a/11839
https://www.globenewswire.com/news-release/2021/01/05/2153127/0/en/southgobi-resources-announces-third-quarter-2020-financial-and-operating-results.html
https://www.spglobal.com/commodity-insights/en/news-research/latest-news/coal/022720-mongolia-china-borders-opening-delayed-for-coking-coal-exports-till-mar-15-sources
https://www.xinhuanet.com/english/2020-03/31/c_138935151.htm</x:v>
      </x:c>
      <x:c r="O448" s="4" t="str">
        <x:v>Second full-register audit source access, 26 October 2026
https://www.globenewswire.com/news-release/2021/01/05/2153127/0/en/southgobi-resources-announces-third-quarter-2020-financial-and-operating-results.html: full text (fresh retrieval)
https://www.ubpost.mn/a/11839: full text (fresh retrieval)
Earlier URLs not separately inspected in this second assessment:
https://www.spglobal.com/energy/en/news-research/latest-news/coal/022020-mongolia-china-borders-for-coking-coal-exports-to-reopen-march-2-sources
https://en.imsilkroad.com/p/312393.html
https://www.spglobal.com/commodity-insights/en/news-research/latest-news/coal/022720-mongolia-china-borders-opening-delayed-for-coking-coal-exports-till-mar-15-sources
https://www.xinhuanet.com/english/2020-03/31/c_138935151.htm
Prior audit access record
Full-register audit source access (evidence cutoff 25 October 2026)
https://www.globenewswire.com/news-release/2021/01/05/2153127/0/en/southgobi-resources-announces-third-quarter-2020-financial-and-operating-results.html: full text
https://www.ubpost.mn/a/11839: full text
https://en.imsilkroad.com/p/312393.html: full text
Earlier source URLs not separately listed in this audit’s retrieval log (historical access notes below are not fresh verification):
https://www.spglobal.com/energy/en/news-research/latest-news/coal/022020-mongolia-china-borders-for-coking-coal-exports-to-reopen-march-2-sources
https://www.spglobal.com/commodity-insights/en/news-research/latest-news/coal/022720-mongolia-china-borders-opening-delayed-for-coking-coal-exports-till-mar-15-sources
https://www.xinhuanet.com/english/2020-03/31/c_138935151.htm
Earlier recorded access
Source 1: full text
Source 2: full text
Source 3: full text</x:v>
      </x:c>
      <x:c r="P448" s="20" t="n">
        <x:v>1</x:v>
      </x:c>
      <x:c r="Q448" s="4" t="str">
        <x:v>East and Southeast Asia and Oceania</x:v>
      </x:c>
      <x:c r="R448" s="4" t="str">
        <x:v>Included</x:v>
      </x:c>
    </x:row>
    <x:row r="449" ht="409" hidden="0" customHeight="1">
      <x:c r="A449" s="16" t="str">
        <x:v>R3-EA-008</x:v>
      </x:c>
      <x:c r="B449" s="4" t="str">
        <x:v>Houaphanh closes ten local border posts with Vietnam</x:v>
      </x:c>
      <x:c r="C449" s="4" t="str">
        <x:v>Laos; Vietnam</x:v>
      </x:c>
      <x:c r="D449" s="4" t="str">
        <x:v>Ten unnamed traditional/local posts in Houaphanh</x:v>
      </x:c>
      <x:c r="E449" s="4" t="str">
        <x:v>Local crossing users
Direction: Crossing access
Exceptions: Four international posts remained open.</x:v>
      </x:c>
      <x:c r="F449" s="4" t="str">
        <x:v>R3-EA-008-FU1 — Observed operation
Ten unnamed Houaphanh local/traditional Vietnam-frontier posts
Start: 2020-03-13.
Last confirmed: 2020-03-13. Reopening is not established.
dated evidence; numeric duration withheld; see qualification
By 2022-09-01, Laos had authorized provinces to reopen local and traditional border checkpoints under controls. This is later national permission, not proof of the reopening date or actual operation of all ten unnamed Houaphanh posts. No continuous closure through 2022 or beyond is established. Notification 1342/PMO dated 2020-12-10 also permits temporary necessary agricultural exports at Ban Dan–Xiengmouang, with dates still to be set. This is limited formal permission; the unnamed March roster does not establish that Ban Dan was one of the ten posts.</x:v>
      </x:c>
      <x:c r="G44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49" s="4" t="str">
        <x:v>R3-EA-008-FU1: Province-level reference only; exact gates and reopening unknown. Excludes separate national named-gate measures.
end/scope: No matching ten-post roster or reopening found.
duration: March 13 closure confirmation permits an onset observation only.
continuity: RFA's March 16 report quotes a March 13 Houaphanh notice and official confirmation that ten traditional/local posts closed while four international posts stayed open. Exact gate identities and later reopening remain unestablished.
By 2022-09-01, Laos had authorized provinces to reopen local and traditional border checkpoints under controls. This is later national permission, not proof of the reopening date or actual operation of all ten unnamed Houaphanh posts. No continuous closure through 2022 or beyond is established. Notification 1342/PMO dated 2020-12-10 also permits temporary necessary agricultural exports at Ban Dan–Xiengmouang, with dates still to be set. This is limited formal permission; the unnamed March roster does not establish that Ban Dan was one of the ten posts.</x:v>
      </x:c>
      <x:c r="I449" s="4" t="str">
        <x:v>Second full-register audit, 26 October 2026: qualified. Ten unnamed Houaphanh local posts closed March 13, 2020; later permission does not establish reopening of all ten.</x:v>
      </x:c>
      <x:c r="J449" s="18" t="d">
        <x:v>2026-10-26T00:00:00.000Z</x:v>
      </x:c>
      <x:c r="K449" s="21" t="str">
        <x:f>IFERROR(HYPERLINK("https://www.rfa.org/english/news/laos/checkpoints-03162020164126.html","RFA"),"RFA")</x:f>
        <x:v>RFA</x:v>
      </x:c>
      <x:c r="L449" s="21" t="str">
        <x:f>IFERROR(HYPERLINK("https://dansinh.dantri.com.vn/dien-dan-dan-sinh/lao-tam-thoi-dong-cua-10-diem-qua-bien-gioi-voi-viet-nam-tranh-dich-covid-19-20200316213206279.htm/","Dan Sinh / Dan Tri"),"Dan Sinh / Dan Tri")</x:f>
        <x:v>Dan Sinh / Dan Tri</x:v>
      </x:c>
      <x:c r="M449" s="21" t="str">
        <x:f>IFERROR(HYPERLINK("https://laotradeportal.gov.la/en-gb/site/display/2152","Lao Trade Portal"),"Lao Trade Portal")</x:f>
        <x:v>Lao Trade Portal</x:v>
      </x:c>
      <x:c r="N449" s="4" t="str">
        <x:v>https://www.rfa.org/english/news/laos/checkpoints-03162020164126.html
https://dansinh.dantri.com.vn/dien-dan-dan-sinh/lao-tam-thoi-dong-cua-10-diem-qua-bien-gioi-voi-viet-nam-tranh-dich-covid-19-20200316213206279.htm/
https://laotradeportal.gov.la/en-gb/site/display/2152
https://en.vietnamplus.vn/covid-19-laos-closes-border-gates-post170160.vnp
https://vietnamnet.vn/en/vietnam-news-headlines-march-25-825557.html
https://en.vietnamplus.vn/laos-re-opens-all-local-border-checkpoints-post236657.vnp</x:v>
      </x:c>
      <x:c r="O449" s="4" t="str">
        <x:v>Second full-register audit source access, 26 October 2026
https://www.rfa.org/english/news/laos/checkpoints-03162020164126.html: full text (fresh retrieval) — Unnamed provincial posts; Houaphanh onset also in turn1526view0.
https://en.vietnamplus.vn/laos-re-opens-all-local-border-checkpoints-post236657.vnp: full text (fresh retrieval) — National permission, not every-gate actual opening. More-than-three-years wording is chronologically inconsistent and excluded.
https://laotradeportal.gov.la/en-gb/site/display/2152: full text (fresh retrieval) — Limited export permission, not actual dated reopening.
Earlier URLs not separately inspected in this second assessment:
https://dansinh.dantri.com.vn/dien-dan-dan-sinh/lao-tam-thoi-dong-cua-10-diem-qua-bien-gioi-voi-viet-nam-tranh-dich-covid-19-20200316213206279.htm/
https://en.vietnamplus.vn/covid-19-laos-closes-border-gates-post170160.vnp
https://vietnamnet.vn/en/vietnam-news-headlines-march-25-825557.html
Prior audit access record
Full-register audit source access (evidence cutoff 25 October 2026)
https://www.rfa.org/english/news/laos/checkpoints-03162020164126.html: full text — See specific claim qualifications.
https://en.vietnamplus.vn/covid-19-laos-closes-border-gates-post170160.vnp: full text — See specific claim qualifications.
https://en.vietnamplus.vn/laos-re-opens-all-local-border-checkpoints-post236657.vnp: full text — Reports national permission, not observed operation of every local gate. Its more-than-three-years wording is inconsistent with the March 2020 onset and is not adopted.
https://laotradeportal.gov.la/en-gb/site/display/2152: full text — See specific claim qualifications.
Earlier source URLs not separately listed in this audit’s retrieval log (historical access notes below are not fresh verification):
https://dansinh.dantri.com.vn/dien-dan-dan-sinh/lao-tam-thoi-dong-cua-10-diem-qua-bien-gioi-voi-viet-nam-tranh-dich-covid-19-20200316213206279.htm/
https://vietnamnet.vn/en/vietnam-news-headlines-march-25-825557.html
Earlier recorded access
Source 1: full
Source 2: indexed excerpt
Source 3: indexed excerpt; full</x:v>
      </x:c>
      <x:c r="P449" s="20" t="n">
        <x:v>1</x:v>
      </x:c>
      <x:c r="Q449" s="4" t="str">
        <x:v>East and Southeast Asia and Oceania</x:v>
      </x:c>
      <x:c r="R449" s="4" t="str">
        <x:v>Included</x:v>
      </x:c>
    </x:row>
    <x:row r="450" ht="318" hidden="0" customHeight="1">
      <x:c r="A450" s="16" t="str">
        <x:v>R3-EA-007</x:v>
      </x:c>
      <x:c r="B450" s="4" t="str">
        <x:v>Laos and Thailand close four Nakhon Phanom local crossing points</x:v>
      </x:c>
      <x:c r="C450" s="4" t="str">
        <x:v>Laos; Thailand</x:v>
      </x:c>
      <x:c r="D450" s="4" t="str">
        <x:v>Thakhek port; Pak Nam Xe Bang Fai; Pak Nam Hinboun; Pak Beng (opposite Ban Nat Tha).
Thakhek–Nakhon Phanom municipal ferry; Pak Nam Xe Bang Fai (Nong Bok)–That Phanom; Pak Nam (Hinboun)–Tha Uthen; Pak Beng–Ban Nat Tha local crossing.</x:v>
      </x:c>
      <x:c r="E450" s="4" t="str">
        <x:v>Local cross-border travellers
Direction: Local crossing access; travellers redirected to bridge
Exceptions: Third Thai–Lao Friendship Bridge remained an alternative.</x:v>
      </x:c>
      <x:c r="F450" s="4" t="str">
        <x:v>R3-EA-007-D1 — Observed operation
Ordinary Thakhek–Nakhon Phanom municipal passenger-ferry service; excluding exceptional return of stranded Thai/Lao nationals
Start: 2020-03-17.
Observed scoped reopening: 2022-10-03.
930 calendar-day difference; scoped endpoint only</x:v>
      </x:c>
      <x:c r="G45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50" s="4" t="str">
        <x:v>R3-EA-007-D1: October 3 2022 is observed ordinary-service restoration at this ferry only. March 18 2020 immigration clarification allowed stranded Thai/Lao nationals to return through Thakhek despite closure; exception duration and volume unknown. Third Friendship Bridge remained alternative. No total cessation of all passenger crossings asserted.</x:v>
      </x:c>
      <x:c r="I450" s="4" t="str">
        <x:v>Second full-register audit, 26 October 2026: qualified. Thai-language sources corroborate March 17 Thakhek closure with returnee exception and observed October 3, 2022 ordinary-ferry restoration.</x:v>
      </x:c>
      <x:c r="J450" s="18" t="d">
        <x:v>2026-10-26T00:00:00.000Z</x:v>
      </x:c>
      <x:c r="K450" s="21" t="str">
        <x:f>IFERROR(HYPERLINK("https://www.nationthailand.com/in-focus/30384315","The Nation Thailand"),"The Nation Thailand")</x:f>
        <x:v>The Nation Thailand</x:v>
      </x:c>
      <x:c r="L450" s="21" t="str">
        <x:f>IFERROR(HYPERLINK("https://www.thaipost.net/main/detail/60131","Thai Post"),"Thai Post")</x:f>
        <x:v>Thai Post</x:v>
      </x:c>
      <x:c r="M450" s="21" t="str">
        <x:f>IFERROR(HYPERLINK("https://nbtworld.prd.go.th/th/news/detail/tcatg221003151413484","Thai Public Relations Department / NBT"),"Thai Public Relations Department / NBT")</x:f>
        <x:v>Thai Public Relations Department / NBT</x:v>
      </x:c>
      <x:c r="N450" s="4" t="str">
        <x:v>https://www.nationthailand.com/in-focus/30384315
https://www.thaipost.net/main/detail/60131
https://nbtworld.prd.go.th/th/news/detail/tcatg221003151413484
https://www.banmuang.co.th/news/region/298912
https://www.posttoday.com/politics/618001
https://thethaiger.com/news/world/laos-closes-checkpoint-at-thai-border</x:v>
      </x:c>
      <x:c r="O450" s="4" t="str">
        <x:v>Second full-register audit source access, 26 October 2026
https://www.nationthailand.com/in-focus/30384315: full text (fresh retrieval)
https://www.thaipost.net/main/detail/60131: full text (fresh retrieval)
https://www.posttoday.com/politics/618001: full text (fresh retrieval)
https://www.banmuang.co.th/news/region/298912: full text (fresh retrieval)
Earlier URLs not separately inspected in this second assessment:
https://nbtworld.prd.go.th/th/news/detail/tcatg221003151413484
https://thethaiger.com/news/world/laos-closes-checkpoint-at-thai-border
Prior audit access record
Full-register audit source access (evidence cutoff 25 October 2026)
https://www.nationthailand.com/in-focus/30384315: full text
https://www.thaipost.net/main/detail/60131: full text
https://www.banmuang.co.th/news/region/298912: full text
https://www.posttoday.com/politics/618001: full text
Earlier source URLs not separately listed in this audit’s retrieval log (historical access notes below are not fresh verification):
https://nbtworld.prd.go.th/th/news/detail/tcatg221003151413484
https://thethaiger.com/news/world/laos-closes-checkpoint-at-thai-border
Earlier recorded access
Source 1: full page
Source 2: full relevant article text
Source 3: full relevant indexed official report; direct timeout</x:v>
      </x:c>
      <x:c r="P450" s="20" t="n">
        <x:v>1</x:v>
      </x:c>
      <x:c r="Q450" s="4" t="str">
        <x:v>East and Southeast Asia and Oceania</x:v>
      </x:c>
      <x:c r="R450" s="4" t="str">
        <x:v>Included</x:v>
      </x:c>
    </x:row>
    <x:row r="451" ht="409" hidden="0" customHeight="1">
      <x:c r="A451" s="16" t="str">
        <x:v>R3-EA-010</x:v>
      </x:c>
      <x:c r="B451" s="4" t="str">
        <x:v>Vietnam suspends ordinary foreign entry, including land frontiers</x:v>
      </x:c>
      <x:c r="C451" s="4" t="str">
        <x:v>Vietnam; China; Laos; Cambodia</x:v>
      </x:c>
      <x:c r="D451" s="4" t="str">
        <x:v>Land component of national foreign-entry suspension</x:v>
      </x:c>
      <x:c r="E451" s="4" t="str">
        <x:v>Ordinary foreign entrants and relevant overseas-origin visa-exemption holders
Direction: Into Vietnam
Exceptions: Diplomats, official travel and authorized special cases including experts, business managers and skilled workers.</x:v>
      </x:c>
      <x:c r="F451" s="4" t="str">
        <x:v>R3-EA-010-D1 — Formal policy
Vietnam ordinary foreign-entry suspension, land component
Start: 2020-03-22.
Policy endpoint: 2022-03-15.
Formal policy: 723 calendar-day difference; operational continuity not established</x:v>
      </x:c>
      <x:c r="G45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51" s="4" t="str">
        <x:v>R3-EA-010-D1: Formal entry-policy period only, with diplomatic, official, expert, business and other authorised exceptions. Counterpart restrictions and gate operations varied; translation is the same policy origin, not independent verification.</x:v>
      </x:c>
      <x:c r="I451" s="4" t="str">
        <x:v>Second full-register audit, 26 October 2026: qualified. Vietnam’s March 22, 2020 to March 15, 2022 foreign-entry policy period is supported with authorised exceptions.</x:v>
      </x:c>
      <x:c r="J451" s="18" t="d">
        <x:v>2026-10-26T00:00:00.000Z</x:v>
      </x:c>
      <x:c r="K451" s="21" t="str">
        <x:f>IFERROR(HYPERLINK("https://datafiles.chinhphu.vn/cpp/files/vbpq/2020/03/118.signed.pdf","Government of Vietnam"),"Government of Vietnam")</x:f>
        <x:v>Government of Vietnam</x:v>
      </x:c>
      <x:c r="L451" s="21" t="str">
        <x:f>IFERROR(HYPERLINK("https://english.luatvietnam.vn/notice-no-118-tb-vpcp-dated-march-21-2020-of-the-government-office-on-the-conclusion-of-the-prime-minister-nguyen-xuan-phuc-at-the-governments-meet-181761-doc6.html","LuatVietnam"),"LuatVietnam")</x:f>
        <x:v>LuatVietnam</x:v>
      </x:c>
      <x:c r="M451" s="21" t="str">
        <x:f>IFERROR(HYPERLINK("https://baochinhphu.vn/khoi-phuc-chinh-sach-xuat-nhap-canh-tu-ngay-15-3-102220315170507391.htm","Vietnam Government News"),"Vietnam Government News")</x:f>
        <x:v>Vietnam Government News</x:v>
      </x:c>
      <x:c r="N451" s="4" t="str">
        <x:v>https://datafiles.chinhphu.vn/cpp/files/vbpq/2020/03/118.signed.pdf
https://english.luatvietnam.vn/notice-no-118-tb-vpcp-dated-march-21-2020-of-the-government-office-on-the-conclusion-of-the-prime-minister-nguyen-xuan-phuc-at-the-governments-meet-181761-doc6.html
https://baochinhphu.vn/khoi-phuc-chinh-sach-xuat-nhap-canh-tu-ngay-15-3-102220315170507391.htm
https://www.mfa.gr/missionsabroad/en/vietnam-en/news/verbal-note-of-the-ministry-of-foreign-affairs-of-vietnam-about-corona-virus.html
https://en.baochinhphu.vn/govt-decides-to-reopen-tourism-from-mid-may-111220216120243292.htm</x:v>
      </x:c>
      <x:c r="O451" s="4" t="str">
        <x:v>Second full-register audit source access, 26 October 2026
https://www.mfa.gr/missionsabroad/en/vietnam-en/news/verbal-note-of-the-ministry-of-foreign-affairs-of-vietnam-about-corona-virus.html: full text (fresh retrieval) — Unofficial translation of the same policy origin.
https://baochinhphu.vn/khoi-phuc-chinh-sach-xuat-nhap-canh-tu-ngay-15-3-102220315170507391.htm: full text (fresh retrieval) — Formal restoration; health conditions retained.
Earlier URLs not separately inspected in this second assessment:
https://datafiles.chinhphu.vn/cpp/files/vbpq/2020/03/118.signed.pdf
https://english.luatvietnam.vn/notice-no-118-tb-vpcp-dated-march-21-2020-of-the-government-office-on-the-conclusion-of-the-prime-minister-nguyen-xuan-phuc-at-the-governments-meet-181761-doc6.html
https://en.baochinhphu.vn/govt-decides-to-reopen-tourism-from-mid-may-111220216120243292.htm
Prior audit access record
Full-register audit source access (evidence cutoff 25 October 2026)
https://www.mfa.gr/missionsabroad/en/vietnam-en/news/verbal-note-of-the-ministry-of-foreign-affairs-of-vietnam-about-corona-virus.html: full text — See specific claim qualifications.
https://english.luatvietnam.vn/notice-no-118-tb-vpcp-dated-march-21-2020-of-the-government-office-on-the-conclusion-of-the-prime-minister-nguyen-xuan-phuc-at-the-governments-meet-181761-doc6.html: full text — See specific claim qualifications.
https://baochinhphu.vn/khoi-phuc-chinh-sach-xuat-nhap-canh-tu-ngay-15-3-102220315170507391.htm: full text — See specific claim qualifications.
https://datafiles.chinhphu.vn/cpp/files/vbpq/2020/03/118.signed.pdf: inaccessible — PDF retrieved but no extractable text; no fresh visual inspection credited.
Earlier source URLs not separately listed in this audit’s retrieval log (historical access notes below are not fresh verification):
https://en.baochinhphu.vn/govt-decides-to-reopen-tourism-from-mid-may-111220216120243292.htm
Earlier recorded access
Source 1: PDF page image reviewed
Source 2: full page
Source 3: full page</x:v>
      </x:c>
      <x:c r="P451" s="20" t="n">
        <x:v>1</x:v>
      </x:c>
      <x:c r="Q451" s="4" t="str">
        <x:v>East and Southeast Asia and Oceania</x:v>
      </x:c>
      <x:c r="R451" s="4" t="str">
        <x:v>Included</x:v>
      </x:c>
    </x:row>
    <x:row r="452" ht="409" hidden="0" customHeight="1">
      <x:c r="A452" s="16" t="str">
        <x:v>R3-EA-003</x:v>
      </x:c>
      <x:c r="B452" s="4" t="str">
        <x:v>Timor-Leste redirects inbound land travellers during papal-visit security operation</x:v>
      </x:c>
      <x:c r="C452" s="4" t="str">
        <x:v>Timor-Leste; Indonesia</x:v>
      </x:c>
      <x:c r="D452" s="4" t="str">
        <x:v>Salele–Motamasin; Sakato–Wini; Oesilo in minister’s statement</x:v>
      </x:c>
      <x:c r="E452" s="4" t="str">
        <x:v>Inbound land travellers at specified alternative posts
Direction: Into Timor-Leste
Exceptions: Outbound travel remained permitted; inbound users could use Batugade.</x:v>
      </x:c>
      <x:c r="F452" s="4" t="str">
        <x:v>R3-EA-003-R1 — Announced window
Timorese inward service at Salele and Sakato suspended; entrants rerouted to Batugade
Start: 2024-09-01.
Scheduled endpoint: 2024-09-14.
Ordered window: 13 calendar-day difference; actual end not established</x:v>
      </x:c>
      <x:c r="G452" s="4" t="str">
        <x:v>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52" s="4" t="str">
        <x:v>R3-EA-003-R1: Original Timorese schedule; BNPP reports shorter September 1–11 period. Outbound passage allowed; Oesilo named in statements but circular summary initially differs. No actual restoration proven.</x:v>
      </x:c>
      <x:c r="I452" s="4" t="str">
        <x:v>Second full-register audit, 26 October 2026: qualified. The Timorese papal-visit restriction is inbound rerouting at named alternative posts, not closure of the whole bilateral border.</x:v>
      </x:c>
      <x:c r="J452" s="18" t="d">
        <x:v>2026-10-26T00:00:00.000Z</x:v>
      </x:c>
      <x:c r="K452" s="21" t="str">
        <x:f>IFERROR(HYPERLINK("https://id.tatoli.tl/2024/08/26/timor-leste-akan-tutup-perbatasan-darat-pada-01-14-september/","Tatoli"),"Tatoli")</x:f>
        <x:v>Tatoli</x:v>
      </x:c>
      <x:c r="L452" s="21" t="str">
        <x:f>IFERROR(HYPERLINK("https://id.tatoli.tl/2024/09/02/jelang-kunjungan-paus-sejumlah-ruas-jalan-di-dili-akan-ditutup-mulai-07-11-september/","Tatoli"),"Tatoli")</x:f>
        <x:v>Tatoli</x:v>
      </x:c>
      <x:c r="M452" s="21" t="str">
        <x:f>IFERROR(HYPERLINK("https://bnpp.go.id/berita/paus-fransiskus-kunjungi-dili-ri-timor-leste-sepakat-hanya-buka-perlintasan-plbn-motaain-batu-gede","Indonesia BNPP"),"Indonesia BNPP")</x:f>
        <x:v>Indonesia BNPP</x:v>
      </x:c>
      <x:c r="N452" s="4" t="str">
        <x:v>https://id.tatoli.tl/2024/08/26/timor-leste-akan-tutup-perbatasan-darat-pada-01-14-september/
https://id.tatoli.tl/2024/09/02/jelang-kunjungan-paus-sejumlah-ruas-jalan-di-dili-akan-ditutup-mulai-07-11-september/
https://bnpp.go.id/berita/paus-fransiskus-kunjungi-dili-ri-timor-leste-sepakat-hanya-buka-perlintasan-plbn-motaain-batu-gede
https://bnpp.go.id/berita/plbn-motaain-pastikan-siap-layani-peziarah-saat-kunjungan-paus-fransiskus-ke-timor-leste</x:v>
      </x:c>
      <x:c r="O452" s="4" t="str">
        <x:v>Second full-register audit source access, 26 October 2026
https://id.tatoli.tl/2024/08/26/timor-leste-akan-tutup-perbatasan-darat-pada-01-14-september/: full text (fresh retrieval)
https://bnpp.go.id/berita/paus-fransiskus-kunjungi-dili-ri-timor-leste-sepakat-hanya-buka-perlintasan-plbn-motaain-batu-gede: search extract (previously retrieved text re-examined) — Cached actual indexed official text inspected; shorter schedule.
https://id.tatoli.tl/2024/09/02/jelang-kunjungan-paus-sejumlah-ruas-jalan-di-dili-akan-ditutup-mulai-07-11-september/: full text (previously retrieved text re-examined) — Cached actual article inspected; border direction noted separately from domestic road closures.
Earlier URLs not separately inspected in this second assessment:
https://bnpp.go.id/berita/plbn-motaain-pastikan-siap-layani-peziarah-saat-kunjungan-paus-fransiskus-ke-timor-leste
Prior audit access record
Full-register audit source access (evidence cutoff 25 October 2026)
https://id.tatoli.tl/2024/08/26/timor-leste-akan-tutup-perbatasan-darat-pada-01-14-september/: full text — See specific claim qualifications.
https://id.tatoli.tl/2024/09/02/jelang-kunjungan-paus-sejumlah-ruas-jalan-di-dili-akan-ditutup-mulai-07-11-september/: full text — See specific claim qualifications.
https://bnpp.go.id/berita/paus-fransiskus-kunjungi-dili-ri-timor-leste-sepakat-hanya-buka-perlintasan-plbn-motaain-batu-gede: search extract — See specific claim qualifications.
https://bnpp.go.id/berita/plbn-motaain-pastikan-siap-layani-peziarah-saat-kunjungan-paus-fransiskus-ke-timor-leste: search extract — See specific claim qualifications.
Earlier recorded access
Source 1: indexed excerpt; full
Source 2: full; indexed excerpt
Source 3: indexed excerpt</x:v>
      </x:c>
      <x:c r="P452" s="20" t="n">
        <x:v>1</x:v>
      </x:c>
      <x:c r="Q452" s="4" t="str">
        <x:v>East and Southeast Asia and Oceania</x:v>
      </x:c>
      <x:c r="R452" s="4" t="str">
        <x:v>Included</x:v>
      </x:c>
    </x:row>
    <x:row r="453" ht="409" hidden="0" customHeight="1">
      <x:c r="A453" s="16" t="str">
        <x:v>R3-EA-004</x:v>
      </x:c>
      <x:c r="B453" s="4" t="str">
        <x:v>Motaain–Batugade goods crossing suspended for papal-visit passenger operations</x:v>
      </x:c>
      <x:c r="C453" s="4" t="str">
        <x:v>Indonesia; Timor-Leste</x:v>
      </x:c>
      <x:c r="D453" s="4" t="str">
        <x:v>Motaain–Batugade</x:v>
      </x:c>
      <x:c r="E453" s="4" t="str">
        <x:v>Cross-border goods traffic
Direction: Goods crossing; direction unspecified
Exceptions: Passenger processing continued.</x:v>
      </x:c>
      <x:c r="F453" s="4" t="str">
        <x:v>R3-EA-004-R1 — Announced window
Motaain–Batugade goods processing suspended during pilgrim operations
Start: 2024-09-08.
Scheduled endpoint: 2024-09-12.
Ordered window: 4 calendar-day difference; actual end not established</x:v>
      </x:c>
      <x:c r="G453" s="4" t="str">
        <x:v>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53" s="4" t="str">
        <x:v>R3-EA-004-R1: September 12 is scheduled resumption only. Personal pilgrim baggage allowances differ from ordinary freight; direction not disaggregated.</x:v>
      </x:c>
      <x:c r="I453" s="4" t="str">
        <x:v>Second full-register audit, 26 October 2026: qualified. The September 8–11, 2024 ordinary-goods suspension and planned September 12 resumption are supported; passenger and personal-baggage passage remain separate.</x:v>
      </x:c>
      <x:c r="J453" s="18" t="d">
        <x:v>2026-10-26T00:00:00.000Z</x:v>
      </x:c>
      <x:c r="K453" s="21" t="str">
        <x:f>IFERROR(HYPERLINK("https://www.askara.co/read/2024/09/05/49003/plbn-motaain-pastikan-siap-layani-peziarah-saat-kunjungan-paus-fransiskus-ke-timor-leste","Askara / BNPP official statements"),"Askara / BNPP official statements")</x:f>
        <x:v>Askara / BNPP official statements</x:v>
      </x:c>
      <x:c r="L453" s="21" t="str">
        <x:f>IFERROR(HYPERLINK("https://bnpp.go.id/berita/plbn-motaain-pastikan-siap-layani-peziarah-saat-kunjungan-paus-fransiskus-ke-timor-leste","Indonesia BNPP"),"Indonesia BNPP")</x:f>
        <x:v>Indonesia BNPP</x:v>
      </x:c>
      <x:c r="M453" s="21" t="str">
        <x:f>IFERROR(HYPERLINK("https://kupang.antaranews.com/berita/137379/plbn-mota-ain-dibuka-selama-18-jam-menjelang-kunjungan-paus","kupang.antaranews.com"),"kupang.antaranews.com")</x:f>
        <x:v>kupang.antaranews.com</x:v>
      </x:c>
      <x:c r="N453" s="4" t="str">
        <x:v>https://www.askara.co/read/2024/09/05/49003/plbn-motaain-pastikan-siap-layani-peziarah-saat-kunjungan-paus-fransiskus-ke-timor-leste
https://bnpp.go.id/berita/plbn-motaain-pastikan-siap-layani-peziarah-saat-kunjungan-paus-fransiskus-ke-timor-leste
https://kupang.antaranews.com/berita/137379/plbn-mota-ain-dibuka-selama-18-jam-menjelang-kunjungan-paus
https://www.antaranews.com/berita/4312711/jelang-kunjungan-paus-plbn-mota-ain-dibuka-selama-18-jam
https://rm.id/baca-berita/nasional/235122/misa-paus-fransiskus-di-dili-plbn-motaain-buka-hingga-tengah-malam</x:v>
      </x:c>
      <x:c r="O453" s="4" t="str">
        <x:v>Second full-register audit source access, 26 October 2026
https://bnpp.go.id/berita/plbn-motaain-pastikan-siap-layani-peziarah-saat-kunjungan-paus-fransiskus-ke-timor-leste: search extract (fresh retrieval) — Fresh direct open timed out; substantial indexed official body inspected.
https://www.askara.co/read/2024/09/05/49003/plbn-motaain-pastikan-siap-layani-peziarah-saat-kunjungan-paus-fransiskus-ke-timor-leste: full text (fresh retrieval) — Same statement, not independent corroboration.
https://rm.id/baca-berita/nasional/235122/misa-paus-fransiskus-di-dili-plbn-motaain-buka-hingga-tengah-malam: search extract (fresh retrieval) — September 12 restart still forecast.
Earlier URLs not separately inspected in this second assessment:
https://kupang.antaranews.com/berita/137379/plbn-mota-ain-dibuka-selama-18-jam-menjelang-kunjungan-paus
https://www.antaranews.com/berita/4312711/jelang-kunjungan-paus-plbn-mota-ain-dibuka-selama-18-jam
Prior audit access record
Full-register audit source access (evidence cutoff 25 October 2026)
https://bnpp.go.id/berita/plbn-motaain-pastikan-siap-layani-peziarah-saat-kunjungan-paus-fransiskus-ke-timor-leste: search extract — Official indexed text inspected; direct retrieval timed out.
https://www.askara.co/read/2024/09/05/49003/plbn-motaain-pastikan-siap-layani-peziarah-saat-kunjungan-paus-fransiskus-ke-timor-leste: search extract — Same official reporting origin, not independent corroboration.
https://www.antaranews.com/berita/4312711/jelang-kunjungan-paus-plbn-mota-ain-dibuka-selama-18-jam: search extract — See specific claim qualifications.
Earlier source URLs not separately listed in this audit’s retrieval log (historical access notes below are not fresh verification):
https://kupang.antaranews.com/berita/137379/plbn-mota-ain-dibuka-selama-18-jam-menjelang-kunjungan-paus
Earlier recorded access
Source 1: indexed excerpt; full
Source 2: failed
Source 3: access detail is retained in the source catalogue.</x:v>
      </x:c>
      <x:c r="P453" s="20" t="n">
        <x:v>1</x:v>
      </x:c>
      <x:c r="Q453" s="4" t="str">
        <x:v>East and Southeast Asia and Oceania</x:v>
      </x:c>
      <x:c r="R453" s="4" t="str">
        <x:v>Included</x:v>
      </x:c>
    </x:row>
    <x:row r="454" ht="409" hidden="0" customHeight="1">
      <x:c r="A454" s="16" t="str">
        <x:v>R3-EA-009</x:v>
      </x:c>
      <x:c r="B454" s="4" t="str">
        <x:v>Attapeu and Sekong close smaller crossings with Vietnam and Cambodia</x:v>
      </x:c>
      <x:c r="C454" s="4" t="str">
        <x:v>Laos; Vietnam; Cambodia</x:v>
      </x:c>
      <x:c r="D454" s="4" t="str">
        <x:v>Eight smaller Attapeu posts and four smaller Sekong posts</x:v>
      </x:c>
      <x:c r="E454" s="4" t="str">
        <x:v>Local crossing users
Direction: Crossing access
Exceptions: RFA March 16 interview says Phoukeua international gate remained open; same-day VNA reports national closure order including Phoukeua. Exact timing/implementation conflict unresolved.</x:v>
      </x:c>
      <x:c r="F454" s="4" t="str">
        <x:v>R3-EA-009-FU1 — Observed operation
Eight smaller Attapeu Vietnam/Cambodia-frontier posts
Start: unknown.
Last confirmed: 2020-03-16. Reopening is not established.
dated evidence; numeric duration withheld; see qualification
R3-EA-009-FU2 — Observed operation
Four smaller Sekong Vietnam-frontier posts
Start: unknown.
Last confirmed: 2020-03-16. Reopening is not established.
dated evidence; numeric duration withheld; see qualification
By 2022-09-01, Laos had authorized provinces to reopen local and traditional border checkpoints under controls. This is later national permission, not proof of the reopening date or actual operation of all eight unnamed Attapeu and four unnamed Sekong posts. No continuous closure through 2022 or beyond is established.</x:v>
      </x:c>
      <x:c r="G45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54" s="4" t="str">
        <x:v>R3-EA-009-FU1: Unknown onset/end and unnamed gates; excludes Phoukeua.
R3-EA-009-FU2: Separate provincial observation; no shared onset inferred.
scope: Phoukeua order versus operational-status conflict remains.
duration: Separate provincial dated observations are available; shared onset, gate roster and reopening are not.
onset: RFA's March 16 provincial accounts support eight smaller Attapeu posts and four Sekong posts closed, with Phoukeua open. Two distinct provincial observations are appropriate; exact onset, gate identities and repeal are unknown.
By 2022-09-01, Laos had authorized provinces to reopen local and traditional border checkpoints under controls. This is later national permission, not proof of the reopening date or actual operation of all eight unnamed Attapeu and four unnamed Sekong posts. No continuous closure through 2022 or beyond is established.</x:v>
      </x:c>
      <x:c r="I454" s="4" t="str">
        <x:v>Second full-register audit, 26 October 2026: qualified. Attapeu and Sekong remain separate March 16 observations with unknown onset and gate-specific endpoints.</x:v>
      </x:c>
      <x:c r="J454" s="18" t="d">
        <x:v>2026-10-26T00:00:00.000Z</x:v>
      </x:c>
      <x:c r="K454" s="21" t="str">
        <x:f>IFERROR(HYPERLINK("https://www.rfa.org/english/news/laos/checkpoints-03162020164126.html","RFA"),"RFA")</x:f>
        <x:v>RFA</x:v>
      </x:c>
      <x:c r="L454" s="21" t="str">
        <x:f>IFERROR(HYPERLINK("https://vov.vn/kinh-te/lao-tam-dung-thong-quan-mot-so-cua-khau-phu-voi-viet-nam-va-campuchia-1022589.vov","Voice of Vietnam"),"Voice of Vietnam")</x:f>
        <x:v>Voice of Vietnam</x:v>
      </x:c>
      <x:c r="M454" s="21" t="str">
        <x:f>IFERROR(HYPERLINK("https://en.vietnamplus.vn/covid-19-laos-closes-border-gates-post170160.vnp","VNA"),"VNA")</x:f>
        <x:v>VNA</x:v>
      </x:c>
      <x:c r="N454" s="4" t="str">
        <x:v>https://www.rfa.org/english/news/laos/checkpoints-03162020164126.html
https://vov.vn/kinh-te/lao-tam-dung-thong-quan-mot-so-cua-khau-phu-voi-viet-nam-va-campuchia-1022589.vov
https://en.vietnamplus.vn/covid-19-laos-closes-border-gates-post170160.vnp
https://vov.gov.vn/lao-tam-dung-thong-quan-mot-so-cua-khau-phu-voi-viet-nam-va-campuchia-dtnew-154609
https://www.vientianetimes.org.la/freeContent/FreeConten_Laos_orders_53.php
https://en.vietnamplus.vn/laos-re-opens-all-local-border-checkpoints-post236657.vnp</x:v>
      </x:c>
      <x:c r="O454" s="4" t="str">
        <x:v>Second full-register audit source access, 26 October 2026
https://www.rfa.org/english/news/laos/checkpoints-03162020164126.html: full text (fresh retrieval) — Unnamed provincial posts; Houaphanh onset also in turn1526view0.
https://en.vietnamplus.vn/laos-re-opens-all-local-border-checkpoints-post236657.vnp: full text (fresh retrieval) — National permission, not every-gate actual opening. More-than-three-years wording is chronologically inconsistent and excluded.
https://en.vietnamplus.vn/covid-19-laos-closes-border-gates-post170160.vnp: full text (fresh retrieval) — Conflicting Phoukeua status and problematic geography.
Earlier URLs not separately inspected in this second assessment:
https://vov.vn/kinh-te/lao-tam-dung-thong-quan-mot-so-cua-khau-phu-voi-viet-nam-va-campuchia-1022589.vov
https://vov.gov.vn/lao-tam-dung-thong-quan-mot-so-cua-khau-phu-voi-viet-nam-va-campuchia-dtnew-154609
https://www.vientianetimes.org.la/freeContent/FreeConten_Laos_orders_53.php
Prior audit access record
Full-register audit source access (evidence cutoff 25 October 2026)
https://www.rfa.org/english/news/laos/checkpoints-03162020164126.html: full text — See specific claim qualifications.
https://en.vietnamplus.vn/covid-19-laos-closes-border-gates-post170160.vnp: full text — See specific claim qualifications.
https://en.vietnamplus.vn/laos-re-opens-all-local-border-checkpoints-post236657.vnp: full text — Reports national permission, not observed operation of every local gate. Its more-than-three-years wording is inconsistent with the March 2020 onset and is not adopted.
Earlier source URLs not separately listed in this audit’s retrieval log (historical access notes below are not fresh verification):
https://vov.vn/kinh-te/lao-tam-dung-thong-quan-mot-so-cua-khau-phu-voi-viet-nam-va-campuchia-1022589.vov
https://vov.gov.vn/lao-tam-dung-thong-quan-mot-so-cua-khau-phu-voi-viet-nam-va-campuchia-dtnew-154609
https://www.vientianetimes.org.la/freeContent/FreeConten_Laos_orders_53.php
Earlier recorded access
Source 1: full
Source 2: indexed excerpt
Source 3: indexed excerpt; full</x:v>
      </x:c>
      <x:c r="P454" s="20" t="n">
        <x:v>2</x:v>
      </x:c>
      <x:c r="Q454" s="4" t="str">
        <x:v>East and Southeast Asia and Oceania</x:v>
      </x:c>
      <x:c r="R454" s="4" t="str">
        <x:v>Included</x:v>
      </x:c>
    </x:row>
    <x:row r="455" ht="409" hidden="0" customHeight="1">
      <x:c r="A455" s="16" t="str">
        <x:v>R3-EU-012</x:v>
      </x:c>
      <x:c r="B455" s="4" t="str">
        <x:v>Austria suspends traffic on numerous designated minor frontier routes in March 2020</x:v>
      </x:c>
      <x:c r="C455" s="4" t="str">
        <x:v>Austria; Italy; Switzerland; Slovenia; Hungary; Germany</x:v>
      </x:c>
      <x:c r="D455" s="4" t="str">
        <x:v>Orders cover 47 Italian, 30 Swiss, 51 Slovenian, 43 Hungarian and 58 German routes; individual rosters were amended.
Staged route closures, distinct from health checks at retained posts.</x:v>
      </x:c>
      <x:c r="E455" s="4" t="str">
        <x:v>Traffic at designated suspended routes
Direction: Both directions at suspended routes
Exceptions: Retained major crossings; reduced-hour routes not counted as full closures</x:v>
      </x:c>
      <x:c r="F455" s="4" t="str">
        <x:v>R3-EU-012-FU1 — Formal policy
Designated fully suspended routes on Austria’s Swiss, German, Slovenian and Hungarian frontiers; Liechtenstein routes separately recorded.
Common effective start: unknown. Orders dated March 17, 2020 cover 30 Swiss, 51 Slovenian and 43 Hungarian routes; March 20 order covers 58 German routes.
Regime confirmed: 2020-03-20; rosters subsequently amended April 1, April 21 and May 12.
Scoped reopening observation: all Vorarlberg crossings open from 2020-05-17 at 00:00; this covers the Vorarlberg subset of the Swiss and German routes, not all Austrian frontiers.
No common endpoint or aggregate duration established.
R3-EU-012-R2 — Formal policy
47 designated minor routes on the Austria–Italy frontier, excluding retained major crossings and reduced-hour roads.
Scheduled effective start: 2020-03-14 at 00:00, under the March 13 order.
Closure regime confirmed: 2020-03-20.
Route-specific reopening endpoints remain unestablished; the documented formal regime exceeds 24 hours without proving a uniform operational duration at every route.</x:v>
      </x:c>
      <x:c r="G455" s="4" t="str">
        <x:v>Health and biosecurity / Human disease control
Reported reason
Applies to: R3-EU-012-FU1 and R3-EU-012-R2.
Pandemic-control measures concentrated traffic at retained crossing points.</x:v>
      </x:c>
      <x:c r="H455" s="4" t="str">
        <x:v>The June 3 ministerial reply identifies separate closure orders dated March 13, March 17 and March 20, distinct from regulations merely introducing border checks. Contemporary APA reporting on March 13 places the 47 Italian-route suspensions at the following midnight; that is March 14, not the order’s publication date. The March 20 parliamentary account confirms the regime. Italian major crossings remained available, and Thörl-Maglern had reduced hours rather than full closure. The April and May amendments changed rosters, so no unchanged all-route interval is inferred. ORF’s May 17 police-attributed account establishes reopening of all Vorarlberg crossings, while pandemic admission conditions continued. It does not date reopening of other Austrian provinces. June 4 general admission easing is not substituted for a physical reopening of every minor route. Liechtenstein closures are separately recorded in R3-RT-001.</x:v>
      </x:c>
      <x:c r="I455" s="4" t="str">
        <x:v>Second full-register audit, 26 October 2026: additional source-audited corrections incorporated. See the phase, scope and qualification columns for the accepted findings.</x:v>
      </x:c>
      <x:c r="J455" s="18" t="d">
        <x:v>2026-10-26T00:00:00.000Z</x:v>
      </x:c>
      <x:c r="K455" s="21" t="str">
        <x:f>IFERROR(HYPERLINK("https://www.parlament.gv.at/aktuelles/pk/jahr_2020/pk0280","Austrian Parliament"),"Austrian Parliament")</x:f>
        <x:v>Austrian Parliament</x:v>
      </x:c>
      <x:c r="L455" s="21" t="str">
        <x:f>IFERROR(HYPERLINK("https://www.parlament.gv.at/dokument/XXVII/AB/1397/imfname_801282.pdf","Austrian Parliament"),"Austrian Parliament")</x:f>
        <x:v>Austrian Parliament</x:v>
      </x:c>
      <x:c r="M455" s="21" t="str">
        <x:f>IFERROR(HYPERLINK("https://www.parlament.gv.at/aktuelles/pk/jahr_2020/pk0460","Austrian Parliament"),"Austrian Parliament")</x:f>
        <x:v>Austrian Parliament</x:v>
      </x:c>
      <x:c r="N455" s="4" t="str">
        <x:v>https://www.parlament.gv.at/aktuelles/pk/jahr_2020/pk0280
https://www.parlament.gv.at/dokument/XXVII/AB/1397/imfname_801282.pdf
https://www.parlament.gv.at/aktuelles/pk/jahr_2020/pk0460
https://www.sn.at/panorama/oesterreich/oesterreich-schliesst-47-grenzuebergaenge-zu-italien-84794494
https://wiki.unece.org/pages/viewpage.action?navigatingVersions=true&amp;pageId=117510575
https://www.parlament.gv.at/PAKT/VHG/XXVII/AB/AB_01397/imfname_801282.pdf
https://www.parlament.gv.at/aktuelles/pk/jahr_2020/pk0595
https://www.ots.at/presseaussendung/OTS_20200604_OTS0194/gesundheitsministerium-grenzkontrollen-und-einreisebeschraenkungen-zum-grossteil-der-nachbarstaaten-aufgehoben
https://www.bmeia.gv.at/ministerium/presse/aktuelles/2020/06/schallenberg-grosser-schritt-in-richtung-neue-reisenormalitaet
https://vorarlberg.orf.at/stories/3049065/</x:v>
      </x:c>
      <x:c r="O455" s="4" t="str">
        <x:v>Second full-register audit source access, 26 October 2026
https://www.parlament.gv.at/aktuelles/pk/jahr_2020/pk0280: full text (fresh retrieval)
https://www.parlament.gv.at/dokument/XXVII/AB/1397/imfname_801282.pdf: full text (fresh retrieval)
https://www.sn.at/panorama/oesterreich/oesterreich-schliesst-47-grenzuebergaenge-zu-italien-84794494: full text (fresh retrieval)
https://www.parlament.gv.at/aktuelles/pk/jahr_2020/pk0460: full text (fresh retrieval)
https://vorarlberg.orf.at/stories/3049065/: full text (fresh retrieval)
Earlier URLs not separately inspected in this second assessment:
https://wiki.unece.org/pages/viewpage.action?navigatingVersions=true&amp;pageId=117510575
https://www.parlament.gv.at/PAKT/VHG/XXVII/AB/AB_01397/imfname_801282.pdf
https://www.parlament.gv.at/aktuelles/pk/jahr_2020/pk0595
https://www.ots.at/presseaussendung/OTS_20200604_OTS0194/gesundheitsministerium-grenzkontrollen-und-einreisebeschraenkungen-zum-grossteil-der-nachbarstaaten-aufgehoben
https://www.bmeia.gv.at/ministerium/presse/aktuelles/2020/06/schallenberg-grosser-schritt-in-richtung-neue-reisenormalitaet
Prior audit access record
Full-register audit source access (evidence cutoff 25 October 2026)
https://www.parlament.gv.at/aktuelles/pk/jahr_2020/pk0280: full text
https://www.parlament.gv.at/aktuelles/pk/jahr_2020/pk0460: full text
https://www.parlament.gv.at/aktuelles/pk/jahr_2020/pk0595: full text
https://www.ots.at/presseaussendung/OTS_20200604_OTS0194/gesundheitsministerium-grenzkontrollen-und-einreisebeschraenkungen-zum-grossteil-der-nachbarstaaten-aufgehoben: search extract
https://www.bmeia.gv.at/ministerium/presse/aktuelles/2020/06/schallenberg-grosser-schritt-in-richtung-neue-reisenormalitaet: full text
Earlier source URLs not separately listed in this audit’s retrieval log (historical access notes below are not fresh verification):
https://www.parlament.gv.at/dokument/XXVII/AB/1397/imfname_801282.pdf
https://www.sn.at/panorama/oesterreich/oesterreich-schliesst-47-grenzuebergaenge-zu-italien-84794494
https://wiki.unece.org/pages/viewpage.action?navigatingVersions=true&amp;pageId=117510575
https://www.parlament.gv.at/PAKT/VHG/XXVII/AB/AB_01397/imfname_801282.pdf
Earlier recorded access
Source 1: full text
Source 2: indexed excerpt
Source 3: full</x:v>
      </x:c>
      <x:c r="P455" s="20" t="n">
        <x:v>2</x:v>
      </x:c>
      <x:c r="Q455" s="4" t="str">
        <x:v>Europe</x:v>
      </x:c>
      <x:c r="R455" s="4" t="str">
        <x:v>Included</x:v>
      </x:c>
    </x:row>
    <x:row r="456" ht="409" hidden="0" customHeight="1">
      <x:c r="A456" s="16" t="str">
        <x:v>R3-EU-005</x:v>
      </x:c>
      <x:c r="B456" s="4" t="str">
        <x:v>Slovenia blocks minor road links and suspends passenger rail at the Italian frontier</x:v>
      </x:c>
      <x:c r="C456" s="4" t="str">
        <x:v>Slovenia; Italy</x:v>
      </x:c>
      <x:c r="D456" s="4" t="str">
        <x:v>All road links except Rateče, Robič, Vrtojba, Fernetiči, Škofije and Krvavi Potok; passenger rail
Route closure regime rather than closure of entire frontier</x:v>
      </x:c>
      <x:c r="E456" s="4" t="str">
        <x:v>Travellers using non-designated road links and passenger trains
Direction: Into Slovenia; road-link blocking physically affects crossing
Exceptions: Six designated road checkpoints retained; entry-health conditions separate</x:v>
      </x:c>
      <x:c r="F456" s="4" t="str">
        <x:v>R3-EU-005-R1 — Formal policy
Formal exclusion of Nova Gorica–Erjavčeva/Gorizia–Via San Gabriele and Neblo/Valico di Venco from Slovenian permitted road-crossing network, ending with limited category authorization
Start: 2020-03-11.
Policy endpoint: 2020-05-09.
Formal policy: 59 calendar-day difference; operational continuity not established
R3-EU-005-C7P1 — Formal policy
Slovenia–Italy passenger railway suspension
Start: 2020-03-11.
Policy suspension ended by: 2020-06-13.
International public passenger rail was authorised under Ordinance 1402. The railway operator separately scheduled Ljubljana–Trieste–Udine services and local Italy-border trains to resume on 2020-06-22; this is a service announcement, not independently observed first train passage.
R3-EU-005-C7P2 — Formal policy
Minor Slovenia–Italy road links outside the changing authorized checkpoint roster, excluding the separately phased Erjavčeva/Neblo pair
Start: 2020-03-11.
Original rule confirmed: 2020-04-14.
Scoped easing: 2020-06-15, Slovenian and Italian citizens allowed outside checkpoints.
Checkpoint route regime ended by: 2021-04-28, when Italy-border checkpoints were abolished.
Later reintroductions and changing rosters prevent a uniform continuous duration.</x:v>
      </x:c>
      <x:c r="G45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56" s="4" t="str">
        <x:v>The two separately phased road routes were authorised for limited categories from May 9, 2020: Erjavčeva from 06:00 and Neblo from 07:00, with limited hours. This was not universal reopening. International passenger rail was authorised by Ordinance 1402 from June 13, 2020; the operator’s June 18 notice separately scheduled Italy services and local border trains for June 22. June 13 legal permission and June 22 planned service resumption must remain distinct; the first actual train is not independently established. Other minor roads became available to Slovenian and Italian citizens from June 15, while other travellers retained designated checkpoints. The Italy checkpoint regime was abolished April 28, 2021, providing a substantially earlier end bound than June 2026. Changing rosters, cohorts and later reintroductions must not be merged into an unchanged continuous closure.</x:v>
      </x:c>
      <x:c r="I456" s="4" t="str">
        <x:v>Second full-register audit, 26 October 2026: additional source-audited corrections incorporated. See the phase, scope and qualification columns for the accepted findings.</x:v>
      </x:c>
      <x:c r="J456" s="18" t="d">
        <x:v>2026-10-26T00:00:00.000Z</x:v>
      </x:c>
      <x:c r="K456" s="21" t="str">
        <x:f>IFERROR(HYPERLINK("https://www.gov.si/en/news/2020-03-11-government-order-in-force-on-the-conditions-of-entry-into-slovenia-from-italy-aimed-at-stemming-the-spread-of-infection/","Government of Slovenia"),"Government of Slovenia")</x:f>
        <x:v>Government of Slovenia</x:v>
      </x:c>
      <x:c r="L456" s="21" t="str">
        <x:f>IFERROR(HYPERLINK("https://www.gov.si/en/news/2020-04-14-crossing-the-state-border-during-the-coronavirus-epidemic-40860/","Slovenian Interior Ministry"),"Slovenian Interior Ministry")</x:f>
        <x:v>Slovenian Interior Ministry</x:v>
      </x:c>
      <x:c r="M456" s="21" t="str">
        <x:f>IFERROR(HYPERLINK("https://www.gov.si/en/news/2020-05-08-amended-ordinance-sets-up-two-more-checkpoints-on-the-border-with-italy-nova-gorica-erjavceva-neblo-a-check-point-for-railway-traffic-with-austria-also-begins-operation","Government of Slovenia"),"Government of Slovenia")</x:f>
        <x:v>Government of Slovenia</x:v>
      </x:c>
      <x:c r="N456" s="4" t="str">
        <x:v>https://www.gov.si/en/news/2020-03-11-government-order-in-force-on-the-conditions-of-entry-into-slovenia-from-italy-aimed-at-stemming-the-spread-of-infection/
https://www.gov.si/en/news/2020-04-14-crossing-the-state-border-during-the-coronavirus-epidemic-40860/
https://www.gov.si/en/news/2020-05-08-amended-ordinance-sets-up-two-more-checkpoints-on-the-border-with-italy-nova-gorica-erjavceva-neblo-a-check-point-for-railway-traffic-with-austria-also-begins-operation
https://www.gov.si/en/news?date=&amp;nrOfItems=100&amp;org%5B0%5D=29&amp;start=200
https://www.gov.si/en/news/2020-05-08-amended-ordinance-sets-up-two-more-checkpoints-on-the-border-with-italy-nova-gorica-erjavceva-neblo-a-check-point-for-railway-traffic-with-austria-also-begins-operation/
https://www.gov.si/en/news/2020-05-11-changed-operating-hours-at-the-checkpoint-neblo-on-the-border-with-italy/
https://www.policija.si/eng/newsroom/news-archive/news-archive/104538-new-border-rules-apply-as-of-15-june
https://www.policija.si/medijsko-sredisce/sporocila-za-javnost/sporocila-za-javnost-gpue/103287-vzpostavljene-stiri-kontrolne-tocke-na-cestnih-povezavah-z-italijo
https://www.uradni-list.si/glasilo-uradni-list-rs/vsebina/2020-01-1402/odlok-o-nacinu-izvajanja-javnega-prevoza-potnikov-na-ozemlju-republike-slovenije
https://www.gov.si/novice/2020-06-11-vlada-sprostila-javni-prevoz-potnikov-v-mednarodnem-prometu/
https://www.gov.si/en/news/2020-06-12-55th-correspondence-session-government-adopts-several-ordinances-on-crossing-the-border/
https://www.gov.si/en/news/2021-04-30-health-and-safety-at-work-is-extremely-important-in-the-corona-period/
https://www.tax-fin-lex.si/dokument/podrobnosti/968d7b8d-afd0-4831-8b7b-39a6735f891f
https://potniski-novice.sz.si/vzpostavitev-mednarodnega-voznega-reda/</x:v>
      </x:c>
      <x:c r="O456" s="4" t="str">
        <x:v>Second full-register audit source access, 26 October 2026
https://www.gov.si/en/news/2020-03-11-government-order-in-force-on-the-conditions-of-entry-into-slovenia-from-italy-aimed-at-stemming-the-spread-of-infection/: full text (fresh retrieval)
https://www.gov.si/en/news/2020-05-08-amended-ordinance-sets-up-two-more-checkpoints-on-the-border-with-italy-nova-gorica-erjavceva-neblo-a-check-point-for-railway-traffic-with-austria-also-begins-operation/: full text (fresh retrieval)
https://www.gov.si/en/news/2020-06-12-55th-correspondence-session-government-adopts-several-ordinances-on-crossing-the-border/: full text (fresh retrieval) — Friuli Venezia Giulia earlier regional transition remains distinct.
https://www.gov.si/en/news/2021-04-30-health-and-safety-at-work-is-extremely-important-in-the-corona-period/: full text (fresh retrieval)
https://www.gov.si/novice/2020-06-11-vlada-sprostila-javni-prevoz-potnikov-v-mednarodnem-prometu/: full text (fresh retrieval)
https://www.tax-fin-lex.si/dokument/podrobnosti/968d7b8d-afd0-4831-8b7b-39a6735f891f: search extract (fresh retrieval) — Indexed legal reproduction; official gazette direct open failed.
https://potniski-novice.sz.si/vzpostavitev-mednarodnega-voznega-reda/: full text (fresh retrieval) — Prospective schedule; not an observed first train. Serbian cancellations in same notice are not applied to Italy.
Earlier URLs not separately inspected in this second assessment:
https://www.gov.si/en/news/2020-04-14-crossing-the-state-border-during-the-coronavirus-epidemic-40860/
https://www.gov.si/en/news/2020-05-08-amended-ordinance-sets-up-two-more-checkpoints-on-the-border-with-italy-nova-gorica-erjavceva-neblo-a-check-point-for-railway-traffic-with-austria-also-begins-operation
https://www.gov.si/en/news?date=&amp;nrOfItems=100&amp;org%5B0%5D=29&amp;start=200
https://www.gov.si/en/news/2020-05-11-changed-operating-hours-at-the-checkpoint-neblo-on-the-border-with-italy/
https://www.policija.si/eng/newsroom/news-archive/news-archive/104538-new-border-rules-apply-as-of-15-june
https://www.policija.si/medijsko-sredisce/sporocila-za-javnost/sporocila-za-javnost-gpue/103287-vzpostavljene-stiri-kontrolne-tocke-na-cestnih-povezavah-z-italijo
https://www.uradni-list.si/glasilo-uradni-list-rs/vsebina/2020-01-1402/odlok-o-nacinu-izvajanja-javnega-prevoza-potnikov-na-ozemlju-republike-slovenije
Prior audit access record
Full-register audit source access (evidence cutoff 25 October 2026)
https://www.gov.si/en/news/2020-03-11-government-order-in-force-on-the-conditions-of-entry-into-slovenia-from-italy-aimed-at-stemming-the-spread-of-infection/: full text
https://www.gov.si/en/news/2020-05-08-amended-ordinance-sets-up-two-more-checkpoints-on-the-border-with-italy-nova-gorica-erjavceva-neblo-a-check-point-for-railway-traffic-with-austria-also-begins-operation/: full text
https://www.uradni-list.si/glasilo-uradni-list-rs/vsebina/2020-01-1402/odlok-o-nacinu-izvajanja-javnega-prevoza-potnikov-na-ozemlju-republike-slovenije: full text
https://www.gov.si/novice/2020-06-11-vlada-sprostila-javni-prevoz-potnikov-v-mednarodnem-prometu/: full text
https://www.gov.si/en/news/2020-06-12-55th-correspondence-session-government-adopts-several-ordinances-on-crossing-the-border/: full text
https://www.gov.si/en/news/2021-04-30-health-and-safety-at-work-is-extremely-important-in-the-corona-period/: full text
Earlier source URLs not separately listed in this audit’s retrieval log (historical access notes below are not fresh verification):
https://www.gov.si/en/news/2020-04-14-crossing-the-state-border-during-the-coronavirus-epidemic-40860/
https://www.gov.si/en/news/2020-05-08-amended-ordinance-sets-up-two-more-checkpoints-on-the-border-with-italy-nova-gorica-erjavceva-neblo-a-check-point-for-railway-traffic-with-austria-also-begins-operation
https://www.gov.si/en/news?date=&amp;nrOfItems=100&amp;org%5B0%5D=29&amp;start=200
https://www.gov.si/en/news/2020-05-11-changed-operating-hours-at-the-checkpoint-neblo-on-the-border-with-italy/
https://www.policija.si/eng/newsroom/news-archive/news-archive/104538-new-border-rules-apply-as-of-15-june
https://www.policija.si/medijsko-sredisce/sporocila-za-javnost/sporocila-za-javnost-gpue/103287-vzpostavljene-stiri-kontrolne-tocke-na-cestnih-povezavah-z-italijo
Earlier recorded access
Source 1: full; full text
Source 2: indexed excerpt; full
Source 3: full; full text</x:v>
      </x:c>
      <x:c r="P456" s="20" t="n">
        <x:v>3</x:v>
      </x:c>
      <x:c r="Q456" s="4" t="str">
        <x:v>Europe</x:v>
      </x:c>
      <x:c r="R456" s="4" t="str">
        <x:v>Included</x:v>
      </x:c>
    </x:row>
    <x:row r="457" ht="409" hidden="0" customHeight="1">
      <x:c r="A457" s="16" t="str">
        <x:v>R3-EU-006</x:v>
      </x:c>
      <x:c r="B457" s="4" t="str">
        <x:v>Romania–Moldova: Cahul–Oancea and Lipcani–Rădăuți-Prut suspend operation</x:v>
      </x:c>
      <x:c r="C457" s="4" t="str">
        <x:v>Romania; Moldova</x:v>
      </x:c>
      <x:c r="D457" s="4" t="str">
        <x:v>Cahul–Oancea; Lipcani–Rădăuți-Prut
Two road posts; other frontier crossings remain available</x:v>
      </x:c>
      <x:c r="E457" s="4" t="str">
        <x:v>Passenger and freight traffic at these posts
Direction: Both directions
Exceptions: Alternative posts remained open, subject to separate admission rules</x:v>
      </x:c>
      <x:c r="F457" s="4" t="str">
        <x:v>R3-EU-006-R1 — Announced window
Initial Romanian-directed suspension of Cahul–Oancea and Lipcani–Rădăuți-Prut road crossing operations
Start: 2020-03-14.
Scheduled endpoint: 2020-04-13.
Ordered window: 30 calendar-day difference; actual end not established
Observed onset: both posts suspended operation at 16:00 on 2020-03-14.
Cahul–Oancea scoped restoration: 2020-11-16, confirmed retrospectively on November 17.
Lipcani–Rădăuți-Prut formal restoration: 2021-06-12 at 08:00; traffic resumption confirmed retrospectively by 2021-06-19.
These supersede the initial scheduled expiry for endpoint interpretation; no uniform daily operational duration is inferred.</x:v>
      </x:c>
      <x:c r="G45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57" s="4" t="str">
        <x:v>April 13, 2020 was only the calculated end of the initial extendable 30-day term. The Border Police reported actual suspension March 14 at 16:00. Cahul resumed November 16, 2020, supported by a next-day official retrospective. Lipcani had a June 12, 2021 08:00 formal restoration and a June 19 official retrospective confirming resumed passenger and freight traffic. The two endpoints must remain separate. National admission and health conditions continued, and exact first passage and every intervening day of operation are not established.</x:v>
      </x:c>
      <x:c r="I457" s="4" t="str">
        <x:v>Second full-register audit, 26 October 2026: qualified. Fresh official texts confirm actual March 14 suspension and distinct Cahul November 2020 and Lipcani June 2021 restoration dates; initial April expiry was only a plan.</x:v>
      </x:c>
      <x:c r="J457" s="18" t="d">
        <x:v>2026-10-26T00:00:00.000Z</x:v>
      </x:c>
      <x:c r="K457" s="21" t="str">
        <x:f>IFERROR(HYPERLINK("https://www.border.gov.md/ro/punctele-de-trecere-a-frontierei-cahul-oancea-si-lipcani-radauti-prut-si-au-sistat-temporar-activitatea","Moldovan Border Police"),"Moldovan Border Police")</x:f>
        <x:v>Moldovan Border Police</x:v>
      </x:c>
      <x:c r="L457" s="21" t="str">
        <x:f>IFERROR(HYPERLINK("https://www.anta.gov.md/content/transportul-interna%C8%9Bional-de-persoane-restric%C8%9Biile-statelor-str%C4%83ine-%C3%AEn-contextul-pandemiei","Moldovan ANTA"),"Moldovan ANTA")</x:f>
        <x:v>Moldovan ANTA</x:v>
      </x:c>
      <x:c r="M457" s="21" t="str">
        <x:f>IFERROR(HYPERLINK("https://www.border.gov.md/veste-buna-la-nceput-de-saptamana-punctul-de-trecere-frontierei-cahul-oancea-isi-reia-activitatea","Moldova Border Police"),"Moldova Border Police")</x:f>
        <x:v>Moldova Border Police</x:v>
      </x:c>
      <x:c r="N457" s="4" t="str">
        <x:v>https://www.border.gov.md/ro/punctele-de-trecere-a-frontierei-cahul-oancea-si-lipcani-radauti-prut-si-au-sistat-temporar-activitatea
https://www.anta.gov.md/content/transportul-interna%C8%9Bional-de-persoane-restric%C8%9Biile-statelor-str%C4%83ine-%C3%AEn-contextul-pandemiei
https://www.border.gov.md/veste-buna-la-nceput-de-saptamana-punctul-de-trecere-frontierei-cahul-oancea-isi-reia-activitatea
https://www.border.gov.md/informare-se-reia-traficul-prin-toate-punctele-de-trecere-frontierei
https://border.gov.md/ro/punctele-de-trecere-a-frontierei-cahul-oancea-si-lipcani-radauti-prut-si-au-sistat-temporar-activitatea
https://anta.gov.md/content/transportul-interna%C8%9Bional-de-m%C4%83rfuri-restric%C8%9Biile-statelor-str%C4%83ine-%C3%AEn-contextul-pandemiei
https://border.gov.md/informare-punctul-de-trecere-frontierei-lipcani-radauti-prut-isi-reia-activitatea
https://anta.gov.md/content/actualiz%C4%83ri-privind-condi%C8%9Biile-de-intrare-pe-teritoriul-rom%C3%A2niei-%C3%AEn-contextul-pandemiei-0
https://anta.gov.md/content/actualiz%C4%83ri-privind-restric%C8%9Biile-impuse-de-unele-state-%C3%AEn-contextul-pandemiei-covid-19-7</x:v>
      </x:c>
      <x:c r="O457" s="4" t="str">
        <x:v>Second full-register audit source access, 26 October 2026
https://www.border.gov.md/ro/punctele-de-trecere-a-frontierei-cahul-oancea-si-lipcani-radauti-prut-si-au-sistat-temporar-activitatea: full text (fresh retrieval)
https://anta.gov.md/content/actualiz%C4%83ri-privind-condi%C8%9Biile-de-intrare-pe-teritoriul-rom%C3%A2niei-%C3%AEn-contextul-pandemiei-0: full text (fresh retrieval)
https://border.gov.md/informare-punctul-de-trecere-frontierei-lipcani-radauti-prut-isi-reia-activitatea: full text (fresh retrieval)
https://anta.gov.md/content/actualiz%C4%83ri-privind-restric%C8%9Biile-impuse-de-unele-state-%C3%AEn-contextul-pandemiei-covid-19-7: full text (fresh retrieval)
https://www.border.gov.md/informare-se-reia-traficul-prin-toate-punctele-de-trecere-frontierei: full text (fresh retrieval) — Prospective network notice, not actual first passage.
Earlier URLs not separately inspected in this second assessment:
https://www.anta.gov.md/content/transportul-interna%C8%9Bional-de-persoane-restric%C8%9Biile-statelor-str%C4%83ine-%C3%AEn-contextul-pandemiei
https://www.border.gov.md/veste-buna-la-nceput-de-saptamana-punctul-de-trecere-frontierei-cahul-oancea-isi-reia-activitatea
https://border.gov.md/ro/punctele-de-trecere-a-frontierei-cahul-oancea-si-lipcani-radauti-prut-si-au-sistat-temporar-activitatea
https://anta.gov.md/content/transportul-interna%C8%9Bional-de-m%C4%83rfuri-restric%C8%9Biile-statelor-str%C4%83ine-%C3%AEn-contextul-pandemiei
Prior audit access record
Full-register audit source access (evidence cutoff 25 October 2026)
https://border.gov.md/ro/punctele-de-trecere-a-frontierei-cahul-oancea-si-lipcani-radauti-prut-si-au-sistat-temporar-activitatea: full text
https://www.border.gov.md/veste-buna-la-nceput-de-saptamana-punctul-de-trecere-frontierei-cahul-oancea-isi-reia-activitatea: full text
https://anta.gov.md/content/actualiz%C4%83ri-privind-condi%C8%9Biile-de-intrare-pe-teritoriul-rom%C3%A2niei-%C3%AEn-contextul-pandemiei-0: search extract
https://border.gov.md/informare-punctul-de-trecere-frontierei-lipcani-radauti-prut-isi-reia-activitatea: full text
https://anta.gov.md/content/actualiz%C4%83ri-privind-restric%C8%9Biile-impuse-de-unele-state-%C3%AEn-contextul-pandemiei-covid-19-7: full text
Earlier source URLs not separately listed in this audit’s retrieval log (historical access notes below are not fresh verification):
https://www.border.gov.md/ro/punctele-de-trecere-a-frontierei-cahul-oancea-si-lipcani-radauti-prut-si-au-sistat-temporar-activitatea
https://www.anta.gov.md/content/transportul-interna%C8%9Bional-de-persoane-restric%C8%9Biile-statelor-str%C4%83ine-%C3%AEn-contextul-pandemiei
https://www.border.gov.md/informare-se-reia-traficul-prin-toate-punctele-de-trecere-frontierei
https://anta.gov.md/content/transportul-interna%C8%9Bional-de-m%C4%83rfuri-restric%C8%9Biile-statelor-str%C4%83ine-%C3%AEn-contextul-pandemiei
Earlier recorded access
Source 1: full
Source 2: indexed excerpt
Source 3: full page</x:v>
      </x:c>
      <x:c r="P457" s="20" t="n">
        <x:v>1</x:v>
      </x:c>
      <x:c r="Q457" s="4" t="str">
        <x:v>Europe</x:v>
      </x:c>
      <x:c r="R457" s="4" t="str">
        <x:v>Included</x:v>
      </x:c>
    </x:row>
    <x:row r="458" ht="409" hidden="0" customHeight="1">
      <x:c r="A458" s="16" t="str">
        <x:v>R3-EU-007</x:v>
      </x:c>
      <x:c r="B458" s="4" t="str">
        <x:v>Moldova–Ukraine suspends a subset of road, rail and river crossing posts</x:v>
      </x:c>
      <x:c r="C458" s="4" t="str">
        <x:v>Moldova; Ukraine</x:v>
      </x:c>
      <x:c r="D458" s="4" t="str">
        <x:v>Ocnița–Sokireanî road; Larga–Kelmenți rail/road; Criva–Mamalîga rail; Vulcănești–Vinogradovka; Basarabeasca–Serpniovo-1 road; Cosăuți–Iampol river; Unguri–Bronnița; Ceadîr-Lunga–Novîe Troianî; Pervomaisc–Kuciurgan; Goianul Nou–Platonovo; Hristovaia–Bolgan; local/interstate posts
Local/interstate posts plus12 specified international posts</x:v>
      </x:c>
      <x:c r="E458" s="4" t="str">
        <x:v>All traffic using listed posts
Direction: Both directions
Exceptions: Other designated international posts remained open</x:v>
      </x:c>
      <x:c r="F458" s="4" t="str">
        <x:v>R3-EU-007-FU1 — Formal policy
Moldova–Ukraine local/interstate posts and named international road, rail and river posts in March 15 notice
Start: 2020-03-17.
Initial rule confirmed: 2020-03-17.
Several original posts listed operational by: 2020-11-11.
Remaining network formally restored: 2021-05-24 at 08:00.
This is a latest policy end bound, not a common exact operational reopening; numeric duration withheld.</x:v>
      </x:c>
      <x:c r="G45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58" s="4" t="str">
        <x:v>The initial formal suspension began at 00:00 on March 17, 2020. Road and railway facilities with similar names remain distinct. The November 11 customs list already shows Criva railway, Ocnița road, Larga road/rail and Pervomaisc road operating, while separately announcing Basarabeasca–Serpniovo and Ceadîr-Lunga road restoration for November 12. Both authorities announced restoration of the remaining Moldova–Ukraine network from May 24, 2021. This provides a latest formal end bound for the original policy, not one shared first-passage date or proof of unchanged continuous closure. National admission rules remained separate.</x:v>
      </x:c>
      <x:c r="I458" s="4" t="str">
        <x:v>Second full-register audit, 26 October 2026: qualified. Fresh Moldovan and Ukrainian official notices corroborate March 17 named-post suspension, staggered earlier restoration, and May 24, 2021 latest network policy bound.</x:v>
      </x:c>
      <x:c r="J458" s="18" t="d">
        <x:v>2026-10-26T00:00:00.000Z</x:v>
      </x:c>
      <x:c r="K458" s="21" t="str">
        <x:f>IFERROR(HYPERLINK("https://border.gov.md/ro/masuri-noi-si-restrictii-de-circulatie-prin-punctele-de-trecere-a-frontierei-de-stat","Moldova Border Police"),"Moldova Border Police")</x:f>
        <x:v>Moldova Border Police</x:v>
      </x:c>
      <x:c r="L458" s="21" t="str">
        <x:f>IFERROR(HYPERLINK("https://customs.gov.md/ro/articles/anunt-doua-puncte-de-trecere-a-frontierei-moldo-ucrainene-isi-reiau-activitatea","Moldovan Customs"),"Moldovan Customs")</x:f>
        <x:v>Moldovan Customs</x:v>
      </x:c>
      <x:c r="M458" s="21" t="str">
        <x:f>IFERROR(HYPERLINK("https://anta.gov.md/content/transportul-interna%C8%9Bional-de-persoane-restric%C8%9Biile-statelor-str%C4%83ine-%C3%AEn-contextul-pandemiei","anta.gov.md"),"anta.gov.md")</x:f>
        <x:v>anta.gov.md</x:v>
      </x:c>
      <x:c r="N458" s="4" t="str">
        <x:v>https://border.gov.md/ro/masuri-noi-si-restrictii-de-circulatie-prin-punctele-de-trecere-a-frontierei-de-stat
https://customs.gov.md/ro/articles/anunt-doua-puncte-de-trecere-a-frontierei-moldo-ucrainene-isi-reiau-activitatea
https://anta.gov.md/content/transportul-interna%C8%9Bional-de-persoane-restric%C8%9Biile-statelor-str%C4%83ine-%C3%AEn-contextul-pandemiei
https://border.gov.md/files/images/newsphotos/2020/martie/15/ordin%20comun0001.pdf
https://www.border.gov.md/informare-doua-puncte-de-trecere-frontierei-moldo-ucrainene-isi-reiau-activitatea
https://www.border.gov.md/informare-se-reia-traficul-prin-toate-punctele-de-trecere-frontierei
https://anta.gov.md/content/transportul-interna%C8%9Bional-de-m%C4%83rfuri-restric%C8%9Biile-statelor-str%C4%83ine-%C3%AEn-contextul-pandemiei
https://customs.gov.md/ro/articles/ucraina-sisteaza-traficul-prin-punctele-de-trecere-a-frontierei-kelmenti-si-sokireani
https://mvs.gov.ua/en/press-center/news/na-ukrayinsko-moldovskomu-kordoni-vidnovlyuyut-robotu-31-punkt-propusku</x:v>
      </x:c>
      <x:c r="O458" s="4" t="str">
        <x:v>Second full-register audit source access, 26 October 2026
https://border.gov.md/ro/masuri-noi-si-restrictii-de-circulatie-prin-punctele-de-trecere-a-frontierei-de-stat: full text (fresh retrieval)
https://customs.gov.md/ro/articles/anunt-doua-puncte-de-trecere-a-frontierei-moldo-ucrainene-isi-reiau-activitatea: full text (fresh retrieval)
https://www.border.gov.md/informare-se-reia-traficul-prin-toate-punctele-de-trecere-frontierei: full text (fresh retrieval)
https://mvs.gov.ua/en/press-center/news/na-ukrayinsko-moldovskomu-kordoni-vidnovlyuyut-robotu-31-punkt-propusku: full text (fresh retrieval) — Relays Moldovan notice; not independent first-passage observation.
Earlier URLs not separately inspected in this second assessment:
https://anta.gov.md/content/transportul-interna%C8%9Bional-de-persoane-restric%C8%9Biile-statelor-str%C4%83ine-%C3%AEn-contextul-pandemiei
https://border.gov.md/files/images/newsphotos/2020/martie/15/ordin%20comun0001.pdf
https://www.border.gov.md/informare-doua-puncte-de-trecere-frontierei-moldo-ucrainene-isi-reiau-activitatea
https://anta.gov.md/content/transportul-interna%C8%9Bional-de-m%C4%83rfuri-restric%C8%9Biile-statelor-str%C4%83ine-%C3%AEn-contextul-pandemiei
https://customs.gov.md/ro/articles/ucraina-sisteaza-traficul-prin-punctele-de-trecere-a-frontierei-kelmenti-si-sokireani
Prior audit access record
Full-register audit source access (evidence cutoff 25 October 2026)
https://border.gov.md/ro/masuri-noi-si-restrictii-de-circulatie-prin-punctele-de-trecere-a-frontierei-de-stat: full text
https://customs.gov.md/ro/articles/anunt-doua-puncte-de-trecere-a-frontierei-moldo-ucrainene-isi-reiau-activitatea: full text — The list also includes the two next-day reopening posts, so their timing follows the explicit notice rather than list heading.
https://www.border.gov.md/informare-se-reia-traficul-prin-toate-punctele-de-trecere-frontierei: full text
https://mvs.gov.ua/en/press-center/news/na-ukrayinsko-moldovskomu-kordoni-vidnovlyuyut-robotu-31-punkt-propusku: full text
Earlier source URLs not separately listed in this audit’s retrieval log (historical access notes below are not fresh verification):
https://anta.gov.md/content/transportul-interna%C8%9Bional-de-persoane-restric%C8%9Biile-statelor-str%C4%83ine-%C3%AEn-contextul-pandemiei
https://border.gov.md/files/images/newsphotos/2020/martie/15/ordin%20comun0001.pdf
https://www.border.gov.md/informare-doua-puncte-de-trecere-frontierei-moldo-ucrainene-isi-reiau-activitatea
https://anta.gov.md/content/transportul-interna%C8%9Bional-de-m%C4%83rfuri-restric%C8%9Biile-statelor-str%C4%83ine-%C3%AEn-contextul-pandemiei
https://customs.gov.md/ro/articles/ucraina-sisteaza-traficul-prin-punctele-de-trecere-a-frontierei-kelmenti-si-sokireani
Earlier recorded access
Source 1: full; full text
Source 2: indexed excerpt; full
Source 3: full</x:v>
      </x:c>
      <x:c r="P458" s="20" t="n">
        <x:v>1</x:v>
      </x:c>
      <x:c r="Q458" s="4" t="str">
        <x:v>Europe</x:v>
      </x:c>
      <x:c r="R458" s="4" t="str">
        <x:v>Included</x:v>
      </x:c>
    </x:row>
    <x:row r="459" ht="409" hidden="0" customHeight="1">
      <x:c r="A459" s="16" t="str">
        <x:v>R3-EU-008</x:v>
      </x:c>
      <x:c r="B459" s="4" t="str">
        <x:v>Transnistrian de facto authorities restrict crossing of the Nistru security zone</x:v>
      </x:c>
      <x:c r="C459" s="4" t="str">
        <x:v>Moldova</x:v>
      </x:c>
      <x:c r="D459" s="4" t="str">
        <x:v>Checkpoints between right-bank Moldova and left-bank localities/Bender
Disputed/de facto internal boundary; not internationally recognised state frontier</x:v>
      </x:c>
      <x:c r="E459" s="4" t="str">
        <x:v>Residents and visitors without required advance clearance
Direction: Both directions
Exceptions: Some authorised crossing persisted; exception roster not reconstructed</x:v>
      </x:c>
      <x:c r="F459" s="4" t="str">
        <x:v>R3-EU-008-D1 — Formal policy
Advance-clearance regime for crossing the Nistru security zone
Start: 2020-03-17.
Policy endpoint: 2021-04-30.
Formal policy: 409 calendar-day difference; operational continuity not established</x:v>
      </x:c>
      <x:c r="G45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59" s="4" t="str">
        <x:v>R3-EU-008-D1: Disputed/de facto internal boundary, not an internationally recognised state frontier. Moldovan government is a conflict party; UK statement does not independently confirm the exact day. Authorised exceptions and checkpoint changes mean no claim of physical impermeability.</x:v>
      </x:c>
      <x:c r="I459" s="4" t="str">
        <x:v>Second full-register audit, 26 October 2026: qualified. Fresh Moldovan retrospective dates the advance-clearance regime from March 17, 2020 through April 29, 2021; UK corroborates Easter-period lifting without independently supplying the exact day.</x:v>
      </x:c>
      <x:c r="J459" s="18" t="d">
        <x:v>2026-10-26T00:00:00.000Z</x:v>
      </x:c>
      <x:c r="K459" s="21" t="str">
        <x:f>IFERROR(HYPERLINK("https://gov.md/en/comunicate-de-presa-bpr/bureau-reintegration-disapproves-extension-quarantine-localities","Moldovan Bureau for Reintegration"),"Moldovan Bureau for Reintegration")</x:f>
        <x:v>Moldovan Bureau for Reintegration</x:v>
      </x:c>
      <x:c r="L459" s="21" t="str">
        <x:f>IFERROR(HYPERLINK("https://gov.md/en/comunicate-de-presa-bpr/free-movement-transnistrian-region-has-been-extended-until-1-july","Moldovan Bureau for Reintegration"),"Moldovan Bureau for Reintegration")</x:f>
        <x:v>Moldovan Bureau for Reintegration</x:v>
      </x:c>
      <x:c r="M459" s="21" t="str">
        <x:f>IFERROR(HYPERLINK("https://www.gov.uk/government/speeches/head-of-the-osce-mission-to-moldova-uk-response","UK Foreign, Commonwealth and Development Office"),"UK Foreign, Commonwealth and Development Office")</x:f>
        <x:v>UK Foreign, Commonwealth and Development Office</x:v>
      </x:c>
      <x:c r="N459" s="4" t="str">
        <x:v>https://gov.md/en/comunicate-de-presa-bpr/bureau-reintegration-disapproves-extension-quarantine-localities
https://gov.md/en/comunicate-de-presa-bpr/free-movement-transnistrian-region-has-been-extended-until-1-july
https://www.gov.uk/government/speeches/head-of-the-osce-mission-to-moldova-uk-response
https://gov.md/en/comunicate-de-presa-bpr/failure-unblock-work-joint-control-commission-meeting-bender
https://www.eeas.europa.eu/sites/default/files/swd_2021_295_f1_joint_staff_working_paper_en_v2_p1_1535649.pdf</x:v>
      </x:c>
      <x:c r="O459" s="4" t="str">
        <x:v>Second full-register audit source access, 26 October 2026
https://gov.md/en/comunicate-de-presa-bpr/bureau-reintegration-disapproves-extension-quarantine-localities: full text (fresh retrieval) — Conflict-party statement; political judgments not independently adopted.
https://gov.md/en/comunicate-de-presa-bpr/free-movement-transnistrian-region-has-been-extended-until-1-july: full text (fresh retrieval) — Authority-side retrospective, not each checkpoint’s operational log.
https://www.gov.uk/government/speeches/head-of-the-osce-mission-to-moldova-uk-response: full text (fresh retrieval) — No exact day independently supplied.
Earlier URLs not separately inspected in this second assessment:
https://gov.md/en/comunicate-de-presa-bpr/failure-unblock-work-joint-control-commission-meeting-bender
https://www.eeas.europa.eu/sites/default/files/swd_2021_295_f1_joint_staff_working_paper_en_v2_p1_1535649.pdf
Prior audit access record
Full-register audit source access (evidence cutoff 25 October 2026)
https://gov.md/en/comunicate-de-presa-bpr/free-movement-transnistrian-region-has-been-extended-until-1-july: full text
https://gov.md/en/comunicate-de-presa-bpr/bureau-reintegration-disapproves-extension-quarantine-localities: full text
https://www.gov.uk/government/speeches/head-of-the-osce-mission-to-moldova-uk-response: full text
Earlier source URLs not separately listed in this audit’s retrieval log (historical access notes below are not fresh verification):
https://gov.md/en/comunicate-de-presa-bpr/failure-unblock-work-joint-control-commission-meeting-bender
https://www.eeas.europa.eu/sites/default/files/swd_2021_295_f1_joint_staff_working_paper_en_v2_p1_1535649.pdf
Earlier recorded access
Source 1: indexed extract; full-page timeout
Source 2: full page
Source 3: full page</x:v>
      </x:c>
      <x:c r="P459" s="20" t="n">
        <x:v>1</x:v>
      </x:c>
      <x:c r="Q459" s="4" t="str">
        <x:v>Europe</x:v>
      </x:c>
      <x:c r="R459" s="4" t="str">
        <x:v>Included</x:v>
      </x:c>
    </x:row>
    <x:row r="460" ht="409" hidden="0" customHeight="1">
      <x:c r="A460" s="16" t="str">
        <x:v>R3-RT-001</x:v>
      </x:c>
      <x:c r="B460" s="4" t="str">
        <x:v>Austria–Liechtenstein: Mauren and Schellenberg pandemic gate closures</x:v>
      </x:c>
      <x:c r="C460" s="4" t="str">
        <x:v>Austria; Liechtenstein</x:v>
      </x:c>
      <x:c r="D460" s="4" t="str">
        <x:v>Mauren; Schellenberg
Two local land crossings; not the entire bilateral frontier</x:v>
      </x:c>
      <x:c r="E460" s="4" t="str">
        <x:v>Traffic through the two named posts
Direction: Closure of specified crossing routes
Exceptions: Exempt commuters, goods, emergency traffic and transit used Ruggell or Schaanwald.</x:v>
      </x:c>
      <x:c r="F460" s="4" t="str">
        <x:v>R3-RT-001-D1 — Observed operation
Mauren and Schellenberg local crossing closures
Start: 2020-03-18 (preferred dated account; competing customs roster gives 2020-03-17).
Reopening: 2020-05-17 at 00:00, with health-related admission conditions retained.
60 calendar-day difference on the preferred onset; continuous closure supported by the retrospective May 6 account, not daily gate observations.</x:v>
      </x:c>
      <x:c r="G46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60" s="4" t="str">
        <x:v>The Liechtenstein government announcement distinguishes March 17 admission conditions from closure of Mauren and Schellenberg on March 18 at 00:00. May 6 reporting independently describes the two routes as closed since March 18. These specific accounts are preferred to the March 17 date in the customs roster reproduced by Assolombarda; that one-day discrepancy remains documented. ORF reported on May 17 that all Vorarlberg crossings had reopened from midnight, attributing the changed arrangements to the state police director. This ends the two-post closure, not all pandemic admission restrictions: tourism remained barred and health conditions continued. Ruggell and Schaanwald had remained available for permitted traffic. The closure envelope exceeds 24 hours; precise first vehicle passage is not documented.</x:v>
      </x:c>
      <x:c r="I460" s="4" t="str">
        <x:v>Second full-register audit, 26 October 2026: additional source-audited corrections incorporated. See the phase, scope and qualification columns for the accepted findings.</x:v>
      </x:c>
      <x:c r="J460" s="18" t="d">
        <x:v>2026-10-26T00:00:00.000Z</x:v>
      </x:c>
      <x:c r="K460" s="21" t="str">
        <x:f>IFERROR(HYPERLINK("https://regierung.li/medienportal-medium/16182/223302/1/medienmitteilung%20","Government of Liechtenstein"),"Government of Liechtenstein")</x:f>
        <x:v>Government of Liechtenstein</x:v>
      </x:c>
      <x:c r="L460" s="21" t="str">
        <x:f>IFERROR(HYPERLINK("https://www.meinbezirk.at/c-politik/oesterreich-verlaengert-grenzkontrollen-bis-31-mai_a4058439","RegionalMedien Austria"),"RegionalMedien Austria")</x:f>
        <x:v>RegionalMedien Austria</x:v>
      </x:c>
      <x:c r="M460" s="21" t="str">
        <x:f>IFERROR(HYPERLINK("https://www.assolombarda.it/servizi/internazionalizzazione/documenti/svizzera-elenco-valichi-chiusi-17-marzo","Assolombarda"),"Assolombarda")</x:f>
        <x:v>Assolombarda</x:v>
      </x:c>
      <x:c r="N460" s="4" t="str">
        <x:v>https://regierung.li/medienportal-medium/16182/223302/1/medienmitteilung%20
https://www.meinbezirk.at/c-politik/oesterreich-verlaengert-grenzkontrollen-bis-31-mai_a4058439
https://www.assolombarda.it/servizi/internazionalizzazione/documenti/svizzera-elenco-valichi-chiusi-17-marzo
https://www.bmeia.gv.at/en/the-ministry/press/news/2020/06/foreign-minister-schallenberg-common-sense-is-the-best-travel-protection
https://www.liechtenstein.li/liechtenstein_news/coronavirus-massnahmen-werden-morgen-montag-16-maerz-2020-verschaerft
https://vorarlberg.orf.at/stories/3049065/</x:v>
      </x:c>
      <x:c r="O460" s="4" t="str">
        <x:v>Second full-register audit source access, 26 October 2026
https://www.liechtenstein.li/liechtenstein_news/coronavirus-massnahmen-werden-morgen-montag-16-maerz-2020-verschaerft: full text (fresh retrieval)
https://www.meinbezirk.at/c-politik/oesterreich-verlaengert-grenzkontrollen-bis-31-mai_a4058439: full text (fresh retrieval)
https://www.assolombarda.it/servizi/internazionalizzazione/documenti/svizzera-elenco-valichi-chiusi-17-marzo: full text (fresh retrieval) — Roster conflicts with more specific government announcement and later account.
https://vorarlberg.orf.at/stories/3049065/: full text (fresh retrieval)
Earlier URLs not separately inspected in this second assessment:
https://regierung.li/medienportal-medium/16182/223302/1/medienmitteilung%20
https://www.bmeia.gv.at/en/the-ministry/press/news/2020/06/foreign-minister-schallenberg-common-sense-is-the-best-travel-protection
Prior audit access record
Full-register audit source access (evidence cutoff 25 October 2026)
https://www.assolombarda.it/servizi/internazionalizzazione/documenti/svizzera-elenco-valichi-chiusi-17-marzo: full text
https://www.liechtenstein.li/liechtenstein_news/coronavirus-massnahmen-werden-morgen-montag-16-maerz-2020-verschaerft: full text
https://www.meinbezirk.at/c-politik/oesterreich-verlaengert-grenzkontrollen-bis-31-mai_a4058439: full text
https://regierung.li/medienportal-medium/16182/223302/1/medienmitteilung%20: full text — Retained historical URL cannot itself verify the border claim in its present contents.
Earlier source URLs not separately listed in this audit’s retrieval log (historical access notes below are not fresh verification):
https://www.bmeia.gv.at/en/the-ministry/press/news/2020/06/foreign-minister-schallenberg-common-sense-is-the-best-travel-protection
Earlier recorded access
Source 1: full page
Source 2: search-returned article text
Source 3: full PDF text</x:v>
      </x:c>
      <x:c r="P460" s="20" t="n">
        <x:v>1</x:v>
      </x:c>
      <x:c r="Q460" s="4" t="str">
        <x:v>Europe</x:v>
      </x:c>
      <x:c r="R460" s="4" t="str">
        <x:v>Included</x:v>
      </x:c>
    </x:row>
    <x:row r="461" ht="409" hidden="0" customHeight="1">
      <x:c r="A461" s="16" t="str">
        <x:v>R3-EU-003</x:v>
      </x:c>
      <x:c r="B461" s="4" t="str">
        <x:v>Italy: documented May 2020 phase of nonessential international travel prohibition</x:v>
      </x:c>
      <x:c r="C461" s="4" t="str">
        <x:v>Italy; France; Switzerland; Austria; Slovenia</x:v>
      </x:c>
      <x:c r="D461" s="4" t="str">
        <x:v>Italian borders with France, Switzerland, Austria and Slovenia
Legal nonessential travel prohibition; relevant mainland frontiers</x:v>
      </x:c>
      <x:c r="E461" s="4" t="str">
        <x:v>Nonessential international travellers
Direction: Both directions
Exceptions: Work, urgency, health, return home and additional authorised categories; Vatican/San Marino local movements exempt</x:v>
      </x:c>
      <x:c r="F461" s="4" t="str">
        <x:v>R3-EU-003-D1 — Formal policy
Selected Italian legal phase restricting ordinary international travel, to the EU/Schengen permitted-travel transition.
Start: 2020-05-18.
Policy endpoint: 2020-06-03.
Formal policy: 16 calendar-day difference; operational continuity not established</x:v>
      </x:c>
      <x:c r="G46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61" s="4" t="str">
        <x:v>R3-EU-003-D1: Formal policy dates only. This is not Italy’s original pandemic onset. Non-EU restrictions and authorised-travel exceptions persisted; Vatican/San Marino local movements were exempt. No first operational crossing is claimed.</x:v>
      </x:c>
      <x:c r="I461" s="4" t="str">
        <x:v>Second full-register audit, 26 October 2026: qualified. Fresh original Italian legal text confirms the selected May 18–June 3 legal phase, rather than Italy’s original pandemic onset, and the selective European reopening.</x:v>
      </x:c>
      <x:c r="J461" s="18" t="d">
        <x:v>2026-10-26T00:00:00.000Z</x:v>
      </x:c>
      <x:c r="K461" s="21" t="str">
        <x:f>IFERROR(HYPERLINK("https://amblondra.esteri.it/en/news/dall_ambasciata/2020/06/regole-in-vigore-dal-3-giugno-per-2/","Italian Embassy London"),"Italian Embassy London")</x:f>
        <x:v>Italian Embassy London</x:v>
      </x:c>
      <x:c r="L461" s="21" t="str">
        <x:f>IFERROR(HYPERLINK("https://www.normattiva.it/uri-res/N2Ls?urn%3Anir%3Astato%3Adecreto.legge%3A2020-05-16%3B33%21vig=","normattiva.it"),"normattiva.it")</x:f>
        <x:v>normattiva.it</x:v>
      </x:c>
      <x:c r="M461" s="21" t="str">
        <x:f>IFERROR(HYPERLINK("https://www.protezionecivile.gov.it/it/normativa/decreto-legge-16-maggio-2020--n--33--ulteriori-misure-urgenti-per-fronteggiare-l-emergenza-epidemiologica-da-covid-19/","protezionecivile.gov.it"),"protezionecivile.gov.it")</x:f>
        <x:v>protezionecivile.gov.it</x:v>
      </x:c>
      <x:c r="N461" s="4" t="str">
        <x:v>https://www.gazzettaufficiale.it/atto/serie_generale/caricaArticolo?art.codiceRedazionale=20G00051&amp;art.dataPubblicazioneGazzetta=2020-05-16&amp;art.flagTipoArticolo=0&amp;art.idArticolo=1&amp;art.idGruppo=0&amp;art.idSottoArticolo=1&amp;art.idSottoArticolo1=10&amp;art.progressivo=0&amp;art.versione=1
https://www.gazzettaufficiale.it/atto/serie_generale/caricaArticolo?art.codiceRedazionale=20G00051&amp;art.dataPubblicazioneGazzetta=2020-05-16&amp;art.flagTipoArticolo=0&amp;art.idArticolo=3&amp;art.idGruppo=0&amp;art.idSottoArticolo=1&amp;art.idSottoArticolo1=10&amp;art.progressivo=0&amp;art.versione=1
https://amblondra.esteri.it/en/news/dall_ambasciata/2020/06/regole-in-vigore-dal-3-giugno-per-2/
https://www.normattiva.it/uri-res/N2Ls?urn%3Anir%3Astato%3Adecreto.legge%3A2020-05-16%3B33%21vig=
https://www.protezionecivile.gov.it/it/normativa/decreto-legge-16-maggio-2020--n--33--ulteriori-misure-urgenti-per-fronteggiare-l-emergenza-epidemiologica-da-covid-19/
https://amblondra.esteri.it/it/news/dall_ambasciata/2020/05/informazioni-utili-per-il-rientro/</x:v>
      </x:c>
      <x:c r="O461" s="4" t="str">
        <x:v>Second full-register audit source access, 26 October 2026
https://www.gazzettaufficiale.it/atto/serie_generale/caricaArticolo?art.codiceRedazionale=20G00051&amp;art.dataPubblicazioneGazzetta=2020-05-16&amp;art.flagTipoArticolo=0&amp;art.idArticolo=1&amp;art.idGruppo=0&amp;art.idSottoArticolo=1&amp;art.idSottoArticolo1=10&amp;art.progressivo=0&amp;art.versione=1: full text (fresh retrieval)
https://www.gazzettaufficiale.it/atto/serie_generale/caricaArticolo?art.codiceRedazionale=20G00051&amp;art.dataPubblicazioneGazzetta=2020-05-16&amp;art.flagTipoArticolo=0&amp;art.idArticolo=3&amp;art.idGruppo=0&amp;art.idSottoArticolo=1&amp;art.idSottoArticolo1=10&amp;art.progressivo=0&amp;art.versione=1: full text (fresh retrieval)
https://amblondra.esteri.it/en/news/dall_ambasciata/2020/06/regole-in-vigore-dal-3-giugno-per-2/: full text (fresh retrieval)
Earlier URLs not separately inspected in this second assessment:
https://www.normattiva.it/uri-res/N2Ls?urn%3Anir%3Astato%3Adecreto.legge%3A2020-05-16%3B33%21vig=
https://www.protezionecivile.gov.it/it/normativa/decreto-legge-16-maggio-2020--n--33--ulteriori-misure-urgenti-per-fronteggiare-l-emergenza-epidemiologica-da-covid-19/
https://amblondra.esteri.it/it/news/dall_ambasciata/2020/05/informazioni-utili-per-il-rientro/
Prior audit access record
Full-register audit source access (evidence cutoff 25 October 2026)
https://www.protezionecivile.gov.it/it/normativa/decreto-legge-16-maggio-2020--n--33--ulteriori-misure-urgenti-per-fronteggiare-l-emergenza-epidemiologica-da-covid-19/: full text
https://www.protezionecivile.gov.it/it/normativa/decreto-legge-16-maggio-2020--n--33--ulteriori-misure-urgenti-per-fronteggiare-l-emergenza-epidemiologica-da-covid-19/: full text
https://amblondra.esteri.it/en/news/dall_ambasciata/2020/06/regole-in-vigore-dal-3-giugno-per-2/: full text
Earlier source URLs not separately listed in this audit’s retrieval log (historical access notes below are not fresh verification):
https://www.gazzettaufficiale.it/atto/serie_generale/caricaArticolo?art.codiceRedazionale=20G00051&amp;art.dataPubblicazioneGazzetta=2020-05-16&amp;art.flagTipoArticolo=0&amp;art.idArticolo=1&amp;art.idGruppo=0&amp;art.idSottoArticolo=1&amp;art.idSottoArticolo1=10&amp;art.progressivo=0&amp;art.versione=1
https://www.gazzettaufficiale.it/atto/serie_generale/caricaArticolo?art.codiceRedazionale=20G00051&amp;art.dataPubblicazioneGazzetta=2020-05-16&amp;art.flagTipoArticolo=0&amp;art.idArticolo=3&amp;art.idGruppo=0&amp;art.idSottoArticolo=1&amp;art.idSottoArticolo1=10&amp;art.progressivo=0&amp;art.versione=1
https://www.normattiva.it/uri-res/N2Ls?urn%3Anir%3Astato%3Adecreto.legge%3A2020-05-16%3B33%21vig=
https://amblondra.esteri.it/it/news/dall_ambasciata/2020/05/informazioni-utili-per-il-rientro/
Earlier recorded access
Source 1: full page
Source 2: access detail is retained in the source catalogue.
Source 3: access detail is retained in the source catalogue.</x:v>
      </x:c>
      <x:c r="P461" s="20" t="n">
        <x:v>1</x:v>
      </x:c>
      <x:c r="Q461" s="4" t="str">
        <x:v>Europe</x:v>
      </x:c>
      <x:c r="R461" s="4" t="str">
        <x:v>Included</x:v>
      </x:c>
    </x:row>
    <x:row r="462" ht="409" hidden="0" customHeight="1">
      <x:c r="A462" s="16" t="str">
        <x:v>R3-EU-009</x:v>
      </x:c>
      <x:c r="B462" s="4" t="str">
        <x:v>Norway prohibits ordinary entry through minor Innlandet–Sweden crossings</x:v>
      </x:c>
      <x:c r="C462" s="4" t="str">
        <x:v>Norway; Sweden</x:v>
      </x:c>
      <x:c r="D462" s="4" t="str">
        <x:v>Selected minor Innlandet–Sweden crossings, including Mitandersfors; permitted-route roster changed and January reporting includes Linna as well as Støa, Riksåsen and Magnormoen.
Route-use prohibition; initially legal rather than physical barricade</x:v>
      </x:c>
      <x:c r="E462" s="4" t="str">
        <x:v>Non-exempt inbound road travellers
Direction: Into Norway
Exceptions: Outbound travel, goods transport and critical functions; ordinary commuters were required to use approved posts in later municipal guidance. The precise initial commuter exemption remains uncertain.</x:v>
      </x:c>
      <x:c r="F462" s="4" t="str">
        <x:v>R3-EU-009-FU1 — Formal policy
Innlandet–Sweden crossings other than Støa, Riksåsen and Magnormoen under initial roster
Start: 2021-01-02.
Original rule confirmed: 2021-01-02.
All-crossing formal reopening by: 2021-10-06.
Individual routes may have reopened earlier; no uniform continuous closure asserted.
Formal policy: dated evidence; numeric duration withheld; see qualification</x:v>
      </x:c>
      <x:c r="G46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62" s="4" t="str">
        <x:v>January 2 was a legal restriction initially reported without physical barriers. Police-derived reporting broadly described commuters as exempt, while later municipal guidance required ordinary commuters to use approved posts and said their rules were unchanged. Do not assume a universal commuter exemption. All crossings were authorised to open October 6, 2021, ending any remaining original route restriction; this is a latest formal bound, not the individual reopening date of every route or proof of unchanged continuity. Testing and separate admission restrictions continued.</x:v>
      </x:c>
      <x:c r="I462" s="4" t="str">
        <x:v>Second full-register audit, 26 October 2026: qualified. Fresh official reopening notice and substantive local reporting support January 2 route restrictions and October 6 latest legal reopening, preserving uncertainty over ordinary commuters.</x:v>
      </x:c>
      <x:c r="J462" s="18" t="d">
        <x:v>2026-10-26T00:00:00.000Z</x:v>
      </x:c>
      <x:c r="K462" s="21" t="str">
        <x:f>IFERROR(HYPERLINK("https://mittkongsvinger.no/2021/nyheter/en-rekke-grenseoverganger-er-na-stengt-inn-til-norge/","Mitt Kongsvinger"),"Mitt Kongsvinger")</x:f>
        <x:v>Mitt Kongsvinger</x:v>
      </x:c>
      <x:c r="L462" s="21" t="str">
        <x:f>IFERROR(HYPERLINK("https://www.hadeland.no/politiet-i-innlandet-setter-opp-sperrer-pa-grenseovergangene/s/5-21-844872","Hadeland"),"Hadeland")</x:f>
        <x:v>Hadeland</x:v>
      </x:c>
      <x:c r="M462" s="21" t="str">
        <x:f>IFERROR(HYPERLINK("https://www.svt.se/nyheter/lokalt/jamtland/gransovergangar-till-norge-stangs?lokalmeny=1","SVT"),"SVT")</x:f>
        <x:v>SVT</x:v>
      </x:c>
      <x:c r="N462" s="4" t="str">
        <x:v>https://mittkongsvinger.no/2021/nyheter/en-rekke-grenseoverganger-er-na-stengt-inn-til-norge/
https://www.hadeland.no/politiet-i-innlandet-setter-opp-sperrer-pa-grenseovergangene/s/5-21-844872
https://www.svt.se/nyheter/lokalt/jamtland/gransovergangar-till-norge-stangs?lokalmeny=1
https://www.transport.no/siteassets/dokumenter/informasjonsskriv-til-nettside/201231_aapne_grenseovergangssteder_210102.pdf
https://utdatert.statsforvalteren.no/nb/innlandet/helse-omsorg-og-sosialtjenester/smittevern/coronavirus/alle-grenseovergangene-apnes-6.-oktober
https://www.regjeringen.no/en/historical-archive/solbergs-government/Ministries/hod/News/2020ny/mandatory-testing-for-travellers-to-norway/id2826415/
https://www.regjeringen.no/no/dokumentarkiv/regjeringen-solberg/aktuelt-regjeringen-solberg/hod/nyheter/2021ny/alle-grenseovergangene-apnes/id2873331/
https://www.vg.no/nyheter/i/oAkznm/innreisereglene-er-skjerpet-men-grensene-er-ikke-fysisk-stengt
https://inte.statsforvalteren.no/nb/innlandet/helse-omsorg-og-sosialtjenester/smittevern/coronavirus/regjeringen-innforer-obligatorisk-testing-pa-grensen/
https://mittkongsvinger.no/2021/nyheter/dette-er-de-gjeldende-reglene-for-grensekryssing/
https://mittkongsvinger.no/2021/nyheter/skilting-om-stengte-grenseoverganger-pa-plass/
https://www.regjeringen.no/no/tema/helse-og-omsorg/folkehelse/tidslinje-koronaviruset/id2692402/</x:v>
      </x:c>
      <x:c r="O462" s="4" t="str">
        <x:v>Second full-register audit source access, 26 October 2026
https://mittkongsvinger.no/2021/nyheter/en-rekke-grenseoverganger-er-na-stengt-inn-til-norge/: search extract (fresh retrieval) — Full substantive indexed text; direct open 502. Page updated May 2026, but article explicitly identifies January 2, 2021 episode.
https://mittkongsvinger.no/2021/nyheter/dette-er-de-gjeldende-reglene-for-grensekryssing/: search extract (fresh retrieval) — Substantive indexed text; direct open 502; later page update not an event date.
https://www.svt.se/nyheter/lokalt/jamtland/gransovergangar-till-norge-stangs?lokalmeny=1: full text (fresh retrieval) — Testing exemptions distinguished from precise Innlandet route exemption.
https://utdatert.statsforvalteren.no/nb/innlandet/helse-omsorg-og-sosialtjenester/smittevern/coronavirus/alle-grenseovergangene-apnes-6.-oktober: full text (fresh retrieval)
Earlier URLs not separately inspected in this second assessment:
https://www.hadeland.no/politiet-i-innlandet-setter-opp-sperrer-pa-grenseovergangene/s/5-21-844872
https://www.transport.no/siteassets/dokumenter/informasjonsskriv-til-nettside/201231_aapne_grenseovergangssteder_210102.pdf
https://www.regjeringen.no/en/historical-archive/solbergs-government/Ministries/hod/News/2020ny/mandatory-testing-for-travellers-to-norway/id2826415/
https://www.regjeringen.no/no/dokumentarkiv/regjeringen-solberg/aktuelt-regjeringen-solberg/hod/nyheter/2021ny/alle-grenseovergangene-apnes/id2873331/
https://www.vg.no/nyheter/i/oAkznm/innreisereglene-er-skjerpet-men-grensene-er-ikke-fysisk-stengt
https://inte.statsforvalteren.no/nb/innlandet/helse-omsorg-og-sosialtjenester/smittevern/coronavirus/regjeringen-innforer-obligatorisk-testing-pa-grensen/
https://mittkongsvinger.no/2021/nyheter/skilting-om-stengte-grenseoverganger-pa-plass/
https://www.regjeringen.no/no/tema/helse-og-omsorg/folkehelse/tidslinje-koronaviruset/id2692402/
Prior audit access record
Full-register audit source access (evidence cutoff 25 October 2026)
https://mittkongsvinger.no/2021/nyheter/en-rekke-grenseoverganger-er-na-stengt-inn-til-norge/: search extract — Direct article returns 502; later page update does not reset historical event date.
https://mittkongsvinger.no/2021/nyheter/dette-er-de-gjeldende-reglene-for-grensekryssing/: search extract
https://utdatert.statsforvalteren.no/nb/innlandet/helse-omsorg-og-sosialtjenester/smittevern/coronavirus/alle-grenseovergangene-apnes-6.-oktober: search extract
https://www.regjeringen.no/no/tema/helse-og-omsorg/folkehelse/tidslinje-koronaviruset/id2692402/: search extract
Earlier source URLs not separately listed in this audit’s retrieval log (historical access notes below are not fresh verification):
https://www.hadeland.no/politiet-i-innlandet-setter-opp-sperrer-pa-grenseovergangene/s/5-21-844872
https://www.svt.se/nyheter/lokalt/jamtland/gransovergangar-till-norge-stangs?lokalmeny=1
https://www.transport.no/siteassets/dokumenter/informasjonsskriv-til-nettside/201231_aapne_grenseovergangssteder_210102.pdf
https://www.regjeringen.no/en/historical-archive/solbergs-government/Ministries/hod/News/2020ny/mandatory-testing-for-travellers-to-norway/id2826415/
https://www.regjeringen.no/no/dokumentarkiv/regjeringen-solberg/aktuelt-regjeringen-solberg/hod/nyheter/2021ny/alle-grenseovergangene-apnes/id2873331/
https://www.vg.no/nyheter/i/oAkznm/innreisereglene-er-skjerpet-men-grensene-er-ikke-fysisk-stengt
https://inte.statsforvalteren.no/nb/innlandet/helse-omsorg-og-sosialtjenester/smittevern/coronavirus/regjeringen-innforer-obligatorisk-testing-pa-grensen/
https://mittkongsvinger.no/2021/nyheter/skilting-om-stengte-grenseoverganger-pa-plass/
Earlier recorded access
Source 1: failed
Source 2: indexed excerpt
Source 3: indexed excerpt</x:v>
      </x:c>
      <x:c r="P462" s="20" t="n">
        <x:v>1</x:v>
      </x:c>
      <x:c r="Q462" s="4" t="str">
        <x:v>Europe</x:v>
      </x:c>
      <x:c r="R462" s="4" t="str">
        <x:v>Included</x:v>
      </x:c>
    </x:row>
    <x:row r="463" ht="409" hidden="0" customHeight="1">
      <x:c r="A463" s="16" t="str">
        <x:v>R3-EU-002</x:v>
      </x:c>
      <x:c r="B463" s="4" t="str">
        <x:v>Belgium renews prohibition of nonessential cross-border journeys in 2021</x:v>
      </x:c>
      <x:c r="C463" s="4" t="str">
        <x:v>Belgium; France; Luxembourg; Germany; Netherlands</x:v>
      </x:c>
      <x:c r="D463" s="4" t="str">
        <x:v>Belgian land frontiers
National bidirectional nonessential travel ban; land subset</x:v>
      </x:c>
      <x:c r="E463" s="4" t="str">
        <x:v>Tourist and recreational travellers
Direction: Both directions
Exceptions: Essential family, humanitarian, study, professional and eligible border-resident travel</x:v>
      </x:c>
      <x:c r="F463" s="4" t="str">
        <x:v>R3-EU-002-R1 — Formal policy
Belgian prohibition of recreational/tourist journeys to and from other EU/Schengen countries, subject to listed essential categories
Start: 2021-01-27.
Policy endpoint: 2021-04-19.
Formal policy: 82 calendar-day difference; operational continuity not established</x:v>
      </x:c>
      <x:c r="G46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63" s="4" t="str">
        <x:v>R3-EU-002-R1: Legal prohibition, not proof of every-day border enforcement. The April 19 endpoint concerns European nonessential travel; third-country restrictions and health measures continued. The final government announcement and legislative reproductions were freshly inspected in full in this second audit; the latter are copies of the Belgian Official Journal.</x:v>
      </x:c>
      <x:c r="I463" s="4" t="str">
        <x:v>Second full-register audit, 26 October 2026: additional source-audited corrections incorporated. See the phase, scope and qualification columns for the accepted findings.</x:v>
      </x:c>
      <x:c r="J463" s="18" t="d">
        <x:v>2026-10-26T00:00:00.000Z</x:v>
      </x:c>
      <x:c r="K463" s="21" t="str">
        <x:f>IFERROR(HYPERLINK("https://news.belgium.be/fr/le-comite-de-concertation-se-prononce-pour-une-interdiction-temporaire-des-voyages-et-un-isolement","Belgium government"),"Belgium government")</x:f>
        <x:v>Belgium government</x:v>
      </x:c>
      <x:c r="L463" s="21" t="str">
        <x:f>IFERROR(HYPERLINK("https://www.europarl.europa.eu/RegData/etudes/STUD/2021/690581/EPRS_STU%282021%29690581_FR.pdf","European Parliament"),"European Parliament")</x:f>
        <x:v>European Parliament</x:v>
      </x:c>
      <x:c r="M463" s="21" t="str">
        <x:f>IFERROR(HYPERLINK("https://etaamb.openjustice.be/fr/arrete-ministeriel-du-20-mars-2021_n2021030774","OpenJustice mirror of Belgian Official Journal"),"OpenJustice mirror of Belgian Official Journal")</x:f>
        <x:v>OpenJustice mirror of Belgian Official Journal</x:v>
      </x:c>
      <x:c r="N463" s="4" t="str">
        <x:v>https://news.belgium.be/fr/le-comite-de-concertation-se-prononce-pour-une-interdiction-temporaire-des-voyages-et-un-isolement
https://www.europarl.europa.eu/RegData/etudes/STUD/2021/690581/EPRS_STU%282021%29690581_FR.pdf
https://etaamb.openjustice.be/fr/arrete-ministeriel-du-20-mars-2021_n2021030774
https://news.belgium.be/fr/le-comite-de-concertation-se-prononce-sur-la-fin-de-la-pause-pascale
https://etaamb.openjustice.be/fr/arrete-ministeriel-du-06-fevrier-2021_n2021030266.html
https://wallex.wallonie.be/de/contents/acts/46/46612/1.html
https://crisiscenter.be/en/newsroom/consultative-committee-bans-non-essential-travel-and-extends-isolation-period
https://www.brusselstimes.com/news/belgium-all-news/165031/what-will-travelling-look-like-after-the-lifting-of-the-non-essential-travel-ban-consultative-committee-alexander-de-croo-european-union-commission-vaccination-passport-ecdc
https://www.brusselstimes.com/news/belgium-all-news/154259/belgiums-ban-on-non-essential-travel-extended-until-1-april-consultative-committee-essential-reasons-de-croo-ministerial-decree/</x:v>
      </x:c>
      <x:c r="O463" s="4" t="str">
        <x:v>Second full-register audit source access, 26 October 2026
https://news.belgium.be/fr/le-comite-de-concertation-se-prononce-pour-une-interdiction-temporaire-des-voyages-et-un-isolement: full text (fresh retrieval)
https://news.belgium.be/fr/le-comite-de-concertation-se-prononce-sur-la-fin-de-la-pause-pascale: full text (fresh retrieval)
https://etaamb.openjustice.be/fr/arrete-ministeriel-du-20-mars-2021_n2021030774: full text (fresh retrieval) — Reproduction rather than the original official-journal host.
https://etaamb.openjustice.be/fr/arrete-ministeriel-du-06-fevrier-2021_n2021030266.html: full text (fresh retrieval) — Reproduction rather than the original official-journal host.
Earlier URLs not separately inspected in this second assessment:
https://www.europarl.europa.eu/RegData/etudes/STUD/2021/690581/EPRS_STU%282021%29690581_FR.pdf
https://wallex.wallonie.be/de/contents/acts/46/46612/1.html
https://crisiscenter.be/en/newsroom/consultative-committee-bans-non-essential-travel-and-extends-isolation-period
https://www.brusselstimes.com/news/belgium-all-news/165031/what-will-travelling-look-like-after-the-lifting-of-the-non-essential-travel-ban-consultative-committee-alexander-de-croo-european-union-commission-vaccination-passport-ecdc
https://www.brusselstimes.com/news/belgium-all-news/154259/belgiums-ban-on-non-essential-travel-extended-until-1-april-consultative-committee-essential-reasons-de-croo-ministerial-decree/
Prior audit access record
Full-register audit source access (evidence cutoff 25 October 2026)
https://crisiscenter.be/en/newsroom/consultative-committee-bans-non-essential-travel-and-extends-isolation-period: full text
https://news.belgium.be/fr/le-comite-de-concertation-se-prononce-sur-la-fin-de-la-pause-pascale: full text
Earlier source URLs not separately listed in this audit’s retrieval log (historical access notes below are not fresh verification):
https://news.belgium.be/fr/le-comite-de-concertation-se-prononce-pour-une-interdiction-temporaire-des-voyages-et-un-isolement
https://www.europarl.europa.eu/RegData/etudes/STUD/2021/690581/EPRS_STU%282021%29690581_FR.pdf
https://etaamb.openjustice.be/fr/arrete-ministeriel-du-20-mars-2021_n2021030774
https://etaamb.openjustice.be/fr/arrete-ministeriel-du-06-fevrier-2021_n2021030266.html
https://wallex.wallonie.be/de/contents/acts/46/46612/1.html
https://www.brusselstimes.com/news/belgium-all-news/165031/what-will-travelling-look-like-after-the-lifting-of-the-non-essential-travel-ban-consultative-committee-alexander-de-croo-european-union-commission-vaccination-passport-ecdc
https://www.brusselstimes.com/news/belgium-all-news/154259/belgiums-ban-on-non-essential-travel-extended-until-1-april-consultative-committee-essential-reasons-de-croo-ministerial-decree/
Earlier recorded access
Source 1: full; indexed excerpt
Source 2: indexed excerpt; failed
Source 3: full</x:v>
      </x:c>
      <x:c r="P463" s="20" t="n">
        <x:v>1</x:v>
      </x:c>
      <x:c r="Q463" s="4" t="str">
        <x:v>Europe</x:v>
      </x:c>
      <x:c r="R463" s="4" t="str">
        <x:v>Included</x:v>
      </x:c>
    </x:row>
    <x:row r="464" ht="409" hidden="0" customHeight="1">
      <x:c r="A464" s="16" t="str">
        <x:v>R3-EU-001</x:v>
      </x:c>
      <x:c r="B464" s="4" t="str">
        <x:v>Norway renews and widens foreigner entry prohibition in January 2021</x:v>
      </x:c>
      <x:c r="C464" s="4" t="str">
        <x:v>Norway; Sweden; Finland; Russia</x:v>
      </x:c>
      <x:c r="D464" s="4" t="str">
        <x:v>Norwegian land frontiers
National admission rule; land component</x:v>
      </x:c>
      <x:c r="E464" s="4" t="str">
        <x:v>Nonresident foreign nationals, including previously eligible EEA workers and extended family
Direction: Into Norway
Exceptions: Residents; essential work, transport and defined family/welfare categories</x:v>
      </x:c>
      <x:c r="F464" s="4" t="str">
        <x:v>R3-EU-001-D1 — Formal policy
Norway's widened foreign-entry restriction regime, ending here at its September phase-one relaxation
Start: 2021-01-29.
Policy endpoint: 2021-09-25.
Formal policy: 239 calendar-day difference; operational continuity not established</x:v>
      </x:c>
      <x:c r="G46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64" s="4" t="str">
        <x:v>R3-EU-001-D1: Regime-level policy period, not invariant restriction on every foreigner. Residents and essential/family categories had evolving exceptions; third-country and physical crossing-point restrictions persisted after this partial easing.</x:v>
      </x:c>
      <x:c r="I464" s="4" t="str">
        <x:v>Second full-register audit, 26 October 2026: qualified. Fresh Norwegian government releases confirm January 29 onset and September 25 phase-one admission easing, with third-country and physical-post restrictions explicitly continuing.</x:v>
      </x:c>
      <x:c r="J464" s="18" t="d">
        <x:v>2026-10-26T00:00:00.000Z</x:v>
      </x:c>
      <x:c r="K464" s="21" t="str">
        <x:f>IFERROR(HYPERLINK("https://www.regjeringen.no/en/historical-archive/solbergs-government/Ministries/smk/Press-releases/2021/norway-introduces-its-strictest-entry-rules-since-march-2020/id2830390/","Government of Norway"),"Government of Norway")</x:f>
        <x:v>Government of Norway</x:v>
      </x:c>
      <x:c r="L464" s="21" t="str">
        <x:f>IFERROR(HYPERLINK("https://www.regjeringen.no/en/historical-archive/solbergs-government/Ministries/jd/pressemeldinger/2021/entry-restrictions-will-be-gradually-lifted/id2872535/","Government of Norway"),"Government of Norway")</x:f>
        <x:v>Government of Norway</x:v>
      </x:c>
      <x:c r="M464" s="21" t="str">
        <x:f>IFERROR(HYPERLINK("https://www.regjeringen.no/no/dokumenter/nou-2022-5/id2910055/?ch=5","Government of Norway"),"Government of Norway")</x:f>
        <x:v>Government of Norway</x:v>
      </x:c>
      <x:c r="N464" s="4" t="str">
        <x:v>https://www.regjeringen.no/en/historical-archive/solbergs-government/Ministries/smk/Press-releases/2021/norway-introduces-its-strictest-entry-rules-since-march-2020/id2830390/
https://www.regjeringen.no/en/historical-archive/solbergs-government/Ministries/jd/pressemeldinger/2021/entry-restrictions-will-be-gradually-lifted/id2872535/
https://www.regjeringen.no/no/dokumenter/nou-2022-5/id2910055/?ch=5
https://www.mfa.gr/norway/en/covid-19-closure-of-the-borders-of-norway-for-foreign-nationals/
https://www.norway.no/en/iceland/norge-island/nyheter-arr/restriksjoner-pa-innreise-til-norge-fjernes-gradvis/
https://www.regjeringen.no/en/topics/health-and-care/public-health/timeline-for-news-from-norwegian-ministries-about-the-coronavirus-disease-covid-19/id2692402/?cbid=25084&amp;cbtid=58257
https://lovdata.no/dokument/SFEO/forskrift/2020-06-29-1423
https://www.regjeringen.no/no/dokumentarkiv/regjeringen-solberg/aktuelt-regjeringen-solberg/jd/pressemeldinger/2021/restriksjoner-pa-innreise-til-norge-fjernes-gradvis/id2872535/</x:v>
      </x:c>
      <x:c r="O464" s="4" t="str">
        <x:v>Second full-register audit source access, 26 October 2026
https://www.regjeringen.no/en/historical-archive/solbergs-government/Ministries/smk/Press-releases/2021/norway-introduces-its-strictest-entry-rules-since-march-2020/id2830390/: full text (fresh retrieval)
https://www.regjeringen.no/no/dokumentarkiv/regjeringen-solberg/aktuelt-regjeringen-solberg/jd/pressemeldinger/2021/restriksjoner-pa-innreise-til-norge-fjernes-gradvis/id2872535/: full text (fresh retrieval)
https://www.norway.no/en/iceland/norge-island/nyheter-arr/restriksjoner-pa-innreise-til-norge-fjernes-gradvis/: full text (fresh retrieval)
Earlier URLs not separately inspected in this second assessment:
https://www.regjeringen.no/en/historical-archive/solbergs-government/Ministries/jd/pressemeldinger/2021/entry-restrictions-will-be-gradually-lifted/id2872535/
https://www.regjeringen.no/no/dokumenter/nou-2022-5/id2910055/?ch=5
https://www.mfa.gr/norway/en/covid-19-closure-of-the-borders-of-norway-for-foreign-nationals/
https://www.regjeringen.no/en/topics/health-and-care/public-health/timeline-for-news-from-norwegian-ministries-about-the-coronavirus-disease-covid-19/id2692402/?cbid=25084&amp;cbtid=58257
https://lovdata.no/dokument/SFEO/forskrift/2020-06-29-1423
Prior audit access record
Full-register audit source access (evidence cutoff 25 October 2026)
https://www.regjeringen.no/en/historical-archive/solbergs-government/Ministries/smk/Press-releases/2021/norway-introduces-its-strictest-entry-rules-since-march-2020/id2830390/: full text
https://www.norway.no/en/iceland/norge-island/nyheter-arr/restriksjoner-pa-innreise-til-norge-fjernes-gradvis/: full text
https://lovdata.no/dokument/SFEO/forskrift/2020-06-29-1423: search extract
Earlier source URLs not separately listed in this audit’s retrieval log (historical access notes below are not fresh verification):
https://www.regjeringen.no/en/historical-archive/solbergs-government/Ministries/jd/pressemeldinger/2021/entry-restrictions-will-be-gradually-lifted/id2872535/
https://www.regjeringen.no/no/dokumenter/nou-2022-5/id2910055/?ch=5
https://www.mfa.gr/norway/en/covid-19-closure-of-the-borders-of-norway-for-foreign-nationals/
https://www.regjeringen.no/en/topics/health-and-care/public-health/timeline-for-news-from-norwegian-ministries-about-the-coronavirus-disease-covid-19/id2692402/?cbid=25084&amp;cbtid=58257
Earlier recorded access
Source 1: full page
Source 2: full page
Source 3: substantial indexed text</x:v>
      </x:c>
      <x:c r="P464" s="20" t="n">
        <x:v>1</x:v>
      </x:c>
      <x:c r="Q464" s="4" t="str">
        <x:v>Europe</x:v>
      </x:c>
      <x:c r="R464" s="4" t="str">
        <x:v>Included</x:v>
      </x:c>
    </x:row>
    <x:row r="465" ht="409" hidden="0" customHeight="1">
      <x:c r="A465" s="16" t="str">
        <x:v>R3-EU-010</x:v>
      </x:c>
      <x:c r="B465" s="4" t="str">
        <x:v>France renews nonessential UK travel prohibition during Omicron wave</x:v>
      </x:c>
      <x:c r="C465" s="4" t="str">
        <x:v>France; United Kingdom</x:v>
      </x:c>
      <x:c r="D465" s="4" t="str">
        <x:v>Channel Tunnel passenger crossings
National bilateral restriction including Channel Tunnel; air/sea components not separately inventoried</x:v>
      </x:c>
      <x:c r="E465" s="4" t="str">
        <x:v>Non-exempt tourist and business travellers, including vaccinated people
Direction: Both directions under French rules
Exceptions: Compelling reasons and French nationals/immediate-family return; freight details not reconstructed</x:v>
      </x:c>
      <x:c r="F465" s="4" t="str">
        <x:v>R3-EU-010-D1 — Formal policy
French compelling-reason requirement for vaccinated arrivals from the UK, including the Channel Tunnel land component
Start: 2021-12-18.
Policy endpoint: 2022-01-14.
Formal policy: 27 calendar-day difference; operational continuity not established</x:v>
      </x:c>
      <x:c r="G46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65" s="4" t="str">
        <x:v>R3-EU-010-D1: Selected policy category only, not a two-way total closure. French-national/family and compelling-reason exceptions applied; unvaccinated restrictions and testing persisted. Mode-specific traffic implementation was not independently observed.</x:v>
      </x:c>
      <x:c r="I465" s="4" t="str">
        <x:v>Second full-register audit, 26 October 2026: qualified. Fresh French government releases confirm the December 18–January 14 vaccinated-arrival phase as a compelling-reason prohibition, beyond testing alone.</x:v>
      </x:c>
      <x:c r="J465" s="18" t="d">
        <x:v>2026-10-26T00:00:00.000Z</x:v>
      </x:c>
      <x:c r="K465" s="21" t="str">
        <x:f>IFERROR(HYPERLINK("https://www.info.gouv.fr/communique/12604-le-gouvernement-renforce-les-mesures-de-controle-sanitaire-aux-frontieres-avec-le-royaume-uni","French Prime Minister / government"),"French Prime Minister / government")</x:f>
        <x:v>French Prime Minister / government</x:v>
      </x:c>
      <x:c r="L465" s="21" t="str">
        <x:f>IFERROR(HYPERLINK("https://www.info.gouv.fr/communique/12631-assouplissement-des-mesures-sanitaires-aux-frontieres-avec-le-royaume-uni-pour-les-personnes","French Prime Minister / government"),"French Prime Minister / government")</x:f>
        <x:v>French Prime Minister / government</x:v>
      </x:c>
      <x:c r="M465" s="21" t="str">
        <x:f>IFERROR(HYPERLINK("https://www.info.gouv.fr/actualite/les-nouvelles-regles-pour-les-deplacements-entre-le-royaume-uni-et-la-france","info.gouv.fr"),"info.gouv.fr")</x:f>
        <x:v>info.gouv.fr</x:v>
      </x:c>
      <x:c r="N465" s="4" t="str">
        <x:v>https://www.info.gouv.fr/communique/12604-le-gouvernement-renforce-les-mesures-de-controle-sanitaire-aux-frontieres-avec-le-royaume-uni
https://www.info.gouv.fr/communique/12631-assouplissement-des-mesures-sanitaires-aux-frontieres-avec-le-royaume-uni-pour-les-personnes
https://www.info.gouv.fr/actualite/les-nouvelles-regles-pour-les-deplacements-entre-le-royaume-uni-et-la-france
https://www.interieur.gouv.fr/archive/attestation-de-deplacement-et-de-voyage
https://www.euronews.com/2021/12/16/france-to-tighten-entry-requirements-for-uk-arrivals-over-omicron-covid-variant
https://www.euronews.com/2022/01/13/france-to-lift-ban-on-uk-tourists-from-friday-minister-confirms
https://www.info.gouv.fr/upload/media/default/0001/01/2021_12_liste_des_motifs_imperieux_-_royaume-uni_-_16.12.2021.pdf</x:v>
      </x:c>
      <x:c r="O465" s="4" t="str">
        <x:v>Second full-register audit source access, 26 October 2026
https://www.info.gouv.fr/communique/12604-le-gouvernement-renforce-les-mesures-de-controle-sanitaire-aux-frontieres-avec-le-royaume-uni: full text (fresh retrieval) — Published December 16, updated May 10, 2022; content explicitly describes December event.
https://www.info.gouv.fr/communique/12631-assouplissement-des-mesures-sanitaires-aux-frontieres-avec-le-royaume-uni-pour-les-personnes: full text (fresh retrieval) — Published January 13, updated May 10, 2022; no mode-specific observed traffic.
Earlier URLs not separately inspected in this second assessment:
https://www.info.gouv.fr/actualite/les-nouvelles-regles-pour-les-deplacements-entre-le-royaume-uni-et-la-france
https://www.interieur.gouv.fr/archive/attestation-de-deplacement-et-de-voyage
https://www.euronews.com/2021/12/16/france-to-tighten-entry-requirements-for-uk-arrivals-over-omicron-covid-variant
https://www.euronews.com/2022/01/13/france-to-lift-ban-on-uk-tourists-from-friday-minister-confirms
https://www.info.gouv.fr/upload/media/default/0001/01/2021_12_liste_des_motifs_imperieux_-_royaume-uni_-_16.12.2021.pdf
Prior audit access record
Full-register audit source access (evidence cutoff 25 October 2026)
https://www.info.gouv.fr/communique/12604-le-gouvernement-renforce-les-mesures-de-controle-sanitaire-aux-frontieres-avec-le-royaume-uni: full text
https://www.info.gouv.fr/communique/12631-assouplissement-des-mesures-sanitaires-aux-frontieres-avec-le-royaume-uni-pour-les-personnes: full text
Earlier source URLs not separately listed in this audit’s retrieval log (historical access notes below are not fresh verification):
https://www.info.gouv.fr/actualite/les-nouvelles-regles-pour-les-deplacements-entre-le-royaume-uni-et-la-france
https://www.interieur.gouv.fr/archive/attestation-de-deplacement-et-de-voyage
https://www.euronews.com/2021/12/16/france-to-tighten-entry-requirements-for-uk-arrivals-over-omicron-covid-variant
https://www.euronews.com/2022/01/13/france-to-lift-ban-on-uk-tourists-from-friday-minister-confirms
https://www.info.gouv.fr/upload/media/default/0001/01/2021_12_liste_des_motifs_imperieux_-_royaume-uni_-_16.12.2021.pdf
Earlier recorded access
Source 1: full page
Source 2: full page
Source 3: access detail is retained in the source catalogue.</x:v>
      </x:c>
      <x:c r="P465" s="20" t="n">
        <x:v>1</x:v>
      </x:c>
      <x:c r="Q465" s="4" t="str">
        <x:v>Europe</x:v>
      </x:c>
      <x:c r="R465" s="4" t="str">
        <x:v>Included</x:v>
      </x:c>
    </x:row>
    <x:row r="466" ht="409" hidden="0" customHeight="1">
      <x:c r="A466" s="16" t="str">
        <x:v>R3-EU-004</x:v>
      </x:c>
      <x:c r="B466" s="4" t="str">
        <x:v>Polish truckers obstruct commercial freight at three Ukrainian frontier approaches</x:v>
      </x:c>
      <x:c r="C466" s="4" t="str">
        <x:v>Poland; Ukraine</x:v>
      </x:c>
      <x:c r="D466" s="4" t="str">
        <x:v>Dorohusk–Yahodyn; Hrebenne–Rava-Ruska; Korczowa–Krakovets
Selective blockade of frontier access roads, not sovereign border closure</x:v>
      </x:c>
      <x:c r="E466" s="4" t="str">
        <x:v>Commercial road freight was selectively restricted on the approaches to three posts; some vehicles continued under changing quotas. Humanitarian and military freight were exempted; initial Korczowa reporting also exempts live animals. Dorohusk’s December restart affected both freight directions with additional reported exceptions. These actions are not passenger-entry bans.</x:v>
      </x:c>
      <x:c r="F466" s="4" t="str">
        <x:v>R3-EU-004-D1 — Observed operation
Selective commercial-freight approach blockade at Korczowa only
Start: 2023-11-06.
Observed scoped reopening: 2024-01-16 at 15:00 Polish time (16:00 Kyiv).
71 calendar-day difference; scoped endpoint only
R3-EU-004-R1 — Selective restriction regime
Commercial-freight access at Hrebenne–Rava-Ruska
Start: 2023-11-06.
Observed scoped reopening: 2024-01-16.
Normal bidirectional freight processing resumed by the January 16 border-service report; about 16:00 Kyiv time.
Changing quotas and exceptions; no total closed-day or complete-shutdown duration calculated.
R3-EU-004-R2 — Selective restriction regime
Commercial-freight access at Dorohusk–Yahodyn
Start: 2023-11-06.
Observed scoped reopening: 2023-12-11.
Normal bidirectional processing returned at 14:00 Kyiv time December 11. A separate truck obstructed Ukraine-bound traffic that evening; its cause and exact duration are unverified.
Changing quotas and exceptions; no total closed-day or complete-shutdown duration calculated.
R3-EU-004-R3 — Selective restriction regime
Commercial-freight access at Dorohusk–Yahodyn
Start: 2023-12-18.
Observed scoped reopening: 2024-01-16.
Renewed action began at 15:05 Kyiv December 18. Normal bidirectional freight resumed January 16 evening; sources differ in describing the time zone of the 20:00 notification.
Changing quotas and exceptions; no total closed-day or complete-shutdown duration calculated.</x:v>
      </x:c>
      <x:c r="G466" s="4" t="str">
        <x:v>Trade and protectionism / Trade and transport protests
Attributed participant demands
Polish hauliers argued that Ukrainian operators enjoyed unfair competitive advantages after permit requirements were relaxed. They sought restoration of reciprocal permit rules and changes to queue and transport-market arrangements; these are the protesters’ claims, not an independent finding of unfair competition.</x:v>
      </x:c>
      <x:c r="H466" s="4" t="str">
        <x:v>These are selective commercial-freight restrictions, with changing quotas and humanitarian, military and other exceptions. Korczowa’s January 16 operational return is confirmed by the regional governor, while Ukrainian border-service accounts confirm Hrebenne and Dorohusk resumed that day. Dorohusk’s December 11 removal and December 18 restart are separate phases, supported by actual traffic during the intervening week. A truck obstructed Ukraine-bound movement December 11 evening; its cause and ending are not securely reconstructed and it does not establish uninterrupted protest. March 1 was an intended pause horizon, not the actual January reopening date. Medyka’s separate farmers’ campaign is excluded. No unchanged common three-post duration or zero-throughput claim is made.</x:v>
      </x:c>
      <x:c r="I466" s="4" t="str">
        <x:v>Second full-register audit, 26 October 2026: qualified. Fresh Polish and Ukrainian reports support all four selective-freight phases, particularly Dorohusk’s real December reopening gap and separate restart.</x:v>
      </x:c>
      <x:c r="J466" s="18" t="d">
        <x:v>2026-10-26T00:00:00.000Z</x:v>
      </x:c>
      <x:c r="K466" s="21" t="str">
        <x:f>IFERROR(HYPERLINK("https://www.gov.pl/web/infrastruktura/polscy-przewoznicy-zawieszaja-protesty-przed-drogowymi--przejsciami-granicznymi-z-ukraina","Polish Ministry of Infrastructure"),"Polish Ministry of Infrastructure")</x:f>
        <x:v>Polish Ministry of Infrastructure</x:v>
      </x:c>
      <x:c r="L466" s="21" t="str">
        <x:f>IFERROR(HYPERLINK("https://www.gov.pl/web/uw-podkarpacki/protest-przewoznikow-na-granicy-polsko-ukrainskiej-zawieszony","Podkarpacki regional governor"),"Podkarpacki regional governor")</x:f>
        <x:v>Podkarpacki regional governor</x:v>
      </x:c>
      <x:c r="M466" s="21" t="str">
        <x:f>IFERROR(HYPERLINK("https://www.voanews.com/amp/polish-farmers-to-suspend-protest-at-ukraine-border-/7410523.html","Reuters via VOA"),"Reuters via VOA")</x:f>
        <x:v>Reuters via VOA</x:v>
      </x:c>
      <x:c r="N466" s="4" t="str">
        <x:v>https://www.gov.pl/web/infrastruktura/polscy-przewoznicy-zawieszaja-protesty-przed-drogowymi--przejsciami-granicznymi-z-ukraina
https://www.gov.pl/web/uw-podkarpacki/protest-przewoznikow-na-granicy-polsko-ukrainskiej-zawieszony
https://www.voanews.com/amp/polish-farmers-to-suspend-protest-at-ukraine-border-/7410523.html
https://www.gov.pl/web/gitd/polscy-przewoznicy-zawieszaja-protesty-przed-drogowymi-przejsciami-granicznymi-z-ukraina2
https://en.interfax.com.ua/news/general/955191-amp.html
https://www.gov.pl/web/gddkia-rzeszow/protest-na-granicy-polsko-ukrainskiej-w-korczowej
https://mvs.gov.ua/en/news/rux-vantazivok-punktom-propusku-dorogusk-iagodin-vidnovleno-polski-perevizniki-zaversili-protest
https://www.pravda.com.ua/eng/news/2023/12/18/7433556/
https://ukranews.com/en/news/978337-polish-carriers-unblock-2-checkpoints-on-border-with-ukraine-state-border-guard-service
https://www.pravda.com.ua/eng/news/2024/01/16/7437528/index.amp
https://kyivindependent.com/border-guard-polish-truckers-unblock-the-last-crossing-at-ukraine-border/
https://www.pravda.com.ua/eng/news/2023/12/11/7432620/</x:v>
      </x:c>
      <x:c r="O466" s="4" t="str">
        <x:v>Second full-register audit source access, 26 October 2026
https://www.gov.pl/web/gddkia-rzeszow/protest-na-granicy-polsko-ukrainskiej-w-korczowej: full text (fresh retrieval)
https://www.gov.pl/web/uw-podkarpacki/protest-przewoznikow-na-granicy-polsko-ukrainskiej-zawieszony: full text (fresh retrieval)
https://mvs.gov.ua/en/news/rux-vantazivok-punktom-propusku-dorogusk-iagodin-vidnovleno-polski-perevizniki-zaversili-protest: full text (fresh retrieval)
https://www.pravda.com.ua/eng/news/2023/12/18/7433556/: full text (fresh retrieval)
https://ukranews.com/en/news/978337-polish-carriers-unblock-2-checkpoints-on-border-with-ukraine-state-border-guard-service: full text (fresh retrieval)
https://www.pravda.com.ua/eng/news/2024/01/16/7437528/index.amp: full text (fresh retrieval) — Accepted qualification about differing timezone descriptions retained.
https://www.pravda.com.ua/eng/news/2023/12/11/7432620/: full text (fresh retrieval) — Cause and ending not established.
https://www.gov.pl/web/infrastruktura/polscy-przewoznicy-zawieszaja-protesty-przed-drogowymi--przejsciami-granicznymi-z-ukraina: full text (fresh retrieval)
Earlier URLs not separately inspected in this second assessment:
https://www.voanews.com/amp/polish-farmers-to-suspend-protest-at-ukraine-border-/7410523.html
https://www.gov.pl/web/gitd/polscy-przewoznicy-zawieszaja-protesty-przed-drogowymi-przejsciami-granicznymi-z-ukraina2
https://en.interfax.com.ua/news/general/955191-amp.html
https://kyivindependent.com/border-guard-polish-truckers-unblock-the-last-crossing-at-ukraine-border/
Prior audit access record
Full-register audit source access (evidence cutoff 25 October 2026)
https://www.gov.pl/web/infrastruktura/polscy-przewoznicy-zawieszaja-protesty-przed-drogowymi--przejsciami-granicznymi-z-ukraina: full text
https://www.gov.pl/web/uw-podkarpacki/protest-przewoznikow-na-granicy-polsko-ukrainskiej-zawieszony: full text
https://www.gov.pl/web/gddkia-rzeszow/protest-na-granicy-polsko-ukrainskiej-w-korczowej: full text
https://www.voanews.com/amp/polish-farmers-to-suspend-protest-at-ukraine-border-/7410523.html: full text
https://mvs.gov.ua/en/news/rux-vantazivok-punktom-propusku-dorogusk-iagodin-vidnovleno-polski-perevizniki-zaversili-protest: full text
https://www.pravda.com.ua/eng/news/2023/12/18/7433556/: full text
https://ukranews.com/en/news/978337-polish-carriers-unblock-2-checkpoints-on-border-with-ukraine-state-border-guard-service: full text
https://www.pravda.com.ua/eng/news/2024/01/16/7437528/index.amp: full text
https://kyivindependent.com/border-guard-polish-truckers-unblock-the-last-crossing-at-ukraine-border/: search extract
https://www.pravda.com.ua/eng/news/2023/12/11/7432620/: full text
Earlier source URLs not separately listed in this audit’s retrieval log (historical access notes below are not fresh verification):
https://www.gov.pl/web/gitd/polscy-przewoznicy-zawieszaja-protesty-przed-drogowymi-przejsciami-granicznymi-z-ukraina2
https://en.interfax.com.ua/news/general/955191-amp.html
Earlier recorded access
Source 1: full page
Source 2: full page
Source 3: full page</x:v>
      </x:c>
      <x:c r="P466" s="20" t="n">
        <x:v>4</x:v>
      </x:c>
      <x:c r="Q466" s="4" t="str">
        <x:v>Europe</x:v>
      </x:c>
      <x:c r="R466" s="4" t="str">
        <x:v>Included</x:v>
      </x:c>
    </x:row>
    <x:row r="467" ht="409" hidden="0" customHeight="1">
      <x:c r="A467" s="16" t="str">
        <x:v>R3-EU-011</x:v>
      </x:c>
      <x:c r="B467" s="4" t="str">
        <x:v>Polish farmers obstruct Ukrainian frontier approaches in Lubelskie in spring 2024</x:v>
      </x:c>
      <x:c r="C467" s="4" t="str">
        <x:v>Poland; Ukraine</x:v>
      </x:c>
      <x:c r="D467" s="4" t="str">
        <x:v>Dorohusk–Yahodyn; Hrebenne–Rava-Ruska; later Zosin–Ustyluh and Dołhobyczów–Uhryniv
Intermittent/selective road blockades in Lubelskie; not all Poland–Ukraine frontier</x:v>
      </x:c>
      <x:c r="E467" s="4" t="str">
        <x:v>Commercial road freight faced changing quotas, weight limits and direction-specific restrictions at four Lubelskie approaches. Cars and buses generally continued under normal procedures in the documented phases. Initial Dorohusk reporting exempts military, humanitarian and explosives consignments; Zosin also exempted humanitarian cargo and vehicles under 3.5 tonnes. Dołhobyczów’s April restart allowed three lorries per six hours leaving Poland and one daily entering Poland. These descriptions must not be applied uniformly to every day or post.</x:v>
      </x:c>
      <x:c r="F467" s="4" t="str">
        <x:v>R3-EU-011-R1 — Intermittent regime
Farmers' selective truck-throughput restriction regime at Hrebenne–Rava-Ruska approach only
Start: 2024-02-09.
Scoped endpoint: 2024-04-28 to 2024-04-29.
Intermittent regime envelope; total closed days unknown
R3-EU-011-R2 — Intermittent/selective regime
Farmers’ commercial-freight restrictions at Dorohusk–Yahodyn
Start: 2024-02-09.
Observed scoped reopening: 2024-04-22.
Initial passage was selective, with military, humanitarian and explosives exceptions. Border-service reporting confirms normal bidirectional freight return April 22.
Regime envelope only; changing quotas and interruptions prevent a total closed-day calculation.
R3-EU-011-R3 — Intermittent/selective regime
Farmers’ commercial-freight restrictions at Zosin–Ustyluh
Start: 2024-02-12.
Observed scoped reopening: 2024-03-21.
Initial quota restricted vehicles of at least 3.5 tonnes; lighter vehicles, cars, buses and humanitarian cargo passed. Polish police records suspension March 21 at 20:00.
Regime envelope only; changing quotas and interruptions prevent a total closed-day calculation.
R3-EU-011-R4 — Intermittent/selective regime
Farmers’ commercial-freight restrictions at Dołhobyczów–Uhryniv
Start: 2024-02-12.
Observed scoped reopening: 2024-03-28.
Initial quotas differed by direction and weight. The protest was suspended for Easter on March 28; no continuous interval through April 2 is asserted.
Regime envelope only; changing quotas and interruptions prevent a total closed-day calculation.
R3-EU-011-R5 — Intermittent/selective regime
Farmers’ commercial-freight restrictions at Dołhobyczów–Uhryniv
Start: 2024-04-02.
Observed scoped reopening: 2024-04-16.
Renewed restriction April 2 permitted only three lorries per six hours leaving Poland and one daily entering Poland; cars and buses remained exempt. Normal freight passage returned April 16, reported at 13:50 Kyiv time.
Regime envelope only; changing quotas and interruptions prevent a total closed-day calculation.</x:v>
      </x:c>
      <x:c r="G467" s="4" t="str">
        <x:v>Trade and protectionism / Trade and transport protests
Attributed participant demands
Farmers sought a ban on Ukrainian agricultural imports and withdrawal of the EU Green Deal measures. These demands describe the participants’ stated concerns; closure of the protest approaches did not itself establish the merits of their trade claims.</x:v>
      </x:c>
      <x:c r="H467" s="4" t="str">
        <x:v>These phases describe changing selective freight regimes, not complete border closures or total closed days. Hrebenne initially allowed two trucks hourly in each direction; its April 5 easing still limited passage to 15 empty trucks per day. April 28 evening protest removal and April 29 morning border-service clearance bound its endpoint. Added named-post phases preserve Zosin’s March 21 and Dorohusk’s April 22 endings and split Dołhobyczów around its March 28–April 2 Easter suspension. The April 29 resumption did not repeal Polish grain-import restrictions: grain cargo was still limited to transit. Earlier haulier protests, subsequent June action and other Polish regions are excluded.</x:v>
      </x:c>
      <x:c r="I467" s="4" t="str">
        <x:v>Second full-register audit, 26 October 2026: qualified. Five phased freight protests remain correctly separated; fresh sources confirm the Easter gap, changing quotas and April endpoints.</x:v>
      </x:c>
      <x:c r="J467" s="18" t="d">
        <x:v>2026-10-26T00:00:00.000Z</x:v>
      </x:c>
      <x:c r="K467" s="21" t="str">
        <x:f>IFERROR(HYPERLINK("https://interfax.com/newsroom/top-stories/99300/","Interfax"),"Interfax")</x:f>
        <x:v>Interfax</x:v>
      </x:c>
      <x:c r="L467" s="21" t="str">
        <x:f>IFERROR(HYPERLINK("https://www.polskieradio.pl/395/7789/Artykul/3371448%2Cend-of-farmer-protest-at-hrebenne-border-crossing","Polish Radio"),"Polish Radio")</x:f>
        <x:v>Polish Radio</x:v>
      </x:c>
      <x:c r="M467" s="21" t="str">
        <x:f>IFERROR(HYPERLINK("https://www.polskieradio.pl/395/7789/artykul/3371448,end-of-farmer-protest-at-hrebenne-border-crossing","Polskie Radio / PAP"),"Polskie Radio / PAP")</x:f>
        <x:v>Polskie Radio / PAP</x:v>
      </x:c>
      <x:c r="N467" s="4" t="str">
        <x:v>https://interfax.com/newsroom/top-stories/99300/
https://www.polskieradio.pl/395/7789/Artykul/3371448%2Cend-of-farmer-protest-at-hrebenne-border-crossing
https://www.polskieradio.pl/395/7789/artykul/3371448,end-of-farmer-protest-at-hrebenne-border-crossing
https://kyivindependent.com/border-guard-polish-protestors-temporarily-unblock-traffic-at-hrebenne-rava-ruska-checkpoints/
https://www.reuters.com/world/europe/polish-protesters-lift-months-long-blockade-ukraine-border-2024-04-29/
https://radio.lublin.pl/2024/02/protest-rolnikow-w-dorohusku/
https://www.agropolska.pl/aktualnosci/polska/zakonczyl-sie-protest-rolnikow-przed-przejsciem-w-hrebennem-burmistrz-nie-wyrazil-zgody-na-przedluzenie/
https://www.eurointegration.com.ua/eng/news/2024/04/29/7184852/index.amp
https://www.pravda.com.ua/eng/news/2024/02/12/7441450/
https://www.eurointegration.com.ua/eng/news/2024/04/29/7184852/
https://unn.ua/en/news/state-border-guard-service-polish-farmers-partially-unblocked-the-hrebenne-rava-ruska-checkpoint
https://newsukraine.rbc.ua/news/polish-farmers-partially-unblock-border-crossing-1712340976.html
https://www.polskieradio.pl/395/7789/artykul/3371448%2Cend-of-farmer-protest-at-hrebenne-border-crossing
https://www.pravda.com.ua/eng/news/2024/04/29/7453439/
https://lubelska.policja.gov.pl/lub/aktualnosci/143748%2CProtesty-rolnicze-na-Wezle-Rudnik-S1719-i-3-przejsciach-granicznych.html
https://unn.ua/en/news/polish-protesters-stop-blocking-the-uhryniv-dolhobychuv-checkpoint
https://www.pravda.com.ua/eng/news/2024/04/02/7449248/
https://www.pravda.com.ua/eng/news/2024/04/16/7451475/
https://newsukraine.rbc.ua/news/polish-farmers-unblock-yahodyn-dorohusk-border-1713789890.html</x:v>
      </x:c>
      <x:c r="O467" s="4" t="str">
        <x:v>Second full-register audit source access, 26 October 2026
https://radio.lublin.pl/2024/02/protest-rolnikow-w-dorohusku/: full text (fresh retrieval)
https://www.pravda.com.ua/eng/news/2024/02/12/7441450/: full text (fresh retrieval)
https://lubelska.policja.gov.pl/lub/aktualnosci/143748%2CProtesty-rolnicze-na-Wezle-Rudnik-S1719-i-3-przejsciach-granicznych.html: full text (fresh retrieval)
https://www.pravda.com.ua/eng/news/2024/04/02/7449248/: full text (fresh retrieval)
https://www.pravda.com.ua/eng/news/2024/04/16/7451475/: full text (fresh retrieval)
https://newsukraine.rbc.ua/news/polish-farmers-unblock-yahodyn-dorohusk-border-1713789890.html: full text (fresh retrieval)
https://www.polskieradio.pl/395/7789/artykul/3371448,end-of-farmer-protest-at-hrebenne-border-crossing: full text (fresh retrieval)
https://unn.ua/en/news/state-border-guard-service-polish-farmers-partially-unblocked-the-hrebenne-rava-ruska-checkpoint: full text (fresh retrieval)
https://www.pravda.com.ua/eng/news/2024/04/29/7453439/: full text (fresh retrieval)
Earlier URLs not separately inspected in this second assessment:
https://interfax.com/newsroom/top-stories/99300/
https://www.polskieradio.pl/395/7789/Artykul/3371448%2Cend-of-farmer-protest-at-hrebenne-border-crossing
https://kyivindependent.com/border-guard-polish-protestors-temporarily-unblock-traffic-at-hrebenne-rava-ruska-checkpoints/
https://www.reuters.com/world/europe/polish-protesters-lift-months-long-blockade-ukraine-border-2024-04-29/
https://www.agropolska.pl/aktualnosci/polska/zakonczyl-sie-protest-rolnikow-przed-przejsciem-w-hrebennem-burmistrz-nie-wyrazil-zgody-na-przedluzenie/
https://www.eurointegration.com.ua/eng/news/2024/04/29/7184852/index.amp
https://www.eurointegration.com.ua/eng/news/2024/04/29/7184852/
https://newsukraine.rbc.ua/news/polish-farmers-partially-unblock-border-crossing-1712340976.html
https://www.polskieradio.pl/395/7789/artykul/3371448%2Cend-of-farmer-protest-at-hrebenne-border-crossing
https://unn.ua/en/news/polish-protesters-stop-blocking-the-uhryniv-dolhobychuv-checkpoint
Prior audit access record
Full-register audit source access (evidence cutoff 25 October 2026)
https://interfax.com/newsroom/top-stories/99300/: full text
https://radio.lublin.pl/2024/02/protest-rolnikow-w-dorohusku/: full text
https://www.pravda.com.ua/eng/news/2024/02/12/7441450/: full text
https://lubelska.policja.gov.pl/lub/aktualnosci/143748%2CProtesty-rolnicze-na-Wezle-Rudnik-S1719-i-3-przejsciach-granicznych.html: full text
https://unn.ua/en/news/polish-protesters-stop-blocking-the-uhryniv-dolhobychuv-checkpoint: full text
https://www.pravda.com.ua/eng/news/2024/04/02/7449248/: full text
https://www.pravda.com.ua/eng/news/2024/04/16/7451475/: full text
https://newsukraine.rbc.ua/news/polish-farmers-unblock-yahodyn-dorohusk-border-1713789890.html: full text
https://www.polskieradio.pl/395/7789/artykul/3371448%2Cend-of-farmer-protest-at-hrebenne-border-crossing: full text
https://kyivindependent.com/border-guard-polish-protestors-temporarily-unblock-traffic-at-hrebenne-rava-ruska-checkpoints/: full text
https://www.eurointegration.com.ua/eng/news/2024/04/29/7184852/: full text
Earlier source URLs not separately listed in this audit’s retrieval log (historical access notes below are not fresh verification):
https://www.polskieradio.pl/395/7789/Artykul/3371448%2Cend-of-farmer-protest-at-hrebenne-border-crossing
https://www.polskieradio.pl/395/7789/artykul/3371448,end-of-farmer-protest-at-hrebenne-border-crossing
https://www.reuters.com/world/europe/polish-protesters-lift-months-long-blockade-ukraine-border-2024-04-29/
https://www.agropolska.pl/aktualnosci/polska/zakonczyl-sie-protest-rolnikow-przed-przejsciem-w-hrebennem-burmistrz-nie-wyrazil-zgody-na-przedluzenie/
https://www.eurointegration.com.ua/eng/news/2024/04/29/7184852/index.amp
https://unn.ua/en/news/state-border-guard-service-polish-farmers-partially-unblocked-the-hrebenne-rava-ruska-checkpoint
https://newsukraine.rbc.ua/news/polish-farmers-partially-unblock-border-crossing-1712340976.html
https://www.pravda.com.ua/eng/news/2024/04/29/7453439/
Earlier recorded access
Source 1: indexed excerpt; full
Source 2: indexed excerpt
Source 3: full</x:v>
      </x:c>
      <x:c r="P467" s="20" t="n">
        <x:v>5</x:v>
      </x:c>
      <x:c r="Q467" s="4" t="str">
        <x:v>Europe</x:v>
      </x:c>
      <x:c r="R467" s="4" t="str">
        <x:v>Included</x:v>
      </x:c>
    </x:row>
    <x:row r="468" ht="409" hidden="0" customHeight="1">
      <x:c r="A468" s="16" t="str">
        <x:v>R3-EU-013</x:v>
      </x:c>
      <x:c r="B468" s="4" t="str">
        <x:v>Russia orders suspension of seven rail border posts facing Finland, Estonia and Latvia</x:v>
      </x:c>
      <x:c r="C468" s="4" t="str">
        <x:v>Russia; Finland; Estonia; Latvia</x:v>
      </x:c>
      <x:c r="D468" s="4" t="str">
        <x:v>Pechory-Pskovskiye/Koidula; Pytalovo; Vyborg; Vyartsilya; Lyuttya; St Petersburg-Finlyandsky; Svetogorsk
Named rail-post suspensions; other routes not implied closed</x:v>
      </x:c>
      <x:c r="E468" s="4" t="str">
        <x:v>People, vehicles, goods and cargo through listed rail posts
Direction: Both directions
Exceptions: Other rail routes not covered by the order; prior operating status of each Finnish route not independently reconstructed</x:v>
      </x:c>
      <x:c r="F468" s="4" t="str">
        <x:v>R3-EU-013-FU1 — Formal policy
Seven named rail border posts: Vyborg, Värtsilä, Lyttä, St Petersburg–Finlyandsky and Svetogorsk facing Finland; Pechory-Pskovskie facing Estonia; Pytalovo facing Latvia.
Start: 2026-07-01, under Order 1674-r of 2026-06-30.
Official implementation notice: 2026-07-01.
Later legal-status check: 2026-10-26; the Paragraph legal catalogue lists the order as in force, with no amendment after 2026-06-30. This is secondary legal-status evidence, not a fresh observation of traffic at each post.
Reopening is not established. Exact operational duration is withheld.</x:v>
      </x:c>
      <x:c r="G468" s="4" t="str">
        <x:v>Uncoded / Unresolved rationale
Not assigned
Applies to: Not assigned
No additional motive inferred</x:v>
      </x:c>
      <x:c r="H468" s="4" t="str">
        <x:v>The legal order and federal border-infrastructure agency both specify July 1, 2026 as the suspension’s effective date; the order’s June 30 adoption date is not substituted for it. The seven named rail facilities are covered, not every road or railway crossing on these borders. On October 26 the Paragraph legal catalogue displayed the order as in force and unchanged since June 30. That is a qualified later legal-status observation, not primary proof of each post’s current operation or its prior traffic. Neither inspected primary text states a rationale. The earlier operating status of individual Finnish routes and an exact operational interval remain unestablished.</x:v>
      </x:c>
      <x:c r="I468" s="4" t="str">
        <x:v>Second full-register audit, 26 October 2026: additional source-audited corrections incorporated. See the phase, scope and qualification columns for the accepted findings.</x:v>
      </x:c>
      <x:c r="J468" s="18" t="d">
        <x:v>2026-10-26T00:00:00.000Z</x:v>
      </x:c>
      <x:c r="K468" s="21" t="str">
        <x:f>IFERROR(HYPERLINK("https://www.garant.ru/products/ipo/prime/doc/414370465/","GARANT"),"GARANT")</x:f>
        <x:v>GARANT</x:v>
      </x:c>
      <x:c r="L468" s="21" t="str">
        <x:f>IFERROR(HYPERLINK("https://www.rosgranstroy.ru/press-center/news/priostanovleno-dvizhenie-cherez-zheleznodorozhnye-punkty-propuska-na-granice-s-finlyandiey-estoniey-i-latviey","rosgranstroy.ru"),"rosgranstroy.ru")</x:f>
        <x:v>rosgranstroy.ru</x:v>
      </x:c>
      <x:c r="M468" s="21" t="str">
        <x:f>IFERROR(HYPERLINK("https://news.err.ee/1610109211/estonia-extends-overnight-russia-border-closures-indefinitely","ERR"),"ERR")</x:f>
        <x:v>ERR</x:v>
      </x:c>
      <x:c r="N468" s="4" t="str">
        <x:v>https://www.garant.ru/products/ipo/prime/doc/414370465/
https://www.rosgranstroy.ru/press-center/news/priostanovleno-dvizhenie-cherez-zheleznodorozhnye-punkty-propuska-na-granice-s-finlyandiey-estoniey-i-latviey
https://news.err.ee/1610109211/estonia-extends-overnight-russia-border-closures-indefinitely
https://base.garant.ru/414470465/
https://news.err.ee/1610067124/russia-temporarily-closes-rail-border-crossings-with-estonia-latvia-and-finland
https://meduza.io/en/news/2026/07/01/russia-closes-seven-railway-border-crossings-with-finland-latvia-and-estonia
https://rosgranstroy.ru/checkpoints/272
https://prg.kz/document/?doc_id=39662460</x:v>
      </x:c>
      <x:c r="O468" s="4" t="str">
        <x:v>Second full-register audit source access, 26 October 2026
https://www.garant.ru/products/ipo/prime/doc/414370465/: full text (fresh retrieval) — Legal reproduction; no stated rationale.
https://www.rosgranstroy.ru/press-center/news/priostanovleno-dvizhenie-cherez-zheleznodorozhnye-punkty-propuska-na-granice-s-finlyandiey-estoniey-i-latviey: full text (fresh retrieval)
https://prg.kz/document/?doc_id=39662460: full text (fresh retrieval) — Visible status and operative paragraph accessed; annex withheld in demonstration view. Secondary status source, not operational evidence.
Earlier URLs not separately inspected in this second assessment:
https://news.err.ee/1610109211/estonia-extends-overnight-russia-border-closures-indefinitely
https://base.garant.ru/414470465/
https://news.err.ee/1610067124/russia-temporarily-closes-rail-border-crossings-with-estonia-latvia-and-finland
https://meduza.io/en/news/2026/07/01/russia-closes-seven-railway-border-crossings-with-finland-latvia-and-estonia
https://rosgranstroy.ru/checkpoints/272
Prior audit access record
Full-register audit source access (evidence cutoff 25 October 2026)
https://www.rosgranstroy.ru/press-center/news/priostanovleno-dvizhenie-cherez-zheleznodorozhnye-punkty-propuska-na-granice-s-finlyandiey-estoniey-i-latviey: full text
https://www.garant.ru/products/ipo/prime/doc/414370465/: full text
https://news.err.ee/1610067124/russia-temporarily-closes-rail-border-crossings-with-estonia-latvia-and-finland: search extract
https://rosgranstroy.ru/checkpoints/272: full text — May describe facility designation or stale status, not reopening after the July order.
https://news.err.ee/1610109211/estonia-extends-overnight-russia-border-closures-indefinitely: search extract
Earlier source URLs not separately listed in this audit’s retrieval log (historical access notes below are not fresh verification):
https://base.garant.ru/414470465/
https://meduza.io/en/news/2026/07/01/russia-closes-seven-railway-border-crossings-with-finland-latvia-and-estonia
Earlier recorded access
Source 1: full
Source 2: access detail is retained in the source catalogue.
Source 3: indexed excerpt</x:v>
      </x:c>
      <x:c r="P468" s="20" t="n">
        <x:v>1</x:v>
      </x:c>
      <x:c r="Q468" s="4" t="str">
        <x:v>Europe</x:v>
      </x:c>
      <x:c r="R468" s="4" t="str">
        <x:v>Included</x:v>
      </x:c>
    </x:row>
    <x:row r="469" ht="366" hidden="0" customHeight="1">
      <x:c r="A469" s="16" t="str">
        <x:v>R3-AF-006</x:v>
      </x:c>
      <x:c r="B469" s="4" t="str">
        <x:v>Nimule–Elegu closes after killings of police officers</x:v>
      </x:c>
      <x:c r="C469" s="4" t="str">
        <x:v>South Sudan; Uganda</x:v>
      </x:c>
      <x:c r="D469" s="4" t="str">
        <x:v>Nimule / Elegu
Nimule–Elegu international land crossing</x:v>
      </x:c>
      <x:c r="E469" s="4" t="str">
        <x:v>Cross-border travellers and trade
Direction: Both directions; South Sudan officer expressly cites preventing outward movement
Exceptions: Not established</x:v>
      </x:c>
      <x:c r="F469" s="4" t="str">
        <x:v>R3-AF-006-D1 — Observed operation
Nimule–Elegu international land crossing; Cross-border travellers and trade; Both directions; South Sudan officer expressly cites preventing outward movement
Start: 2022-05-12.
Observed scoped reopening: 2022-05-13.
1 calendar-day difference; scoped endpoint only</x:v>
      </x:c>
      <x:c r="G469" s="4" t="str">
        <x:v>Security / Armed attacks and terrorism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Security / Public order and immediate safety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69" s="4" t="str">
        <x:v>R3-AF-006-D1: Eye Radio places the closure after the killings on Thursday afternoon, 12 May 2022; Radio Tamazuj’s Friday-morning interview reports normal movement on 13 May. This reported afternoon-to-next-morning sequence is under 24 hours, although exact clocks are unavailable. Both outlets interview the same police officer and therefore share the principal operational source. Movement exemptions are unreported.</x:v>
      </x:c>
      <x:c r="I469" s="4" t="str">
        <x:v>Second full-register audit, 26 October 2026: additional source-audited corrections incorporated. See the phase, scope and qualification columns for the accepted findings.</x:v>
      </x:c>
      <x:c r="J469" s="18" t="d">
        <x:v>2026-10-26T00:00:00.000Z</x:v>
      </x:c>
      <x:c r="K469" s="21" t="str">
        <x:f>IFERROR(HYPERLINK("https://www.eyeradio.org/nimule-border-closes-temporarily-as-gunmen-kill-2-police-officers-police/","Eye Radio"),"Eye Radio")</x:f>
        <x:v>Eye Radio</x:v>
      </x:c>
      <x:c r="L469" s="21" t="str">
        <x:f>IFERROR(HYPERLINK("https://www.radiotamazuj.org/en/news/article/nimule-border-reopened-after-brief-closure","Radio Tamazuj"),"Radio Tamazuj")</x:f>
        <x:v>Radio Tamazuj</x:v>
      </x:c>
      <x:c r="M469" s="21" t="str">
        <x:f>IFERROR(HYPERLINK("https://eyeradio.org/south-sudan-uganda-border-at-elegu-reopens/","Eye Radio"),"Eye Radio")</x:f>
        <x:v>Eye Radio</x:v>
      </x:c>
      <x:c r="N469" s="4" t="str">
        <x:v>https://www.eyeradio.org/nimule-border-closes-temporarily-as-gunmen-kill-2-police-officers-police/
https://www.radiotamazuj.org/en/news/article/nimule-border-reopened-after-brief-closure
https://eyeradio.org/south-sudan-uganda-border-at-elegu-reopens/
https://eyeradio.org/nimule-border-closes-temporarily-as-gunmen-kill-2-police-officers-police/</x:v>
      </x:c>
      <x:c r="O469" s="4" t="str">
        <x:v>Second full-register audit source access, 26 October 2026
https://www.eyeradio.org/nimule-border-closes-temporarily-as-gunmen-kill-2-police-officers-police/: full text (fresh retrieval)
https://www.radiotamazuj.org/en/news/article/nimule-border-reopened-after-brief-closure: full text (fresh retrieval) — Same principal police officer as Eye Radio.
Earlier URLs not separately inspected in this second assessment:
https://eyeradio.org/south-sudan-uganda-border-at-elegu-reopens/
https://eyeradio.org/nimule-border-closes-temporarily-as-gunmen-kill-2-police-officers-police/
Prior audit access record
Full-register audit source access (evidence cutoff 25 October 2026)
https://eyeradio.org/nimule-border-closes-temporarily-as-gunmen-kill-2-police-officers-police/: full text
https://www.radiotamazuj.org/en/news/article/nimule-border-reopened-after-brief-closure: full text — Same principal named officer as Eye Radio.
https://eyeradio.org/south-sudan-uganda-border-at-elegu-reopens/: full text — Same reporter and principal officer; not independent operational origin.
Earlier source URLs not separately listed in this audit’s retrieval log (historical access notes below are not fresh verification):
https://www.eyeradio.org/nimule-border-closes-temporarily-as-gunmen-kill-2-police-officers-police/
Earlier recorded access
Source 1: full page
Source 2: full; full text
Source 3: full text</x:v>
      </x:c>
      <x:c r="P469" s="20" t="n">
        <x:v>1</x:v>
      </x:c>
      <x:c r="Q469" s="4" t="str">
        <x:v>Horn of Africa</x:v>
      </x:c>
      <x:c r="R469" s="4" t="str">
        <x:v>Included</x:v>
      </x:c>
    </x:row>
    <x:row r="470" ht="366" hidden="0" customHeight="1">
      <x:c r="A470" s="16" t="str">
        <x:v>R3-AF-007</x:v>
      </x:c>
      <x:c r="B470" s="4" t="str">
        <x:v>Nimule–Elegu temporarily closes amid protest after chief killed</x:v>
      </x:c>
      <x:c r="C470" s="4" t="str">
        <x:v>South Sudan; Uganda</x:v>
      </x:c>
      <x:c r="D470" s="4" t="str">
        <x:v>Nimule / Elegu
Nimule–Elegu land crossing and associated customs clearance</x:v>
      </x:c>
      <x:c r="E470" s="4" t="str">
        <x:v>Cross-border travellers and trade
Direction: Not established
Exceptions: Not established</x:v>
      </x:c>
      <x:c r="F470" s="4" t="str">
        <x:v>R3-AF-007-D1 — Observed operation
Nimule–Elegu interruption; endpoint is the first reported resumed Uganda-to-South Sudan bus passage, alongside reported reopening of border services.
Start: 2022-07-11.
Observed scoped reopening: 2022-07-12.
1 calendar-day difference; scoped endpoint only</x:v>
      </x:c>
      <x:c r="G470" s="4" t="str">
        <x:v>Security / Crime and law enforcement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Security / Public order and immediate safety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70" s="4" t="str">
        <x:v>R3-AF-007-D1: July 11–12 dates rest on URN local interviews. Directly described returning vehicles are northbound buses; the border-service reopening is also reported, but a matched truck count is absent. Voluntary waiting and congestion are not continuing closure. Eye Radio’s July 15 report describes July 14 functionality, not a separate reopening date.</x:v>
      </x:c>
      <x:c r="I470" s="4" t="str">
        <x:v>Second full-register audit, 26 October 2026: qualified. Fresh URN interviews support the 11–12 July episode and actual northbound bus return. Later voluntary waiting and a July 14 normality observation do not extend the closure.</x:v>
      </x:c>
      <x:c r="J470" s="18" t="d">
        <x:v>2026-10-26T00:00:00.000Z</x:v>
      </x:c>
      <x:c r="K470" s="21" t="str">
        <x:f>IFERROR(HYPERLINK("https://www.ugandaradionetwork.net/a/story/trucks-pile-at-elegu-border-following-violence-in-south-sudan","Uganda Radio Network"),"Uganda Radio Network")</x:f>
        <x:v>Uganda Radio Network</x:v>
      </x:c>
      <x:c r="L470" s="21" t="str">
        <x:f>IFERROR(HYPERLINK("https://www.eyeradio.org/lobong-back-to-torit-as-calm-returns-to-nimule/","Eye Radio"),"Eye Radio")</x:f>
        <x:v>Eye Radio</x:v>
      </x:c>
      <x:c r="M470" s="21" t="str">
        <x:f>IFERROR(HYPERLINK("https://www.independent.co.ug/trucks-pile-at-elegu-border-following-protests-in-south-sudan/","independent.co.ug"),"independent.co.ug")</x:f>
        <x:v>independent.co.ug</x:v>
      </x:c>
      <x:c r="N470" s="4" t="str">
        <x:v>https://www.ugandaradionetwork.net/a/story/trucks-pile-at-elegu-border-following-violence-in-south-sudan
https://www.eyeradio.org/lobong-back-to-torit-as-calm-returns-to-nimule/
https://www.independent.co.ug/trucks-pile-at-elegu-border-following-protests-in-south-sudan/
https://eyeradio.org/lobong-back-to-torit-as-calm-returns-to-nimule/</x:v>
      </x:c>
      <x:c r="O470" s="4" t="str">
        <x:v>Second full-register audit source access, 26 October 2026
https://www.ugandaradionetwork.net/a/story/trucks-pile-at-elegu-border-following-violence-in-south-sudan: full text (fresh retrieval)
https://www.eyeradio.org/lobong-back-to-torit-as-calm-returns-to-nimule/: full text (fresh retrieval)
Earlier URLs not separately inspected in this second assessment:
https://www.independent.co.ug/trucks-pile-at-elegu-border-following-protests-in-south-sudan/
https://eyeradio.org/lobong-back-to-torit-as-calm-returns-to-nimule/
Prior audit access record
Full-register audit source access (evidence cutoff 25 October 2026)
https://www.ugandaradionetwork.net/a/story/trucks-pile-at-elegu-border-following-violence-in-south-sudan: full text — Local interviews are the principal operational origin; not a full truck count.
https://eyeradio.org/lobong-back-to-torit-as-calm-returns-to-nimule/: full text — Publication date is not the first reopening date.
https://www.independent.co.ug/trucks-pile-at-elegu-border-following-protests-in-south-sudan/: full text — Initial portion retrieved, subsequent body request timed out; use URN original, not an independent confirmation.
Earlier source URLs not separately listed in this audit’s retrieval log (historical access notes below are not fresh verification):
https://www.eyeradio.org/lobong-back-to-torit-as-calm-returns-to-nimule/
Earlier recorded access
Source 1: full text
Source 2: full text
Source 3: access detail is retained in the source catalogue.</x:v>
      </x:c>
      <x:c r="P470" s="20" t="n">
        <x:v>1</x:v>
      </x:c>
      <x:c r="Q470" s="4" t="str">
        <x:v>Horn of Africa</x:v>
      </x:c>
      <x:c r="R470" s="4" t="str">
        <x:v>Included</x:v>
      </x:c>
    </x:row>
    <x:row r="471" ht="366" hidden="0" customHeight="1">
      <x:c r="A471" s="16" t="str">
        <x:v>R3-ME-010</x:v>
      </x:c>
      <x:c r="B471" s="4" t="str">
        <x:v>Oncupinar prohibition on direct passage of Turkish trucks, 2011–2019</x:v>
      </x:c>
      <x:c r="C471" s="4" t="str">
        <x:v>Türkiye; Syria</x:v>
      </x:c>
      <x:c r="D471" s="4" t="str">
        <x:v>Oncupinar / Bab al-Salama</x:v>
      </x:c>
      <x:c r="E471" s="4" t="str">
        <x:v>Turkish-registered trucks directly entering Syria
Direction: Turkey into Syria.
Exceptions: Transshipment of goods to Syrian trucks continued; direct vehicle entry permission reportedly effective 4 March, observed passage documented 5 March.</x:v>
      </x:c>
      <x:c r="F471" s="4" t="str">
        <x:v>R3-ME-010-D1 — Observed operation
Direct entry of Turkish-registered trucks into Syria at Oncupinar–Bab al-Salama
Start: 2011-01-01 to 2011-12-31.
Observed scoped reopening: 2019-03-04 to 2019-03-05.
2620–2985 calendar-day difference; scoped endpoint only</x:v>
      </x:c>
      <x:c r="G471"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71" s="4" t="str">
        <x:v>R3-ME-010-D1: Full-2011 onset bounds remain. Goods continued by transshipment. March 4 is the prospectively announced permission date; the March 5 report says access applies as of Tuesday and records fifty trucks in the preceding hours. The March 4-5 endpoint bound remains a conservative permission-to-observation inference, not two observed first-passage dates. No March 4 actual passage was recovered. Customs documents and a signed voluntary-entry undertaking apply; other vehicles and passengers are excluded.</x:v>
      </x:c>
      <x:c r="I471" s="4" t="str">
        <x:v>Second full-register audit, 26 October 2026: qualified. The direct Turkish-truck restriction and March 4–5, 2019 easing bounds are supported. Goods transshipment continued during the restriction; no all-traffic closure is implied.</x:v>
      </x:c>
      <x:c r="J471" s="18" t="d">
        <x:v>2026-10-26T00:00:00.000Z</x:v>
      </x:c>
      <x:c r="K471" s="21" t="str">
        <x:f>IFERROR(HYPERLINK("https://www.aa.com.tr/en/economy/turkey-reopens-key-border-crossing-with-syria/1409698","Anadolu Agency"),"Anadolu Agency")</x:f>
        <x:v>Anadolu Agency</x:v>
      </x:c>
      <x:c r="L471" s="21" t="str">
        <x:f>IFERROR(HYPERLINK("https://www.trthaber.com/haber/turkiye/oncupinar-gumruk-kapisi-direkt-gecislere-yeniden-aciliyor-406943.html","TRT Haber / Anadolu Agency"),"TRT Haber / Anadolu Agency")</x:f>
        <x:v>TRT Haber / Anadolu Agency</x:v>
      </x:c>
      <x:c r="M471" s="21" t="str">
        <x:f>IFERROR(HYPERLINK("https://www.hurriyetdailynews.com/amp/turkey-reopens-key-border-crossing-with-syria-141672","hurriyetdailynews.com"),"hurriyetdailynews.com")</x:f>
        <x:v>hurriyetdailynews.com</x:v>
      </x:c>
      <x:c r="N471" s="4" t="str">
        <x:v>https://www.aa.com.tr/en/economy/turkey-reopens-key-border-crossing-with-syria/1409698
https://www.trthaber.com/haber/turkiye/oncupinar-gumruk-kapisi-direkt-gecislere-yeniden-aciliyor-406943.html
https://www.hurriyetdailynews.com/amp/turkey-reopens-key-border-crossing-with-syria-141672
https://www.al-monitor.com/originals/2019/03/syria-bab-al-salama-crossing-turkey-trucks-goods.html</x:v>
      </x:c>
      <x:c r="O471" s="4" t="str">
        <x:v>Second full-register audit source access, 26 October 2026
https://www.aa.com.tr/en/economy/turkey-reopens-key-border-crossing-with-syria/1409698: full text (fresh retrieval)
https://www.trthaber.com/haber/turkiye/oncupinar-gumruk-kapisi-direkt-gecislere-yeniden-aciliyor-406943.html: full text (fresh retrieval)
Earlier URLs not separately inspected in this second assessment:
https://www.hurriyetdailynews.com/amp/turkey-reopens-key-border-crossing-with-syria-141672
https://www.al-monitor.com/originals/2019/03/syria-bab-al-salama-crossing-turkey-trucks-goods.html
Prior audit access record
Full-register audit source access (evidence cutoff 25 October 2026)
https://www.aa.com.tr/en/economy/turkey-reopens-key-border-crossing-with-syria/1409698: full text
https://www.trthaber.com/haber/turkiye/oncupinar-gumruk-kapisi-direkt-gecislere-yeniden-aciliyor-406943.html: full text
Earlier source URLs not separately listed in this audit’s retrieval log (historical access notes below are not fresh verification):
https://www.hurriyetdailynews.com/amp/turkey-reopens-key-border-crossing-with-syria-141672
https://www.al-monitor.com/originals/2019/03/syria-bab-al-salama-crossing-turkey-trucks-goods.html
Earlier recorded access
Source 1: indexed excerpt; full text
Source 2: full; full text
Source 3: access detail is retained in the source catalogue.</x:v>
      </x:c>
      <x:c r="P471" s="20" t="n">
        <x:v>1</x:v>
      </x:c>
      <x:c r="Q471" s="4" t="str">
        <x:v>Middle East</x:v>
      </x:c>
      <x:c r="R471" s="4" t="str">
        <x:v>Included</x:v>
      </x:c>
    </x:row>
    <x:row r="472" ht="294" hidden="0" customHeight="1">
      <x:c r="A472" s="16" t="str">
        <x:v>R3-ME-002</x:v>
      </x:c>
      <x:c r="B472" s="4" t="str">
        <x:v>Bab al-Hawa commercial restrictions after HTS takeover, August–October 2017</x:v>
      </x:c>
      <x:c r="C472" s="4" t="str">
        <x:v>Türkiye; Syria</x:v>
      </x:c>
      <x:c r="D472" s="4" t="str">
        <x:v>Cilvegozu / Bab al-Hawa</x:v>
      </x:c>
      <x:c r="E472" s="4" t="str">
        <x:v>Commercial goods; civilian crossing restrictions continued.
Direction: Turkey into Syria for the commercial flows described.
Exceptions: Humanitarian, food, medicine and hygiene truck loads were permitted in the 3 August report. On 18 October commercial restrictions were lifted except for cement.</x:v>
      </x:c>
      <x:c r="F472" s="4" t="str">
        <x:v>R3-ME-002-D1 — Observed operation
Nonessential commercial goods other than cement at Cilvegozu–Bab al-Hawa; humanitarian, food, medicine and hygiene loads excluded
Start: 2017-08-01 to 2017-08-03.
Observed scoped reopening: 2017-10-18.
76–78 calendar-day difference; scoped endpoint only</x:v>
      </x:c>
      <x:c r="G472"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72" s="4" t="str">
        <x:v>R3-ME-002-D1: Onset bounded August 1–3; no exact start hour is inferred. Humanitarian, food, medicine and hygiene loads were permitted. Cement remained barred after October 18 and civilian passage remained restricted.</x:v>
      </x:c>
      <x:c r="I472" s="4" t="str">
        <x:v>Second full-register audit, 26 October 2026: source checks completed; readability or formatting changes incorporated. No additional substantive factual correction is counted for this record.</x:v>
      </x:c>
      <x:c r="J472" s="18" t="d">
        <x:v>2026-10-26T00:00:00.000Z</x:v>
      </x:c>
      <x:c r="K472" s="21" t="str">
        <x:f>IFERROR(HYPERLINK("https://syriadirect.org/ankara-reopens-idlib-border-crossing-as-turkish-soldiers-build-presence-in-northern-syria/","Syria Direct"),"Syria Direct")</x:f>
        <x:v>Syria Direct</x:v>
      </x:c>
      <x:c r="L472" s="21" t="str">
        <x:f>IFERROR(HYPERLINK("https://logcluster.org/en/alerts/warning-183","Logistics Cluster"),"Logistics Cluster")</x:f>
        <x:v>Logistics Cluster</x:v>
      </x:c>
      <x:c r="M472" s="21" t="str">
        <x:f>IFERROR(HYPERLINK("https://www.aa.com.tr/fr/politique/turquie-syrie-restrictions-au-niveau-du-poste-fronti%C3%A8re-turc-de-cilvegozu-/875725","aa.com.tr"),"aa.com.tr")</x:f>
        <x:v>aa.com.tr</x:v>
      </x:c>
      <x:c r="N472" s="4" t="str">
        <x:v>https://syriadirect.org/ankara-reopens-idlib-border-crossing-as-turkish-soldiers-build-presence-in-northern-syria/
https://logcluster.org/en/alerts/warning-183
https://www.aa.com.tr/fr/politique/turquie-syrie-restrictions-au-niveau-du-poste-fronti%C3%A8re-turc-de-cilvegozu-/875725
https://aa.com.tr/en/todays-headlines/turkish-troop-deployments-in-idlib-prompt-trade-revival/954872</x:v>
      </x:c>
      <x:c r="O472" s="4" t="str">
        <x:v>Second full-register audit source access, 26 October 2026
https://syriadirect.org/ankara-reopens-idlib-border-crossing-as-turkish-soldiers-build-presence-in-northern-syria/: full text (fresh retrieval)
https://logcluster.org/en/alerts/warning-183: full text (fresh retrieval)
https://www.aa.com.tr/fr/politique/turquie-syrie-restrictions-au-niveau-du-poste-fronti%C3%A8re-turc-de-cilvegozu-/875725: full text (fresh retrieval)
https://aa.com.tr/en/todays-headlines/turkish-troop-deployments-in-idlib-prompt-trade-revival/954872: full text (fresh retrieval) — Page updated June 4, 2018; publication date remains November 2, 2017.
Prior audit access record
Full-register audit source access (evidence cutoff 25 October 2026)
https://www.aa.com.tr/fr/politique/turquie-syrie-restrictions-au-niveau-du-poste-fronti%C3%A8re-turc-de-cilvegozu-/875725: full text
https://syriadirect.org/ankara-reopens-idlib-border-crossing-as-turkish-soldiers-build-presence-in-northern-syria/: full text
https://logcluster.org/en/alerts/warning-183: full text
https://aa.com.tr/en/todays-headlines/turkish-troop-deployments-in-idlib-prompt-trade-revival/954872: full text
Earlier recorded access
Source 1: full page
Source 2: full page
Source 3: access detail is retained in the source catalogue.</x:v>
      </x:c>
      <x:c r="P472" s="20" t="n">
        <x:v>1</x:v>
      </x:c>
      <x:c r="Q472" s="4" t="str">
        <x:v>Middle East</x:v>
      </x:c>
      <x:c r="R472" s="4" t="str">
        <x:v>Included</x:v>
      </x:c>
    </x:row>
    <x:row r="473" ht="409" hidden="0" customHeight="1">
      <x:c r="A473" s="16" t="str">
        <x:v>R3-ME-007</x:v>
      </x:c>
      <x:c r="B473" s="4" t="str">
        <x:v>Safwan protest blockade, July 2018</x:v>
      </x:c>
      <x:c r="C473" s="4" t="str">
        <x:v>Iraq; Kuwait</x:v>
      </x:c>
      <x:c r="D473" s="4" t="str">
        <x:v>Safwan / Abdali</x:v>
      </x:c>
      <x:c r="E473" s="4" t="str">
        <x:v>Border traffic; passenger/freight subdivision not established
Direction: Not separately specified.
Exceptions: Not established.</x:v>
      </x:c>
      <x:c r="F473" s="4" t="str">
        <x:v>R3-ME-007-R1 — Observed operation
Safwan first reported protest obstruction and commercial reopening
Start: 2018-07-14.
Observed scoped reopening: 2018-07-14.
Same-day episode; no whole-day duration inferred</x:v>
      </x:c>
      <x:c r="G473" s="4" t="str">
        <x:v>Policy and socioeconomic demands / Jobs, services and livelihoods
Reported reason
Applies to: Recorded episode; exact overlap not separately established
The recorded rationale and claim assessment support the selected subcategories. All applicable broad categories are retained together; no primary rationale is imposed.</x:v>
      </x:c>
      <x:c r="H473" s="4" t="str">
        <x:v>R3-ME-007-R1: No precise hours or full passenger restoration established. Later closed-status report remains unreconciled; this is only the first same-day spell.</x:v>
      </x:c>
      <x:c r="I473" s="4" t="str">
        <x:v>Second full-register audit, 26 October 2026: qualified. Fresh Arabic and English reporting confirms the first July 14 obstruction lasted hours, with commercial reopening that afternoon. The later AP closed-status report still prevents treating this as a final endpoint for every July disruption.</x:v>
      </x:c>
      <x:c r="J473" s="18" t="d">
        <x:v>2026-10-26T00:00:00.000Z</x:v>
      </x:c>
      <x:c r="K473" s="21" t="str">
        <x:f>IFERROR(HYPERLINK("https://www.aa.com.tr/en/middle-east/iraqi-protesters-close-border-crossing-with-kuwait/1203876","Anadolu"),"Anadolu")</x:f>
        <x:v>Anadolu</x:v>
      </x:c>
      <x:c r="L473" s="21" t="str">
        <x:f>IFERROR(HYPERLINK("https://www.elwatannews.com/news/details/3521996","El Watan"),"El Watan")</x:f>
        <x:v>El Watan</x:v>
      </x:c>
      <x:c r="M473" s="21" t="str">
        <x:f>IFERROR(HYPERLINK("https://www.eremnews.com/news/1415061","Erem"),"Erem")</x:f>
        <x:v>Erem</x:v>
      </x:c>
      <x:c r="N473" s="4" t="str">
        <x:v>https://www.aa.com.tr/en/middle-east/iraqi-protesters-close-border-crossing-with-kuwait/1203876
https://www.elwatannews.com/news/details/3521996
https://www.eremnews.com/news/1415061
https://www.abc.net.au/news/2018-07-16/two-killed-as-protesters-in-southern-iraq-demand-better-jobs/9996486
https://www.jamaicaobserver.com/2018/07/15/southern-iraqis-demand-better-services-jobs/
https://kuwaittimes.com/kuwait-security-situation-stable-northern-borders-under-control</x:v>
      </x:c>
      <x:c r="O473" s="4" t="str">
        <x:v>Second full-register audit source access, 26 October 2026
https://www.aa.com.tr/en/middle-east/iraqi-protesters-close-border-crossing-with-kuwait/1203876: full text (fresh retrieval)
https://www.elwatannews.com/news/details/3521996: full text (fresh retrieval)
https://www.abc.net.au/news/2018-07-16/two-killed-as-protesters-in-southern-iraq-demand-better-jobs/9996486: full text (fresh retrieval)
Earlier URLs not separately inspected in this second assessment:
https://www.eremnews.com/news/1415061
https://www.jamaicaobserver.com/2018/07/15/southern-iraqis-demand-better-services-jobs/
https://kuwaittimes.com/kuwait-security-situation-stable-northern-borders-under-control
Prior audit access record
Full-register audit source access (evidence cutoff 25 October 2026)
https://www.elwatannews.com/news/details/3521996: full text
https://www.abc.net.au/news/2018-07-16/two-killed-as-protesters-in-southern-iraq-demand-better-jobs/9996486: full text
https://www.aa.com.tr/en/middle-east/iraqi-protesters-close-border-crossing-with-kuwait/1203876: inaccessible — Tool timeout; recovery through Anadolu attribution in El Watan.
Earlier source URLs not separately listed in this audit’s retrieval log (historical access notes below are not fresh verification):
https://www.eremnews.com/news/1415061
https://www.jamaicaobserver.com/2018/07/15/southern-iraqis-demand-better-services-jobs/
https://kuwaittimes.com/kuwait-security-situation-stable-northern-borders-under-control
Earlier recorded access
Source 1: full
Source 2: indexed excerpt; failed; full
Source 3: full</x:v>
      </x:c>
      <x:c r="P473" s="20" t="n">
        <x:v>1</x:v>
      </x:c>
      <x:c r="Q473" s="4" t="str">
        <x:v>Middle East</x:v>
      </x:c>
      <x:c r="R473" s="4" t="str">
        <x:v>Included</x:v>
      </x:c>
    </x:row>
    <x:row r="474" ht="246" hidden="0" customHeight="1">
      <x:c r="A474" s="16" t="str">
        <x:v>R3-ME-008</x:v>
      </x:c>
      <x:c r="B474" s="4" t="str">
        <x:v>Safwan overnight protest blockade, November 2019</x:v>
      </x:c>
      <x:c r="C474" s="4" t="str">
        <x:v>Iraq; Kuwait</x:v>
      </x:c>
      <x:c r="D474" s="4" t="str">
        <x:v>Safwan / Abdali</x:v>
      </x:c>
      <x:c r="E474" s="4" t="str">
        <x:v>People and commercial goods
Direction: People and goods both entry and exit in official reopening account.
Exceptions: None established during blockade.</x:v>
      </x:c>
      <x:c r="F474" s="4" t="str">
        <x:v>R3-ME-008-D1 — Observed operation
Safwan / Abdali; People and commercial goods; People and goods both entry and exit in official reopening account.
Start: 2019-11-20.
Observed scoped reopening: 2019-11-21.
1 calendar-day difference; scoped endpoint only
Below 24 hours: Wednesday night to early Thursday morning; exact hours unknown.</x:v>
      </x:c>
      <x:c r="G474" s="4" t="str">
        <x:v>Power and regime politics / Opposition and political reform
Analytical interpretation of reported context
Applies to: Safwan sit-in’s November 20–21 border obstruction
Local participants explicitly challenged political parties’ handling of Basra’s rights and rejected their reform proposal, before moving the same sit-in to the gate. The coding is an analytical interpretation of that linked stated purpose; no specific demand for jobs, resignation or constitutional change is assigned solely from national context.</x:v>
      </x:c>
      <x:c r="H474" s="4" t="str">
        <x:v>R3-ME-008-D1: Shafaq’s November 23 account dates the blockade to Wednesday night and reopening to Thursday, corresponding to November 20–21, 2019. Baghdad Today independently published a reopening account early on November 21, after protesters withdrew from the gate. The border-authority interview relayed by Arab Times confirms a short interruption and resumed passenger and commercial movement in both directions, but does not independently supply its event date. The Wednesday-night to early-Thursday-morning chronology, reinforced by the official description of only a few hours, establishes a spell below 24 hours. Exact clocks remain unknown; crossing a calendar date does not make this a greater-than-24-hour closure. The linked Safwan sit-in’s own November 19 statements express solidarity with Baghdad protesters and opposition to political-party control and delay; these are attributed local demands, not proof that every nationwide protest demand motivated the gate blockade.</x:v>
      </x:c>
      <x:c r="I474" s="4" t="str">
        <x:v>Second full-register audit, 26 October 2026: additional source-audited corrections incorporated. See the phase, scope and qualification columns for the accepted findings.</x:v>
      </x:c>
      <x:c r="J474" s="18" t="d">
        <x:v>2026-10-26T00:00:00.000Z</x:v>
      </x:c>
      <x:c r="K474" s="21" t="str">
        <x:f>IFERROR(HYPERLINK("https://shafaq.com/en/Iraq/safwan-sit-in-continue-for-its-sixth-day","Shafaq News"),"Shafaq News")</x:f>
        <x:v>Shafaq News</x:v>
      </x:c>
      <x:c r="L474" s="21" t="str">
        <x:f>IFERROR(HYPERLINK("https://www.arabtimesonline.com/news/safwan-border-with-kuwait-is-reopened/","Arab Times"),"Arab Times")</x:f>
        <x:v>Arab Times</x:v>
      </x:c>
      <x:c r="M474" s="21" t="str">
        <x:f>IFERROR(HYPERLINK("https://baghdadtoday.news/101626-.html","baghdadtoday.news"),"baghdadtoday.news")</x:f>
        <x:v>baghdadtoday.news</x:v>
      </x:c>
      <x:c r="N474" s="4" t="str">
        <x:v>https://shafaq.com/en/Iraq/safwan-sit-in-continue-for-its-sixth-day
https://www.arabtimesonline.com/news/safwan-border-with-kuwait-is-reopened/
https://baghdadtoday.news/101626-.html
https://baghdadtoday.news/101841-.html</x:v>
      </x:c>
      <x:c r="O474" s="4" t="str">
        <x:v>Second full-register audit source access, 26 October 2026
https://shafaq.com/en/Iraq/safwan-sit-in-continue-for-its-sixth-day: full text (fresh retrieval)
https://www.arabtimesonline.com/news/safwan-border-with-kuwait-is-reopened/: full text (fresh retrieval)
https://baghdadtoday.news/101841-.html: full text (fresh retrieval)
https://baghdadtoday.news/101626-.html: full text (fresh retrieval)
Prior audit access record
Full-register audit source access (evidence cutoff 25 October 2026)
https://shafaq.com/en/Iraq/safwan-sit-in-continue-for-its-sixth-day: full text
https://www.arabtimesonline.com/news/safwan-border-with-kuwait-is-reopened/: full text
https://baghdadtoday.news/101841-.html: full text
https://baghdadtoday.news/101626-.html: full text
Earlier recorded access
Source 1: full page
Source 2: full page
Source 3: access detail is retained in the source catalogue.</x:v>
      </x:c>
      <x:c r="P474" s="20" t="n">
        <x:v>1</x:v>
      </x:c>
      <x:c r="Q474" s="4" t="str">
        <x:v>Middle East</x:v>
      </x:c>
      <x:c r="R474" s="4" t="str">
        <x:v>Included</x:v>
      </x:c>
    </x:row>
    <x:row r="475" ht="409" hidden="0" customHeight="1">
      <x:c r="A475" s="16" t="str">
        <x:v>R3-ME-011</x:v>
      </x:c>
      <x:c r="B475" s="4" t="str">
        <x:v>Lebanon–Syria COVID passenger closure regimes and phased exceptions, 2020–2021</x:v>
      </x:c>
      <x:c r="C475" s="4" t="str">
        <x:v>Lebanon; Syria</x:v>
      </x:c>
      <x:c r="D475" s="4" t="str">
        <x:v>Masnaa / Jdeidet Yabous; Abboudieh and other official Lebanon–Syria land posts</x:v>
      </x:c>
      <x:c r="E475" s="4" t="str">
        <x:v>Passengers, with nationality and direction-specific exceptions
Direction: Separate directions: Lebanese entry controls and Syrian entry controls. December endpoint principally Lebanese nationals entering Syria.
Exceptions: Freight exempt; Lebanese family return slots in June 2020, partial Masnaa/Abboudieh reopening reported March 2021, Lebanese admission into Syria eased 13 December 2021.</x:v>
      </x:c>
      <x:c r="F475" s="4" t="str">
        <x:v>R3-ME-011-R1 — Announced window
Lebanon initial land-arrival passenger restriction
Start: 2020-03-18.
Scheduled endpoint: 2020-03-30.
Ordered window: 12 calendar-day difference; actual end not established
R3-ME-011-C7P1 — Announced window
Extension of Lebanon initial incoming land-passenger closure
Start: 2020-03-30.
Scheduled endpoint: 2020-04-12.
Ordered window: 13 calendar-day difference; actual end not established
R3-ME-011-C7P2 — Observed operation
Lebanon–Syria land passenger transport closure observed as of July 1
Start: unknown.
Last confirmed closed-state observation: 2020-07-01.
Partial recurring entry permission at Masnaa and Abboudieh was announced on 2021-03-18; exact first actual passage and unrestricted reopening are not established.
dated evidence; numeric duration withheld; see qualification
Separate policy observation — 2021-03-18
General Security announced scheduled entry at Masnaa and Abboudieh for Lebanese and Palestinian refugees registered in Lebanon and their families on Mondays/Fridays, and for specified Syrian residents and other eligible foreign nationals on Wednesdays, subject to quotas and health conditions. This is conditional permission, not proof of unrestricted daily operation.
Separate later policy observation — 2021-12-13
Syrian authorities authorized Lebanese nationals to enter Syria with a PCR test taken within 96 hours. Syrians entering Lebanon remained subject to Monday, Wednesday and Friday access. This is a direction- and nationality-specific easing, not an unrestricted two-way reopening or proof of continuous closure since March 2020.</x:v>
      </x:c>
      <x:c r="G47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75" s="4" t="str">
        <x:v>R3-ME-011-R1: Initial ordered window only. Primary Arabic resolves UNECE English midnight notation. Lebanon incoming land passengers only; Syrian-side rules, exits, actual reopening and later extensions are separate. Permitted return clause does not override preexisting Syria-country restriction.
R3-ME-011-C7P1: Continuation of the same initial passenger-arrival order, with UNIFIL, diplomatic, international-organization and Block 4-worker exceptions retained. April 12 is a scheduled last date; exact endpoint hour is not recovered. Not observed reopening and not Syrian-side operation.
R3-ME-011-C7P2: Dated status only; no onset or continuous link to the March–April orders inferred. Announced July 7 citizen return 09:00–16:00 is an exception, not a general passenger reopening.
Later partial access: Arabic reports dated March 18, 2021 reproduce General Security’s cohort-specific schedule at Masnaa and Abboudieh. This establishes a later policy easing observation; the one-sentence L’Orient newsflash alone does not establish completed throughput. Sources also describe medical, embassy-appointment and airport-transit exceptions at land posts. No continuous link from July 2020 or first physical reopening date is inferred.
December 13, 2021 is a later, nationality-specific Syrian entry easing supported by LBCI. It does not supply an endpoint for all Lebanese-side restrictions or prove uninterrupted closure between the earlier observations.</x:v>
      </x:c>
      <x:c r="I475" s="4" t="str">
        <x:v>Second full-register audit, 26 October 2026: additional source-audited corrections incorporated. See the phase, scope and qualification columns for the accepted findings.</x:v>
      </x:c>
      <x:c r="J475" s="18" t="d">
        <x:v>2026-10-26T00:00:00.000Z</x:v>
      </x:c>
      <x:c r="K475" s="21" t="str">
        <x:f>IFERROR(HYPERLINK("https://wiki.unece.org/spaces/CTRBSBC/pages/101548467/Lebanon","UNECE"),"UNECE")</x:f>
        <x:v>UNECE</x:v>
      </x:c>
      <x:c r="L475" s="21" t="str">
        <x:f>IFERROR(HYPERLINK("https://logcluster.org/sites/default/files/public/ochaimpacctlebanoncovid-19ciqpbulletin5_200807.pdf","OCHA IMPACCT / Logistics Cluster"),"OCHA IMPACCT / Logistics Cluster")</x:f>
        <x:v>OCHA IMPACCT / Logistics Cluster</x:v>
      </x:c>
      <x:c r="M475" s="21" t="str">
        <x:f>IFERROR(HYPERLINK("https://drm.pcm.gov.lb/Media/News/Daily-situation-report-27-March%2C-2021_English-Vers.pdf","Lebanon Disaster Risk Management"),"Lebanon Disaster Risk Management")</x:f>
        <x:v>Lebanon Disaster Risk Management</x:v>
      </x:c>
      <x:c r="N475" s="4" t="str">
        <x:v>https://wiki.unece.org/spaces/CTRBSBC/pages/101548467/Lebanon
https://logcluster.org/sites/default/files/public/ochaimpacctlebanoncovid-19ciqpbulletin5_200807.pdf
https://drm.pcm.gov.lb/Media/News/Daily-situation-report-27-March%2C-2021_English-Vers.pdf
https://pcm.gov.lb/arabic/subpg.aspx?pageid=17372&amp;parentid=38
https://wiki.unece.org/download/attachments/101548467/LEBANON%20-%20COVID-19%20-%20CIQP%20Bulletin%204.pdf?api=v2&amp;modificationDate=1596707867138&amp;version=1
https://www.mtv.com.lb/news/1067665
https://www.xinhuanet.com/english/2020-03/23/c_138905659.htm
https://www.lbcgroup.tv/news/news-bulletin-reports/621707/lbci-lebanon-articles/en
https://today.lorientlejour.com/article/1255804/lebanons-border-with-syria-at-the-crossings-of-abboudieh-and-masnaa-have-been-partially-reopened-allowing-a-limited-number-of-people-to-travel-between.html
https://www.hrw.org/news/2020/04/02/lebanon-refugees-risk-covid-19-response
https://stj-sy.org/en/hama-arrests-against-syrians-returning-from-lebanon-illegally/
https://eliasbejjaninews.com/eliasnews19/arabic.march16.20.htm
https://www.lbcgroup.tv/news/lebanon/581934/الامن-الاعام-اعلن-عن-اجراءات-للدخول-الى-لبنان-عبر-المراكز-الحدودية-الب/ar
https://www.lebanon24.com/news/lebanon/804536/fb-messenger</x:v>
      </x:c>
      <x:c r="O475" s="4" t="str">
        <x:v>Second full-register audit source access, 26 October 2026
https://pcm.gov.lb/arabic/subpg.aspx?pageid=17372&amp;parentid=38: full text (fresh retrieval)
https://wiki.unece.org/spaces/CTRBSBC/pages/101548467/Lebanon: search extract (fresh retrieval) — Direct page and bulletin 4 return 403; indexed operative paragraphs inspected.
https://drm.pcm.gov.lb/Media/News/Daily-situation-report-27-March%2C-2021_English-Vers.pdf: full text (fresh retrieval)
https://www.mtv.com.lb/news/1067665: full text (fresh retrieval)
https://www.lbcgroup.tv/news/news-bulletin-reports/621707/lbci-lebanon-articles/en: full text (fresh retrieval)
https://www.lebanon24.com/news/lebanon/804536/fb-messenger: search extract (fresh retrieval)
Earlier URLs not separately inspected in this second assessment:
https://logcluster.org/sites/default/files/public/ochaimpacctlebanoncovid-19ciqpbulletin5_200807.pdf
https://wiki.unece.org/download/attachments/101548467/LEBANON%20-%20COVID-19%20-%20CIQP%20Bulletin%204.pdf?api=v2&amp;modificationDate=1596707867138&amp;version=1
https://www.xinhuanet.com/english/2020-03/23/c_138905659.htm
https://today.lorientlejour.com/article/1255804/lebanons-border-with-syria-at-the-crossings-of-abboudieh-and-masnaa-have-been-partially-reopened-allowing-a-limited-number-of-people-to-travel-between.html
https://www.hrw.org/news/2020/04/02/lebanon-refugees-risk-covid-19-response
https://stj-sy.org/en/hama-arrests-against-syrians-returning-from-lebanon-illegally/
https://eliasbejjaninews.com/eliasnews19/arabic.march16.20.htm
https://www.lbcgroup.tv/news/lebanon/581934/الامن-الاعام-اعلن-عن-اجراءات-للدخول-الى-لبنان-عبر-المراكز-الحدودية-الب/ar
Prior audit access record
Full-register audit source access (evidence cutoff 25 October 2026)
https://logcluster.org/sites/default/files/public/ochaimpacctlebanoncovid-19ciqpbulletin5_200807.pdf: full text
https://today.lorientlejour.com/article/1255804/lebanons-border-with-syria-at-the-crossings-of-abboudieh-and-masnaa-have-been-partially-reopened-allowing-a-limited-number-of-people-to-travel-between.html: search extract — Accessible one-sentence live-news item only; no detailed operational throughput. Later detailed official-statement reproduction supports policy scope.
https://www.lbcgroup.tv/news/lebanon/581934/الامن-الاعام-اعلن-عن-اجراءات-للدخول-الى-لبنان-عبر-المراكز-الحدودية-الب/ar: search extract — Direct retrieval failed; substantive Arabic statement inspected in index. Shared official statement origin.
Earlier source URLs not separately listed in this audit’s retrieval log (historical access notes below are not fresh verification):
https://wiki.unece.org/spaces/CTRBSBC/pages/101548467/Lebanon
https://drm.pcm.gov.lb/Media/News/Daily-situation-report-27-March%2C-2021_English-Vers.pdf
https://pcm.gov.lb/arabic/subpg.aspx?pageid=17372&amp;parentid=38
https://wiki.unece.org/download/attachments/101548467/LEBANON%20-%20COVID-19%20-%20CIQP%20Bulletin%204.pdf?api=v2&amp;modificationDate=1596707867138&amp;version=1
https://www.mtv.com.lb/news/1067665
https://www.xinhuanet.com/english/2020-03/23/c_138905659.htm
https://www.lbcgroup.tv/news/news-bulletin-reports/621707/lbci-lebanon-articles/en
https://www.hrw.org/news/2020/04/02/lebanon-refugees-risk-covid-19-response
https://stj-sy.org/en/hama-arrests-against-syrians-returning-from-lebanon-illegally/
https://eliasbejjaninews.com/eliasnews19/arabic.march16.20.htm
Earlier recorded access
Source 1: indexed excerpt; failed
Source 2: full
Source 3: indexed excerpt</x:v>
      </x:c>
      <x:c r="P475" s="20" t="n">
        <x:v>3</x:v>
      </x:c>
      <x:c r="Q475" s="4" t="str">
        <x:v>Middle East</x:v>
      </x:c>
      <x:c r="R475" s="4" t="str">
        <x:v>Included</x:v>
      </x:c>
    </x:row>
    <x:row r="476" ht="409" hidden="0" customHeight="1">
      <x:c r="A476" s="16" t="str">
        <x:v>R3-ME-003</x:v>
      </x:c>
      <x:c r="B476" s="4" t="str">
        <x:v>Yemen national land-port passenger closure order, March 2020</x:v>
      </x:c>
      <x:c r="C476" s="4" t="str">
        <x:v>Yemen; Saudi Arabia; Oman</x:v>
      </x:c>
      <x:c r="D476" s="4" t="str">
        <x:v>Government-controlled international land ports; Wadea, Shahn and Sarfait require post-level phase checks</x:v>
      </x:c>
      <x:c r="E476" s="4" t="str">
        <x:v>Land-port passenger movement under the issuing government’s authority
Direction: Land-port traffic; precise directional implementation not established.
Exceptions: Commercial, relief and humanitarian freight excepted by order.</x:v>
      </x:c>
      <x:c r="F476" s="4" t="str">
        <x:v>R3-ME-003-R1 — Observed operation
Wadea initial interruption for pilgrims/residents returning from Saudi Arabia to Yemen
Start: 2020-03-16.
Observed scoped reopening: 2020-03-17.
1 calendar-day difference; previous-night closure followed by afternoon reopening, so strict greater-than-24-hours eligibility is not met for this initial phase.
National formal order: land-port passenger closure effective March 17, 2020, with commercial, relief and humanitarian freight excepted. Uniform physical implementation at every gate is not established.
Separate limited returnee access: an official statement reported by Anadolu permitted listed stranded Yemenis to enter at Al Wadea from May 7, 2020, subject to quarantine. SABA government reporting dated Thursday May 14 confirms admissions during the preceding week and announces another temporary passenger closure, with commercial, relief and humanitarian freight and coordinated special cases excepted. The consular notice posted May 17 republishes this Thursday announcement; May 17 is not the event date.
June 2020 observation: IOM reports approximately 8,966 Yemeni returnees were allowed back from Saudi Arabia through Al Wadea in June. This establishes limited returnee access during that month, not unrestricted passenger reopening or uninterrupted closure since March.</x:v>
      </x:c>
      <x:c r="G47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76" s="4" t="str">
        <x:v>The March 16–17 phase concerns the initial interruption for pilgrims and residents returning to Yemen. Contemporary reporting specifies closure on March 16 at night and reopening by March 17 afternoon, supporting exclusion of this initial phase from strict greater-than-24-hours records; exact hours remain unknown. Midnight reclosure was prospective and a March 18 report describes continuing pilgrim exceptions. May 7 is a formal special-returnee permission; subsequent official reporting confirms admissions but not their exact first time. SABA dates the renewed temporary passenger-closure announcement to Thursday May 14, resolving the consular notice’s later May 17 posting date. Freight and coordinated special cases remained excepted. June IOM reporting establishes further limited returnee access while ordinary civilian restrictions remained. These observations do not form a continuous all-passenger closure; national policy repeal and unrestricted restoration remain unknown.</x:v>
      </x:c>
      <x:c r="I476" s="4" t="str">
        <x:v>Second full-register audit, 26 October 2026: additional source-audited corrections incorporated. See the phase, scope and qualification columns for the accepted findings.</x:v>
      </x:c>
      <x:c r="J476" s="18" t="d">
        <x:v>2026-10-26T00:00:00.000Z</x:v>
      </x:c>
      <x:c r="K476" s="21" t="str">
        <x:f>IFERROR(HYPERLINK("https://www.adngad.net/news/451223","Aden al-Ghad"),"Aden al-Ghad")</x:f>
        <x:v>Aden al-Ghad</x:v>
      </x:c>
      <x:c r="L476" s="21" t="str">
        <x:f>IFERROR(HYPERLINK("https://www.mofa-ye.org/Pages/9697/","Yemen Ministry of Foreign Affairs"),"Yemen Ministry of Foreign Affairs")</x:f>
        <x:v>Yemen Ministry of Foreign Affairs</x:v>
      </x:c>
      <x:c r="M476" s="21" t="str">
        <x:f>IFERROR(HYPERLINK("https://www.adngad.net/news/451240","Aden al-Ghad"),"Aden al-Ghad")</x:f>
        <x:v>Aden al-Ghad</x:v>
      </x:c>
      <x:c r="N476" s="4" t="str">
        <x:v>https://www.adngad.net/news/451223
https://www.mofa-ye.org/Pages/9697/
https://www.adngad.net/news/451240
https://www.mofa-ye.org/Pages/9710/
https://mail.sabanew.net/story/en/60716
https://www.almashhad.news/news/160408
https://www.aden-tm.net/news/120966
https://alayyam.info/news/851AUPEP-SDJEYM-A92A
https://u.aa.com.tr/ar/%D8%A7%D9%84%D8%AF%D9%88%D9%84-%D8%A7%D9%84%D8%B9%D8%B1%D8%A8%D9%8A%D8%A9/%D8%A7%D9%84%D9%8A%D9%85%D9%86-%D9%8A%D8%B9%D9%8A%D8%AF-%D9%81%D8%AA%D8%AD-%D9%85%D8%B9%D8%A8%D8%B1-%D9%85%D8%B9-%D8%A7%D9%84%D8%B3%D8%B9%D9%88%D8%AF%D9%8A%D8%A9-%D9%84%D8%A7%D8%B3%D8%AA%D9%82%D8%A8%D8%A7%D9%84-%D8%B9%D8%A7%D9%84%D9%82%D9%8A-%D9%83%D9%88%D8%B1%D9%88%D9%86%D8%A7/1832374
https://www.yemencg-sa.org/pages/%D8%A7%D9%84%D8%A3%D8%AE%D8%A8%D8%A7%D8%B1/%D8%A7%D8%B9%D9%84%D9%86%D8%AA-%D8%A7%D9%84%D8%AD%D9%83%D9%88%D9%85%D8%A9%D8%8C-%D8%A7%D9%84%D9%8A%D9%88%D9%85-%D8%A7%D9%84%D8%AE%D9%85%D9%8A%D8%B3%D8%8C-%D8%A7%D8%BA%D9%84%D8%A7%D9%82-%D9%85%D9%86%D9%81%D8%B0-%D8%A7%D9%84%D9%88%D8%AF%D9%8A%D8%B9%D8%A9-%D8%A7%D9%84%D8%A8%D8%B1%D9%8A-%D9%85%D8%A4%D9%82%D8%AA%D8%A7%D9%8B-%D8%A3%D9%85%D8%A7%D9%85-%D8%AD%D8%B1%D9%83%D8%A9-%D8%A7%D9%84%D9%85%D8%B3%D8%A7%D9%81%D8%B1%D9%8A%D9%86-%D8%A8%D8%B9%D8%AF-%D8%A7%D8%B3%D8%AA%D9%83%D9%85%D8%A7%D9%84-%D8%A7%D8%B3%D8%AA%D9%8A%D8%B9%D8%A7%D8%A8-%D8%A7%D9%84%D8%B9%D8%A7%D9%84%D9%82%D9%8A%D9%86-%D9%81%D9%8A-%D8%A7%D9%84%D9%85%D9%86%D9%81%D8%B0-%D8%A8%D8%AD%D8%B3%D8%A8-%D9%83%D8%B4%D9%88%D9%81%D8%A7%D8%AA-%D8%A7%D9%84%D9%82%D9%86%D8%B5%D9%84%D9%8A%D8%A9-%D8%A7%D9%84%D8%B9%D8%A7%D9%85%D8%A9-%D9%81%D9%8A-%D8%AC%D8%AF%D8%A9.467?id=59&amp;type=news
https://medbox.org/index.php/dl/5f06d7730b072320477102b6
https://www.sabanew.net/viewstory/62206</x:v>
      </x:c>
      <x:c r="O476" s="4" t="str">
        <x:v>Second full-register audit source access, 26 October 2026
https://www.mofa-ye.org/Pages/9697/: full text (fresh retrieval)
https://www.almashhad.news/news/160408: full text (fresh retrieval)
https://www.aden-tm.net/news/120966: full text (fresh retrieval)
https://u.aa.com.tr/ar/%D8%A7%D9%84%D8%AF%D9%88%D9%84-%D8%A7%D9%84%D8%B9%D8%B1%D8%A8%D9%8A%D8%A9/%D8%A7%D9%84%D9%8A%D9%85%D9%86-%D9%8A%D8%B9%D9%8A%D8%AF-%D9%81%D8%AA%D8%AD-%D9%85%D8%B9%D8%A8%D8%B1-%D9%85%D8%B9-%D8%A7%D9%84%D8%B3%D8%B9%D9%88%D8%AF%D9%8A%D8%A9-%D9%84%D8%A7%D8%B3%D8%AA%D9%82%D8%A8%D8%A7%D9%84-%D8%B9%D8%A7%D9%84%D9%82%D9%8A-%D9%83%D9%88%D8%B1%D9%88%D9%86%D8%A7/1832374: full text (fresh retrieval)
https://www.yemencg-sa.org/pages/%D8%A7%D9%84%D8%A3%D8%AE%D8%A8%D8%A7%D8%B1/%D8%A7%D8%B9%D9%84%D9%86%D8%AA-%D8%A7%D9%84%D8%AD%D9%83%D9%88%D9%85%D8%A9%D8%8C-%D8%A7%D9%84%D9%8A%D9%88%D9%85-%D8%A7%D9%84%D8%AE%D9%85%D9%8A%D8%B3%D8%8C-%D8%A7%D8%BA%D9%84%D8%A7%D9%82-%D9%85%D9%86%D9%81%D8%B0-%D8%A7%D9%84%D9%88%D8%AF%D9%8A%D8%B9%D8%A9-%D8%A7%D9%84%D8%A8%D8%B1%D9%8A-%D9%85%D8%A4%D9%82%D8%AA%D8%A7%D9%8B-%D8%A3%D9%85%D8%A7%D9%85-%D8%AD%D8%B1%D9%83%D8%A9-%D8%A7%D9%84%D9%85%D8%B3%D8%A7%D9%81%D8%B1%D9%8A%D9%86-%D8%A8%D8%B9%D8%AF-%D8%A7%D8%B3%D8%AA%D9%83%D9%85%D8%A7%D9%84-%D8%A7%D8%B3%D8%AA%D9%8A%D8%B9%D8%A7%D8%A8-%D8%A7%D9%84%D8%B9%D8%A7%D9%84%D9%82%D9%8A%D9%86-%D9%81%D9%8A-%D8%A7%D9%84%D9%85%D9%86%D9%81%D8%B0-%D8%A8%D8%AD%D8%B3%D8%A8-%D9%83%D8%B4%D9%88%D9%81%D8%A7%D8%AA-%D8%A7%D9%84%D9%82%D9%86%D8%B5%D9%84%D9%8A%D8%A9-%D8%A7%D9%84%D8%B9%D8%A7%D9%85%D8%A9-%D9%81%D9%8A-%D8%AC%D8%AF%D8%A9.467?id=59&amp;type=news: full text (fresh retrieval)
https://medbox.org/index.php/dl/5f06d7730b072320477102b6: full text (fresh retrieval)
https://www.sabanew.net/viewstory/62206: full text (fresh retrieval)
Earlier URLs not separately inspected in this second assessment:
https://www.adngad.net/news/451223
https://www.adngad.net/news/451240
https://www.mofa-ye.org/Pages/9710/
https://mail.sabanew.net/story/en/60716
https://alayyam.info/news/851AUPEP-SDJEYM-A92A
Prior audit access record
Full-register audit source access (evidence cutoff 25 October 2026)
https://www.mofa-ye.org/Pages/9697/: full text
https://www.almashhad.news/news/160408: full text
https://u.aa.com.tr/ar/%D8%A7%D9%84%D8%AF%D9%88%D9%84-%D8%A7%D9%84%D8%B9%D8%B1%D8%A8%D9%8A%D8%A9/%D8%A7%D9%84%D9%8A%D9%85%D9%86-%D9%8A%D8%B9%D9%8A%D8%AF-%D9%81%D8%AA%D8%AD-%D9%85%D8%B9%D8%A8%D8%B1-%D9%85%D8%B9-%D8%A7%D9%84%D8%B3%D8%B9%D9%88%D8%AF%D9%8A%D8%A9-%D9%84%D8%A7%D8%B3%D8%AA%D9%82%D8%A8%D8%A7%D9%84-%D8%B9%D8%A7%D9%84%D9%82%D9%8A-%D9%83%D9%88%D8%B1%D9%88%D9%86%D8%A7/1832374: full text
https://www.yemencg-sa.org/pages/%D8%A7%D9%84%D8%A3%D8%AE%D8%A8%D8%A7%D8%B1/%D8%A7%D8%B9%D9%84%D9%86%D8%AA-%D8%A7%D9%84%D8%AD%D9%83%D9%88%D9%85%D8%A9%D8%8C-%D8%A7%D9%84%D9%8A%D9%88%D9%85-%D8%A7%D9%84%D8%AE%D9%85%D9%8A%D8%B3%D8%8C-%D8%A7%D8%BA%D9%84%D8%A7%D9%82-%D9%85%D9%86%D9%81%D8%B0-%D8%A7%D9%84%D9%88%D8%AF%D9%8A%D8%B9%D8%A9-%D8%A7%D9%84%D8%A8%D8%B1%D9%8A-%D9%85%D8%A4%D9%82%D8%AA%D8%A7%D9%8B-%D8%A3%D9%85%D8%A7%D9%85-%D8%AD%D8%B1%D9%83%D8%A9-%D8%A7%D9%84%D9%85%D8%B3%D8%A7%D9%81%D8%B1%D9%8A%D9%86-%D8%A8%D8%B9%D8%AF-%D8%A7%D8%B3%D8%AA%D9%83%D9%85%D8%A7%D9%84-%D8%A7%D8%B3%D8%AA%D9%8A%D8%B9%D8%A7%D8%A8-%D8%A7%D9%84%D8%B9%D8%A7%D9%84%D9%82%D9%8A%D9%86-%D9%81%D9%8A-%D8%A7%D9%84%D9%85%D9%86%D9%81%D8%B0-%D8%A8%D8%AD%D8%B3%D8%A8-%D9%83%D8%B4%D9%88%D9%81%D8%A7%D8%AA-%D8%A7%D9%84%D9%82%D9%86%D8%B5%D9%84%D9%8A%D8%A9-%D8%A7%D9%84%D8%B9%D8%A7%D9%85%D8%A9-%D9%81%D9%8A-%D8%AC%D8%AF%D8%A9.467?id=59&amp;type=news: full text — Posted May 17 but describes Thursday; exact event date not inferred from posting.
https://medbox.org/index.php/dl/5f06d7730b072320477102b6: full text
Earlier source URLs not separately listed in this audit’s retrieval log (historical access notes below are not fresh verification):
https://www.adngad.net/news/451223
https://www.adngad.net/news/451240
https://www.mofa-ye.org/Pages/9710/
https://mail.sabanew.net/story/en/60716
https://www.aden-tm.net/news/120966
https://alayyam.info/news/851AUPEP-SDJEYM-A92A
Earlier recorded access
Source 1: full
Source 2: full
Source 3: indexed excerpt</x:v>
      </x:c>
      <x:c r="P476" s="20" t="n">
        <x:v>1</x:v>
      </x:c>
      <x:c r="Q476" s="4" t="str">
        <x:v>Middle East</x:v>
      </x:c>
      <x:c r="R476" s="4" t="str">
        <x:v>Included</x:v>
      </x:c>
    </x:row>
    <x:row r="477" ht="390" hidden="0" customHeight="1">
      <x:c r="A477" s="16" t="str">
        <x:v>R3-ME-001</x:v>
      </x:c>
      <x:c r="B477" s="4" t="str">
        <x:v>Jaber security closure and phased cargo/passenger reopening, 2021</x:v>
      </x:c>
      <x:c r="C477" s="4" t="str">
        <x:v>Jordan; Syria</x:v>
      </x:c>
      <x:c r="D477" s="4" t="str">
        <x:v>Jaber / Nassib</x:v>
      </x:c>
      <x:c r="E477" s="4" t="str">
        <x:v>Passengers and goods initially; later mainly passenger restrictions
Direction: Both directions as observed at reopening.
Exceptions: Cargo restored 4 August. Limited small-merchant passenger trips existed before the 29 September easing; precise dates of those exceptions are not reconstructed.</x:v>
      </x:c>
      <x:c r="F477" s="4" t="str">
        <x:v>R3-ME-001-D1 — Observed operation
Cargo processing at Jaber–Nassib in the initial security closure
Start: 2021-07-31.
Observed scoped reopening: 2021-08-04.
4 calendar-day difference; scoped endpoint only</x:v>
      </x:c>
      <x:c r="G477"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77" s="4" t="str">
        <x:v>R3-ME-001-D1: Cargo-only initial segment from July 31 to August 4, 2021. August 4 restores back-to-back handling rather than unrestricted freight. North Press has a full contemporaneous account quoting a driver who had crossed and a shipping-association member; the Jordan Times article is available in indexed text although direct retrieval returned 403. September 29 passenger and direct-vehicle easing is separate, and earlier limited merchant trips prevent treating all passengers as continuously excluded until then.</x:v>
      </x:c>
      <x:c r="I477" s="4" t="str">
        <x:v>Second full-register audit, 26 October 2026: qualified. July 31–August 4 initial cargo closure is supported; September easing did not mark the first permitted passage for every passenger.</x:v>
      </x:c>
      <x:c r="J477" s="18" t="d">
        <x:v>2026-10-26T00:00:00.000Z</x:v>
      </x:c>
      <x:c r="K477" s="21" t="str">
        <x:f>IFERROR(HYPERLINK("https://www.arabnews.com/node/1903286/amp","Arab News"),"Arab News")</x:f>
        <x:v>Arab News</x:v>
      </x:c>
      <x:c r="L477" s="21" t="str">
        <x:f>IFERROR(HYPERLINK("https://jordantimes.com/news/local/jaber-border-crossing-reopened-cargo-traffic-%E2%80%94-interior-ministry","Jordan Times"),"Jordan Times")</x:f>
        <x:v>Jordan Times</x:v>
      </x:c>
      <x:c r="M477" s="21" t="str">
        <x:f>IFERROR(HYPERLINK("https://www.thenationalnews.com/mena/jordan/2021/09/29/jordan-opens-main-crossing-with-syria-in-boost-for-economies/","The National"),"The National")</x:f>
        <x:v>The National</x:v>
      </x:c>
      <x:c r="N477" s="4" t="str">
        <x:v>https://www.arabnews.com/node/1903286/amp
https://jordantimes.com/news/local/jaber-border-crossing-reopened-cargo-traffic-%E2%80%94-interior-ministry
https://www.thenationalnews.com/mena/jordan/2021/09/29/jordan-opens-main-crossing-with-syria-in-boost-for-economies/
https://www.aa.com.tr/en/middle-east/jordan-reopens-border-crossing-with-syrian/2377749
https://npasyria.com/en/62941/
https://npasyria.com/en/63091/</x:v>
      </x:c>
      <x:c r="O477" s="4" t="str">
        <x:v>Second full-register audit source access, 26 October 2026
https://npasyria.com/en/62941/: full text (fresh retrieval)
https://npasyria.com/en/63091/: full text (fresh retrieval)
https://jordantimes.com/news/local/jaber-border-crossing-reopened-cargo-traffic-%E2%80%94-interior-ministry: search extract (fresh retrieval)
https://www.thenationalnews.com/mena/jordan/2021/09/29/jordan-opens-main-crossing-with-syria-in-boost-for-economies/: full text (fresh retrieval)
Earlier URLs not separately inspected in this second assessment:
https://www.arabnews.com/node/1903286/amp
https://www.aa.com.tr/en/middle-east/jordan-reopens-border-crossing-with-syrian/2377749
Prior audit access record
Full-register audit source access (evidence cutoff 25 October 2026)
https://www.arabnews.com/node/1903286/amp: full text
https://jordantimes.com/news/local/jaber-border-crossing-reopened-cargo-traffic-%E2%80%94-interior-ministry: search extract — Direct retrieval 403.
https://npasyria.com/en/63091/: full text
https://www.thenationalnews.com/mena/jordan/2021/09/29/jordan-opens-main-crossing-with-syria-in-boost-for-economies/: full text
Earlier source URLs not separately listed in this audit’s retrieval log (historical access notes below are not fresh verification):
https://www.aa.com.tr/en/middle-east/jordan-reopens-border-crossing-with-syrian/2377749
https://npasyria.com/en/62941/
Earlier recorded access
Source 1: full page
Source 2: indexed extract; full-page access denied
Source 3: full page</x:v>
      </x:c>
      <x:c r="P477" s="20" t="n">
        <x:v>1</x:v>
      </x:c>
      <x:c r="Q477" s="4" t="str">
        <x:v>Middle East</x:v>
      </x:c>
      <x:c r="R477" s="4" t="str">
        <x:v>Included</x:v>
      </x:c>
    </x:row>
    <x:row r="478" ht="409" hidden="0" customHeight="1">
      <x:c r="A478" s="16" t="str">
        <x:v>R3-ME-004</x:v>
      </x:c>
      <x:c r="B478" s="4" t="str">
        <x:v>Arida strike-related closure and restricted returnee reopening, November–December 2024</x:v>
      </x:c>
      <x:c r="C478" s="4" t="str">
        <x:v>Lebanon; Syria</x:v>
      </x:c>
      <x:c r="D478" s="4" t="str">
        <x:v>Arida / Tartous</x:v>
      </x:c>
      <x:c r="E478" s="4" t="str">
        <x:v>Passengers at Arida
Direction: Closure direction not fully reconstructed; endpoint is Syria to Lebanon only.
Exceptions: 2 December permitted Lebanese returnees travelling Syria to Lebanon; systems damage prevented general reopening.</x:v>
      </x:c>
      <x:c r="F478" s="4" t="str">
        <x:v>R3-ME-004-D1 — Observed operation
Lebanese returnees travelling Syria to Lebanon through Arida
Start: 2024-11-26 to 2024-11-27.
Observed scoped reopening: 2024-12-01 to 2024-12-02.
4–6 calendar-day difference; scoped endpoint only</x:v>
      </x:c>
      <x:c r="G478"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478" s="4" t="str">
        <x:v>First limited returnee access is bounded December 1–2; onset remains November 26–27. Later vehicle reopening is not the first access.
R3-ME-004-D1: First limited returnee access is bounded December 1–2. This covers Lebanese returnees travelling Syria to Lebanon only; no full vehicle or system restoration is inferred.</x:v>
      </x:c>
      <x:c r="I478" s="4" t="str">
        <x:v>Second full-register audit, 26 October 2026: qualified. Returnee access is supported within December 1–2 bounds; full system and vehicle restoration are not established by that endpoint.</x:v>
      </x:c>
      <x:c r="J478" s="18" t="d">
        <x:v>2026-10-26T00:00:00.000Z</x:v>
      </x:c>
      <x:c r="K478" s="21" t="str">
        <x:f>IFERROR(HYPERLINK("https://www.unhcr.org/sy/sites/sy/files/legacy-pdf/UNHCR-Emergency-Response-Brief_5-December-2024.pdf","UNHCR"),"UNHCR")</x:f>
        <x:v>UNHCR</x:v>
      </x:c>
      <x:c r="L478" s="21" t="str">
        <x:f>IFERROR(HYPERLINK("https://today.lorientlejour.com/article/1437893/arida-border-post-in-north-lebanon-reopens.html","L’Orient Today"),"L’Orient Today")</x:f>
        <x:v>L’Orient Today</x:v>
      </x:c>
      <x:c r="M478" s="21" t="str">
        <x:f>IFERROR(HYPERLINK("https://www.reuters.com/world/middle-east/israeli-strikes-target-syria-lebanon-border-crossings-state-media-says-2024-11-26/","Reuters"),"Reuters")</x:f>
        <x:v>Reuters</x:v>
      </x:c>
      <x:c r="N478" s="4" t="str">
        <x:v>https://www.unhcr.org/sy/sites/sy/files/legacy-pdf/UNHCR-Emergency-Response-Brief_5-December-2024.pdf
https://today.lorientlejour.com/article/1437893/arida-border-post-in-north-lebanon-reopens.html
https://www.reuters.com/world/middle-east/israeli-strikes-target-syria-lebanon-border-crossings-state-media-says-2024-11-26/
https://today.lorientlejour.com/article/1437739/qaa-crossing-reopens-as-4000-expected-to-cross-sunday.html
https://english.enabbaladi.net/archives/2024/12/al-arida-crossing-between-syria-and-lebanon-resumes-operations/</x:v>
      </x:c>
      <x:c r="O478" s="4" t="str">
        <x:v>Second full-register audit source access, 26 October 2026
https://today.lorientlejour.com/article/1437893/arida-border-post-in-north-lebanon-reopens.html: full text (fresh retrieval)
https://today.lorientlejour.com/article/1437739/qaa-crossing-reopens-as-4000-expected-to-cross-sunday.html: full text (fresh retrieval)
https://english.enabbaladi.net/archives/2024/12/al-arida-crossing-between-syria-and-lebanon-resumes-operations/: full text (fresh retrieval)
https://www.unhcr.org/sy/sites/sy/files/legacy-pdf/UNHCR-Emergency-Response-Brief_5-December-2024.pdf: search extract (fresh retrieval) — Direct opening returned 429; substantive indexed report inspected.
Earlier URLs not separately inspected in this second assessment:
https://www.reuters.com/world/middle-east/israeli-strikes-target-syria-lebanon-border-crossings-state-media-says-2024-11-26/
Prior audit access record
Full-register audit source access (evidence cutoff 25 October 2026)
https://today.lorientlejour.com/article/1437893/arida-border-post-in-north-lebanon-reopens.html: full text
https://english.enabbaladi.net/archives/2024/12/al-arida-crossing-between-syria-and-lebanon-resumes-operations/: full text
https://www.unhcr.org/sy/sites/sy/files/legacy-pdf/UNHCR-Emergency-Response-Brief_5-December-2024.pdf: search extract — Both official PDF URLs returned 429 in this pass.
Earlier source URLs not separately listed in this audit’s retrieval log (historical access notes below are not fresh verification):
https://www.reuters.com/world/middle-east/israeli-strikes-target-syria-lebanon-border-crossings-state-media-says-2024-11-26/
https://today.lorientlejour.com/article/1437739/qaa-crossing-reopens-as-4000-expected-to-cross-sunday.html
Earlier recorded access
Source 1: full PDF text
Source 2: indexed extract
Source 3: indexed extract</x:v>
      </x:c>
      <x:c r="P478" s="20" t="n">
        <x:v>1</x:v>
      </x:c>
      <x:c r="Q478" s="4" t="str">
        <x:v>Middle East</x:v>
      </x:c>
      <x:c r="R478" s="4" t="str">
        <x:v>Included</x:v>
      </x:c>
    </x:row>
    <x:row r="479" ht="409" hidden="0" customHeight="1">
      <x:c r="A479" s="16" t="str">
        <x:v>R3-ME-005</x:v>
      </x:c>
      <x:c r="B479" s="4" t="str">
        <x:v>Arida renewed strike-related closure, December 2024</x:v>
      </x:c>
      <x:c r="C479" s="4" t="str">
        <x:v>Lebanon; Syria</x:v>
      </x:c>
      <x:c r="D479" s="4" t="str">
        <x:v>Arida / Tartous</x:v>
      </x:c>
      <x:c r="E479" s="4" t="str">
        <x:v>Arida passenger crossing, with mode and nationality-specific restoration.
Direction: Initial restriction not separately specified; one-way pedestrians entering Syria were documented by January 2, 2025.
Exceptions and restoration: The reported December 13 opening lacks category detail. On June 3, 2025 Syrian and Lebanese nationals resumed passage in private vehicles; passenger and taxi activity was observed. Goods trucks remained unable to use the temporary route. Other posts mentioned in broader orders require separate matching.</x:v>
      </x:c>
      <x:c r="F479" s="4" t="str">
        <x:v>R3-ME-005-FU1 — Formal policy
Arida / Al-Arida formal land crossing and bridge
Start: 2024-12-06.
Last confirmed formal closure: 2024-12-06. Scoped passenger/private-vehicle restoration observed on 2025-06-03; cargo and intervening exceptions remain separate.
Formal policy: dated evidence; numeric duration withheld; see qualification</x:v>
      </x:c>
      <x:c r="G479" s="4" t="str">
        <x:v>Security / Armed conflict and military confrontation
Reported reason
Applies to: Recorded episode; exact overlap not separately established
The Israeli allegation concerning weapons routes and the Lebanese safety response belong to different actors. The allegation remains attributed and unverified.
Security / Smuggling and illicit trafficking
Analytical interpretation of reported context
Applies to: Recorded episode; exact overlap not separately established
The Israeli allegation concerning weapons routes and the Lebanese safety response belong to different actors. The allegation remains attributed and unverified.
Security / Public order and immediate safety
Reported reason
Applies to: Recorded episode; exact overlap not separately established
The Israeli allegation concerning weapons routes and the Lebanese safety response belong to different actors. The allegation remains attributed and unverified.</x:v>
      </x:c>
      <x:c r="H479" s="4" t="str">
        <x:v>The December 6, 2024 formal restriction and contemporaneous road interruption followed renewed strikes. December 2 vehicle passage predates this episode and cannot end it. Reports of a December 13 opening lack sufficient vehicle/category detail to establish a matching endpoint; one-way pedestrian movement into Syria was documented by January 2. UNHCR regional flash update 30, dated June 6, 2025, reports that Arida resumed traffic on June 3 for Syrian and Lebanese nationals in private vehicles. On-scene June 3 reporting documents passenger and taxi activity, while a General Security officer says goods trucks still could not use the temporary route. June 3 is therefore a scoped passenger-vehicle restoration; cargo remains separate. Earlier exceptions and the insufficiently specified December opening prevent an uninterrupted all-traffic December–June closure or numeric duration.</x:v>
      </x:c>
      <x:c r="I479" s="4" t="str">
        <x:v>Second full-register audit, 26 October 2026: qualified. Independent dated UN observations validate the category-specific interpretation and rule out a continuous total December-to-June shutdown.</x:v>
      </x:c>
      <x:c r="J479" s="18" t="d">
        <x:v>2026-10-26T00:00:00.000Z</x:v>
      </x:c>
      <x:c r="K479" s="21" t="str">
        <x:f>IFERROR(HYPERLINK("https://today.lorientlejour.com/article/1438600/masnaa-only-operational-border-crossing-between-lebanon-and-syria-following-repeated-israeli-strikes.html","L’Orient Today"),"L’Orient Today")</x:f>
        <x:v>L’Orient Today</x:v>
      </x:c>
      <x:c r="L479" s="21" t="str">
        <x:f>IFERROR(HYPERLINK("https://lebanon.unfpa.org/en/publications/situation-report-5-unfpa-response-lebanon-1-15-dec-2024","UNFPA Lebanon"),"UNFPA Lebanon")</x:f>
        <x:v>UNFPA Lebanon</x:v>
      </x:c>
      <x:c r="M479" s="21" t="str">
        <x:f>IFERROR(HYPERLINK("https://apnews.com/article/59b74360c1b44c99b47e1c6d80118bd1","AP"),"AP")</x:f>
        <x:v>AP</x:v>
      </x:c>
      <x:c r="N479" s="4" t="str">
        <x:v>https://today.lorientlejour.com/article/1438600/masnaa-only-operational-border-crossing-between-lebanon-and-syria-following-repeated-israeli-strikes.html
https://lebanon.unfpa.org/en/publications/situation-report-5-unfpa-response-lebanon-1-15-dec-2024
https://apnews.com/article/59b74360c1b44c99b47e1c6d80118bd1
https://www.lorientlejour.com/article/1462964/apres-la-reouverture-mardi-matin-du-poste-frontiere-de-arida-le-trafic-sintensifie-deja-entre-le-liban-et-la-syrie.html
https://www.lorientlejour.com/article/1490215/le-poste-frontiere-de-arida-toujours-ferme-aux-vehicules.html
https://logcluster.org/en/node/47185
https://www.ecoi.net/en/file/local/2119136/241213%2BUNHCR%2BRegional%2BFlash%2BUpdate_Syria%2Bsituation%2Bcrisis%2B(Final).pdf
https://logcluster.org/en/node/47298
https://reporting.unhcr.org/sites/default/files/2024-12/241213%20UNHCR%20Regional%20Flash%20Update_Syria%20situation%20crisis%20%28Final%29.pdf
https://sana.sy/en/syria/358148/
https://www.lebanon24.com/news/lebanon/1286804/بالصورة-إعادة-فتح-معبر-العريضة-الحدودي
https://www.ecoi.net/en/file/local/2126815/30%2B-%2BSyria%2Bsituation%2Bcrisis_final%2B%281%29.pdf
https://today.lorientlejour.com/article/1463091/reopening-of-the-arida-border-crossing-you-can-smell-syria-from-here.html</x:v>
      </x:c>
      <x:c r="O479" s="4" t="str">
        <x:v>Second full-register audit source access, 26 October 2026
https://today.lorientlejour.com/article/1438600/masnaa-only-operational-border-crossing-between-lebanon-and-syria-following-repeated-israeli-strikes.html: full text (fresh retrieval)
https://www.ecoi.net/en/file/local/2119136/241213%2BUNHCR%2BRegional%2BFlash%2BUpdate_Syria%2Bsituation%2Bcrisis%2B(Final).pdf: full text (fresh retrieval)
https://logcluster.org/en/node/47298: full text (fresh retrieval)
https://www.ecoi.net/en/file/local/2126815/30%2B-%2BSyria%2Bsituation%2Bcrisis_final%2B%281%29.pdf: full text (fresh retrieval)
https://today.lorientlejour.com/article/1463091/reopening-of-the-arida-border-crossing-you-can-smell-syria-from-here.html: search extract (fresh retrieval) — Article excerpt with relevant on-scene vehicle/cargo paragraph; remainder paywalled.
Earlier URLs not separately inspected in this second assessment:
https://lebanon.unfpa.org/en/publications/situation-report-5-unfpa-response-lebanon-1-15-dec-2024
https://apnews.com/article/59b74360c1b44c99b47e1c6d80118bd1
https://www.lorientlejour.com/article/1462964/apres-la-reouverture-mardi-matin-du-poste-frontiere-de-arida-le-trafic-sintensifie-deja-entre-le-liban-et-la-syrie.html
https://www.lorientlejour.com/article/1490215/le-poste-frontiere-de-arida-toujours-ferme-aux-vehicules.html
https://logcluster.org/en/node/47185
https://reporting.unhcr.org/sites/default/files/2024-12/241213%20UNHCR%20Regional%20Flash%20Update_Syria%20situation%20crisis%20%28Final%29.pdf
https://sana.sy/en/syria/358148/
https://www.lebanon24.com/news/lebanon/1286804/بالصورة-إعادة-فتح-معبر-العريضة-الحدودي
Prior audit access record
Full-register audit source access (evidence cutoff 25 October 2026)
https://today.lorientlejour.com/article/1438600/masnaa-only-operational-border-crossing-between-lebanon-and-syria-following-repeated-israeli-strikes.html: full text
https://www.ecoi.net/en/file/local/2126815/30%2B-%2BSyria%2Bsituation%2Bcrisis_final%2B%281%29.pdf: full text
https://today.lorientlejour.com/article/1463091/reopening-of-the-arida-border-crossing-you-can-smell-syria-from-here.html: full text — Relevant opening paragraphs accessible; rest paywalled
Earlier source URLs not separately listed in this audit’s retrieval log (historical access notes below are not fresh verification):
https://lebanon.unfpa.org/en/publications/situation-report-5-unfpa-response-lebanon-1-15-dec-2024
https://apnews.com/article/59b74360c1b44c99b47e1c6d80118bd1
https://www.lorientlejour.com/article/1462964/apres-la-reouverture-mardi-matin-du-poste-frontiere-de-arida-le-trafic-sintensifie-deja-entre-le-liban-et-la-syrie.html
https://www.lorientlejour.com/article/1490215/le-poste-frontiere-de-arida-toujours-ferme-aux-vehicules.html
https://logcluster.org/en/node/47185
https://www.ecoi.net/en/file/local/2119136/241213%2BUNHCR%2BRegional%2BFlash%2BUpdate_Syria%2Bsituation%2Bcrisis%2B(Final).pdf
https://logcluster.org/en/node/47298
https://reporting.unhcr.org/sites/default/files/2024-12/241213%20UNHCR%20Regional%20Flash%20Update_Syria%20situation%20crisis%20%28Final%29.pdf
https://sana.sy/en/syria/358148/
https://www.lebanon24.com/news/lebanon/1286804/بالصورة-إعادة-فتح-معبر-العريضة-الحدودي
Earlier recorded access
Source 1: full page
Source 2: full
Source 3: indexed excerpt</x:v>
      </x:c>
      <x:c r="P479" s="20" t="n">
        <x:v>1</x:v>
      </x:c>
      <x:c r="Q479" s="4" t="str">
        <x:v>Middle East</x:v>
      </x:c>
      <x:c r="R479" s="4" t="str">
        <x:v>Included</x:v>
      </x:c>
    </x:row>
    <x:row r="480" ht="409" hidden="0" customHeight="1">
      <x:c r="A480" s="16" t="str">
        <x:v>R3-ME-013</x:v>
      </x:c>
      <x:c r="B480" s="4" t="str">
        <x:v>Syria foreign-truck direct-entry ban and Lebanese exemptions, February 2026</x:v>
      </x:c>
      <x:c r="C480" s="4" t="str">
        <x:v>Syria; Lebanon; Jordan; Türkiye; Iraq</x:v>
      </x:c>
      <x:c r="D480" s="4" t="str">
        <x:v>Syrian international land crossings; detailed Lebanon phase at Jdeidet Yabous / Masnaa</x:v>
      </x:c>
      <x:c r="E480" s="4" t="str">
        <x:v>Non-Syrian trucks entering Syria for domestic deliveries; goods themselves could transfer
Direction: Into Syria; bilateral Lebanese arrangement also regulates reciprocal truck movement.
Exceptions: Transit trucks exempt under escort; later Lebanese exemptions covered specified cargoes and one-time stranded vehicles. Jordan agreement absent as of 13 February report.</x:v>
      </x:c>
      <x:c r="F480" s="4" t="str">
        <x:v>R3-ME-013-R1 — Announced window
Masnaa/Jdeidet Yabous reciprocal transshipment requirement for ordinary non-exempt Lebanese and Syrian cargo trucks
Start: 2026-02-13.
Scheduled endpoint: 2026-02-20.
Ordered window: 7 calendar-day difference; actual end not established
R3-ME-013-REV1 — Formal policy
Reciprocal customs-yard transshipment requirement restricting direct delivery by ordinary non-exempt Lebanese and Syrian trucks at Masnaa/Jdeidet Yabous
Start: 2026-02-13.
Last confirmed: 2026-02-23. Reopening is not established.
Formal policy: confirmed through 2026-02-23; at least 10 calendar-day difference; reopening unknown
Separate national decision observation — 2026-02-06
Enab Baladi reports that Syria’s General Authority for Land and Sea Ports issued a decision on February 6 barring non-Syrian trucks from direct entry through land crossings and requiring customs-yard cargo transfer. Escorted transit trucks were exempt. This is a reported formal decision, not observation of enforcement at every crossing. The separate Lebanese reciprocal arrangement retains its February 13 start.
Separate later policy observation — 2026-05-09
At a ministerial meeting reported by SANA on May 10, the Syrian transport minister described current cargo transshipment measures as temporary, while Lebanon requested exemptions for Lebanese-origin goods. This confirms that such measures remained a live policy issue in May; it does not establish unchanged application of every February bilateral exception, an exact continuous operational interval, or repeal.</x:v>
      </x:c>
      <x:c r="G480" s="4" t="str">
        <x:v>Trade and protectionism / Customs and transport rules
Attributed official justification
Applies to: Recorded episode; exact overlap not separately established
Cargo organisation and foreign-truck/transshipment rules support trade administration. A protectionist intention is not established.</x:v>
      </x:c>
      <x:c r="H480" s="4" t="str">
        <x:v>R3-ME-013-R1: Initial seven-day scheduled February 13–20 trial; exact endpoint hour/inclusivity unstated. Reciprocal direct-delivery restriction, not complete shutdown. Tanker/hazardous cargo, cement materials, meat/pharmaceuticals and one-time stranded-truck cases exempt. February 23 reports extension, so scheduled expiry is not repeal or unrestricted reopening.
R3-ME-013-REV1: Overlaps R3-ME-013-R1; do not add their durations. Special cargo and one-time stranded vehicles exempt. No assertion of uninterrupted physical enforcement, other nationalities, or repeal after February 23. A separate May policy observation is recorded below, without assuming every February term remained unchanged.
Initial national decision: The February 6 issuance is reported by Enab Baladi on February 7, with a link to the authority’s notice. The original signed order and first enforcement at each gate have not been independently inspected. This observation neither backdates the February 13 bilateral terms nor proves continuous nationwide enforcement or later repeal.
May 9 observation: SANA’s May 10 report describes current transshipment measures and a Lebanese request for exemptions. The reported reactivation of the 1993 transport agreement is not an explicit repeal of these measures.</x:v>
      </x:c>
      <x:c r="I480" s="4" t="str">
        <x:v>Second full-register audit, 26 October 2026: additional source-audited corrections incorporated. See the phase, scope and qualification columns for the accepted findings.</x:v>
      </x:c>
      <x:c r="J480" s="18" t="d">
        <x:v>2026-10-26T00:00:00.000Z</x:v>
      </x:c>
      <x:c r="K480" s="21" t="str">
        <x:f>IFERROR(HYPERLINK("https://www.annahar.com/news/details?lang=0&amp;pageid=277405","Annahar"),"Annahar")</x:f>
        <x:v>Annahar</x:v>
      </x:c>
      <x:c r="L480" s="21" t="str">
        <x:f>IFERROR(HYPERLINK("https://www.aman-alliance.org/Home/ContentDetail/100378","AMAN / NNA"),"AMAN / NNA")</x:f>
        <x:v>AMAN / NNA</x:v>
      </x:c>
      <x:c r="M480" s="21" t="str">
        <x:f>IFERROR(HYPERLINK("https://today.lorientlejour.com/article/1495794/masnaa-border-road-transport-reciprocity-mechanism-extended.html","L'Orient Today"),"L'Orient Today")</x:f>
        <x:v>L'Orient Today</x:v>
      </x:c>
      <x:c r="N480" s="4" t="str">
        <x:v>https://www.annahar.com/news/details?lang=0&amp;pageid=277405
https://www.aman-alliance.org/Home/ContentDetail/100378
https://today.lorientlejour.com/article/1495794/masnaa-border-road-transport-reciprocity-mechanism-extended.html
https://today.lorientlejour.com/article/1495763/lebanese-syrian-truck-ban-reciprocity-mechanism-to-be-extended.html
https://today.lorientlejour.com/article/1494230/syrian-ban-on-foreign-trucks-prompts-call-for-lebanese-syrian-talks.html
https://www.naharnet.com/stories/en/318373
https://english.enabbaladi.net/archives/2026/02/syria-bans-entry-of-non-syrian-trucks-except-transit/?so=related
https://www.thenationalnews.com/news/mena/2026/02/18/syria-lebanon-trucks-al-shara/
https://sana.sy/economy/2394096/
https://aman-alliance.org/Home/ContentDetail/100378
https://sana.sy/en/syria/2315912/
https://today.lorientlejour.com/article/1495984/freight-forwarding-companies-containers-transiting-through-syria-to-be-unloaded-at-jdeidet-yabous.html</x:v>
      </x:c>
      <x:c r="O480" s="4" t="str">
        <x:v>Second full-register audit source access, 26 October 2026
https://english.enabbaladi.net/archives/2026/02/syria-bans-entry-of-non-syrian-trucks-except-transit/?so=related: full text (fresh retrieval)
https://www.aman-alliance.org/Home/ContentDetail/100378: full text (fresh retrieval)
https://today.lorientlejour.com/article/1495794/masnaa-border-road-transport-reciprocity-mechanism-extended.html: full text (fresh retrieval)
https://sana.sy/en/syria/2315912/: full text (fresh retrieval)
https://today.lorientlejour.com/article/1495984/freight-forwarding-companies-containers-transiting-through-syria-to-be-unloaded-at-jdeidet-yabous.html: full text (fresh retrieval)
Earlier URLs not separately inspected in this second assessment:
https://www.annahar.com/news/details?lang=0&amp;pageid=277405
https://today.lorientlejour.com/article/1495763/lebanese-syrian-truck-ban-reciprocity-mechanism-to-be-extended.html
https://today.lorientlejour.com/article/1494230/syrian-ban-on-foreign-trucks-prompts-call-for-lebanese-syrian-talks.html
https://www.naharnet.com/stories/en/318373
https://www.thenationalnews.com/news/mena/2026/02/18/syria-lebanon-trucks-al-shara/
https://sana.sy/economy/2394096/
https://aman-alliance.org/Home/ContentDetail/100378
Prior audit access record
Full-register audit source access (evidence cutoff 25 October 2026)
https://english.enabbaladi.net/archives/2026/02/syria-bans-entry-of-non-syrian-trucks-except-transit/?so=related: full text
https://today.lorientlejour.com/article/1495794/masnaa-border-road-transport-reciprocity-mechanism-extended.html: full text
https://aman-alliance.org/Home/ContentDetail/100378: search extract
https://english.enabbaladi.net/archives/2026/02/syria-bans-entry-of-non-syrian-trucks-except-transit/?so=related: full text
Earlier source URLs not separately listed in this audit’s retrieval log (historical access notes below are not fresh verification):
https://www.annahar.com/news/details?lang=0&amp;pageid=277405
https://www.aman-alliance.org/Home/ContentDetail/100378
https://today.lorientlejour.com/article/1495763/lebanese-syrian-truck-ban-reciprocity-mechanism-to-be-extended.html
https://today.lorientlejour.com/article/1494230/syrian-ban-on-foreign-trucks-prompts-call-for-lebanese-syrian-talks.html
https://www.naharnet.com/stories/en/318373
https://www.thenationalnews.com/news/mena/2026/02/18/syria-lebanon-trucks-al-shara/
https://sana.sy/economy/2394096/
Earlier recorded access
Source 1: full
Source 2: full
Source 3: indexed excerpt; full</x:v>
      </x:c>
      <x:c r="P480" s="20" t="n">
        <x:v>2</x:v>
      </x:c>
      <x:c r="Q480" s="4" t="str">
        <x:v>Middle East</x:v>
      </x:c>
      <x:c r="R480" s="4" t="str">
        <x:v>Included</x:v>
      </x:c>
    </x:row>
    <x:row r="481" ht="409" hidden="0" customHeight="1">
      <x:c r="A481" s="16" t="str">
        <x:v>R3-ME-006</x:v>
      </x:c>
      <x:c r="B481" s="4" t="str">
        <x:v>Jdeidet Yabous same-day precautionary passenger closure, March 2026</x:v>
      </x:c>
      <x:c r="C481" s="4" t="str">
        <x:v>Syria; Lebanon</x:v>
      </x:c>
      <x:c r="D481" s="4" t="str">
        <x:v>Jdeidet Yabous / Masnaa</x:v>
      </x:c>
      <x:c r="E481" s="4" t="str">
        <x:v>Syrian passenger departures at Jdeidet Yabous were suspended.
Direction: Syria to Lebanon; arrivals into Syria remained open for Syrians fleeing Lebanon, according to Reuters reporting of the crossing media official.
Exceptions: Incoming Syrians fleeing Lebanon were explicitly permitted. SANA reports passenger traffic returned to normal in both directions later on March 4, 2026; a preceding two-way closure is not inferred.</x:v>
      </x:c>
      <x:c r="F481" s="4" t="str">
        <x:v>R3-ME-006-D1 — Observed operation
Jdeidet Yabous precautionary suspension of Syrian passenger departures on March 4, 2026; incoming people fleeing Lebanon remained permitted
Start: 2026-03-04.
Observed scoped reopening: 2026-03-04.
Same-day episode; no whole-day duration inferred</x:v>
      </x:c>
      <x:c r="G481"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81" s="4" t="str">
        <x:v>R3-ME-006-D1: Shown as an episode occurring on this date, not a whole-day closure. SANA gives 13:00 local reopening; QNA paraphrases noon. Onset time unknown. Same-day event is not a full 24-hour closure; precise duration not calculated. Reuters explicitly keeps arrivals open for people fleeing Lebanon; no two-way closure is inferred.</x:v>
      </x:c>
      <x:c r="I481" s="4" t="str">
        <x:v>Second full-register audit, 26 October 2026: qualified. Same-day one-direction precautionary closure is supported; resumption in both directions does not imply a prior two-way closure.</x:v>
      </x:c>
      <x:c r="J481" s="18" t="d">
        <x:v>2026-10-26T00:00:00.000Z</x:v>
      </x:c>
      <x:c r="K481" s="21" t="str">
        <x:f>IFERROR(HYPERLINK("https://sana.sy/es/local/2298452/","SANA"),"SANA")</x:f>
        <x:v>SANA</x:v>
      </x:c>
      <x:c r="L481" s="21" t="str">
        <x:f>IFERROR(HYPERLINK("https://shafaq.com/amp/en/Middle-East/Syria-shuts-Lebanon-border-crossing-after-Israeli-strike-warning","Shafaq News"),"Shafaq News")</x:f>
        <x:v>Shafaq News</x:v>
      </x:c>
      <x:c r="M481" s="21" t="str">
        <x:f>IFERROR(HYPERLINK("https://www.reuters.com/world/middle-east/syria-closes-its-border-crossing-with-lebanon-after-warning-it-being-targeted-by-2026-03-04/","Reuters"),"Reuters")</x:f>
        <x:v>Reuters</x:v>
      </x:c>
      <x:c r="N481" s="4" t="str">
        <x:v>https://sana.sy/es/local/2298452/
https://shafaq.com/amp/en/Middle-East/Syria-shuts-Lebanon-border-crossing-after-Israeli-strike-warning
https://www.reuters.com/world/middle-east/syria-closes-its-border-crossing-with-lebanon-after-warning-it-being-targeted-by-2026-03-04/
https://www.arabnews.com/middle-east/syria-closes-lebanon-border-crossing-after-warning-of-it-being-targeted-by-israel-2635224
https://qna.org.qa/en/news/news-details?date=4/03/2026&amp;id=syrias-jdeidet-yabous-border-crossing-with-lebanon-resumes-operations
https://npasyria.com/en/135975/
https://qna.org.qa/en/news/news-details?date=4%2F03%2F2026&amp;id=syrias-jdeidet-yabous-border-crossing-with-lebanon-resumes-operations
https://www.syriahr.com/en/378787/
https://www.reutersconnect.com/item/border-gate-between-syria-and-lebanon-reopens-after-short-closure/dGFnOnJldXRlcnMuY29tLDIwMjY6bmV3c21sX01UMUFOQURMMDAwOVIzUUtM</x:v>
      </x:c>
      <x:c r="O481" s="4" t="str">
        <x:v>Second full-register audit source access, 26 October 2026
https://sana.sy/es/local/2298452/: full text (fresh retrieval)
https://www.arabnews.com/middle-east/syria-closes-lebanon-border-crossing-after-warning-of-it-being-targeted-by-israel-2635224: full text (fresh retrieval)
https://qna.org.qa/en/news/news-details?date=4%2F03%2F2026&amp;id=syrias-jdeidet-yabous-border-crossing-with-lebanon-resumes-operations: full text (fresh retrieval)
Earlier URLs not separately inspected in this second assessment:
https://shafaq.com/amp/en/Middle-East/Syria-shuts-Lebanon-border-crossing-after-Israeli-strike-warning
https://www.reuters.com/world/middle-east/syria-closes-its-border-crossing-with-lebanon-after-warning-it-being-targeted-by-2026-03-04/
https://qna.org.qa/en/news/news-details?date=4/03/2026&amp;id=syrias-jdeidet-yabous-border-crossing-with-lebanon-resumes-operations
https://npasyria.com/en/135975/
https://www.syriahr.com/en/378787/
https://www.reutersconnect.com/item/border-gate-between-syria-and-lebanon-reopens-after-short-closure/dGFnOnJldXRlcnMuY29tLDIwMjY6bmV3c21sX01UMUFOQURMMDAwOVIzUUtM
Prior audit access record
Full-register audit source access (evidence cutoff 25 October 2026)
https://www.arabnews.com/middle-east/syria-closes-lebanon-border-crossing-after-warning-of-it-being-targeted-by-israel-2635224: full text
https://sana.sy/es/local/2298452/: full text
Earlier source URLs not separately listed in this audit’s retrieval log (historical access notes below are not fresh verification):
https://shafaq.com/amp/en/Middle-East/Syria-shuts-Lebanon-border-crossing-after-Israeli-strike-warning
https://www.reuters.com/world/middle-east/syria-closes-its-border-crossing-with-lebanon-after-warning-it-being-targeted-by-2026-03-04/
https://qna.org.qa/en/news/news-details?date=4/03/2026&amp;id=syrias-jdeidet-yabous-border-crossing-with-lebanon-resumes-operations
https://npasyria.com/en/135975/
https://qna.org.qa/en/news/news-details?date=4%2F03%2F2026&amp;id=syrias-jdeidet-yabous-border-crossing-with-lebanon-resumes-operations
https://www.syriahr.com/en/378787/
https://www.reutersconnect.com/item/border-gate-between-syria-and-lebanon-reopens-after-short-closure/dGFnOnJldXRlcnMuY29tLDIwMjY6bmV3c21sX01UMUFOQURMMDAwOVIzUUtM
Earlier recorded access
Source 1: full page
Source 2: full page
Source 3: indexed extract</x:v>
      </x:c>
      <x:c r="P481" s="20" t="n">
        <x:v>1</x:v>
      </x:c>
      <x:c r="Q481" s="4" t="str">
        <x:v>Middle East</x:v>
      </x:c>
      <x:c r="R481" s="4" t="str">
        <x:v>Included</x:v>
      </x:c>
    </x:row>
    <x:row r="482" ht="409" hidden="0" customHeight="1">
      <x:c r="A482" s="16" t="str">
        <x:v>R3-ME-012</x:v>
      </x:c>
      <x:c r="B482" s="4" t="str">
        <x:v>Masnaa–Jdeidet Yabous precautionary closure after strike threat, April 2026</x:v>
      </x:c>
      <x:c r="C482" s="4" t="str">
        <x:v>Lebanon; Syria</x:v>
      </x:c>
      <x:c r="D482" s="4" t="str">
        <x:v>Masnaa / Jdeidet Yabous</x:v>
      </x:c>
      <x:c r="E482" s="4" t="str">
        <x:v>Civilian passengers, freight and border administrative operations
Direction: Both directions at paired crossing.
Exceptions: Near-total disruption reported; marginal or exceptional passage not completely excluded.</x:v>
      </x:c>
      <x:c r="F482" s="4" t="str">
        <x:v>R3-ME-012-D1 — Observed operation
Near-total disruption of ordinary passage at Masnaa–Jdeidet Yabous
Start: 2026-04-04.
Observed scoped reopening: 2026-04-09.
5 calendar-day difference; scoped endpoint only</x:v>
      </x:c>
      <x:c r="G482"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82" s="4" t="str">
        <x:v>R3-ME-012-D1: Near-total rather than absolute closure: marginal/exceptional passage cannot be excluded. Exact hours and every category are not established. No strike is inferred from the threat; the separate brief March 4 departure suspension is not merged.</x:v>
      </x:c>
      <x:c r="I482" s="4" t="str">
        <x:v>Second full-register audit, 26 October 2026: qualified. Near-total ordinary-passage disruption on April 4 and normal traffic April 9 are corroborated. The prior April 8 evening announcement remains distinct from observed reopening.</x:v>
      </x:c>
      <x:c r="J482" s="18" t="d">
        <x:v>2026-10-26T00:00:00.000Z</x:v>
      </x:c>
      <x:c r="K482" s="21" t="str">
        <x:f>IFERROR(HYPERLINK("https://nhrclb.org/en/archives/6566","Lebanon National Human Rights Commission"),"Lebanon National Human Rights Commission")</x:f>
        <x:v>Lebanon National Human Rights Commission</x:v>
      </x:c>
      <x:c r="L482" s="21" t="str">
        <x:f>IFERROR(HYPERLINK("https://today.lorientlejour.com/article/1502759/government-announces-reopening-of-masnaa-border-crossing.html","L’Orient Today"),"L’Orient Today")</x:f>
        <x:v>L’Orient Today</x:v>
      </x:c>
      <x:c r="M482" s="21" t="str">
        <x:f>IFERROR(HYPERLINK("https://today.lorientlejour.com/article/1502913/following-israeli-threats-masnaa-border-crossing-between-lebanon-and-syria-finally-reopens.html","L’Orient Today"),"L’Orient Today")</x:f>
        <x:v>L’Orient Today</x:v>
      </x:c>
      <x:c r="N482" s="4" t="str">
        <x:v>https://nhrclb.org/en/archives/6566
https://today.lorientlejour.com/article/1502759/government-announces-reopening-of-masnaa-border-crossing.html
https://today.lorientlejour.com/article/1502913/following-israeli-threats-masnaa-border-crossing-between-lebanon-and-syria-finally-reopens.html
https://unsco.unmissions.org/sites/default/files/2026-04/2026.04.09_OCHA_Lebanon_Flash_Update%20No%2016.pdf
https://sana.sy/en/syria/2307891/
https://sana.sy/en/syria/2308112/
https://www.timesofisrael.com/liveblog_entry/lebanon-says-reopening-main-syria-border-crossing-closed-over-israeli-threat/
https://sana.sy/en/syria/2309255/
https://www.unhcr.org/lb/sites/lb/files/2026-04/UNHCR%20LBN_Flash%20Update%206.pdf
https://daleel-madani.org/ar/node/625606</x:v>
      </x:c>
      <x:c r="O482" s="4" t="str">
        <x:v>Second full-register audit source access, 26 October 2026
https://nhrclb.org/en/archives/6566: full text (fresh retrieval)
https://sana.sy/en/syria/2309255/: full text (fresh retrieval)
https://today.lorientlejour.com/article/1502913/following-israeli-threats-masnaa-border-crossing-between-lebanon-and-syria-finally-reopens.html: full text (fresh retrieval)
Earlier URLs not separately inspected in this second assessment:
https://today.lorientlejour.com/article/1502759/government-announces-reopening-of-masnaa-border-crossing.html
https://unsco.unmissions.org/sites/default/files/2026-04/2026.04.09_OCHA_Lebanon_Flash_Update%20No%2016.pdf
https://sana.sy/en/syria/2307891/
https://sana.sy/en/syria/2308112/
https://www.timesofisrael.com/liveblog_entry/lebanon-says-reopening-main-syria-border-crossing-closed-over-israeli-threat/
https://www.unhcr.org/lb/sites/lb/files/2026-04/UNHCR%20LBN_Flash%20Update%206.pdf
https://daleel-madani.org/ar/node/625606
Prior audit access record
Full-register audit source access (evidence cutoff 25 October 2026)
https://nhrclb.org/en/archives/6566: full text
https://today.lorientlejour.com/article/1502913/following-israeli-threats-masnaa-border-crossing-between-lebanon-and-syria-finally-reopens.html: full text
https://sana.sy/en/syria/2309255/: full text
Earlier source URLs not separately listed in this audit’s retrieval log (historical access notes below are not fresh verification):
https://today.lorientlejour.com/article/1502759/government-announces-reopening-of-masnaa-border-crossing.html
https://unsco.unmissions.org/sites/default/files/2026-04/2026.04.09_OCHA_Lebanon_Flash_Update%20No%2016.pdf
https://sana.sy/en/syria/2307891/
https://sana.sy/en/syria/2308112/
https://www.timesofisrael.com/liveblog_entry/lebanon-says-reopening-main-syria-border-crossing-closed-over-israeli-threat/
https://www.unhcr.org/lb/sites/lb/files/2026-04/UNHCR%20LBN_Flash%20Update%206.pdf
https://daleel-madani.org/ar/node/625606
Earlier recorded access
Source 1: full page
Source 2: indexed extract
Source 3: full page</x:v>
      </x:c>
      <x:c r="P482" s="20" t="n">
        <x:v>1</x:v>
      </x:c>
      <x:c r="Q482" s="4" t="str">
        <x:v>Middle East</x:v>
      </x:c>
      <x:c r="R482" s="4" t="str">
        <x:v>Included</x:v>
      </x:c>
    </x:row>
    <x:row r="483" ht="409" hidden="0" customHeight="1">
      <x:c r="A483" s="16" t="str">
        <x:v>R3-ME-009</x:v>
      </x:c>
      <x:c r="B483" s="4" t="str">
        <x:v>Abdali precautionary shutdown after drone attack, July 2026</x:v>
      </x:c>
      <x:c r="C483" s="4" t="str">
        <x:v>Kuwait; Iraq</x:v>
      </x:c>
      <x:c r="D483" s="4" t="str">
        <x:v>Abdali / Safwan</x:v>
      </x:c>
      <x:c r="E483" s="4" t="str">
        <x:v>Passengers and commercial freight
Direction: Cross-border passenger and freight movement; filmed reopening includes entry into Iraq.
Exceptions: No exemptions established.</x:v>
      </x:c>
      <x:c r="F483" s="4" t="str">
        <x:v>R3-ME-009-D1 — Observed operation
Precautionary passenger/freight suspension at Abdali–Safwan after the drone attack
Start: 2026-07-23 to 2026-07-25.
Observed scoped reopening: 2026-07-26.
1–3 calendar-day difference; scoped endpoint only
Greater than 24 hours supported by the mayor’s explicit two-day shutdown account; exact duration remains uncertain.</x:v>
      </x:c>
      <x:c r="G483" s="4" t="str">
        <x:v>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83" s="4" t="str">
        <x:v>R3-ME-009-D1: Broad onset bounds retain the discrepancy between a traveller's three-day wait and the mayor's two-day shutdown; attack time is not assumed to be closure time. The mayor's explicit two-day closure account supports greater-than-24-hour eligibility independently of exact onset uncertainty. Exact elapsed hours remain unknown. Reuters reports share one lineage. The closure was described as precautionary after damage from drones; responsibility for the attack is not independently established here. The 964media account reports Kuwait's attribution to Iran and its proxies, rather than establishing that allegation as fact.</x:v>
      </x:c>
      <x:c r="I483" s="4" t="str">
        <x:v>Second full-register audit, 26 October 2026: additional source-audited corrections incorporated. See the phase, scope and qualification columns for the accepted findings.</x:v>
      </x:c>
      <x:c r="J483" s="18" t="d">
        <x:v>2026-10-26T00:00:00.000Z</x:v>
      </x:c>
      <x:c r="K483" s="21" t="str">
        <x:f>IFERROR(HYPERLINK("https://www.reutersconnect.com/item/main-land-crossing-between-kuwait-and-iraq-reopens/dGFnOnJldXRlcnMuY29tLDIwMjY6bmV3c21sX0xWQTAwMTA5NTkyNjA3MjAyNlJQMQ","Reuters Connect"),"Reuters Connect")</x:f>
        <x:v>Reuters Connect</x:v>
      </x:c>
      <x:c r="L483" s="21" t="str">
        <x:f>IFERROR(HYPERLINK("https://www.reuters.com/world/middle-east/main-land-crossing-between-kuwait-iraq-reopens-iraqs-state-news-agency-says-2026-07-26/","Reuters"),"Reuters")</x:f>
        <x:v>Reuters</x:v>
      </x:c>
      <x:c r="M483" s="21" t="str">
        <x:f>IFERROR(HYPERLINK("https://ina.iq/en/local/50709-kuwait-reopens-abdali-border-crossing-with-iraq.html","Iraqi News Agency"),"Iraqi News Agency")</x:f>
        <x:v>Iraqi News Agency</x:v>
      </x:c>
      <x:c r="N483" s="4" t="str">
        <x:v>https://www.reutersconnect.com/item/main-land-crossing-between-kuwait-and-iraq-reopens/dGFnOnJldXRlcnMuY29tLDIwMjY6bmV3c21sX0xWQTAwMTA5NTkyNjA3MjAyNlJQMQ
https://www.reuters.com/world/middle-east/main-land-crossing-between-kuwait-iraq-reopens-iraqs-state-news-agency-says-2026-07-26/
https://ina.iq/en/local/50709-kuwait-reopens-abdali-border-crossing-with-iraq.html
https://www.al-monitor.com/originals/2026/07/main-land-crossing-between-kuwait-and-iraq-reopens-iraqs-state-news-agency-says
https://en.964media.com/50272/
https://aa.com.tr/en/us-israel-iran-war/drone-attack-hits-kuwait-s-abdali-border-crossing-with-iraq-causes-material-damage-army/4007037
https://www.reutersconnect.com/item/main-land-crossing-between-kuwait-and-iraq-reopens/dGFnOnJldXRlcnMuY29tLDIwMjY6bmV3c21sX1ZBMDk1OTI2MDcyMDI2UlAx</x:v>
      </x:c>
      <x:c r="O483" s="4" t="str">
        <x:v>Second full-register audit source access, 26 October 2026
https://www.reutersconnect.com/item/main-land-crossing-between-kuwait-and-iraq-reopens/dGFnOnJldXRlcnMuY29tLDIwMjY6bmV3c21sX1ZBMDk1OTI2MDcyMDI2UlAx: full text (fresh retrieval) — Reuters video transcript; its interview and Reuters copies are one reporting lineage.
https://en.964media.com/50272/: full text (fresh retrieval)
https://www.reutersconnect.com/item/main-land-crossing-between-kuwait-and-iraq-reopens/dGFnOnJldXRlcnMuY29tLDIwMjY6bmV3c21sX1ZBMDk1OTI2MDcyMDI2UlAx: full text (fresh retrieval)
Earlier URLs not separately inspected in this second assessment:
https://www.reutersconnect.com/item/main-land-crossing-between-kuwait-and-iraq-reopens/dGFnOnJldXRlcnMuY29tLDIwMjY6bmV3c21sX0xWQTAwMTA5NTkyNjA3MjAyNlJQMQ
https://www.reuters.com/world/middle-east/main-land-crossing-between-kuwait-iraq-reopens-iraqs-state-news-agency-says-2026-07-26/
https://ina.iq/en/local/50709-kuwait-reopens-abdali-border-crossing-with-iraq.html
https://www.al-monitor.com/originals/2026/07/main-land-crossing-between-kuwait-and-iraq-reopens-iraqs-state-news-agency-says
https://aa.com.tr/en/us-israel-iran-war/drone-attack-hits-kuwait-s-abdali-border-crossing-with-iraq-causes-material-damage-army/4007037
Prior audit access record
Full-register audit source access (evidence cutoff 25 October 2026)
https://www.reutersconnect.com/item/main-land-crossing-between-kuwait-and-iraq-reopens/dGFnOnJldXRlcnMuY29tLDIwMjY6bmV3c21sX1ZBMDk1OTI2MDcyMDI2UlAx: full text
https://en.964media.com/50272/: full text
Earlier source URLs not separately listed in this audit’s retrieval log (historical access notes below are not fresh verification):
https://www.reutersconnect.com/item/main-land-crossing-between-kuwait-and-iraq-reopens/dGFnOnJldXRlcnMuY29tLDIwMjY6bmV3c21sX0xWQTAwMTA5NTkyNjA3MjAyNlJQMQ
https://www.reuters.com/world/middle-east/main-land-crossing-between-kuwait-iraq-reopens-iraqs-state-news-agency-says-2026-07-26/
https://ina.iq/en/local/50709-kuwait-reopens-abdali-border-crossing-with-iraq.html
https://www.al-monitor.com/originals/2026/07/main-land-crossing-between-kuwait-and-iraq-reopens-iraqs-state-news-agency-says
https://aa.com.tr/en/us-israel-iran-war/drone-attack-hits-kuwait-s-abdali-border-crossing-with-iraq-causes-material-damage-army/4007037
Earlier recorded access
Source 1: full page
Source 2: indexed extract
Source 3: indexed extract; full-page access denied</x:v>
      </x:c>
      <x:c r="P483" s="20" t="n">
        <x:v>1</x:v>
      </x:c>
      <x:c r="Q483" s="4" t="str">
        <x:v>Middle East</x:v>
      </x:c>
      <x:c r="R483" s="4" t="str">
        <x:v>Included</x:v>
      </x:c>
    </x:row>
    <x:row r="484" ht="409" hidden="0" customHeight="1">
      <x:c r="A484" s="16" t="str">
        <x:v>R3-SC-008</x:v>
      </x:c>
      <x:c r="B484" s="4" t="str">
        <x:v>Sonauli vehicle closure for Nepal local elections, June 2017</x:v>
      </x:c>
      <x:c r="C484" s="4" t="str">
        <x:v>India; Nepal</x:v>
      </x:c>
      <x:c r="D484" s="4" t="str">
        <x:v>Sonauli / Belahiya
Vehicles and freight crossing Sonauli</x:v>
      </x:c>
      <x:c r="E484" s="4" t="str">
        <x:v>Vehicles and freight crossing Sonauli
Direction: Both directions
Exceptions: Pedestrians admitted subject to thorough checks.</x:v>
      </x:c>
      <x:c r="F484" s="4" t="str">
        <x:v>R3-SC-008-FU1 — Observed operation
Vehicle and freight passage at Sonauli only
Start: 2017-06-26.
Last confirmed: 2017-06-26. Reopening is not established.
dated evidence; numeric duration withheld; see qualification</x:v>
      </x:c>
      <x:c r="G484"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84" s="4" t="str">
        <x:v>R3-SC-008-FU1: Onset and same-day confirmed state only. The June 29 schedule in ANI is traced to a Biratnagar/Morang official report, so its application to Sonauli is unproven. No whole-day minimum or complete operational spell is calculated.
duration: A June 26 onset observation at Sonauli is supported. The cited June 29 reopening schedule derives from a Biratnagar/Morang official and is not demonstrated to apply to Sonauli; complete duration remains unresolved.
continuity: June 26 PTI observes Sonauli vehicle obstruction from 08:00 while checked pedestrians pass. The June 29 reopening schedule comes from Biratnagar/Morang officials, not Sonauli. Same-day confirmation with no inferred endpoint is correct.</x:v>
      </x:c>
      <x:c r="I484" s="4" t="str">
        <x:v>Second full-register audit, 26 October 2026: qualified. Sonauli vehicle closure from 08:00 on 26 June 2017 is clear, but a reliable same-gate actual ending was not recovered.</x:v>
      </x:c>
      <x:c r="J484" s="18" t="d">
        <x:v>2026-10-26T00:00:00.000Z</x:v>
      </x:c>
      <x:c r="K484" s="21" t="str">
        <x:f>IFERROR(HYPERLINK("https://www.business-standard.com/article/pti-stories/indo-nepal-border-sealed-ahead-of-nepal-civic-polls-117062600786_1.html","Business Standard / PTI"),"Business Standard / PTI")</x:f>
        <x:v>Business Standard / PTI</x:v>
      </x:c>
      <x:c r="L484" s="21" t="str">
        <x:f>IFERROR(HYPERLINK("https://english.ratopati.com/story/63/border-sealed-off-for-local-polls","Ratopati / RSS"),"Ratopati / RSS")</x:f>
        <x:v>Ratopati / RSS</x:v>
      </x:c>
      <x:c r="M484" s="21" t="str">
        <x:f>IFERROR(HYPERLINK("https://kathmandupost.com/national/2017/03/27/dpm-nidhi-hands-over-rs-1m-to-ssb-firing-victims-family","kathmandupost.com"),"kathmandupost.com")</x:f>
        <x:v>kathmandupost.com</x:v>
      </x:c>
      <x:c r="N484" s="4" t="str">
        <x:v>https://www.business-standard.com/article/pti-stories/indo-nepal-border-sealed-ahead-of-nepal-civic-polls-117062600786_1.html
https://english.ratopati.com/story/63/border-sealed-off-for-local-polls
https://kathmandupost.com/national/2017/03/27/dpm-nidhi-hands-over-rs-1m-to-ssb-firing-victims-family
https://economictimes.indiatimes.com/news/politics-and-nation/indo-nepal-border-closed-ahead-of-civic-polls-in-nepal/articleshow/59324255.cms?from=mdr
https://www.business-standard.com/article/news-ani/indo-nepal-border-sealed-due-to-local-polls-117062600542_1.html
https://english.onlinekhabar.com/border-points-sealed-for-nepal-elections.html</x:v>
      </x:c>
      <x:c r="O484" s="4" t="str">
        <x:v>Second full-register audit source access, 26 October 2026
https://www.business-standard.com/article/pti-stories/indo-nepal-border-sealed-ahead-of-nepal-civic-polls-117062600786_1.html: full text (fresh retrieval)
https://english.ratopati.com/story/63/border-sealed-off-for-local-polls: search extract (fresh retrieval) — Indexed extract; wrong locality for Sonauli endpoint.
Earlier URLs not separately inspected in this second assessment:
https://kathmandupost.com/national/2017/03/27/dpm-nidhi-hands-over-rs-1m-to-ssb-firing-victims-family
https://economictimes.indiatimes.com/news/politics-and-nation/indo-nepal-border-closed-ahead-of-civic-polls-in-nepal/articleshow/59324255.cms?from=mdr
https://www.business-standard.com/article/news-ani/indo-nepal-border-sealed-due-to-local-polls-117062600542_1.html
https://english.onlinekhabar.com/border-points-sealed-for-nepal-elections.html
Prior audit access record
Full-register audit source access (evidence cutoff 25 October 2026)
https://www.business-standard.com/article/pti-stories/indo-nepal-border-sealed-ahead-of-nepal-civic-polls-117062600786_1.html: full text — Schedule or reported observation only; no broader continuity inferred.
https://english.ratopati.com/story/63/border-sealed-off-for-local-polls: search extract — Schedule or reported observation only; no broader continuity inferred.
Earlier source URLs not separately listed in this audit’s retrieval log (historical access notes below are not fresh verification):
https://kathmandupost.com/national/2017/03/27/dpm-nidhi-hands-over-rs-1m-to-ssb-firing-victims-family
https://economictimes.indiatimes.com/news/politics-and-nation/indo-nepal-border-closed-ahead-of-civic-polls-in-nepal/articleshow/59324255.cms?from=mdr
https://www.business-standard.com/article/news-ani/indo-nepal-border-sealed-due-to-local-polls-117062600542_1.html
https://english.onlinekhabar.com/border-points-sealed-for-nepal-elections.html
Earlier recorded access
Source 1: indexed excerpt; full
Source 2: indexed excerpt; full
Source 3: access detail is retained in the source catalogue.</x:v>
      </x:c>
      <x:c r="P484" s="20" t="n">
        <x:v>1</x:v>
      </x:c>
      <x:c r="Q484" s="4" t="str">
        <x:v>South Asia</x:v>
      </x:c>
      <x:c r="R484" s="4" t="str">
        <x:v>Included</x:v>
      </x:c>
    </x:row>
    <x:row r="485" ht="222" hidden="0" customHeight="1">
      <x:c r="A485" s="16" t="str">
        <x:v>R3-SC-002</x:v>
      </x:c>
      <x:c r="B485" s="4" t="str">
        <x:v>Samdrup Jongkhar gate closes for Bhutan primary election, September 2018</x:v>
      </x:c>
      <x:c r="C485" s="4" t="str">
        <x:v>Bhutan; India</x:v>
      </x:c>
      <x:c r="D485" s="4" t="str">
        <x:v>Samdrup Jongkhar / Darranga
Visitors and ordinary cross-border passenger movement</x:v>
      </x:c>
      <x:c r="E485" s="4" t="str">
        <x:v>Visitors and ordinary cross-border passenger movement
Direction: Both directions
Exceptions: Not established</x:v>
      </x:c>
      <x:c r="F485" s="4" t="str">
        <x:v>R3-SC-002-R1 — Observed operation
Samdrup Jongkhar main gate only
Start: 2018-09-14.
Last confirmed: 2018-09-16. Reopening is not established.
confirmed through 2018-09-16; at least 2 calendar-day difference; reopening unknown</x:v>
      </x:c>
      <x:c r="G485"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x:v>
      </x:c>
      <x:c r="H485" s="4" t="str">
        <x:v>R3-SC-002-R1: September 16 is last observation date, not Sunday-evening planned opening. Publication originally 2018; 2021 update not event date.</x:v>
      </x:c>
      <x:c r="I485" s="4" t="str">
        <x:v>Second full-register audit, 26 October 2026: qualified. The Friday-evening gate closure remained current in the early Sunday report. A Sunday-evening reopening was planned, not observed.</x:v>
      </x:c>
      <x:c r="J485" s="18" t="d">
        <x:v>2026-10-26T00:00:00.000Z</x:v>
      </x:c>
      <x:c r="K485" s="21" t="str">
        <x:f>IFERROR(HYPERLINK("https://nenow.in/north-east-news/bhutan-election-border-gate-close-for-visitors.html","Northeast Now"),"Northeast Now")</x:f>
        <x:v>Northeast Now</x:v>
      </x:c>
      <x:c r="L485" s="21" t="str">
        <x:f>IFERROR(HYPERLINK("https://www.ecb.bt/third-parliamentary-elections-2018-national-assembly-poll-day-for-the-primary-round/","Election Commission of Bhutan"),"Election Commission of Bhutan")</x:f>
        <x:v>Election Commission of Bhutan</x:v>
      </x:c>
      <x:c r="M485" s="21"/>
      <x:c r="N485" s="4" t="str">
        <x:v>https://nenow.in/north-east-news/bhutan-election-border-gate-close-for-visitors.html
https://www.ecb.bt/third-parliamentary-elections-2018-national-assembly-poll-day-for-the-primary-round/</x:v>
      </x:c>
      <x:c r="O485" s="4" t="str">
        <x:v>Second full-register audit source access, 26 October 2026
https://nenow.in/north-east-news/bhutan-election-border-gate-close-for-visitors.html: full text (fresh retrieval) — Single report; 2021 update distinguished.
https://www.ecb.bt/third-parliamentary-elections-2018-national-assembly-poll-day-for-the-primary-round/: inaccessible (fresh retrieval) — 502 response.
Prior audit access record
Full-register audit source access (evidence cutoff 25 October 2026)
https://nenow.in/north-east-news/bhutan-election-border-gate-close-for-visitors.html: full text — Evidence supports only the stated event and scope; scheduled opening is not observed passage.
https://www.ecb.bt/third-parliamentary-elections-2018-national-assembly-poll-day-for-the-primary-round/: inaccessible — Evidence supports only the stated event and scope; scheduled opening is not observed passage.
Earlier recorded access
Source 1: indexed excerpt; full; full text
Source 2: search extract</x:v>
      </x:c>
      <x:c r="P485" s="20" t="n">
        <x:v>1</x:v>
      </x:c>
      <x:c r="Q485" s="4" t="str">
        <x:v>South Asia</x:v>
      </x:c>
      <x:c r="R485" s="4" t="str">
        <x:v>Included</x:v>
      </x:c>
    </x:row>
    <x:row r="486" ht="409" hidden="0" customHeight="1">
      <x:c r="A486" s="16" t="str">
        <x:v>R3-SC-010</x:v>
      </x:c>
      <x:c r="B486" s="4" t="str">
        <x:v>Tatopani initial COVID cargo closure and limited medical reopening, 2020</x:v>
      </x:c>
      <x:c r="C486" s="4" t="str">
        <x:v>Nepal; China</x:v>
      </x:c>
      <x:c r="D486" s="4" t="str">
        <x:v>Tatopani / Zhangmu
Land cargo through Tatopani; endpoint concerns China-to-Nepal medical/essential imports</x:v>
      </x:c>
      <x:c r="E486" s="4" t="str">
        <x:v>Land cargo through Tatopani; endpoint concerns China-to-Nepal medical/essential imports
Direction: Closure scope both sides not fully disaggregated; partial endpoint China to Nepal
Exceptions: At reopening food and medical goods; first shipment masks/sanitizer.</x:v>
      </x:c>
      <x:c r="F486" s="4" t="str">
        <x:v>R3-SC-010-D1 — Observed operation
Medical/essential imports from China into Nepal through Tatopani
Start: 2020-01-27 to 2020-01-31.
Observed scoped reopening: 2020-04-08.
68–72 calendar-day difference; scoped endpoint only</x:v>
      </x:c>
      <x:c r="G48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86" s="4" t="str">
        <x:v>R3-SC-010-D1: The cargo onset is disputed within January 27–31: April RSS reporting gives January 27; January 29 reporting concerns a government movement restriction; the February 11 Himalayan Times account quotes Tatopani immigration on a complete goods halt since January 31. These accounts are not collapsed into one exact date. Actual medical imports on Wednesday April 8 are corroborated by contemporary Kathmandu Post, RSS and Himalayan Times reports. A July retrospective says March 29, but it does not outweigh those specific contemporary first-delivery accounts. March 25 Nepal permission and April 2 Chinese agreement preceded delivery. This endpoint concerns one-way necessities access, not bilateral trade, exports or passengers. No exact-hour duration is assigned.</x:v>
      </x:c>
      <x:c r="I486" s="4" t="str">
        <x:v>Second full-register audit, 26 October 2026: additional source-audited corrections incorporated. See the phase, scope and qualification columns for the accepted findings.</x:v>
      </x:c>
      <x:c r="J486" s="18" t="d">
        <x:v>2026-10-26T00:00:00.000Z</x:v>
      </x:c>
      <x:c r="K486" s="21" t="str">
        <x:f>IFERROR(HYPERLINK("https://kathmandupost.com/2/2020/04/09/tatopani-border-opens-for-one-way-cross-border-movement-of-goods-from-china-to-nepal","Kathmandu Post"),"Kathmandu Post")</x:f>
        <x:v>Kathmandu Post</x:v>
      </x:c>
      <x:c r="L486" s="21" t="str">
        <x:f>IFERROR(HYPERLINK("https://thehimalayantimes.com/ampArticle/269037","The Himalayan Times"),"The Himalayan Times")</x:f>
        <x:v>The Himalayan Times</x:v>
      </x:c>
      <x:c r="M486" s="21" t="str">
        <x:f>IFERROR(HYPERLINK("https://www.nepalarchives.com/news/2020/04/09/health-materials-imported-via-tatopani-border-point/","Nepal Archives"),"Nepal Archives")</x:f>
        <x:v>Nepal Archives</x:v>
      </x:c>
      <x:c r="N486" s="4" t="str">
        <x:v>https://kathmandupost.com/2/2020/04/09/tatopani-border-opens-for-one-way-cross-border-movement-of-goods-from-china-to-nepal
https://thehimalayantimes.com/ampArticle/269037
https://www.nepalarchives.com/news/2020/04/09/health-materials-imported-via-tatopani-border-point/
https://english.khabarhub.com/2020/26/114971/
https://english.ratopati.com/story/14272/check-point
https://english.ratopati.com/story/12743
https://thehimalayantimes.com/nepal/tatopani-border-closed
https://english.onlinekhabar.com/coronavirus-crisis-nepal-bars-rasuwagadhi-tatopani-border-points-for-15-days.html</x:v>
      </x:c>
      <x:c r="O486" s="4" t="str">
        <x:v>Second full-register audit source access, 26 October 2026
https://thehimalayantimes.com/nepal/tatopani-border-closed: full text (fresh retrieval)
https://www.nepalarchives.com/news/2020/04/09/health-materials-imported-via-tatopani-border-point/: full text (fresh retrieval)
https://kathmandupost.com/2/2020/04/09/tatopani-border-opens-for-one-way-cross-border-movement-of-goods-from-china-to-nepal: full text (fresh retrieval)
https://thehimalayantimes.com/ampArticle/269037: full text (fresh retrieval)
https://english.onlinekhabar.com/coronavirus-crisis-nepal-bars-rasuwagadhi-tatopani-border-points-for-15-days.html: full text (fresh retrieval) — Does not specifically resolve the cargo-halt day.
https://english.ratopati.com/story/14272/check-point: search extract (fresh retrieval) — Indexed text; conflicts with detailed contemporary first-delivery reports.
Earlier URLs not separately inspected in this second assessment:
https://english.khabarhub.com/2020/26/114971/
https://english.ratopati.com/story/12743
Prior audit access record
Full-register audit source access (evidence cutoff 25 October 2026)
https://kathmandupost.com/2/2020/04/09/tatopani-border-opens-for-one-way-cross-border-movement-of-goods-from-china-to-nepal: full text — Bounded to identified time and traffic scope.
https://www.nepalarchives.com/news/2020/04/09/health-materials-imported-via-tatopani-border-point/: full text — Bounded to identified time and traffic scope.
https://thehimalayantimes.com/ampArticle/269037: full text — Bounded to identified time and traffic scope.
Earlier source URLs not separately listed in this audit’s retrieval log (historical access notes below are not fresh verification):
https://english.khabarhub.com/2020/26/114971/
https://english.ratopati.com/story/14272/check-point
https://english.ratopati.com/story/12743
Earlier recorded access
Source 1: full page
Source 2: search extract
Source 3: full page</x:v>
      </x:c>
      <x:c r="P486" s="20" t="n">
        <x:v>1</x:v>
      </x:c>
      <x:c r="Q486" s="4" t="str">
        <x:v>South Asia</x:v>
      </x:c>
      <x:c r="R486" s="4" t="str">
        <x:v>Included</x:v>
      </x:c>
    </x:row>
    <x:row r="487" ht="378" hidden="0" customHeight="1">
      <x:c r="A487" s="16" t="str">
        <x:v>R3-SC-003</x:v>
      </x:c>
      <x:c r="B487" s="4" t="str">
        <x:v>Tatopani renewed Chinese COVID cargo closure, October 2020</x:v>
      </x:c>
      <x:c r="C487" s="4" t="str">
        <x:v>Nepal; China</x:v>
      </x:c>
      <x:c r="D487" s="4" t="str">
        <x:v>Tatopani / Zhangmu
Imports from China to Nepal via Tatopani</x:v>
      </x:c>
      <x:c r="E487" s="4" t="str">
        <x:v>Imports from China to Nepal via Tatopani
Direction: China to Nepal
Exceptions: Reopening used restricted cargo handling, isolation areas and authorised workers; ordinary passenger movement not demonstrated.</x:v>
      </x:c>
      <x:c r="F487" s="4" t="str">
        <x:v>R3-SC-003-D1 — Observed operation
Imports from China to Nepal via Tatopani; Imports from China to Nepal via Tatopani; China to Nepal
Start: 2020-10-06.
Observed scoped reopening: 2020-10-29.
23 calendar-day difference; scoped endpoint only</x:v>
      </x:c>
      <x:c r="G48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487" s="4" t="str">
        <x:v>R3-SC-003-D1: Preceding July–October flood/landslide outage excluded. Formal28 October preparations differ from first confirmed truck29 October. Reports share customs-chief evidence; positive-worker counts vary and are not fixed here. Reopening used restricted cargo handling, isolation areas and authorised workers; ordinary passenger movement not demonstrated.</x:v>
      </x:c>
      <x:c r="I487" s="4" t="str">
        <x:v>Second full-register audit, 26 October 2026: qualified. Fresh October reports support the renewed 6 October COVID interruption and first confirmed China-to-Nepal cargo arrival on 29 October.</x:v>
      </x:c>
      <x:c r="J487" s="18" t="d">
        <x:v>2026-10-26T00:00:00.000Z</x:v>
      </x:c>
      <x:c r="K487" s="21" t="str">
        <x:f>IFERROR(HYPERLINK("https://kathmandupost.com/province-no-3/2020/10/29/tatopani-border-point-comes-into-operation","Kathmandu Post"),"Kathmandu Post")</x:f>
        <x:v>Kathmandu Post</x:v>
      </x:c>
      <x:c r="L487" s="21" t="str">
        <x:f>IFERROR(HYPERLINK("https://english.ratopati.com/story/18187/seven-container","Ratopati"),"Ratopati")</x:f>
        <x:v>Ratopati</x:v>
      </x:c>
      <x:c r="M487" s="21" t="str">
        <x:f>IFERROR(HYPERLINK("https://en.imsilkroad.com/p/317222.html","Xinhua Silk Road"),"Xinhua Silk Road")</x:f>
        <x:v>Xinhua Silk Road</x:v>
      </x:c>
      <x:c r="N487" s="4" t="str">
        <x:v>https://kathmandupost.com/province-no-3/2020/10/29/tatopani-border-point-comes-into-operation
https://english.ratopati.com/story/18187/seven-container
https://en.imsilkroad.com/p/317222.html
https://english.khabarhub.com/2020/06/133322/
https://english.dcnepal.com/2020/10/29/tatopani-transit-point-reopens/</x:v>
      </x:c>
      <x:c r="O487" s="4" t="str">
        <x:v>Second full-register audit source access, 26 October 2026
https://english.khabarhub.com/2020/06/133322/: full text (fresh retrieval) — URL day component does not encode October month.
https://kathmandupost.com/province-no-3/2020/10/29/tatopani-border-point-comes-into-operation: full text (fresh retrieval) — Not direct evidence of first arrival.
https://en.imsilkroad.com/p/317222.html: full text (fresh retrieval)
https://english.dcnepal.com/2020/10/29/tatopani-transit-point-reopens/: full text (fresh retrieval) — Shares customs-chief origin.
Earlier URLs not separately inspected in this second assessment:
https://english.ratopati.com/story/18187/seven-container
Prior audit access record
Full-register audit source access (evidence cutoff 25 October 2026)
https://english.khabarhub.com/2020/06/133322/: full text — Bounded to identified time and traffic scope.
https://en.imsilkroad.com/p/317222.html: full text — Bounded to identified time and traffic scope.
https://kathmandupost.com/province-no-3/2020/10/29/tatopani-border-point-comes-into-operation: full text — Bounded to identified time and traffic scope.
Earlier source URLs not separately listed in this audit’s retrieval log (historical access notes below are not fresh verification):
https://english.ratopati.com/story/18187/seven-container
https://english.dcnepal.com/2020/10/29/tatopani-transit-point-reopens/
Earlier recorded access
Source 1: full page
Source 2: search extract
Source 3: full page</x:v>
      </x:c>
      <x:c r="P487" s="20" t="n">
        <x:v>1</x:v>
      </x:c>
      <x:c r="Q487" s="4" t="str">
        <x:v>South Asia</x:v>
      </x:c>
      <x:c r="R487" s="4" t="str">
        <x:v>Included</x:v>
      </x:c>
    </x:row>
    <x:row r="488" ht="409" hidden="0" customHeight="1">
      <x:c r="A488" s="16" t="str">
        <x:v>R3-SC-007</x:v>
      </x:c>
      <x:c r="B488" s="4" t="str">
        <x:v>Benapole–Petrapole passenger suspension for Bangladesh election, February 2026</x:v>
      </x:c>
      <x:c r="C488" s="4" t="str">
        <x:v>Bangladesh; India</x:v>
      </x:c>
      <x:c r="D488" s="4" t="str">
        <x:v>Benapole / Petrapole
Passport-holding travellers through the named checkpoint</x:v>
      </x:c>
      <x:c r="E488" s="4" t="str">
        <x:v>Passport-holding travellers through the named checkpoint
Direction: Both directions
Exceptions: Disputed: Bangladesh immigration statements said medical exceptions would not operate; the subsequent Times of India report attributes emergency medical passage to BSF.</x:v>
      </x:c>
      <x:c r="F488" s="4" t="str">
        <x:v>R3-SC-007-D1 — Observed operation
Ordinary non-emergency passport-holder passenger movement at Benapole–Petrapole
Start: 2026-02-12.
Observed scoped reopening: 2026-02-13.
1 calendar-day difference; scoped endpoint only</x:v>
      </x:c>
      <x:c r="G488"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88" s="4" t="str">
        <x:v>R3-SC-007-D1: Ordinary non-emergency passport-holder movement only. The 11 February bus interruption is not used as the passenger onset because its passengers were reported to cross on foot. Supported calendar dates are 12–13 February 2026. Medical access remains disputed and excluded from this cohort. Exact first refusal, resumption clock and elapsed hours are unestablished; one calendar-day difference does not prove exactly 24 hours. Inconsistent passenger subtotals are not adopted. The root fresh retrieval reproduced a later Thursday statement inconsistent with the explicit 13 February reopening date; the challenger’s retrieved body did not show it. The explicit date is retained with this qualification. Freight and routine holidays remain separate.</x:v>
      </x:c>
      <x:c r="I488" s="4" t="str">
        <x:v>Second full-register audit, 26 October 2026: qualified. The 12–13 February 2026 ordinary-passenger interval is corroborated. The official 24-hour schedule does not prove actual elapsed hours; medical exceptions remain disputed.</x:v>
      </x:c>
      <x:c r="J488" s="18" t="d">
        <x:v>2026-10-26T00:00:00.000Z</x:v>
      </x:c>
      <x:c r="K488" s="21" t="str">
        <x:f>IFERROR(HYPERLINK("https://bdnews24.com/bangladesh/8f2b90bf7ced","bdnews24.com"),"bdnews24.com")</x:f>
        <x:v>bdnews24.com</x:v>
      </x:c>
      <x:c r="L488" s="21" t="str">
        <x:f>IFERROR(HYPERLINK("https://timesofindia.indiatimes.com/city/kolkata/indo-bangla-border-set-to-open-today-after-first-election-day-shutdown/articleshow/128269873.cms","The Times of India"),"The Times of India")</x:f>
        <x:v>The Times of India</x:v>
      </x:c>
      <x:c r="M488" s="21" t="str">
        <x:f>IFERROR(HYPERLINK("https://www.amadershomoy.com/country/article/176464/social-media-link/","Amader Shomoy"),"Amader Shomoy")</x:f>
        <x:v>Amader Shomoy</x:v>
      </x:c>
      <x:c r="N488" s="4" t="str">
        <x:v>https://bdnews24.com/bangladesh/8f2b90bf7ced
https://timesofindia.indiatimes.com/city/kolkata/indo-bangla-border-set-to-open-today-after-first-election-day-shutdown/articleshow/128269873.cms
https://www.amadershomoy.com/country/article/176464/social-media-link/
https://www.jagonews24.com/country/news/1092174
https://observerbd.com/news/565803
https://observerbd.com/news/565812
https://www.amadershomoy.com/country/article/176464</x:v>
      </x:c>
      <x:c r="O488" s="4" t="str">
        <x:v>Second full-register audit source access, 26 October 2026
https://bdnews24.com/bangladesh/8f2b90bf7ced: full text (fresh retrieval) — Updated August 21; schedule not actual endpoint.
https://timesofindia.indiatimes.com/city/kolkata/indo-bangla-border-set-to-open-today-after-first-election-day-shutdown/articleshow/128269873.cms: full text (fresh retrieval)
https://www.amadershomoy.com/country/article/176464: full text (fresh retrieval) — Updated August; inconsistent passenger arithmetic not adopted.
Earlier URLs not separately inspected in this second assessment:
https://www.amadershomoy.com/country/article/176464/social-media-link/
https://www.jagonews24.com/country/news/1092174
https://observerbd.com/news/565803
https://observerbd.com/news/565812
Prior audit access record
Full-register audit source access (evidence cutoff 25 October 2026)
https://bdnews24.com/bangladesh/8f2b90bf7ced: full text — Not actual first refusal or resumption
https://timesofindia.indiatimes.com/city/kolkata/indo-bangla-border-set-to-open-today-after-first-election-day-shutdown/articleshow/128269873.cms: full text — Emergency claim conflicts with Bangladesh statements
https://www.amadershomoy.com/country/article/176464: full text — Conflicting weekday sentence and passenger subtotals
https://www.jagonews24.com/country/news/1092174: full text — Announcement, not enforcement observation
Earlier source URLs not separately listed in this audit’s retrieval log (historical access notes below are not fresh verification):
https://www.amadershomoy.com/country/article/176464/social-media-link/
https://observerbd.com/news/565803
https://observerbd.com/news/565812
Earlier recorded access
Source 1: full page
Source 2: full text
Source 3: full text</x:v>
      </x:c>
      <x:c r="P488" s="20" t="n">
        <x:v>1</x:v>
      </x:c>
      <x:c r="Q488" s="4" t="str">
        <x:v>South Asia</x:v>
      </x:c>
      <x:c r="R488" s="4" t="str">
        <x:v>Included</x:v>
      </x:c>
    </x:row>
    <x:row r="489" ht="354" hidden="0" customHeight="1">
      <x:c r="A489" s="16" t="str">
        <x:v>R3-SC-001</x:v>
      </x:c>
      <x:c r="B489" s="4" t="str">
        <x:v>Benapole–Petrapole West Bengal election closure, April 2026</x:v>
      </x:c>
      <x:c r="C489" s="4" t="str">
        <x:v>Bangladesh; India</x:v>
      </x:c>
      <x:c r="D489" s="4" t="str">
        <x:v>Benapole / Petrapole
Ordinary commercial movement through this crossing</x:v>
      </x:c>
      <x:c r="E489" s="4" t="str">
        <x:v>Ordinary commercial movement through this crossing
Direction: Both directions
Exceptions: Limited medical-passenger and perishable-goods movement continued.</x:v>
      </x:c>
      <x:c r="F489" s="4" t="str">
        <x:v>R3-SC-001-D1 — Observed operation
Ordinary commercial movement at Benapole–Petrapole during the West Bengal election restriction.
Start: 2026-04-26.
Observed scoped reopening: 2026-04-30.
4 calendar-day difference; scoped endpoint only</x:v>
      </x:c>
      <x:c r="G489"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489" s="4" t="str">
        <x:v>R3-SC-001-D1: Four calendar-date differences are not four complete 24-hour periods; the headline’s three-day shorthand is not used for arithmetic. Limited perishable-goods and medical-passenger movement continued. UNB/BSS share the port-director origin for the endpoint.</x:v>
      </x:c>
      <x:c r="I489" s="4" t="str">
        <x:v>Second full-register audit, 26 October 2026: qualified. The April 2026 commercial interruption and actual 30 April morning return remain supported, with medical and perishable exceptions.</x:v>
      </x:c>
      <x:c r="J489" s="18" t="d">
        <x:v>2026-10-26T00:00:00.000Z</x:v>
      </x:c>
      <x:c r="K489" s="21" t="str">
        <x:f>IFERROR(HYPERLINK("https://www.tbsnews.net/bangladesh/trade-resumes-through-benapole-port-after-3-day-halt-1425891","The Business Standard / UNB"),"The Business Standard / UNB")</x:f>
        <x:v>The Business Standard / UNB</x:v>
      </x:c>
      <x:c r="L489" s="21" t="str">
        <x:f>IFERROR(HYPERLINK("https://www.bssnews.net/bangla/national/303556","Bangladesh Sangbad Sangstha"),"Bangladesh Sangbad Sangstha")</x:f>
        <x:v>Bangladesh Sangbad Sangstha</x:v>
      </x:c>
      <x:c r="M489" s="21" t="str">
        <x:f>IFERROR(HYPERLINK("https://www.thedailystar.net/business/news/india-suspends-trade-through-benapole-west-bengal-elections-4161961","thedailystar.net"),"thedailystar.net")</x:f>
        <x:v>thedailystar.net</x:v>
      </x:c>
      <x:c r="N489" s="4" t="str">
        <x:v>https://www.tbsnews.net/bangladesh/trade-resumes-through-benapole-port-after-3-day-halt-1425891
https://www.bssnews.net/bangla/national/303556
https://www.thedailystar.net/business/news/india-suspends-trade-through-benapole-west-bengal-elections-4161961
https://www.bssnews.net/business/382918</x:v>
      </x:c>
      <x:c r="O489" s="4" t="str">
        <x:v>Second full-register audit source access, 26 October 2026
https://www.tbsnews.net/bangladesh/trade-resumes-through-benapole-port-after-3-day-halt-1425891: full text (fresh retrieval) — Port-director origin shared with BSS.
https://www.bssnews.net/business/382918: full text (fresh retrieval) — Scheduled afternoon phrase conflicts internally with observed morning return.
Earlier URLs not separately inspected in this second assessment:
https://www.bssnews.net/bangla/national/303556
https://www.thedailystar.net/business/news/india-suspends-trade-through-benapole-west-bengal-elections-4161961
Prior audit access record
Full-register audit source access (evidence cutoff 25 October 2026)
https://www.tbsnews.net/bangladesh/trade-resumes-through-benapole-port-after-3-day-halt-1425891: full text — Port-director origin shared with BSS
https://www.bssnews.net/business/382918: full text — Internal scheduled afternoon versus actual morning discrepancy
Earlier source URLs not separately listed in this audit’s retrieval log (historical access notes below are not fresh verification):
https://www.bssnews.net/bangla/national/303556
https://www.thedailystar.net/business/news/india-suspends-trade-through-benapole-west-bengal-elections-4161961
Earlier recorded access
Source 1: full text
Source 2: full text
Source 3: access detail is retained in the source catalogue.</x:v>
      </x:c>
      <x:c r="P489" s="20" t="n">
        <x:v>1</x:v>
      </x:c>
      <x:c r="Q489" s="4" t="str">
        <x:v>South Asia</x:v>
      </x:c>
      <x:c r="R489" s="4" t="str">
        <x:v>Included</x:v>
      </x:c>
    </x:row>
    <x:row r="490" ht="342" hidden="0" customHeight="1">
      <x:c r="A490" s="16" t="str">
        <x:v>R3-AF-004</x:v>
      </x:c>
      <x:c r="B490" s="4" t="str">
        <x:v>Maseru Bridge blocked by cross-border taxi dispute in January 2017</x:v>
      </x:c>
      <x:c r="C490" s="4" t="str">
        <x:v>Lesotho; South Africa</x:v>
      </x:c>
      <x:c r="D490" s="4" t="str">
        <x:v>Maseru Bridge
Maseru Bridge border post; other Free State ports affected but not specified</x:v>
      </x:c>
      <x:c r="E490" s="4" t="str">
        <x:v>Cross-border travellers and trade
Direction: Lesotho-to-South Africa operators specifically obstructed; wider passenger movement disrupted
Exceptions: Approximately 400 pedestrians reportedly crossed on January 3 while motorists were obstructed; no universal closure or complete exception inventory established.</x:v>
      </x:c>
      <x:c r="F490" s="4" t="str">
        <x:v>R3-AF-004-R1 — Intermittent regime
Documented sequence of taxi-related obstructions at Maseru Bridge
Start: 2017-01-02.
Last confirmed obstruction: 2017-01-04. Reopened by 2017-01-13, according to the minister’s retrospective statement; the exact date is not specified.
Intermittent regime envelope; total closed days unknown</x:v>
      </x:c>
      <x:c r="G490" s="4" t="str">
        <x:v>Trade and protectionism / Trade and transport protests
Transport ministry account of competing taxi operators; operators’ complaints reported by Harvest FM
Applies to: Recorded episode; exact overlap not separately established
The recorded rationale and claim assessment support the selected subcategories. All applicable broad categories are retained together; no primary rationale is imposed.</x:v>
      </x:c>
      <x:c r="H490" s="4" t="str">
        <x:v>R3-AF-004-R1: Recurrent obstructions are documented on January 2–4, 2017, not three uninterrupted closed days. January 3 reporting distinguishes stranded motorists from approximately 400 pedestrians who crossed. The minister’s January 13 statement expressly confirms reopening after intervention, so the post had reopened by that date. The exact clearance date and total closed hours remain unknown; the broader taxi dispute continued after reopening.</x:v>
      </x:c>
      <x:c r="I490" s="4" t="str">
        <x:v>Second full-register audit, 26 October 2026: qualified. The minister confirms Maseru Bridge had reopened by January 13, 2017; January 2–4 obstructions cannot be totalled as three continuously closed days.</x:v>
      </x:c>
      <x:c r="J490" s="18" t="d">
        <x:v>2026-10-26T00:00:00.000Z</x:v>
      </x:c>
      <x:c r="K490" s="21" t="str">
        <x:f>IFERROR(HYPERLINK("https://www.gov.za/speeches/cross-border-operations-13-jan-2017-0000","South African Department of Transport"),"South African Department of Transport")</x:f>
        <x:v>South African Department of Transport</x:v>
      </x:c>
      <x:c r="L490" s="21" t="str">
        <x:f>IFERROR(HYPERLINK("https://harvestfm.co.ls/article?h=Lesotho-taxi-operators-continue-to-block-border-post&amp;id=182","Harvest FM"),"Harvest FM")</x:f>
        <x:v>Harvest FM</x:v>
      </x:c>
      <x:c r="M490" s="21" t="str">
        <x:f>IFERROR(HYPERLINK("https://www.sabcnews.com/sabcnews/peters-to-convene-meeting-on-lesothosa-cross-border-taxi-dispute/","SABC"),"SABC")</x:f>
        <x:v>SABC</x:v>
      </x:c>
      <x:c r="N490" s="4" t="str">
        <x:v>https://www.gov.za/speeches/cross-border-operations-13-jan-2017-0000
https://harvestfm.co.ls/article?h=Lesotho-taxi-operators-continue-to-block-border-post&amp;id=182
https://www.sabcnews.com/sabcnews/peters-to-convene-meeting-on-lesothosa-cross-border-taxi-dispute/</x:v>
      </x:c>
      <x:c r="O490" s="4" t="str">
        <x:v>Second full-register audit source access, 26 October 2026
https://www.gov.za/speeches/cross-border-operations-13-jan-2017-0000: full text (fresh retrieval) — Retrospective reopening confirmation without exact date.
https://harvestfm.co.ls/article?h=Lesotho-taxi-operators-continue-to-block-border-post&amp;id=182: full text (previously retrieved text re-examined) — Cached actual article inspected; pedestrians explicitly pass.
Earlier URLs not separately inspected in this second assessment:
https://www.sabcnews.com/sabcnews/peters-to-convene-meeting-on-lesothosa-cross-border-taxi-dispute/
Prior audit access record
Full-register audit source access (evidence cutoff 25 October 2026)
https://www.gov.za/speeches/cross-border-operations-13-jan-2017-0000: full text — See specific claim qualifications.
https://harvestfm.co.ls/article?h=Lesotho-taxi-operators-continue-to-block-border-post&amp;id=182: full text — See specific claim qualifications.
Earlier source URLs not separately listed in this audit’s retrieval log (historical access notes below are not fresh verification):
https://www.sabcnews.com/sabcnews/peters-to-convene-meeting-on-lesothosa-cross-border-taxi-dispute/
Earlier recorded access
Source 1: full; full text
Source 2: full; indexed extract
Source 3: indexed excerpt</x:v>
      </x:c>
      <x:c r="P490" s="20" t="n">
        <x:v>1</x:v>
      </x:c>
      <x:c r="Q490" s="4" t="str">
        <x:v>Southern and Central Africa</x:v>
      </x:c>
      <x:c r="R490" s="4" t="str">
        <x:v>Included</x:v>
      </x:c>
    </x:row>
    <x:row r="491" ht="409" hidden="0" customHeight="1">
      <x:c r="A491" s="16" t="str">
        <x:v>R3-AF-001</x:v>
      </x:c>
      <x:c r="B491" s="4" t="str">
        <x:v>Angola Lunda Norte–Kasai conflict closure of regular crossing and markets</x:v>
      </x:c>
      <x:c r="C491" s="4" t="str">
        <x:v>Angola; Democratic Republic of the Congo</x:v>
      </x:c>
      <x:c r="D491" s="4" t="str">
        <x:v>Tchissanda / Kamako
Lunda Norte–Kasai frontier; named Tchissanda/Kamako crossing and border markets</x:v>
      </x:c>
      <x:c r="E491" s="4" t="str">
        <x:v>Cross-border travellers and trade
Direction: Not established
Exceptions: Refugee passage reported; formal exemption details unavailable</x:v>
      </x:c>
      <x:c r="F491" s="4" t="str">
        <x:v>R3-AF-001-D1 — Formal policy
Formal regular-crossing/market restriction at Tchissanda–Kamako
Start: 2017-03-01 to 2017-03-30.
Policy endpoint: 2018-03-31.
Formal policy: 366–395 calendar-day difference; operational continuity not established</x:v>
      </x:c>
      <x:c r="G491"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x:v>
      </x:c>
      <x:c r="H491" s="4" t="str">
        <x:v>R3-AF-001-D1: Policy permission period only; the governor calls opening symbolic and ordinary traffic is not independently observed. Refugee passage continued. Onset is bounded within March through first dated confirmation; other posts/markets are not assumed identical.</x:v>
      </x:c>
      <x:c r="I491" s="4" t="str">
        <x:v>Second full-register audit, 26 October 2026: qualified. The Tchissanda–Kamako conflict restriction and March 31, 2018 permission ceremony are supported; refugee passage rules out an absolute sealed frontier.</x:v>
      </x:c>
      <x:c r="J491" s="18" t="d">
        <x:v>2026-10-26T00:00:00.000Z</x:v>
      </x:c>
      <x:c r="K491" s="21" t="str">
        <x:f>IFERROR(HYPERLINK("https://www.voaportugues.com/a/angola-encerra-posto-fronteirio-com-rdc/3789546.html","voaportugues.com"),"voaportugues.com")</x:f>
        <x:v>voaportugues.com</x:v>
      </x:c>
      <x:c r="L491" s="21" t="str">
        <x:f>IFERROR(HYPERLINK("https://amp.dw.com/pt-002/fronteira-angolana-com-rdc-%C3%A9-reaberta-ap%C3%B3s-um-ano/a-43208913","amp.dw.com"),"amp.dw.com")</x:f>
        <x:v>amp.dw.com</x:v>
      </x:c>
      <x:c r="M491" s="21" t="str">
        <x:f>IFERROR(HYPERLINK("https://www.radiookapi.net/2018/04/03/actualite/politique/kasai-reouverture-de-la-frontiere-rdc-angola","radiookapi.net"),"radiookapi.net")</x:f>
        <x:v>radiookapi.net</x:v>
      </x:c>
      <x:c r="N491" s="4" t="str">
        <x:v>https://www.voaportugues.com/a/angola-encerra-posto-fronteirio-com-rdc/3789546.html
https://amp.dw.com/pt-002/fronteira-angolana-com-rdc-%C3%A9-reaberta-ap%C3%B3s-um-ano/a-43208913
https://www.radiookapi.net/2018/04/03/actualite/politique/kasai-reouverture-de-la-frontiere-rdc-angola
https://www.ecoi.net/en/file/local/1400366/1930_1496749994_57089.pdf
https://deskeco.com/rdc-angola-reouverture-du-poste-frontalier-de-kamako-150-km-de-tshikapa</x:v>
      </x:c>
      <x:c r="O491" s="4" t="str">
        <x:v>Second full-register audit source access, 26 October 2026
https://www.voaportugues.com/a/angola-encerra-posto-fronteirio-com-rdc/3789546.html: full text (fresh retrieval)
https://amp.dw.com/pt-002/fronteira-angolana-com-rdc-%C3%A9-reaberta-ap%C3%B3s-um-ano/a-43208913: full text (previously retrieved text re-examined) — Cached actual text inspected; refugee movements and official ceremony.
https://www.radiookapi.net/2018/04/03/actualite/politique/kasai-reouverture-de-la-frontiere-rdc-angola: search extract (previously retrieved text re-examined) — Cached actual substantial indexed article inspected.
Earlier URLs not separately inspected in this second assessment:
https://www.ecoi.net/en/file/local/1400366/1930_1496749994_57089.pdf
https://deskeco.com/rdc-angola-reouverture-du-poste-frontalier-de-kamako-150-km-de-tshikapa
Prior audit access record
Full-register audit source access (evidence cutoff 25 October 2026)
https://www.voaportugues.com/a/angola-encerra-posto-fronteirio-com-rdc/3789546.html: full text — See specific claim qualifications.
https://amp.dw.com/pt-002/fronteira-angolana-com-rdc-%C3%A9-reaberta-ap%C3%B3s-um-ano/a-43208913: full text — See specific claim qualifications.
https://www.radiookapi.net/2018/04/03/actualite/politique/kasai-reouverture-de-la-frontiere-rdc-angola: search extract — See specific claim qualifications.
Earlier source URLs not separately listed in this audit’s retrieval log (historical access notes below are not fresh verification):
https://www.ecoi.net/en/file/local/1400366/1930_1496749994_57089.pdf
https://deskeco.com/rdc-angola-reouverture-du-poste-frontalier-de-kamako-150-km-de-tshikapa
Earlier recorded access
Source 1: full
Source 2: full
Source 3: full</x:v>
      </x:c>
      <x:c r="P491" s="20" t="n">
        <x:v>1</x:v>
      </x:c>
      <x:c r="Q491" s="4" t="str">
        <x:v>Southern and Central Africa</x:v>
      </x:c>
      <x:c r="R491" s="4" t="str">
        <x:v>Included</x:v>
      </x:c>
    </x:row>
    <x:row r="492" ht="409" hidden="0" customHeight="1">
      <x:c r="A492" s="16" t="str">
        <x:v>R3-AF-008</x:v>
      </x:c>
      <x:c r="B492" s="4" t="str">
        <x:v>Cameroon South-West Nigeria frontier closure before Anglophone protests</x:v>
      </x:c>
      <x:c r="C492" s="4" t="str">
        <x:v>Cameroon; Nigeria</x:v>
      </x:c>
      <x:c r="D492" s="4" t="str">
        <x:v>South-West land frontier; individual posts not specified
South-West region frontier with Nigeria; do not generalize to entire bilateral border</x:v>
      </x:c>
      <x:c r="E492" s="4" t="str">
        <x:v>Cross-border travellers and trade
Direction: Not established
Exceptions: Not established</x:v>
      </x:c>
      <x:c r="F492" s="4" t="str">
        <x:v>R3-AF-008-R1 — Announced window
South-West region Nigeria frontier under governor’s weekend order
Start: 2017-09-29.
Scheduled endpoint: 2017-10-02.
Ordered window: 3 calendar-day difference; actual end not established</x:v>
      </x:c>
      <x:c r="G492" s="4" t="str">
        <x:v>Security / Unspecified security
Reported reason
Applies to: Recorded episode; exact overlap not separately established
The recorded rationale and claim assessment support the selected subcategories. All applicable broad categories are retained together; no primary rationale is imposed.
Power and regime politics / Opposition and political reform
Reported reason
Applies to: Recorded episode; exact overlap not separately established
The recorded rationale and claim assessment support the selected subcategories. All applicable broad categories are retained together; no primary rationale is imposed.</x:v>
      </x:c>
      <x:c r="H492" s="4" t="str">
        <x:v>R3-AF-008-R1: Scheduled 29 September 21:00 to 2 October 07:00, not verified enforcement duration; endpoint is the scheduled morning expiry. Timezone not separately verified. North-West and other frontiers excluded; later Ekok closed-status evidence is a separate unresolved operational phase.</x:v>
      </x:c>
      <x:c r="I492" s="4" t="str">
        <x:v>Second full-register audit, 26 October 2026: qualified. The governor’s order is confined to the South-West region’s Nigeria frontier and schedules September 29 evening to October 2 morning, 2017.</x:v>
      </x:c>
      <x:c r="J492" s="18" t="d">
        <x:v>2026-10-26T00:00:00.000Z</x:v>
      </x:c>
      <x:c r="K492" s="21" t="str">
        <x:f>IFERROR(HYPERLINK("https://defenceweb.co.za/security/civil-security/cameroon-anglophone-regions-to-shut-nigeria-border-over-protests/","DefenceWeb"),"DefenceWeb")</x:f>
        <x:v>DefenceWeb</x:v>
      </x:c>
      <x:c r="L492" s="21" t="str">
        <x:f>IFERROR(HYPERLINK("https://www.stopblablacam.com/culture-and-society/0310-1075-has-cameroon-really-closed-its-borders-with-nigeria","Stop Bla Bla Cam"),"Stop Bla Bla Cam")</x:f>
        <x:v>Stop Bla Bla Cam</x:v>
      </x:c>
      <x:c r="M492" s="21" t="str">
        <x:f>IFERROR(HYPERLINK("https://www.voanews.com/a/cameroon-reopens-border-with-nigeria/4711012.html","Voice of America"),"Voice of America")</x:f>
        <x:v>Voice of America</x:v>
      </x:c>
      <x:c r="N492" s="4" t="str">
        <x:v>https://defenceweb.co.za/security/civil-security/cameroon-anglophone-regions-to-shut-nigeria-border-over-protests/
https://www.stopblablacam.com/culture-and-society/0310-1075-has-cameroon-really-closed-its-borders-with-nigeria
https://www.voanews.com/a/cameroon-reopens-border-with-nigeria/4711012.html
https://tribuneonlineng.com/closure-cameroon-border-refugee-commission-carries-registration-person/
https://2017-2021.state.gov/reports/2017-country-reports-on-human-rights-practices/cameroon/
https://amp.dw.com/en/cameroon-troops-deployed-ahead-of-anglophone-independence-declaration/a-40751054
https://www.africanews.com/amp/2017/09/29/movement-restricted-in-cameroon-region-ahead-of-independence-day/</x:v>
      </x:c>
      <x:c r="O492" s="4" t="str">
        <x:v>Second full-register audit source access, 26 October 2026
https://defenceweb.co.za/security/civil-security/cameroon-anglophone-regions-to-shut-nigeria-border-over-protests/: full text (fresh retrieval) — Headline broader than body; no actual reopening observation.
Earlier URLs not separately inspected in this second assessment:
https://www.stopblablacam.com/culture-and-society/0310-1075-has-cameroon-really-closed-its-borders-with-nigeria
https://www.voanews.com/a/cameroon-reopens-border-with-nigeria/4711012.html
https://tribuneonlineng.com/closure-cameroon-border-refugee-commission-carries-registration-person/
https://2017-2021.state.gov/reports/2017-country-reports-on-human-rights-practices/cameroon/
https://amp.dw.com/en/cameroon-troops-deployed-ahead-of-anglophone-independence-declaration/a-40751054
https://www.africanews.com/amp/2017/09/29/movement-restricted-in-cameroon-region-ahead-of-independence-day/
Prior audit access record
Full-register audit source access (evidence cutoff 25 October 2026)
https://defenceweb.co.za/security/civil-security/cameroon-anglophone-regions-to-shut-nigeria-border-over-protests/: full text — See specific claim qualifications.
https://www.voanews.com/a/cameroon-reopens-border-with-nigeria/4711012.html: full text — See specific claim qualifications.
Earlier source URLs not separately listed in this audit’s retrieval log (historical access notes below are not fresh verification):
https://www.stopblablacam.com/culture-and-society/0310-1075-has-cameroon-really-closed-its-borders-with-nigeria
https://tribuneonlineng.com/closure-cameroon-border-refugee-commission-carries-registration-person/
https://2017-2021.state.gov/reports/2017-country-reports-on-human-rights-practices/cameroon/
https://amp.dw.com/en/cameroon-troops-deployed-ahead-of-anglophone-independence-declaration/a-40751054
https://www.africanews.com/amp/2017/09/29/movement-restricted-in-cameroon-region-ahead-of-independence-day/
Earlier recorded access
Source 1: full
Source 2: indexed excerpt
Source 3: indexed excerpt</x:v>
      </x:c>
      <x:c r="P492" s="20" t="n">
        <x:v>1</x:v>
      </x:c>
      <x:c r="Q492" s="4" t="str">
        <x:v>Southern and Central Africa</x:v>
      </x:c>
      <x:c r="R492" s="4" t="str">
        <x:v>Included</x:v>
      </x:c>
    </x:row>
    <x:row r="493" ht="378" hidden="0" customHeight="1">
      <x:c r="A493" s="16" t="str">
        <x:v>R3-AF-003</x:v>
      </x:c>
      <x:c r="B493" s="4" t="str">
        <x:v>Cameroon October 2018 presidential election border closure order</x:v>
      </x:c>
      <x:c r="C493" s="4" t="str">
        <x:v>Cameroon; Nigeria; Chad; Central African Republic; Republic of the Congo; Gabon; Equatorial Guinea</x:v>
      </x:c>
      <x:c r="D493" s="4" t="str">
        <x:v>National land borders
National frontier closure order; land component retained</x:v>
      </x:c>
      <x:c r="E493" s="4" t="str">
        <x:v>Cross-border travellers and trade
Direction: Not established
Exceptions: Not established</x:v>
      </x:c>
      <x:c r="F493" s="4" t="str">
        <x:v>R3-AF-003-R1 — Announced window
Cameroon national electoral border order, land component
Start: 2018-10-05 to 2018-10-06.
Scheduled endpoint: 2018-10-08.
Ordered window: 2–3 calendar-day difference; actual end not established</x:v>
      </x:c>
      <x:c r="G493"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Unspecified security
Reported reason
Applies to: Recorded episode; exact overlap not separately established
The recorded rationale and claim assessment support the selected subcategories. All applicable broad categories are retained together; no primary rationale is imposed.</x:v>
      </x:c>
      <x:c r="H493" s="4" t="str">
        <x:v>R3-AF-003-R1: Scheduled reopening is October 8 with no stated hour; endpoint-day inclusivity is unknown. Onset remains October 5–6 because ministerial pre-poll wording and election-day ministry report differ. Domestic October 6–7 movement curfew is separate. No actual universal enforcement or reopening is asserted.</x:v>
      </x:c>
      <x:c r="I493" s="4" t="str">
        <x:v>Second full-register audit, 26 October 2026: qualified. The Cameroon 2018 election closure remains an announced national window with a genuine October 5–6 onset conflict, not a verified universal operational interval.</x:v>
      </x:c>
      <x:c r="J493" s="18" t="d">
        <x:v>2026-10-26T00:00:00.000Z</x:v>
      </x:c>
      <x:c r="K493" s="21" t="str">
        <x:f>IFERROR(HYPERLINK("https://www.xinhuanet.com/english/2018-10/06/c_129966298.htm","Xinhua"),"Xinhua")</x:f>
        <x:v>Xinhua</x:v>
      </x:c>
      <x:c r="L493" s="21" t="str">
        <x:f>IFERROR(HYPERLINK("https://www.mincom.gov.cm/en/2018/09/26/les-rues-de-yaounde-sont-quasi-desertes-2/","Cameroon Ministry of Communication"),"Cameroon Ministry of Communication")</x:f>
        <x:v>Cameroon Ministry of Communication</x:v>
      </x:c>
      <x:c r="M493" s="21" t="str">
        <x:f>IFERROR(HYPERLINK("https://actucameroun.com/2018/10/06/cameroun-presidentielle-2018-le-cameroun-ferme-ses-frontieres/","Actu Cameroun"),"Actu Cameroun")</x:f>
        <x:v>Actu Cameroun</x:v>
      </x:c>
      <x:c r="N493" s="4" t="str">
        <x:v>https://www.xinhuanet.com/english/2018-10/06/c_129966298.htm
https://www.mincom.gov.cm/en/2018/09/26/les-rues-de-yaounde-sont-quasi-desertes-2/
https://actucameroun.com/2018/10/06/cameroun-presidentielle-2018-le-cameroun-ferme-ses-frontieres/
https://corbeaunews-centrafrique.org/presidentielle-au-cameroun-les-interdits-du-jour-de-vote/</x:v>
      </x:c>
      <x:c r="O493" s="4" t="str">
        <x:v>Second full-register audit source access, 26 October 2026
https://www.xinhuanet.com/english/2018-10/06/c_129966298.htm: full text (fresh retrieval) — October 5 dateline; announcement, not gate survey.
https://www.mincom.gov.cm/en/2018/09/26/les-rues-de-yaounde-sont-quasi-desertes-2/: full text (previously retrieved text re-examined) — Cached actual body inspected; URL September date inconsistent with October 7 narrative.
Earlier URLs not separately inspected in this second assessment:
https://actucameroun.com/2018/10/06/cameroun-presidentielle-2018-le-cameroun-ferme-ses-frontieres/
https://corbeaunews-centrafrique.org/presidentielle-au-cameroun-les-interdits-du-jour-de-vote/
Prior audit access record
Full-register audit source access (evidence cutoff 25 October 2026)
https://www.xinhuanet.com/english/2018-10/06/c_129966298.htm: full text — See specific claim qualifications.
https://www.mincom.gov.cm/en/2018/09/26/les-rues-de-yaounde-sont-quasi-desertes-2/: full text — See specific claim qualifications.
Earlier source URLs not separately listed in this audit’s retrieval log (historical access notes below are not fresh verification):
https://actucameroun.com/2018/10/06/cameroun-presidentielle-2018-le-cameroun-ferme-ses-frontieres/
https://corbeaunews-centrafrique.org/presidentielle-au-cameroun-les-interdits-du-jour-de-vote/
Earlier recorded access
Source 1: indexed excerpt; full
Source 2: full
Source 3: full</x:v>
      </x:c>
      <x:c r="P493" s="20" t="n">
        <x:v>1</x:v>
      </x:c>
      <x:c r="Q493" s="4" t="str">
        <x:v>Southern and Central Africa</x:v>
      </x:c>
      <x:c r="R493" s="4" t="str">
        <x:v>Included</x:v>
      </x:c>
    </x:row>
    <x:row r="494" ht="210" hidden="0" customHeight="1">
      <x:c r="A494" s="16" t="str">
        <x:v>R3-AF-005</x:v>
      </x:c>
      <x:c r="B494" s="4" t="str">
        <x:v>Maseru Bridge protest blockade after death of a Lesotho national</x:v>
      </x:c>
      <x:c r="C494" s="4" t="str">
        <x:v>Lesotho; South Africa</x:v>
      </x:c>
      <x:c r="D494" s="4" t="str">
        <x:v>Maseru Bridge
Maseru Bridge border post</x:v>
      </x:c>
      <x:c r="E494" s="4" t="str">
        <x:v>Cross-border travellers and trade
Direction: Not established
Exceptions: Not established</x:v>
      </x:c>
      <x:c r="F494" s="4" t="str">
        <x:v>R3-AF-005-D1 — Observed operation
Maseru Bridge protest-related road blockage
Start: 2019-01-16.
Observed scoped reopening: 2019-01-16 to 2019-01-17.
0–1 calendar-day difference; scoped endpoint only
Reported duration: several hours; strict greater-than-24-hours eligibility is not met. Exact clock times remain unknown.</x:v>
      </x:c>
      <x:c r="G494" s="4" t="str">
        <x:v>Policy and socioeconomic demands / Rights and other policy grievances
Analytical interpretation of reported context
Applies to: Recorded episode; exact overlap not separately established
Opposition to alleged police involvement in a death fits the rights/policing grievance subtype; the underlying allegation remains unresolved.</x:v>
      </x:c>
      <x:c r="H494" s="4" t="str">
        <x:v>R3-AF-005-D1: Sowetan reports the blockade began on Wednesday evening, January 16, and traffic had resumed by its January 17 afternoon report. The SABC retrospective explicitly describes several hours of closure. This supports exclusion from a strict greater-than-24-hours subset without inventing an exact number of hours. The reopening date remains January 16–17. Allegations about responsibility for the death remain unadjudicated. SABC was inspected through its substantive indexed text after direct retrieval timed out.</x:v>
      </x:c>
      <x:c r="I494" s="4" t="str">
        <x:v>Second full-register audit, 26 October 2026: additional source-audited corrections incorporated. See the phase, scope and qualification columns for the accepted findings.</x:v>
      </x:c>
      <x:c r="J494" s="18" t="d">
        <x:v>2026-10-26T00:00:00.000Z</x:v>
      </x:c>
      <x:c r="K494" s="21" t="str">
        <x:f>IFERROR(HYPERLINK("https://www.sowetan.co.za/news/south-africa/2019-01-17-body-of-man-assaulted-by-police-found-close-to-lesotho-border/","Sowetan"),"Sowetan")</x:f>
        <x:v>Sowetan</x:v>
      </x:c>
      <x:c r="L494" s="21" t="str">
        <x:f>IFERROR(HYPERLINK("https://www.sabcnews.com/sabcnews/home-affairs-minister-visit-maseru-bridge-in-lesotho/","SABC News"),"SABC News")</x:f>
        <x:v>SABC News</x:v>
      </x:c>
      <x:c r="M494" s="21"/>
      <x:c r="N494" s="4" t="str">
        <x:v>https://www.sowetan.co.za/news/south-africa/2019-01-17-body-of-man-assaulted-by-police-found-close-to-lesotho-border/
https://www.sabcnews.com/sabcnews/home-affairs-minister-visit-maseru-bridge-in-lesotho/</x:v>
      </x:c>
      <x:c r="O494" s="4" t="str">
        <x:v>Second full-register audit source access, 26 October 2026
https://www.sowetan.co.za/news/south-africa/2019-01-17-body-of-man-assaulted-by-police-found-close-to-lesotho-border/: full text (fresh retrieval)
https://www.sabcnews.com/sabcnews/home-affairs-minister-visit-maseru-bridge-in-lesotho/: search extract (fresh retrieval) — Direct retrieval timed out; substantive indexed text inspected.
Prior audit access record
Full-register audit source access (evidence cutoff 25 October 2026)
https://www.sowetan.co.za/news/south-africa/2019-01-17-body-of-man-assaulted-by-police-found-close-to-lesotho-border/: full text
https://www.sabcnews.com/sabcnews/home-affairs-minister-visit-maseru-bridge-in-lesotho/: search extract — Direct source failed with server error.
Earlier recorded access
Source 1: full text
Source 2: blocked direct fetch; substantive indexed extract</x:v>
      </x:c>
      <x:c r="P494" s="20" t="n">
        <x:v>1</x:v>
      </x:c>
      <x:c r="Q494" s="4" t="str">
        <x:v>Southern and Central Africa</x:v>
      </x:c>
      <x:c r="R494" s="4" t="str">
        <x:v>Included</x:v>
      </x:c>
    </x:row>
    <x:row r="495" ht="409" hidden="0" customHeight="1">
      <x:c r="A495" s="16" t="str">
        <x:v>R3-AF-002</x:v>
      </x:c>
      <x:c r="B495" s="4" t="str">
        <x:v>Equatorial Guinea extends Cameroon land closure beyond independence holiday</x:v>
      </x:c>
      <x:c r="C495" s="4" t="str">
        <x:v>Equatorial Guinea; Cameroon</x:v>
      </x:c>
      <x:c r="D495" s="4" t="str">
        <x:v>Kye-Ossi / Ebebiyin
Kye-Ossi–Ebebiyin frontier</x:v>
      </x:c>
      <x:c r="E495" s="4" t="str">
        <x:v>Cross-border travellers and trade
Direction: Not established for the original closure.
Later partial access: From August 2022, occasional openings for organised shopping groups in both directions are reported by the Kye-Ossi immigration chief. This is later practical easing, not an exception established at the October 2019 onset.</x:v>
      </x:c>
      <x:c r="F495" s="4" t="str">
        <x:v>R3-AF-002-D1 — Formal policy
Official suspension of ordinary persons and goods at Kye-Ossi–Ebebiyin
Start: 2019-10-11.
Last confirmed: 2020-04-03. Full formal reopening is not established.
Formal policy: confirmed through 2020-04-03; at least 175 calendar-day difference; full formal reopening unknown
Later partial-access observation: August 2022 (month precision; by 2022-08-31). A Cameroon Human Rights Commission report quotes the Kye-Ossi immigration chief describing occasional openings for organised shopping groups in both directions from that month. This is partial practical easing, not formal repeal or uninterrupted closure through August 2022.</x:v>
      </x:c>
      <x:c r="G495" s="4" t="str">
        <x:v>Uncoded / Unresolved rationale
Not assigned
Applies to: Not assigned
No additional motive inferred</x:v>
      </x:c>
      <x:c r="H495" s="4" t="str">
        <x:v>R3-AF-002-D1: Contemporary AFP and April 2020 reporting support an October 11, 2019 closure and formal suspension through April 3, 2020, without proving universal uninterrupted enforcement. The reason for extending the independence-holiday closure remains unassigned.
A Cameroon Human Rights Commission report, page 20, quotes the Kye-Ossi immigration chief describing occasional openings for organised shopping groups in both directions from August 2022. Use the end of that month only as a conservative partial later-access bound, not an exact reopening date. The official describes the closure notification as October 12, 2019; this may be a notification/implementation distinction and does not displace the contemporary October 11 report.
The commission says formal reopening had not occurred at the time of its inquiry. GECAM’s March 2026 report describes continuing transit barriers, but does not establish every traveller or goods category. No uninterrupted 2019–2026 closure or full reopening is inferred.</x:v>
      </x:c>
      <x:c r="I495" s="4" t="str">
        <x:v>Second full-register audit, 26 October 2026: additional source-audited corrections incorporated. See the phase, scope and qualification columns for the accepted findings.</x:v>
      </x:c>
      <x:c r="J495" s="18" t="d">
        <x:v>2026-10-26T00:00:00.000Z</x:v>
      </x:c>
      <x:c r="K495" s="21" t="str">
        <x:f>IFERROR(HYPERLINK("https://www.cameroonintelligencereport.com/2019/10/page/5/","Cameroon Intelligence Report"),"Cameroon Intelligence Report")</x:f>
        <x:v>Cameroon Intelligence Report</x:v>
      </x:c>
      <x:c r="L495" s="21" t="str">
        <x:f>IFERROR(HYPERLINK("https://mimimefoinfos.com/national-and-international-news-roundup-31-october-2019/","Mimi Mefo Info"),"Mimi Mefo Info")</x:f>
        <x:v>Mimi Mefo Info</x:v>
      </x:c>
      <x:c r="M495" s="21" t="str">
        <x:f>IFERROR(HYPERLINK("https://www.camer.be/amp/77356/11%3A1/cameroon-la-frontiere-entre-le-cameroun-et-la-guinee-equatoriale-fermee-depuis-plus-de-dix-jours.html","Camer. be"),"Camer. be")</x:f>
        <x:v>Camer. be</x:v>
      </x:c>
      <x:c r="N495" s="4" t="str">
        <x:v>https://www.cameroonintelligencereport.com/2019/10/page/5/
https://mimimefoinfos.com/national-and-international-news-roundup-31-october-2019/
https://www.camer.be/amp/77356/11%3A1/cameroon-la-frontiere-entre-le-cameroun-et-la-guinee-equatoriale-fermee-depuis-plus-de-dix-jours.html
https://www.stopblablacam.com/politique/0304-3735-le-cameroun-evalue-la-securitaire-a-sa-frontiere-avec-le-gabon-et-la-guinee-equatoriale
https://camerounactuel.com/frontiere-cameroun-guinee-equatoriale-une-mission-de-clarifications/
https://actucameroun.com/2019/11/01/cameroun-guinee-equatoriale-paul-biya-rechauffe-les-relations/
https://cdhc.cm/admin/fichiers/Rapports2023-09-2813-52-47.pdf
https://legecam.cm/wp-content/uploads/2026/04/NEM_Mars-2026-VA.pdf</x:v>
      </x:c>
      <x:c r="O495" s="4" t="str">
        <x:v>Second full-register audit source access, 26 October 2026
https://www.camer.be/amp/77356/11%3A1/cameroon-la-frontiere-entre-le-cameroun-et-la-guinee-equatoriale-fermee-depuis-plus-de-dix-jours.html: full text (fresh retrieval) — Contemporary witnesses; motive unknown.
https://www.stopblablacam.com/politique/0304-3735-le-cameroun-evalue-la-securitaire-a-sa-frontiere-avec-le-gabon-et-la-guinee-equatoriale: search extract (previously retrieved text re-examined) — Cached indexed full article inspected; governor speculates on sovereign/security motive.
https://cdhc.cm/admin/fichiers/Rapports2023-09-2813-52-47.pdf: search extract (previously retrieved text re-examined) — Cached actual indexed page inspected; original PDF unavailable. Publication date not established.
https://legecam.cm/wp-content/uploads/2026/04/NEM_Mars-2026-VA.pdf: full text (previously retrieved text re-examined) — Cached actual relevant PDF text inspected; barriers are not total closure.
Earlier URLs not separately inspected in this second assessment:
https://www.cameroonintelligencereport.com/2019/10/page/5/
https://mimimefoinfos.com/national-and-international-news-roundup-31-october-2019/
https://camerounactuel.com/frontiere-cameroun-guinee-equatoriale-une-mission-de-clarifications/
https://actucameroun.com/2019/11/01/cameroun-guinee-equatoriale-paul-biya-rechauffe-les-relations/
Prior audit access record
Full-register audit source access (evidence cutoff 25 October 2026)
https://www.camer.be/amp/77356/11%3A1/cameroon-la-frontiere-entre-le-cameroun-et-la-guinee-equatoriale-fermee-depuis-plus-de-dix-jours.html: full text — See specific claim qualifications.
https://www.stopblablacam.com/politique/0304-3735-le-cameroun-evalue-la-securitaire-a-sa-frontiere-avec-le-gabon-et-la-guinee-equatoriale: search extract — See specific claim qualifications.
https://cdhc.cm/admin/fichiers/Rapports2023-09-2813-52-47.pdf: search extract — PDF URL currently returns 404; substantive indexed page 20 includes the named immigration chief’s account. Publication date not established from the extract.
https://legecam.cm/wp-content/uploads/2026/04/NEM_Mars-2026-VA.pdf: full text — See specific claim qualifications.
Earlier source URLs not separately listed in this audit’s retrieval log (historical access notes below are not fresh verification):
https://www.cameroonintelligencereport.com/2019/10/page/5/
https://mimimefoinfos.com/national-and-international-news-roundup-31-october-2019/
https://camerounactuel.com/frontiere-cameroun-guinee-equatoriale-une-mission-de-clarifications/
https://actucameroun.com/2019/11/01/cameroun-guinee-equatoriale-paul-biya-rechauffe-les-relations/
Earlier recorded access
Source 1: full archive page
Source 2: full page
Source 3: full page</x:v>
      </x:c>
      <x:c r="P495" s="20" t="n">
        <x:v>1</x:v>
      </x:c>
      <x:c r="Q495" s="4" t="str">
        <x:v>Southern and Central Africa</x:v>
      </x:c>
      <x:c r="R495" s="4" t="str">
        <x:v>Included</x:v>
      </x:c>
    </x:row>
    <x:row r="496" ht="402" hidden="0" customHeight="1">
      <x:c r="A496" s="16" t="str">
        <x:v>R3-AF-009</x:v>
      </x:c>
      <x:c r="B496" s="4" t="str">
        <x:v>Republic of Congo 2021 presidential-election border closure order</x:v>
      </x:c>
      <x:c r="C496" s="4" t="str">
        <x:v>Republic of the Congo; Gabon; Cameroon; Central African Republic; Democratic Republic of the Congo; Angola</x:v>
      </x:c>
      <x:c r="D496" s="4" t="str">
        <x:v>National land frontiers and international river crossings; no named posts
All national frontiers; land and river-crossing component retained</x:v>
      </x:c>
      <x:c r="E496" s="4" t="str">
        <x:v>Cross-border travellers and trade
Direction: Not established
Exceptions: Not established</x:v>
      </x:c>
      <x:c r="F496" s="4" t="str">
        <x:v>R3-AF-009-R1 — Announced window
Republic of Congo national electoral border order, land component
Start: 2021-03-21.
Scheduled endpoint: 2021-03-21.
Ordered window: Same-day episode; no whole-day duration inferred; 12 ordered hours (06:00–18:00)</x:v>
      </x:c>
      <x:c r="G496"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x:v>
      </x:c>
      <x:c r="H496" s="4" t="str">
        <x:v>R3-AF-009-R1: Explicit March 21, 2021 order from 06:00 to 18:00: twelve ordered hours, not zero elapsed duration or a full twenty-four-hour day. Actual enforcement and reopening not verified; expiry does not repeal overlapping COVID restrictions.</x:v>
      </x:c>
      <x:c r="I496" s="4" t="str">
        <x:v>Second full-register audit, 26 October 2026: qualified. The operative Congo election order unambiguously specifies twelve hours on March 21, 2021.</x:v>
      </x:c>
      <x:c r="J496" s="18" t="d">
        <x:v>2026-10-26T00:00:00.000Z</x:v>
      </x:c>
      <x:c r="K496" s="21" t="str">
        <x:f>IFERROR(HYPERLINK("https://sgg.cg/JO/2021/congo-jo-2021-12.pdf","Republic of Congo, Journal officiel"),"Republic of Congo, Journal officiel")</x:f>
        <x:v>Republic of Congo, Journal officiel</x:v>
      </x:c>
      <x:c r="L496" s="21" t="str">
        <x:f>IFERROR(HYPERLINK("https://www.sgg.cg/fr/actualites/41/34e-runion-de-la-coordination-nationale-de-gestion-de-la-pandmie-de-coronavirus-covid-19.html","Republic of Congo, Secrétariat Général du Gouvernement"),"Republic of Congo, Secrétariat Général du Gouvernement")</x:f>
        <x:v>Republic of Congo, Secrétariat Général du Gouvernement</x:v>
      </x:c>
      <x:c r="M496" s="21" t="str">
        <x:f>IFERROR(HYPERLINK("https://www.journaldebrazza.com/congo-presidentielle-faible-mobilisation-ce-dimanche-de-vote/","Journal de Brazza"),"Journal de Brazza")</x:f>
        <x:v>Journal de Brazza</x:v>
      </x:c>
      <x:c r="N496" s="4" t="str">
        <x:v>https://sgg.cg/JO/2021/congo-jo-2021-12.pdf
https://www.sgg.cg/fr/actualites/41/34e-runion-de-la-coordination-nationale-de-gestion-de-la-pandmie-de-coronavirus-covid-19.html
https://www.journaldebrazza.com/congo-presidentielle-faible-mobilisation-ce-dimanche-de-vote/
https://lesechos-congobrazza.com/societe/7238-congo-les-frontieres-aeriennes-sont-reouvertes
https://www.sgg.cg/JO/2021/congo-jo-2021-12.pdf</x:v>
      </x:c>
      <x:c r="O496" s="4" t="str">
        <x:v>Second full-register audit source access, 26 October 2026
https://sgg.cg/JO/2021/congo-jo-2021-12.pdf: full text (fresh retrieval) — Operative order inspected; actual gate implementation not reported.
Earlier URLs not separately inspected in this second assessment:
https://www.sgg.cg/fr/actualites/41/34e-runion-de-la-coordination-nationale-de-gestion-de-la-pandmie-de-coronavirus-covid-19.html
https://www.journaldebrazza.com/congo-presidentielle-faible-mobilisation-ce-dimanche-de-vote/
https://lesechos-congobrazza.com/societe/7238-congo-les-frontieres-aeriennes-sont-reouvertes
https://www.sgg.cg/JO/2021/congo-jo-2021-12.pdf
Prior audit access record
Full-register audit source access (evidence cutoff 25 October 2026)
https://sgg.cg/JO/2021/congo-jo-2021-12.pdf: full text — See specific claim qualifications.
https://www.sgg.cg/fr/actualites/41/34e-runion-de-la-coordination-nationale-de-gestion-de-la-pandmie-de-coronavirus-covid-19.html: full text — See specific claim qualifications.
Earlier source URLs not separately listed in this audit’s retrieval log (historical access notes below are not fresh verification):
https://www.journaldebrazza.com/congo-presidentielle-faible-mobilisation-ce-dimanche-de-vote/
https://lesechos-congobrazza.com/societe/7238-congo-les-frontieres-aeriennes-sont-reouvertes
https://www.sgg.cg/JO/2021/congo-jo-2021-12.pdf
Earlier recorded access
Source 1: full; full text
Source 2: full; full text
Source 3: full page</x:v>
      </x:c>
      <x:c r="P496" s="20" t="n">
        <x:v>1</x:v>
      </x:c>
      <x:c r="Q496" s="4" t="str">
        <x:v>Southern and Central Africa</x:v>
      </x:c>
      <x:c r="R496" s="4" t="str">
        <x:v>Included</x:v>
      </x:c>
    </x:row>
    <x:row r="497" ht="409" hidden="0" customHeight="1">
      <x:c r="A497" s="16" t="str">
        <x:v>R4-AM-003</x:v>
      </x:c>
      <x:c r="B497" s="4" t="str">
        <x:v>Guyana’s Brazil-frontier COVID travel restriction with weekly goods exceptions, 2020–2021</x:v>
      </x:c>
      <x:c r="C497" s="4" t="str">
        <x:v>Guyana; Brazil</x:v>
      </x:c>
      <x:c r="D497" s="4" t="str">
        <x:v>Takutu River Bridge / Lethem–Bonfim
Guyanese restriction on ordinary cross-border land travel at Lethem/Bonfim, with controlled essential exchanges</x:v>
      </x:c>
      <x:c r="E497" s="4" t="str">
        <x:v>Ordinary travellers and cross-border trading communities; essential supplies were handled through exceptions.
Direction: Guyana-administered cross-border travel; entry from Brazil is directly documented.
Exceptions: Thursday goods and limited shopping exchanges; October relaxation added Friday personal travel subject to health conditions.</x:v>
      </x:c>
      <x:c r="F497" s="4" t="str">
        <x:v>R4-AM-003-D1 — Formal policy
Guyana's restricted ordinary-travel regime at Lethem–Bonfim, ending here at added Friday personal-travel access
Start: 2020-03-01 to 2020-03-27.
Policy endpoint: 2021-10-01.
Formal policy: 553–579 calendar-day difference; operational continuity not established</x:v>
      </x:c>
      <x:c r="G497" s="4" t="str">
        <x:v>Health and biosecurity / Human disease control
Reported reason
Applies to: R4-AM-003-D1
Guyanese officials attributed the restrictions and controlled border exchanges to prevention of COVID-19 transmission.</x:v>
      </x:c>
      <x:c r="H497" s="4" t="str">
        <x:v>R4-AM-003-D1: Selective policy period, not universal continuous closure. Thursday goods/shopping exchanges and discretionary access continued. March onset is bounded, not borrowed from Brazil or the conflicting May retrospective; exact health conditions and Friday hours remain unresolved, and the linked gazette was inaccessible.
Further relaxation: a task-force notice dated 15 November 2021 permitted the Lethem crossing to open every weekday with immediate effect. This is separate from the Friday-travel relaxation ending the measured phase on 1 October.</x:v>
      </x:c>
      <x:c r="I497" s="4" t="str">
        <x:v>Second full-register audit, 26 October 2026: additional source-audited corrections incorporated. See the phase, scope and qualification columns for the accepted findings.</x:v>
      </x:c>
      <x:c r="J497" s="18" t="d">
        <x:v>2026-10-26T00:00:00.000Z</x:v>
      </x:c>
      <x:c r="K497" s="21" t="str">
        <x:f>IFERROR(HYPERLINK("https://dpi.gov.gy/ministry-of-foreign-affairs-press-release/","Department of Public Information, Guyana"),"Department of Public Information, Guyana")</x:f>
        <x:v>Department of Public Information, Guyana</x:v>
      </x:c>
      <x:c r="L497" s="21" t="str">
        <x:f>IFERROR(HYPERLINK("https://newsroom.gy/2020/03/26/region-9-reo-seeks-rigorous-army-presence-at-border-after-covid-19-case-confirmed-in-bonfim/","News Room Guyana"),"News Room Guyana")</x:f>
        <x:v>News Room Guyana</x:v>
      </x:c>
      <x:c r="M497" s="21" t="str">
        <x:f>IFERROR(HYPERLINK("https://dpi.gov.gy/strict-covid-19-measures-in-place-for-limited-travel-across-borders-health-minister/","Department of Public Information, Guyana"),"Department of Public Information, Guyana")</x:f>
        <x:v>Department of Public Information, Guyana</x:v>
      </x:c>
      <x:c r="N497" s="4" t="str">
        <x:v>https://dpi.gov.gy/ministry-of-foreign-affairs-press-release/
https://newsroom.gy/2020/03/26/region-9-reo-seeks-rigorous-army-presence-at-border-after-covid-19-case-confirmed-in-bonfim/
https://dpi.gov.gy/strict-covid-19-measures-in-place-for-limited-travel-across-borders-health-minister/
https://newsroom.gy/2021/10/01/guyana-brazil-crossing-goods-to-be-transported-on-thursdays-people-can-move-on-fridays/
https://www.stabroeknews.com/2021/10/02/news/guyana/bonfim-protest-ends-as-travel-restriction-to-lethem-eased/
https://guyanachronicle.com/2020/03/20/brazil-closes-border-with-guyana-2/
https://www.stabroeknews.com/2020/03/20/news/guyana/brazil-restricts-border-crossings-due-to-coronavirus/
https://newsroom.gy/2021/11/15/lethem-crossing-now-open-from-mondays-to-fridays/</x:v>
      </x:c>
      <x:c r="O497" s="4" t="str">
        <x:v>Second full-register audit source access, 26 October 2026
https://dpi.gov.gy/ministry-of-foreign-affairs-press-release/: full text (fresh retrieval)
https://newsroom.gy/2020/03/26/region-9-reo-seeks-rigorous-army-presence-at-border-after-covid-19-case-confirmed-in-bonfim/: full text (fresh retrieval)
https://dpi.gov.gy/strict-covid-19-measures-in-place-for-limited-travel-across-borders-health-minister/: full text (fresh retrieval)
https://newsroom.gy/2021/10/01/guyana-brazil-crossing-goods-to-be-transported-on-thursdays-people-can-move-on-fridays/: full text (fresh retrieval)
https://www.stabroeknews.com/2021/10/02/news/guyana/bonfim-protest-ends-as-travel-restriction-to-lethem-eased/: full text (fresh retrieval)
https://newsroom.gy/2021/11/15/lethem-crossing-now-open-from-mondays-to-fridays/: full text (fresh retrieval)
Earlier URLs not separately inspected in this second assessment:
https://guyanachronicle.com/2020/03/20/brazil-closes-border-with-guyana-2/
https://www.stabroeknews.com/2020/03/20/news/guyana/brazil-restricts-border-crossings-due-to-coronavirus/
Prior audit access record
Full-register audit source access (evidence cutoff 25 October 2026)
https://dpi.gov.gy/ministry-of-foreign-affairs-press-release/: full text
https://newsroom.gy/2020/03/26/region-9-reo-seeks-rigorous-army-presence-at-border-after-covid-19-case-confirmed-in-bonfim/: full text — Does not fix the first national order.
https://dpi.gov.gy/strict-covid-19-measures-in-place-for-limited-travel-across-borders-health-minister/: full text
https://newsroom.gy/2021/10/01/guyana-brazil-crossing-goods-to-be-transported-on-thursdays-people-can-move-on-fridays/: full text — Linked Gazette inaccessible.
https://newsroom.gy/2021/11/15/lethem-crossing-now-open-from-mondays-to-fridays/: full text — Announcement rather than independent first-passage observation.
Earlier source URLs not separately listed in this audit’s retrieval log (historical access notes below are not fresh verification):
https://www.stabroeknews.com/2021/10/02/news/guyana/bonfim-protest-ends-as-travel-restriction-to-lethem-eased/
https://guyanachronicle.com/2020/03/20/brazil-closes-border-with-guyana-2/
https://www.stabroeknews.com/2020/03/20/news/guyana/brazil-restricts-border-crossings-due-to-coronavirus/
Earlier recorded access
Source 1: article body retrieved
Source 2: article body retrieved
Source 3: article body retrieved</x:v>
      </x:c>
      <x:c r="P497" s="20" t="n">
        <x:v>1</x:v>
      </x:c>
      <x:c r="Q497" s="4" t="str">
        <x:v>Americas</x:v>
      </x:c>
      <x:c r="R497" s="4" t="str">
        <x:v>Included</x:v>
      </x:c>
    </x:row>
    <x:row r="498" ht="409" hidden="0" customHeight="1">
      <x:c r="A498" s="16" t="str">
        <x:v>R4-AM-001</x:v>
      </x:c>
      <x:c r="B498" s="4" t="str">
        <x:v>Venezuela–Brazil military-exercise closure, January 2025</x:v>
      </x:c>
      <x:c r="C498" s="4" t="str">
        <x:v>Venezuela; Brazil</x:v>
      </x:c>
      <x:c r="D498" s="4" t="str">
        <x:v>Pacaraima–Santa Elena de Uairén
Pacaraima–Santa Elena de Uairén official road crossing</x:v>
      </x:c>
      <x:c r="E498" s="4" t="str">
        <x:v>Cars, freight vehicles and pedestrians at the named crossing.
Direction: Crossing traffic suspended; direction-specific exception not established.
Exceptions: No civilian exemption established in the retrieved accounts.</x:v>
      </x:c>
      <x:c r="F498" s="4" t="str">
        <x:v>R4-AM-001-D1 — Observed operation
Initial military-exercise stoppage at Pacaraima–Santa Elena de Uairen
Start: 2025-01-22.
Observed scoped reopening: 2025-01-22 to 2025-01-23.
0–1 calendar-day difference; scoped endpoint only
Competing reports: CNN Brasil reports reopening at 19:00 on 22 January, after approximately 12 hours; EFE reports reopening on 23 January after slightly more than 24 hours. The discrepancy remains unresolved.</x:v>
      </x:c>
      <x:c r="G498" s="4" t="str">
        <x:v>Security / Armed conflict and military confrontation
Reported context
Venezuela closed the crossing during the Escudo Bolivariano 2025 military exercises, which its authorities described as preparation against external threats.
Security / Public order and immediate safety
Attributed rationale
The closure was described to Brazilian authorities as a safety measure during the exercises.</x:v>
      </x:c>
      <x:c r="H498" s="4" t="str">
        <x:v>R4-AM-001-D1: Zero-to-one calendar-day boundary range, not an exact hourly duration. A renewed closure could explain the disagreement but is unverified and not invented; this bounds the initial episode's reported end, not proof of uninterrupted openness afterward.</x:v>
      </x:c>
      <x:c r="I498" s="4" t="str">
        <x:v>Second full-register audit, 26 October 2026: additional source-audited corrections incorporated. See the phase, scope and qualification columns for the accepted findings.</x:v>
      </x:c>
      <x:c r="J498" s="18" t="d">
        <x:v>2026-10-26T00:00:00.000Z</x:v>
      </x:c>
      <x:c r="K498" s="21" t="str">
        <x:f>IFERROR(HYPERLINK("https://www.cnnbrasil.com.br/politica/venezuela-fecha-fronteira-com-o-brasil-para-realizar-exercicio-militar/","CNN Brasil"),"CNN Brasil")</x:f>
        <x:v>CNN Brasil</x:v>
      </x:c>
      <x:c r="L498" s="21" t="str">
        <x:f>IFERROR(HYPERLINK("https://efe.com/mundo/2025-01-22/venezuela-ejercicios-militares-policiales-2025/","EFE"),"EFE")</x:f>
        <x:v>EFE</x:v>
      </x:c>
      <x:c r="M498" s="21" t="str">
        <x:f>IFERROR(HYPERLINK("https://www.cnnbrasil.com.br/politica/apos-12-horas-venezuela-reabre-fronteira-e-paralisa-exercicio-militar/","CNN Brasil"),"CNN Brasil")</x:f>
        <x:v>CNN Brasil</x:v>
      </x:c>
      <x:c r="N498" s="4" t="str">
        <x:v>https://www.cnnbrasil.com.br/politica/venezuela-fecha-fronteira-com-o-brasil-para-realizar-exercicio-militar/
https://efe.com/mundo/2025-01-22/venezuela-ejercicios-militares-policiales-2025/
https://www.cnnbrasil.com.br/politica/apos-12-horas-venezuela-reabre-fronteira-e-paralisa-exercicio-militar/
https://efe.com/mundo/2025-01-23/frontera-brasil-venezuela-reabre/
https://economia.uol.com.br/noticias/reuters/2025/01/10/itamaraty-diz-que-venezuela-fechou-fronteira-com-brasil-ate-2-feira.htm
https://www.folhabv.com.br/cotidiano/venezuela-reabre-fronteira-com-o-brasil-apos-tres-dias/
https://www.folhabv.com.br/geral/fronteira-entre-brasil-e-venezuela-segue-fechada-para-veiculos-em-pacaraima/</x:v>
      </x:c>
      <x:c r="O498" s="4" t="str">
        <x:v>Second full-register audit source access, 26 October 2026
https://www.cnnbrasil.com.br/politica/venezuela-fecha-fronteira-com-o-brasil-para-realizar-exercicio-militar/: full text (fresh retrieval)
https://www.cnnbrasil.com.br/politica/apos-12-horas-venezuela-reabre-fronteira-e-paralisa-exercicio-militar/: full text (fresh retrieval)
https://efe.com/mundo/2025-01-23/frontera-brasil-venezuela-reabre/: search extract (fresh retrieval) — Fresh open initially returned page header; body follow-up 429. Complete indexed body inspected.
https://www.folhabv.com.br/geral/fronteira-entre-brasil-e-venezuela-segue-fechada-para-veiculos-em-pacaraima/: full text (fresh retrieval) — Not evidence of January 22 exceptions.
Earlier URLs not separately inspected in this second assessment:
https://efe.com/mundo/2025-01-22/venezuela-ejercicios-militares-policiales-2025/
https://economia.uol.com.br/noticias/reuters/2025/01/10/itamaraty-diz-que-venezuela-fechou-fronteira-com-brasil-ate-2-feira.htm
https://www.folhabv.com.br/cotidiano/venezuela-reabre-fronteira-com-o-brasil-apos-tres-dias/
Prior audit access record
Full-register audit source access (evidence cutoff 25 October 2026)
https://www.cnnbrasil.com.br/politica/venezuela-fecha-fronteira-com-o-brasil-para-realizar-exercicio-militar/: full text — See claim-specific qualifications.
https://www.cnnbrasil.com.br/politica/apos-12-horas-venezuela-reabre-fronteira-e-paralisa-exercicio-militar/: full text — See claim-specific qualifications.
https://efe.com/mundo/2025-01-23/frontera-brasil-venezuela-reabre/: full text — See claim-specific qualifications.
Earlier source URLs not separately listed in this audit’s retrieval log (historical access notes below are not fresh verification):
https://efe.com/mundo/2025-01-22/venezuela-ejercicios-militares-policiales-2025/
https://economia.uol.com.br/noticias/reuters/2025/01/10/itamaraty-diz-que-venezuela-fechou-fronteira-com-brasil-ate-2-feira.htm
https://www.folhabv.com.br/cotidiano/venezuela-reabre-fronteira-com-o-brasil-apos-tres-dias/
https://www.folhabv.com.br/geral/fronteira-entre-brasil-e-venezuela-segue-fechada-para-veiculos-em-pacaraima/
Earlier recorded access
Source 1: article body retrieved
Source 2: article body retrieved
Source 3: article body retrieved</x:v>
      </x:c>
      <x:c r="P498" s="20" t="n">
        <x:v>1</x:v>
      </x:c>
      <x:c r="Q498" s="4" t="str">
        <x:v>Americas</x:v>
      </x:c>
      <x:c r="R498" s="4" t="str">
        <x:v>Included</x:v>
      </x:c>
    </x:row>
    <x:row r="499" ht="409" hidden="0" customHeight="1">
      <x:c r="A499" s="16" t="str">
        <x:v>R4-AM-002</x:v>
      </x:c>
      <x:c r="B499" s="4" t="str">
        <x:v>Rumichaca indigenous vehicle blockade over destroyed community bridges, February 2025</x:v>
      </x:c>
      <x:c r="C499" s="4" t="str">
        <x:v>Colombia; Ecuador</x:v>
      </x:c>
      <x:c r="D499" s="4" t="str">
        <x:v>Rumichaca
Vehicle passage over Rumichaca international bridge; humanitarian pedestrian windows excluded</x:v>
      </x:c>
      <x:c r="E499" s="4" t="str">
        <x:v>Private vehicles, public transport and freight.
Direction: Vehicle movement between both countries obstructed.
Exceptions: Humanitarian pedestrian passage was opened intermittently; this is a vehicle-closure record.</x:v>
      </x:c>
      <x:c r="F499" s="4" t="str">
        <x:v>R4-AM-002-D1 — Observed operation
Public, private and freight vehicle passage at Rumichaca bridge
Start: 2025-02-26 at approximately 11:00 local time.
Observed scoped reopening: night of 2025-02-28; the 18:00 agreement preceded actual lifting.
2 calendar-day difference; scoped endpoint only</x:v>
      </x:c>
      <x:c r="G499" s="4" t="str">
        <x:v>Policy and socioeconomic demands / Jobs, services and livelihoods
Reported protest demands
Communities sought restoration of pedestrian bridges used for access to commerce, education and health services.
Policy and socioeconomic demands / Rights and other policy grievances
Reported protest demands
They objected to the destruction of the Hojal and Puente Palo bridges and sought respect for ancestral territories and consultation. Ecuadorian authorities separately said the demolition addressed illegal activity.</x:v>
      </x:c>
      <x:c r="H499" s="4" t="str">
        <x:v>R4-AM-002-D1: Humanitarian pedestrian windows continued and are outside the vehicle scope. Calendar dates take precedence over changed live metadata and inconsistent 80-hour/all-persons summaries; no exact hours are calculated.</x:v>
      </x:c>
      <x:c r="I499" s="4" t="str">
        <x:v>Second full-register audit, 26 October 2026: additional source-audited corrections incorporated. See the phase, scope and qualification columns for the accepted findings.</x:v>
      </x:c>
      <x:c r="J499" s="18" t="d">
        <x:v>2026-10-26T00:00:00.000Z</x:v>
      </x:c>
      <x:c r="K499" s="21" t="str">
        <x:f>IFERROR(HYPERLINK("https://www.elcomercio.com/actualidad/ecuador/comunidades-indigenas-bloquean-puente-internacional-de-rumichaca/","El Comercio"),"El Comercio")</x:f>
        <x:v>El Comercio</x:v>
      </x:c>
      <x:c r="L499" s="21" t="str">
        <x:f>IFERROR(HYPERLINK("https://www.elcomercio.com/actualidad/ecuador/puente-rumichaca/","El Comercio"),"El Comercio")</x:f>
        <x:v>El Comercio</x:v>
      </x:c>
      <x:c r="M499" s="21" t="str">
        <x:f>IFERROR(HYPERLINK("https://www.cancilleria.gov.co/sala-de-prensa/noticias/comunicado-de-prensa-sobre-hecho-fronterizo-con-ecuador-y-apertura-del-puente-internacional-de-rumichaca","Colombian Ministry of Foreign Affairs"),"Colombian Ministry of Foreign Affairs")</x:f>
        <x:v>Colombian Ministry of Foreign Affairs</x:v>
      </x:c>
      <x:c r="N499" s="4" t="str">
        <x:v>https://www.elcomercio.com/actualidad/ecuador/comunidades-indigenas-bloquean-puente-internacional-de-rumichaca/
https://www.elcomercio.com/actualidad/ecuador/puente-rumichaca/
https://www.cancilleria.gov.co/sala-de-prensa/noticias/comunicado-de-prensa-sobre-hecho-fronterizo-con-ecuador-y-apertura-del-puente-internacional-de-rumichaca
https://narino.gov.co/noticias/para-resolver-crisis-fronteriza-indigenas-convocan-mesa-de-dialogo-y-concertacion-con-autoridades-en-ipiales/
https://www.eltiempo.com/colombia/otras-ciudades/despues-de-80-horas-comunidades-indigenas-levantan-el-bloqueo-del-puente-de-rumichaca-en-la-frontera-con-ecuador-3431560
https://www.lahora.com.ec/imbaburacarchi/Rumichaca-se-refuerza-y-alista-limitaciones-de-movilidad-por-elecciones-en-Ecuador-20250206-0002.html
https://www.eluniverso.com/noticias/ecuador/50-colombianos-son-retornados-a-su-pais-por-ingresar-a-ecuador-durante-proceso-electoral-nota/
https://www.bluradio.com/regiones/pacifico/comunidades-indigenas-bloquean-el-paso-vehicular-en-el-puente-internacional-rumichaca-rg10?_amp=true
https://www.eluniverso.com/noticias/ecuador/reunion-ipiales-puentes-derribados-nota/
https://www.lahora.com.ec/imbaburacarchi/Protesta-indigena-bloquea-el-puente-de-Rumichaca-20250226-0057.html</x:v>
      </x:c>
      <x:c r="O499" s="4" t="str">
        <x:v>Second full-register audit source access, 26 October 2026
https://www.elcomercio.com/actualidad/ecuador/comunidades-indigenas-bloquean-puente-internacional-de-rumichaca/: full text (fresh retrieval) — Live metadata now 2026; body date independently corroborated.
https://www.lahora.com.ec/imbaburacarchi/Protesta-indigena-bloquea-el-puente-de-Rumichaca-20250226-0057.html: search extract (fresh retrieval)
https://www.elcomercio.com/actualidad/ecuador/puente-rumichaca/: full text (fresh retrieval) — Live metadata changed; explicit event date supported by other reporting.
https://www.eluniverso.com/noticias/ecuador/reunion-ipiales-puentes-derribados-nota/: full text (fresh retrieval)
https://www.cancilleria.gov.co/sala-de-prensa/noticias/comunicado-de-prensa-sobre-hecho-fronterizo-con-ecuador-y-apertura-del-puente-internacional-de-rumichaca: search extract (fresh retrieval) — Direct 403; substantive indexed official text inspected.
https://narino.gov.co/noticias/para-resolver-crisis-fronteriza-indigenas-convocan-mesa-de-dialogo-y-concertacion-con-autoridades-en-ipiales/: search extract (fresh retrieval) — March 4 metadata conflicts with prospective February 28 text; not evidence of continuing March 4 closure.
Earlier URLs not separately inspected in this second assessment:
https://www.eltiempo.com/colombia/otras-ciudades/despues-de-80-horas-comunidades-indigenas-levantan-el-bloqueo-del-puente-de-rumichaca-en-la-frontera-con-ecuador-3431560
https://www.lahora.com.ec/imbaburacarchi/Rumichaca-se-refuerza-y-alista-limitaciones-de-movilidad-por-elecciones-en-Ecuador-20250206-0002.html
https://www.eluniverso.com/noticias/ecuador/50-colombianos-son-retornados-a-su-pais-por-ingresar-a-ecuador-durante-proceso-electoral-nota/
https://www.bluradio.com/regiones/pacifico/comunidades-indigenas-bloquean-el-paso-vehicular-en-el-puente-internacional-rumichaca-rg10?_amp=true
Prior audit access record
Full-register audit source access (evidence cutoff 25 October 2026)
https://www.elcomercio.com/actualidad/ecuador/comunidades-indigenas-bloquean-puente-internacional-de-rumichaca/: full text — See claim-specific qualifications.
https://www.elcomercio.com/actualidad/ecuador/puente-rumichaca/: full text — See claim-specific qualifications.
https://www.cancilleria.gov.co/sala-de-prensa/noticias/comunicado-de-prensa-sobre-hecho-fronterizo-con-ecuador-y-apertura-del-puente-internacional-de-rumichaca: search extract — See claim-specific qualifications.
https://narino.gov.co/noticias/para-resolver-crisis-fronteriza-indigenas-convocan-mesa-de-dialogo-y-concertacion-con-autoridades-en-ipiales/: full text — See claim-specific qualifications.
Earlier source URLs not separately listed in this audit’s retrieval log (historical access notes below are not fresh verification):
https://www.eltiempo.com/colombia/otras-ciudades/despues-de-80-horas-comunidades-indigenas-levantan-el-bloqueo-del-puente-de-rumichaca-en-la-frontera-con-ecuador-3431560
https://www.lahora.com.ec/imbaburacarchi/Rumichaca-se-refuerza-y-alista-limitaciones-de-movilidad-por-elecciones-en-Ecuador-20250206-0002.html
https://www.eluniverso.com/noticias/ecuador/50-colombianos-son-retornados-a-su-pais-por-ingresar-a-ecuador-durante-proceso-electoral-nota/
https://www.bluradio.com/regiones/pacifico/comunidades-indigenas-bloquean-el-paso-vehicular-en-el-puente-internacional-rumichaca-rg10?_amp=true
https://www.eluniverso.com/noticias/ecuador/reunion-ipiales-puentes-derribados-nota/
Earlier recorded access
Source 1: article body retrieved
Source 2: article body retrieved
Source 3: article body retrieved</x:v>
      </x:c>
      <x:c r="P499" s="20" t="n">
        <x:v>1</x:v>
      </x:c>
      <x:c r="Q499" s="4" t="str">
        <x:v>Americas</x:v>
      </x:c>
      <x:c r="R499" s="4" t="str">
        <x:v>Included</x:v>
      </x:c>
    </x:row>
    <x:row r="500" ht="409" hidden="0" customHeight="1">
      <x:c r="A500" s="16" t="str">
        <x:v>R4-AM-005</x:v>
      </x:c>
      <x:c r="B500" s="4" t="str">
        <x:v>Ecuador’s selected land-crossing security restrictions from December 2025, with July 2026 partial reopenings</x:v>
      </x:c>
      <x:c r="C500" s="4" t="str">
        <x:v>Ecuador; Colombia; Peru</x:v>
      </x:c>
      <x:c r="D500" s="4" t="str">
        <x:v>San Miguel; Macará–La Tina; Lalamor; Jimbura; La Balsa
Ecuadorian restriction regime closing or limiting authorized land crossings except Rumichaca and Huaquillas; crossing-specific exceptions and reopenings</x:v>
      </x:c>
      <x:c r="E500" s="4" t="str">
        <x:v>Ordinary travellers, international buses and freight using affected secondary crossings.
Direction: Entry and exit through affected Ecuadorian crossings; Colombian merchandise entry specifically documented in diplomatic record.
Exceptions: Rumichaca/Huaquillas remained authorized. San Miguel allowed controlled crude-oil movements and special permits. Macará retained some local work, study and medical access until a July 1 tightening. Pedestrian reopening at Macará and Zapotillo was officially reported by 4 July; vehicle reopening followed separately at Macará on 7 July and Lalamor on 8 July.</x:v>
      </x:c>
      <x:c r="F500" s="4" t="str">
        <x:v>R4-AM-005-D1 — Observed operation
Ordinary non-exempt road-vehicle passage at Macara only
Start: 2025-12-24.
Observed scoped reopening: 2026-07-07, reported 22:30.
195 calendar-day difference; scoped endpoint only
R4-AM-005-AUDIT20261025-1 — Observed operation
Ordinary non-exempt vehicle passage at Lalamor–Zapotillo; earlier pedestrian access excluded
Start: 2025-12-24.
Observed scoped reopening: 2026-07-08, approximately 13:40.
196 calendar-day difference; no exact hourly duration.
R4-AM-005-R2P1 — Observed operation
San Miguel formal road crossing: ordinary non-exempt movement; controlled crude transport and special permits excluded
Start: 2025-12-24.
Last confirmed: 2026-07-09; no reopening established.
Multi-month scoped restriction supported; no exact completed duration or October status inferred.
R4-AM-005-R2P2 — Observed operation
La Balsa formal international bridge: ordinary cross-border passage
Start: 2025-12-24.
Last confirmed: 2026-07-17; no reopening established.
Multi-month restriction supported; informal river crossings do not constitute bridge reopening.
R4-AM-005-R2P3 — Observed operation
Jimbura formal international bridge: ordinary cross-border passage
Start: 2025-12-24.
Last confirmed: 2026-07-17; no reopening established.
Multi-month restriction supported; no exact completed duration or later status inferred.</x:v>
      </x:c>
      <x:c r="G500" s="4" t="str">
        <x:v>Security / Smuggling and illicit trafficking
Reported reason
Applies to: All recorded crossing-specific phases
Ecuadorian officials attributed the crossing restrictions to national security and action against arms trafficking and organized crime; effectiveness is not independently established.</x:v>
      </x:c>
      <x:c r="H500" s="4" t="str">
        <x:v>R4-AM-005-D1: Excludes local work, study and medical exceptions that continued until July 1 tightening. This is not a total Macara closure or the endpoint for San Miguel/other Ecuador crossings; Rumichaca/Huaquillas remained authorised. Reopening time does not supply an exact onset hour.
R4-AM-005-AUDIT20261025-1: Lalamor is the crossing in Zapotillo canton, not an additional duplicate port. Ordinary vehicle traffic resumed on 8 July; pedestrian access had been separately restored by 4 July. San Miguel was still reported closed on 9 July, with controlled crude and special-permit exceptions. These dated observations do not establish October status.
R4-AM-005-R2P1–R2P3: Separate dated phases retain the closures at San Miguel, La Balsa and Jimbura rather than assigning them the Macará or Lalamor reopening. The Andean Community’s May order to withdraw the trade restriction is not evidence of restored operations. A later El Comercio article repeats San Miguel closure but its displayed dates change between retrievals; it is not used to advance the last-confirmed date. Neither the July observations nor that undated later account establishes status on October 26.</x:v>
      </x:c>
      <x:c r="I500" s="4" t="str">
        <x:v>Second full-register audit, 26 October 2026: additional source-audited corrections incorporated. See the phase, scope and qualification columns for the accepted findings.</x:v>
      </x:c>
      <x:c r="J500" s="18" t="d">
        <x:v>2026-10-26T00:00:00.000Z</x:v>
      </x:c>
      <x:c r="K500" s="21" t="str">
        <x:f>IFERROR(HYPERLINK("https://www.eluniverso.com/noticias/ecuador/ecuador-reduce-pasos-fronterizos-internacionales-estos-seran-los-unicos-habilitados-desde-el-24-de-diciembre-nota/","El Universo"),"El Universo")</x:f>
        <x:v>El Universo</x:v>
      </x:c>
      <x:c r="L500" s="21" t="str">
        <x:f>IFERROR(HYPERLINK("https://www.ecuavisa.com/ecuador/paso-fronterizo-loja-piura-macara-20251226-0027.html","Ecuavisa"),"Ecuavisa")</x:f>
        <x:v>Ecuavisa</x:v>
      </x:c>
      <x:c r="M500" s="21" t="str">
        <x:f>IFERROR(HYPERLINK("https://rpp.pe/peru/actualidad/reabren-frontera-peru-ecuador-puente-macara-la-tina-restablece-libre-transito-video-noticia-1696361","RPP"),"RPP")</x:f>
        <x:v>RPP</x:v>
      </x:c>
      <x:c r="N500" s="4" t="str">
        <x:v>https://www.eluniverso.com/noticias/ecuador/ecuador-reduce-pasos-fronterizos-internacionales-estos-seran-los-unicos-habilitados-desde-el-24-de-diciembre-nota/
https://www.ecuavisa.com/ecuador/paso-fronterizo-loja-piura-macara-20251226-0027.html
https://rpp.pe/peru/actualidad/reabren-frontera-peru-ecuador-puente-macara-la-tina-restablece-libre-transito-video-noticia-1696361
https://www.primicias.ec/seguridad/ecuador-peru-loja-macara-zapotillo-paso-frontera-gobierno-daniel-noboa-127381/
https://www.comunidadandina.org/normativa-files/uploads/Gaceta_5755_5841a53079.pdf
https://www.ecuavisa.com/amp/seguridad/puente-san-miguel-paso-fronterizo-irrespetado-14-cruces-informales-sucumbios-20260401-0087.html
https://www.lahora.com.ec/loja/incertidumbre-en-macara-por-cierre-del-puente-fronterizo-20251229-0004.html
https://www.eluniverso.com/noticias/ecuador/zonas-maritimas-y-fluvial-bajo-control-militar-por-cierre-de-puentes-de-mataje-y-san-miguel-nota/
https://gobernacionloja.gob.ec/gobierno-nacional-refuerza-el-control-y-la-seguridad-en-macara-y-zapotillo-ante-la-reapertura-peatonal-de-la-frontera/
https://www.elcomercio.com/actualidad/ecuador/ecuador-peru-reactivan-comercio-frontera-sur-macara/
https://cronica.com.ec/2026/07/17/la-balsa-y-jimbura-reclaman-apertura-de-frontera-cierre-profundiza-la-crisis/
https://www.ecuavisa.com/seguridad/paso-fronterizo-loja-peru-20260707-0086.html
https://hora32.com.ec/en-el-puente-internacional-de-lalamor-zapotillo-empieza-tambien-a-fluir-el-transito/
https://www.eldiario.ec/ecuador/senae-restablece-las-operaciones-aduaneras-en-tres-pasos-fronterizos-del-sur-del-pais-08072026/
https://www.expreso.ec/economia-y-negocios/ecuador-reabre-tres-pasos-fronterizos-peru-pasa-colombia-esto-288675.html
https://www.ecuavisa.com/seguridad/puente-san-miguel-paso-fronterizo-irrespetado-14-cruces-informales-sucumbios-20260401-0087.html
https://www.elcomercio.com/actualidad/negocios/medidas-entre-ecuador-colombia-afectan-comercio-frontera/</x:v>
      </x:c>
      <x:c r="O500" s="4" t="str">
        <x:v>Second full-register audit source access, 26 October 2026
https://www.eluniverso.com/noticias/ecuador/ecuador-reduce-pasos-fronterizos-internacionales-estos-seran-los-unicos-habilitados-desde-el-24-de-diciembre-nota/: full text (fresh retrieval)
https://www.ecuavisa.com/ecuador/paso-fronterizo-loja-piura-macara-20251226-0027.html: full text (fresh retrieval)
https://rpp.pe/peru/actualidad/reabren-frontera-peru-ecuador-puente-macara-la-tina-restablece-libre-transito-video-noticia-1696361: full text (fresh retrieval)
https://www.comunidadandina.org/normativa-files/uploads/Gaceta_5755_5841a53079.pdf: full text (fresh retrieval) — Inspected relevant resolution extracts, not all 147 pages.
https://www.ecuavisa.com/seguridad/puente-san-miguel-paso-fronterizo-irrespetado-14-cruces-informales-sucumbios-20260401-0087.html: full text (fresh retrieval)
https://gobernacionloja.gob.ec/gobierno-nacional-refuerza-el-control-y-la-seguridad-en-macara-y-zapotillo-ante-la-reapertura-peatonal-de-la-frontera/: full text (fresh retrieval)
https://cronica.com.ec/2026/07/17/la-balsa-y-jimbura-reclaman-apertura-de-frontera-cierre-profundiza-la-crisis/: full text (fresh retrieval)
https://www.ecuavisa.com/seguridad/paso-fronterizo-loja-peru-20260707-0086.html: full text (fresh retrieval)
https://hora32.com.ec/en-el-puente-internacional-de-lalamor-zapotillo-empieza-tambien-a-fluir-el-transito/: full text (fresh retrieval)
https://www.expreso.ec/economia-y-negocios/ecuador-reabre-tres-pasos-fronterizos-peru-pasa-colombia-esto-288675.html: full text (fresh retrieval) — Generic July 7 wording and three-crossing count are superseded by direct Lalamor report; not used as precise Peru chronology.
https://www.elcomercio.com/actualidad/negocios/medidas-entre-ecuador-colombia-afectan-comercio-frontera/: full text (fresh retrieval) — Search extract gives September 8; fresh opens change October 24 to October 25. Not reliable for dating a new operational observation.
Earlier URLs not separately inspected in this second assessment:
https://www.primicias.ec/seguridad/ecuador-peru-loja-macara-zapotillo-paso-frontera-gobierno-daniel-noboa-127381/
https://www.ecuavisa.com/amp/seguridad/puente-san-miguel-paso-fronterizo-irrespetado-14-cruces-informales-sucumbios-20260401-0087.html
https://www.lahora.com.ec/loja/incertidumbre-en-macara-por-cierre-del-puente-fronterizo-20251229-0004.html
https://www.eluniverso.com/noticias/ecuador/zonas-maritimas-y-fluvial-bajo-control-militar-por-cierre-de-puentes-de-mataje-y-san-miguel-nota/
https://www.elcomercio.com/actualidad/ecuador/ecuador-peru-reactivan-comercio-frontera-sur-macara/
https://www.eldiario.ec/ecuador/senae-restablece-las-operaciones-aduaneras-en-tres-pasos-fronterizos-del-sur-del-pais-08072026/
Prior audit access record
Full-register audit source access (evidence cutoff 25 October 2026)
https://www.eluniverso.com/noticias/ecuador/ecuador-reduce-pasos-fronterizos-internacionales-estos-seran-los-unicos-habilitados-desde-el-24-de-diciembre-nota/: full text — See claim-specific qualifications.
https://www.ecuavisa.com/ecuador/paso-fronterizo-loja-piura-macara-20251226-0027.html: full text — See claim-specific qualifications.
https://rpp.pe/peru/actualidad/reabren-frontera-peru-ecuador-puente-macara-la-tina-restablece-libre-transito-video-noticia-1696361: full text — See claim-specific qualifications.
https://www.comunidadandina.org/normativa-files/uploads/Gaceta_5755_5841a53079.pdf: full text — See claim-specific qualifications.
https://www.ecuavisa.com/amp/seguridad/puente-san-miguel-paso-fronterizo-irrespetado-14-cruces-informales-sucumbios-20260401-0087.html: full text — See claim-specific qualifications.
https://gobernacionloja.gob.ec/gobierno-nacional-refuerza-el-control-y-la-seguridad-en-macara-y-zapotillo-ante-la-reapertura-peatonal-de-la-frontera/: search extract — See claim-specific qualifications.
https://www.ecuavisa.com/seguridad/paso-fronterizo-loja-peru-20260707-0086.html: full text — See claim-specific qualifications.
https://hora32.com.ec/en-el-puente-internacional-de-lalamor-zapotillo-empieza-tambien-a-fluir-el-transito/: full text — See claim-specific qualifications.
https://www.eldiario.ec/ecuador/senae-restablece-las-operaciones-aduaneras-en-tres-pasos-fronterizos-del-sur-del-pais-08072026/: full text — See claim-specific qualifications.
https://www.expreso.ec/economia-y-negocios/ecuador-reabre-tres-pasos-fronterizos-peru-pasa-colombia-esto-288675.html: full text — See claim-specific qualifications.
Earlier source URLs not separately listed in this audit’s retrieval log (historical access notes below are not fresh verification):
https://www.primicias.ec/seguridad/ecuador-peru-loja-macara-zapotillo-paso-frontera-gobierno-daniel-noboa-127381/
https://www.lahora.com.ec/loja/incertidumbre-en-macara-por-cierre-del-puente-fronterizo-20251229-0004.html
https://www.eluniverso.com/noticias/ecuador/zonas-maritimas-y-fluvial-bajo-control-militar-por-cierre-de-puentes-de-mataje-y-san-miguel-nota/
https://www.elcomercio.com/actualidad/ecuador/ecuador-peru-reactivan-comercio-frontera-sur-macara/
https://cronica.com.ec/2026/07/17/la-balsa-y-jimbura-reclaman-apertura-de-frontera-cierre-profundiza-la-crisis/
Earlier recorded access
Source 1: article body retrieved
Source 2: article body retrieved
Source 3: article body retrieved</x:v>
      </x:c>
      <x:c r="P500" s="20" t="n">
        <x:v>5</x:v>
      </x:c>
      <x:c r="Q500" s="4" t="str">
        <x:v>Americas</x:v>
      </x:c>
      <x:c r="R500" s="4" t="str">
        <x:v>Included</x:v>
      </x:c>
    </x:row>
    <x:row r="501" ht="409" hidden="0" customHeight="1">
      <x:c r="A501" s="16" t="str">
        <x:v>R4-AM-004</x:v>
      </x:c>
      <x:c r="B501" s="4" t="str">
        <x:v>La Hachadura customs-facility blockade by public-sector unionists, March 2019</x:v>
      </x:c>
      <x:c r="C501" s="4" t="str">
        <x:v>El Salvador; Guatemala</x:v>
      </x:c>
      <x:c r="D501" s="4" t="str">
        <x:v>La Hachadura–Pedro de Alvarado
La Hachadura customs operations connecting to Guatemala’s Pedro de Alvarado crossing</x:v>
      </x:c>
      <x:c r="E501" s="4" t="str">
        <x:v>Customs-dependent cross-border traffic, including freight.
Direction: Guatemala-to-El Salvador operations expressly affected; reverse direction not separately verified.
Exceptions: Not established.</x:v>
      </x:c>
      <x:c r="F501" s="4" t="str">
        <x:v>R4-AM-004-FU1 — Observed operation
La Hachadura customs facilities / Pedro de Alvarado connection
Start: unknown.
Last confirmed union obstruction: 2019-03-19.
Later limited customs processing observed by: 2019-05-08.
The May report confirms some freight entry under the previous declaration system after a separate May 7 IT-related blockade; it does not date the first March reopening or establish continuous obstruction. Exact duration and unrestricted restoration remain unknown.</x:v>
      </x:c>
      <x:c r="G501" s="4" t="str">
        <x:v>Policy and socioeconomic demands / Rights and other policy grievances
Reported reason
Applies to: R4-AM-004-FU1
Public-sector unionists protested a legislative proposal. The source gives internally inconsistent descriptions of that proposal, so the specific bill and provisions are not established.</x:v>
      </x:c>
      <x:c r="H501" s="4" t="str">
        <x:v>R4-AM-004-FU1: Customs-dependent traffic from Guatemala into El Salvador was obstructed at the March 19 report; exact onset and first reopening remain unknown. A May 8 report documents limited truck entry with customs processing under the previous system after a separate May 7 disruption caused by new declaration-system failures. This is a later partial-access observation, not evidence of a continuous March-to-May blockade or full normalization. The precise legislative grievance is unresolved. Later 2025 La Hachadura roadblocks are separate events.</x:v>
      </x:c>
      <x:c r="I501" s="4" t="str">
        <x:v>Second full-register audit, 26 October 2026: additional source-audited corrections incorporated. See the phase, scope and qualification columns for the accepted findings.</x:v>
      </x:c>
      <x:c r="J501" s="18" t="d">
        <x:v>2026-10-26T00:00:00.000Z</x:v>
      </x:c>
      <x:c r="K501" s="21" t="str">
        <x:f>IFERROR(HYPERLINK("https://emisorasunidas.com/2019/03/19/sindicalistas-salvadorenos-cierran-aduana-de-la-achadura-fronteriza-con-jutiapa/","Emisoras Unidas"),"Emisoras Unidas")</x:f>
        <x:v>Emisoras Unidas</x:v>
      </x:c>
      <x:c r="L501" s="21" t="str">
        <x:f>IFERROR(HYPERLINK("https://www.prensalibre.com/ciudades/san-marcos/manifestacion-padres-familia-complica-el-paso-en-frontera-entre-guatemala-y-mexico/","Prensa Libre"),"Prensa Libre")</x:f>
        <x:v>Prensa Libre</x:v>
      </x:c>
      <x:c r="M501" s="21" t="str">
        <x:f>IFERROR(HYPERLINK("https://diario.elmundo.sv/economia/reportan-250000-en-perdidas-por-caida-de-sistema-en-aduanas","Diario El Mundo"),"Diario El Mundo")</x:f>
        <x:v>Diario El Mundo</x:v>
      </x:c>
      <x:c r="N501" s="4" t="str">
        <x:v>https://emisorasunidas.com/2019/03/19/sindicalistas-salvadorenos-cierran-aduana-de-la-achadura-fronteriza-con-jutiapa/
https://www.prensalibre.com/ciudades/san-marcos/manifestacion-padres-familia-complica-el-paso-en-frontera-entre-guatemala-y-mexico/
https://www.elsalvador.com/h-noticias/h-nacional/calles-cierre-de-guatemala-frontera-la-hachadura-san-francisco-menendez-ahuachapan-sur-/1204018/2025/?view=address-create
https://lanoticiasv.com/habilitan-rutas-alternas-por-protesta-y-bloqueo-del-paso-en-la-frontera-la-hachadura/
https://diario.elmundo.sv/economia/reportan-250000-en-perdidas-por-caida-de-sistema-en-aduanas</x:v>
      </x:c>
      <x:c r="O501" s="4" t="str">
        <x:v>Second full-register audit source access, 26 October 2026
https://emisorasunidas.com/2019/03/19/sindicalistas-salvadorenos-cierran-aduana-de-la-achadura-fronteriza-con-jutiapa/: full text (fresh retrieval)
https://www.prensalibre.com/ciudades/san-marcos/manifestacion-padres-familia-complica-el-paso-en-frontera-entre-guatemala-y-mexico/: full text (fresh retrieval)
https://diario.elmundo.sv/economia/reportan-250000-en-perdidas-por-caida-de-sistema-en-aduanas: full text (fresh retrieval)
Earlier URLs not separately inspected in this second assessment:
https://www.elsalvador.com/h-noticias/h-nacional/calles-cierre-de-guatemala-frontera-la-hachadura-san-francisco-menendez-ahuachapan-sur-/1204018/2025/?view=address-create
https://lanoticiasv.com/habilitan-rutas-alternas-por-protesta-y-bloqueo-del-paso-en-la-frontera-la-hachadura/
Prior audit access record
Full-register audit source access (evidence cutoff 25 October 2026)
https://emisorasunidas.com/2019/03/19/sindicalistas-salvadorenos-cierran-aduana-de-la-achadura-fronteriza-con-jutiapa/: full text
https://www.prensalibre.com/ciudades/san-marcos/manifestacion-padres-familia-complica-el-paso-en-frontera-entre-guatemala-y-mexico/: search extract
Earlier source URLs not separately listed in this audit’s retrieval log (historical access notes below are not fresh verification):
https://www.elsalvador.com/h-noticias/h-nacional/calles-cierre-de-guatemala-frontera-la-hachadura-san-francisco-menendez-ahuachapan-sur-/1204018/2025/?view=address-create
https://lanoticiasv.com/habilitan-rutas-alternas-por-protesta-y-bloqueo-del-paso-en-la-frontera-la-hachadura/
Earlier recorded access
Source 1: full
Source 2: article body retrieved
Source 3: access detail is retained in the source catalogue.</x:v>
      </x:c>
      <x:c r="P501" s="20" t="n">
        <x:v>1</x:v>
      </x:c>
      <x:c r="Q501" s="4" t="str">
        <x:v>Americas</x:v>
      </x:c>
      <x:c r="R501" s="4" t="str">
        <x:v>Included</x:v>
      </x:c>
    </x:row>
    <x:row r="502" ht="409" hidden="0" customHeight="1">
      <x:c r="A502" s="16" t="str">
        <x:v>R4-SC-001</x:v>
      </x:c>
      <x:c r="B502" s="4" t="str">
        <x:v>Barak exclave's Ak-Tash–Birlishken route restriction continuing into 2018</x:v>
      </x:c>
      <x:c r="C502" s="4" t="str">
        <x:v>Kyrgyzstan; Uzbekistan</x:v>
      </x:c>
      <x:c r="D502" s="4" t="str">
        <x:v>Ak-Tash (Kyrgyzstan) / Birlishken or Birlashgan (Uzbekistan)
Ordinary direct passage by Barak residents</x:v>
      </x:c>
      <x:c r="E502" s="4" t="str">
        <x:v>Barak residents using the nearest connection to mainland Kyrgyzstan
Direction: Resident movement in both directions; not all nationalities or commercial categories
Exceptions: Emergency passage was agreed in 2013; authorised supplies continued during 2013–2015. Later practice is not fully reconstructed.</x:v>
      </x:c>
      <x:c r="F502" s="4" t="str">
        <x:v>R4-SC-001-D1 — Observed operation
Ordinary non-emergency direct passage by Barak residents through Ak-Tash–Birlishken
Start: 2013-01-16 (contemporary reported onset).
Observed scoped reopening: 2018-12-25.
2169 calendar-day difference based on the contemporary onset; scoped endpoint only</x:v>
      </x:c>
      <x:c r="G502" s="4" t="str">
        <x:v>Administration and service operation / Checkpoint authorisation and consolidation
Attributed official justification
Applies to: Only the closure or restriction described by the cited source; no added temporal overlap claim
The checkpoint was not on the agreed authorised list; reopening was linked to legalisation. Alternative and emergency passage were reported. No additional motive is inferred.</x:v>
      </x:c>
      <x:c r="H502" s="4" t="str">
        <x:v>R4-SC-001-D1: The February 15, 2013 Azattyk report explicitly says Ak-Tash remained closed since January 16, 2013. This contemporary, gate-specific account takes priority over the December 2018 government summary’s conflicting spring-2013 wording; that disagreement remains recorded. December 25, 2018 is a government assertion of resumed resident passage, not independent observation of unrestricted commercial or all-nationality opening. Funerals, celebrations, sickness and emergencies were authorised exceptions in February 2013; agreed supplies continued during 2013–2015. This concerns ordinary direct resident passage, not an absolute seal or unchanging exemptions.</x:v>
      </x:c>
      <x:c r="I502" s="4" t="str">
        <x:v>Second full-register audit, 26 October 2026: additional source-audited corrections incorporated. See the phase, scope and qualification columns for the accepted findings.</x:v>
      </x:c>
      <x:c r="J502" s="18" t="d">
        <x:v>2026-10-26T00:00:00.000Z</x:v>
      </x:c>
      <x:c r="K502" s="21" t="str">
        <x:f>IFERROR(HYPERLINK("https://www.gov.kg/ru/post/s/barak-eksklavyinyin-zhashoochularyinyin-toskoolduksuz-t-s-ch-n-ak-tash-tk-rm-punktunun-ishi-kalyibyina-keltirildi","Kyrgyz Cabinet of Ministers"),"Kyrgyz Cabinet of Ministers")</x:f>
        <x:v>Kyrgyz Cabinet of Ministers</x:v>
      </x:c>
      <x:c r="L502" s="21" t="str">
        <x:f>IFERROR(HYPERLINK("https://www.azattyqasia.org/a/24901903.html","Azattyk / RFE/RL"),"Azattyk / RFE/RL")</x:f>
        <x:v>Azattyk / RFE/RL</x:v>
      </x:c>
      <x:c r="M502" s="21" t="str">
        <x:f>IFERROR(HYPERLINK("https://www.dcaf.ch/sites/default/files/publications/documents/MappingFragileAreasCaseStudies.pdf","DCAF"),"DCAF")</x:f>
        <x:v>DCAF</x:v>
      </x:c>
      <x:c r="N502" s="4" t="str">
        <x:v>https://www.gov.kg/ru/post/s/barak-eksklavyinyin-zhashoochularyinyin-toskoolduksuz-t-s-ch-n-ak-tash-tk-rm-punktunun-ishi-kalyibyina-keltirildi
https://www.azattyqasia.org/a/24901903.html
https://www.dcaf.ch/sites/default/files/publications/documents/MappingFragileAreasCaseStudies.pdf
https://fergana.agency/news/103914/
https://24.kg/obschestvo/105060_zarabotal_punkt_propuska_ak-tash_onbyil_zakryit_pyat_let/
https://www.azattyqasia.org/amp/kyrgyzstan_uzbekistan_border_barak/24902675.html
https://kun.uz/en/news/2018/12/27/uzbek-kyrgyz-border-checkpoint-restarts-operation-after-a-five-year-pause
https://akipress.com/news%3A614693%3AAk-Tash_border_crossing_points_reopened_on_Kyrgyz-Uzbek_border/</x:v>
      </x:c>
      <x:c r="O502" s="4" t="str">
        <x:v>Second full-register audit source access, 26 October 2026
https://www.azattyqasia.org/amp/kyrgyzstan_uzbekistan_border_barak/24902675.html: full text (fresh retrieval)
https://www.gov.kg/ru/post/s/barak-eksklavyinyin-zhashoochularyinyin-toskoolduksuz-t-s-ch-n-ak-tash-tk-rm-punktunun-ishi-kalyibyina-keltirildi: search extract (fresh retrieval) — Indexed extract.
https://kun.uz/en/news/2018/12/27/uzbek-kyrgyz-border-checkpoint-restarts-operation-after-a-five-year-pause: full text (fresh retrieval) — Same official origin.
Earlier URLs not separately inspected in this second assessment:
https://www.azattyqasia.org/a/24901903.html
https://www.dcaf.ch/sites/default/files/publications/documents/MappingFragileAreasCaseStudies.pdf
https://fergana.agency/news/103914/
https://24.kg/obschestvo/105060_zarabotal_punkt_propuska_ak-tash_onbyil_zakryit_pyat_let/
https://akipress.com/news%3A614693%3AAk-Tash_border_crossing_points_reopened_on_Kyrgyz-Uzbek_border/
Prior audit access record
Full-register audit source access (evidence cutoff 25 October 2026)
https://www.azattyqasia.org/a/24901903.html: full text
https://www.azattyqasia.org/amp/kyrgyzstan_uzbekistan_border_barak/24902675.html: full text
https://kun.uz/en/news/2018/12/27/uzbek-kyrgyz-border-checkpoint-restarts-operation-after-a-five-year-pause: full text — Government account reproduced, not independent field observation
https://www.gov.kg/ru/post/s/barak-eksklavyinyin-zhashoochularyinyin-toskoolduksuz-t-s-ch-n-ak-tash-tk-rm-punktunun-ishi-kalyibyina-keltirildi: inaccessible — Timeout; official claim recovered through reporting
Earlier source URLs not separately listed in this audit’s retrieval log (historical access notes below are not fresh verification):
https://www.dcaf.ch/sites/default/files/publications/documents/MappingFragileAreasCaseStudies.pdf
https://fergana.agency/news/103914/
https://24.kg/obschestvo/105060_zarabotal_punkt_propuska_ak-tash_onbyil_zakryit_pyat_let/
https://akipress.com/news%3A614693%3AAk-Tash_border_crossing_points_reopened_on_Kyrgyz-Uzbek_border/
Earlier recorded access
Source 1: indexed excerpt; indexed extract
Source 2: full; full text
Source 3: full PDF; page 87 printed / PDF page 90</x:v>
      </x:c>
      <x:c r="P502" s="20" t="n">
        <x:v>1</x:v>
      </x:c>
      <x:c r="Q502" s="4" t="str">
        <x:v>Central Asia and Caucasus</x:v>
      </x:c>
      <x:c r="R502" s="4" t="str">
        <x:v>Included</x:v>
      </x:c>
    </x:row>
    <x:row r="503" ht="246" hidden="0" customHeight="1">
      <x:c r="A503" s="16" t="str">
        <x:v>R4-SC-002</x:v>
      </x:c>
      <x:c r="B503" s="4" t="str">
        <x:v>South Ossetian de facto election closure at simplified crossings, April 2017</x:v>
      </x:c>
      <x:c r="C503" s="4" t="str">
        <x:v>Georgia</x:v>
      </x:c>
      <x:c r="D503" s="4" t="str">
        <x:v>Razdakhan in Leningor/Akhalgori district; Sinagur/Perevi crossing as named in the report
Simplified passenger crossings with Tbilisi-administered territory</x:v>
      </x:c>
      <x:c r="E503" s="4" t="str">
        <x:v>Residents using special permits, including students, traders and people seeking healthcare
Direction: Both directions
Exceptions: Not established</x:v>
      </x:c>
      <x:c r="F503" s="4" t="str">
        <x:v>R4-SC-002-R1 — Announced window
Simplified citizen crossing points between South Ossetia and Georgian-administered territory under presidential-election security order
Start: 2017-04-07.
Scheduled endpoint: 2017-04-10.
Ordered window: 3 calendar-day difference; actual end not established</x:v>
      </x:c>
      <x:c r="G503"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03" s="4" t="str">
        <x:v>R4-SC-002-R1: 20:00 local announcement time at both boundaries; no reported completed reopening. Retained April 8 implementation evidence is compatible with this window but does not convert the end to observed.
continuity: April 4 report quotes the KGB order stopping simplified citizen crossing April 7 20:00 and scheduling restoration April 10 20:00. This supports the order and stated election rationale, not actual completed reopening.</x:v>
      </x:c>
      <x:c r="I503" s="4" t="str">
        <x:v>Second full-register audit, 26 October 2026: qualified. April 2017 order and actual onset corroborated; scheduled April 10 ending remains unobserved.</x:v>
      </x:c>
      <x:c r="J503" s="18" t="d">
        <x:v>2026-10-26T00:00:00.000Z</x:v>
      </x:c>
      <x:c r="K503" s="21" t="str">
        <x:f>IFERROR(HYPERLINK("https://amp.kavkaz-uzel.eu/articles/300402","Caucasian Knot"),"Caucasian Knot")</x:f>
        <x:v>Caucasian Knot</x:v>
      </x:c>
      <x:c r="L503" s="21" t="str">
        <x:f>IFERROR(HYPERLINK("https://www.kavkaz-uzel.com/articles/300402/","Caucasian Knot"),"Caucasian Knot")</x:f>
        <x:v>Caucasian Knot</x:v>
      </x:c>
      <x:c r="M503" s="21" t="str">
        <x:f>IFERROR(HYPERLINK("https://www.kavkaz-uzel.eu/articles/300644","Caucasian Knot"),"Caucasian Knot")</x:f>
        <x:v>Caucasian Knot</x:v>
      </x:c>
      <x:c r="N503" s="4" t="str">
        <x:v>https://amp.kavkaz-uzel.eu/articles/300402
https://www.kavkaz-uzel.com/articles/300402/
https://www.kavkaz-uzel.eu/articles/300644</x:v>
      </x:c>
      <x:c r="O503" s="4" t="str">
        <x:v>Second full-register audit source access, 26 October 2026
https://www.kavkaz-uzel.com/articles/300402/: full text (fresh retrieval)
https://www.kavkaz-uzel.eu/articles/300644: full text (fresh retrieval)
Earlier URLs not separately inspected in this second assessment:
https://amp.kavkaz-uzel.eu/articles/300402
Prior audit access record
Full-register audit source access (evidence cutoff 25 October 2026)
https://amp.kavkaz-uzel.eu/articles/300402: full text — Prospective restoration
https://www.kavkaz-uzel.eu/articles/300644: full text — No completed end
Earlier source URLs not separately listed in this audit’s retrieval log (historical access notes below are not fresh verification):
https://www.kavkaz-uzel.com/articles/300402/
Earlier recorded access
Source 1: indexed excerpt; full
Source 2: full text
Source 3: full text</x:v>
      </x:c>
      <x:c r="P503" s="20" t="n">
        <x:v>1</x:v>
      </x:c>
      <x:c r="Q503" s="4" t="str">
        <x:v>Central Asia and Caucasus</x:v>
      </x:c>
      <x:c r="R503" s="4" t="str">
        <x:v>Included</x:v>
      </x:c>
    </x:row>
    <x:row r="504" ht="294" hidden="0" customHeight="1">
      <x:c r="A504" s="16" t="str">
        <x:v>R4-SC-003</x:v>
      </x:c>
      <x:c r="B504" s="4" t="str">
        <x:v>South Ossetian de facto order closes simplified crossings for Russia's March 2018 election</x:v>
      </x:c>
      <x:c r="C504" s="4" t="str">
        <x:v>Georgia</x:v>
      </x:c>
      <x:c r="D504" s="4" t="str">
        <x:v>Simplified crossing points collectively; individual operating posts not enumerated in the order
Citizen passage at simplified crossings with Tbilisi-administered territory</x:v>
      </x:c>
      <x:c r="E504" s="4" t="str">
        <x:v>People using simplified crossings; freight scope not separately established
Direction: Not directionally disaggregated
Exceptions: Not established</x:v>
      </x:c>
      <x:c r="F504" s="4" t="str">
        <x:v>R4-SC-003-R1 — Announced window
Simplified civilian crossing points between South Ossetia and Georgian-administered territory under Russian-election security order
Start: 2018-03-17.
Scheduled endpoint: 2018-03-19.
Ordered window: 2 calendar-day difference; actual end not established</x:v>
      </x:c>
      <x:c r="G504"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04" s="4" t="str">
        <x:v>R4-SC-003-R1: 21:00 March 17 to 06:00 March 19; actual enforcement/reopening not demonstrated. Georgian-side notification is not independent observation of completed closure.
continuity: March 16 report quotes the KGB schedule March 17 21:00 to March 19 06:00 for Russian-election security. Simplified civilian crossings are the scope; neither actual enforcement across all posts nor completed reopening is observed.</x:v>
      </x:c>
      <x:c r="I504" s="4" t="str">
        <x:v>Second full-register audit, 26 October 2026: qualified. March 2018 order is a 33-hour scheduled civilian restriction; actual enforcement and return remain unobserved.</x:v>
      </x:c>
      <x:c r="J504" s="18" t="d">
        <x:v>2026-10-26T00:00:00.000Z</x:v>
      </x:c>
      <x:c r="K504" s="21" t="str">
        <x:f>IFERROR(HYPERLINK("https://www.kavkaz-uzel.eu/articles/317905","Caucasian Knot"),"Caucasian Knot")</x:f>
        <x:v>Caucasian Knot</x:v>
      </x:c>
      <x:c r="L504" s="21" t="str">
        <x:f>IFERROR(HYPERLINK("https://1tv.ge/lang/ru/news/na-vremja-vyborov-prezidenta-rossii-de-fakto-vlasti-okkupirovannogo-ckhinvali-zakroet-granicu-s-gruziej/","Georgian First Channel"),"Georgian First Channel")</x:f>
        <x:v>Georgian First Channel</x:v>
      </x:c>
      <x:c r="M504" s="21" t="str">
        <x:f>IFERROR(HYPERLINK("https://news.rambler.ru/conflicts/39375183-yuzhnaya-osetiya-zakroet-granitsu-s-gruziey-na-vremya-vyborov-prezidenta/","news.rambler.ru"),"news.rambler.ru")</x:f>
        <x:v>news.rambler.ru</x:v>
      </x:c>
      <x:c r="N504" s="4" t="str">
        <x:v>https://www.kavkaz-uzel.eu/articles/317905
https://1tv.ge/lang/ru/news/na-vremja-vyborov-prezidenta-rossii-de-fakto-vlasti-okkupirovannogo-ckhinvali-zakroet-granicu-s-gruziej/
https://news.rambler.ru/conflicts/39375183-yuzhnaya-osetiya-zakroet-granitsu-s-gruziey-na-vremya-vyborov-prezidenta/</x:v>
      </x:c>
      <x:c r="O504" s="4" t="str">
        <x:v>Second full-register audit source access, 26 October 2026
https://www.kavkaz-uzel.eu/articles/317905: full text (fresh retrieval)
Earlier URLs not separately inspected in this second assessment:
https://1tv.ge/lang/ru/news/na-vremja-vyborov-prezidenta-rossii-de-fakto-vlasti-okkupirovannogo-ckhinvali-zakroet-granicu-s-gruziej/
https://news.rambler.ru/conflicts/39375183-yuzhnaya-osetiya-zakroet-granitsu-s-gruziey-na-vremya-vyborov-prezidenta/
Prior audit access record
Full-register audit source access (evidence cutoff 25 October 2026)
https://www.kavkaz-uzel.eu/articles/317905: full text — Announcement only
Earlier source URLs not separately listed in this audit’s retrieval log (historical access notes below are not fresh verification):
https://1tv.ge/lang/ru/news/na-vremja-vyborov-prezidenta-rossii-de-fakto-vlasti-okkupirovannogo-ckhinvali-zakroet-granicu-s-gruziej/
https://news.rambler.ru/conflicts/39375183-yuzhnaya-osetiya-zakroet-granitsu-s-gruziey-na-vremya-vyborov-prezidenta/
Earlier recorded access
Source 1: indexed excerpt; full
Source 2: substantive indexed text; direct fetch inaccessible
Source 3: access detail is retained in the source catalogue.</x:v>
      </x:c>
      <x:c r="P504" s="20" t="n">
        <x:v>1</x:v>
      </x:c>
      <x:c r="Q504" s="4" t="str">
        <x:v>Central Asia and Caucasus</x:v>
      </x:c>
      <x:c r="R504" s="4" t="str">
        <x:v>Included</x:v>
      </x:c>
    </x:row>
    <x:row r="505" ht="409" hidden="0" customHeight="1">
      <x:c r="A505" s="16" t="str">
        <x:v>R4-EA-001</x:v>
      </x:c>
      <x:c r="B505" s="4" t="str">
        <x:v>Skouw suspends border services for presidential inauguration ceremony</x:v>
      </x:c>
      <x:c r="C505" s="4" t="str">
        <x:v>Indonesia; Papua New Guinea</x:v>
      </x:c>
      <x:c r="D505" s="4" t="str">
        <x:v>Skouw / Wutung
Skouw land crossing services at the Indonesia–PNG frontier</x:v>
      </x:c>
      <x:c r="E505" s="4" t="str">
        <x:v>Ordinary users of crossing services; the report discusses passport and traditional border-pass processing.
Direction: Arrival and departure processing described; category-specific implementation not separately observed.
Exceptions: Not established.</x:v>
      </x:c>
      <x:c r="F505" s="4" t="str">
        <x:v>R4-EA-001-R1 — Announced window
Ordinary PLBN Skouw border services during presidential inauguration day
Start: 2017-05-09.
Scheduled endpoint: 2017-05-09.
Ordered window: Same-day episode; no whole-day duration inferred</x:v>
      </x:c>
      <x:c r="G505" s="4" t="str">
        <x:v>Administration and service operation / Temporary service suspension
Attributed official justification
Applies to: Only the closure or restriction described by the cited source; no added temporal overlap claim
A named border official attributed the one-day service suspension to the presidential inauguration of the facility. No additional motive is inferred.</x:v>
      </x:c>
      <x:c r="H505" s="4" t="str">
        <x:v>R4-EA-001-R1: One calendar date of ordered no-service, May 9, with unknown hours. End-inclusive denotes that scheduled service date only; it does not assert 24 elapsed hours, enforcement all day, or actual May 10 resumption.</x:v>
      </x:c>
      <x:c r="I505" s="4" t="str">
        <x:v>Second full-register audit, 26 October 2026: qualified. Skouw’s May 9, 2017 no-service announcement is supported; later building visits do not prove May 10 international processing.</x:v>
      </x:c>
      <x:c r="J505" s="18" t="d">
        <x:v>2026-10-26T00:00:00.000Z</x:v>
      </x:c>
      <x:c r="K505" s="21" t="str">
        <x:f>IFERROR(HYPERLINK("https://www.antaranews.com/berita/628203/beranda-pelayanan-di-plbn-skouw-papua-ditutup-sementara","ANTARA"),"ANTARA")</x:f>
        <x:v>ANTARA</x:v>
      </x:c>
      <x:c r="L505" s="21" t="str">
        <x:f>IFERROR(HYPERLINK("https://setkab.go.id/sambutan-presiden-joko-widodo-pada-peresmian-pos-lintas-batas-negara-skouw-di-skouw-distrik-muara-tami-jayapura-papua-9-mei-2017/","Indonesia Cabinet Secretariat"),"Indonesia Cabinet Secretariat")</x:f>
        <x:v>Indonesia Cabinet Secretariat</x:v>
      </x:c>
      <x:c r="M505" s="21" t="str">
        <x:f>IFERROR(HYPERLINK("https://mandalika.antaranews.com/berita/629968/pasca-diresmikan-presiden-jokowi-pengunjung-plbn-skouw-meningkat","mandalika.antaranews.com"),"mandalika.antaranews.com")</x:f>
        <x:v>mandalika.antaranews.com</x:v>
      </x:c>
      <x:c r="N505" s="4" t="str">
        <x:v>https://www.antaranews.com/berita/628203/beranda-pelayanan-di-plbn-skouw-papua-ditutup-sementara
https://setkab.go.id/sambutan-presiden-joko-widodo-pada-peresmian-pos-lintas-batas-negara-skouw-di-skouw-distrik-muara-tami-jayapura-papua-9-mei-2017/
https://mandalika.antaranews.com/berita/629968/pasca-diresmikan-presiden-jokowi-pengunjung-plbn-skouw-meningkat
https://mediaindonesia.com/politik-dan-hukum/103975/jokowi-resmikan-plbn-skouw-di-papua</x:v>
      </x:c>
      <x:c r="O505" s="4" t="str">
        <x:v>Second full-register audit source access, 26 October 2026
https://www.antaranews.com/berita/628203/beranda-pelayanan-di-plbn-skouw-papua-ditutup-sementara: full text (fresh retrieval)
https://mandalika.antaranews.com/berita/629968/pasca-diresmikan-presiden-jokowi-pengunjung-plbn-skouw-meningkat: full text (fresh retrieval) — Attraction visitors not equivalent to border crossings.
Earlier URLs not separately inspected in this second assessment:
https://setkab.go.id/sambutan-presiden-joko-widodo-pada-peresmian-pos-lintas-batas-negara-skouw-di-skouw-distrik-muara-tami-jayapura-papua-9-mei-2017/
https://mediaindonesia.com/politik-dan-hukum/103975/jokowi-resmikan-plbn-skouw-di-papua
Prior audit access record
Full-register audit source access (evidence cutoff 25 October 2026)
https://www.antaranews.com/berita/628203/beranda-pelayanan-di-plbn-skouw-papua-ditutup-sementara: full text — See specific claim qualifications.
https://setkab.go.id/sambutan-presiden-joko-widodo-pada-peresmian-pos-lintas-batas-negara-skouw-di-skouw-distrik-muara-tami-jayapura-papua-9-mei-2017/: full text — See specific claim qualifications.
https://mandalika.antaranews.com/berita/629968/pasca-diresmikan-presiden-jokowi-pengunjung-plbn-skouw-meningkat: full text — See specific claim qualifications.
Earlier source URLs not separately listed in this audit’s retrieval log (historical access notes below are not fresh verification):
https://mediaindonesia.com/politik-dan-hukum/103975/jokowi-resmikan-plbn-skouw-di-papua
Earlier recorded access
Source 1: indexed excerpt; full
Source 2: indexed excerpt
Source 3: indexed excerpt</x:v>
      </x:c>
      <x:c r="P505" s="20" t="n">
        <x:v>1</x:v>
      </x:c>
      <x:c r="Q505" s="4" t="str">
        <x:v>East and Southeast Asia and Oceania</x:v>
      </x:c>
      <x:c r="R505" s="4" t="str">
        <x:v>Included</x:v>
      </x:c>
    </x:row>
    <x:row r="506" ht="162" hidden="0" customHeight="1">
      <x:c r="A506" s="16" t="str">
        <x:v>R4-EA-002</x:v>
      </x:c>
      <x:c r="B506" s="4" t="str">
        <x:v>Skouw announces election-day crossing suspension with urgent-travel exceptions</x:v>
      </x:c>
      <x:c r="C506" s="4" t="str">
        <x:v>Indonesia; Papua New Guinea</x:v>
      </x:c>
      <x:c r="D506" s="4" t="str">
        <x:v>Skouw / Wutung
Skouw international land gate; announced election-day suspension</x:v>
      </x:c>
      <x:c r="E506" s="4" t="str">
        <x:v>Ordinary crossing users.
Direction: Not separately specified.
Exceptions: Urgent cases and sick travellers could be allowed through.</x:v>
      </x:c>
      <x:c r="F506" s="4" t="str">
        <x:v>R4-EA-002-R1 — Announced window
PLBN Skouw election-day ordinary gate passage
Start: 2019-04-17.
Scheduled endpoint: 2019-04-17.
Ordered window: Same-day episode; no whole-day duration inferred; Scheduled until14:00WIT onApril17,2019; urgenttravel exceptions; not a24-hourclosure</x:v>
      </x:c>
      <x:c r="G506"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06" s="4" t="str">
        <x:v>R4-EA-002-R1: Start hour unspecified; urgent/sick travellers allowed. Same calendar date does not imply zero hours or completed physical reopening.</x:v>
      </x:c>
      <x:c r="I506" s="4" t="str">
        <x:v>Second full-register audit, 26 October 2026: qualified. The Skouw election suspension was scheduled for April 17, 2019 until 14:00 WIT, with urgent and sick-traveller exceptions.</x:v>
      </x:c>
      <x:c r="J506" s="18" t="d">
        <x:v>2026-10-26T00:00:00.000Z</x:v>
      </x:c>
      <x:c r="K506" s="21" t="str">
        <x:f>IFERROR(HYPERLINK("https://cenderawasihpos.jawapos.com/metropolis/10/04/2019/pemilu-plbn-skouw-ditutup/","Cenderawasih Pos"),"Cenderawasih Pos")</x:f>
        <x:v>Cenderawasih Pos</x:v>
      </x:c>
      <x:c r="L506" s="21"/>
      <x:c r="M506" s="21"/>
      <x:c r="N506" s="4" t="str">
        <x:v>https://cenderawasihpos.jawapos.com/metropolis/10/04/2019/pemilu-plbn-skouw-ditutup/</x:v>
      </x:c>
      <x:c r="O506" s="4" t="str">
        <x:v>Second full-register audit source access, 26 October 2026
https://cenderawasihpos.jawapos.com/metropolis/10/04/2019/pemilu-plbn-skouw-ditutup/: full text (fresh retrieval) — Announced window only.
Prior audit access record
Full-register audit source access (evidence cutoff 25 October 2026)
https://cenderawasihpos.jawapos.com/metropolis/10/04/2019/pemilu-plbn-skouw-ditutup/: full text — See specific claim qualifications.
Earlier recorded access
Source 1: indexed excerpt; full</x:v>
      </x:c>
      <x:c r="P506" s="20" t="n">
        <x:v>1</x:v>
      </x:c>
      <x:c r="Q506" s="4" t="str">
        <x:v>East and Southeast Asia and Oceania</x:v>
      </x:c>
      <x:c r="R506" s="4" t="str">
        <x:v>Included</x:v>
      </x:c>
    </x:row>
    <x:row r="507" ht="409" hidden="0" customHeight="1">
      <x:c r="A507" s="16" t="str">
        <x:v>R4-EA-004</x:v>
      </x:c>
      <x:c r="B507" s="4" t="str">
        <x:v>Three Pagodas selective Thai closure during fighting near Mon villages</x:v>
      </x:c>
      <x:c r="C507" s="4" t="str">
        <x:v>Thailand; Myanmar</x:v>
      </x:c>
      <x:c r="D507" s="4" t="str">
        <x:v>Three Pagodas Pass; Soi Kaset 1; paths opposite Ban Bor Yeepun and Ban Rai Oi
Three Pagodas local frontier routes; Thai travellers and regular trade/vehicle passage restricted</x:v>
      </x:c>
      <x:c r="E507" s="4" t="str">
        <x:v>Thai travellers, regular border trade and vehicles on the named passage.
Direction: Thai outbound travellers and named trade/vehicle routes restricted; Myanmar worker entry remained possible.
Exceptions: Myanmar workers allowed through one channel; separate reporting documents civilians fleeing into Thailand during the fighting.</x:v>
      </x:c>
      <x:c r="F507" s="4" t="str">
        <x:v>R4-EA-004-R1 — Observed operation
Three Pagodas Thai travellers prevented from entering Myanmar
Start: 2019-11-27.
Last confirmed: 2019-11-29. Reopening is not established.
confirmed through 2019-11-29; at least 2 calendar-day difference; reopening unknown</x:v>
      </x:c>
      <x:c r="G507"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07" s="4" t="str">
        <x:v>R4-EA-004-R1: Underlying reporting shares Bangkok Post origin; indexed access. Does not infer all freight, refugee or Myanmar worker closure; March 2020 reopening unrelated.
continuity: Thaiger's November 29 report describes Three Pagodas closure since Wednesday fighting, specifically preventing Thais entering Myanmar while Mon civilians fled into Thailand. This supports the selective November 27–29 observation; freight and returnee access cannot be assumed closed.
Source correction: the Irrawaddy article dated 18 October 2019 concerns earlier Karen–Mon fighting and predates this November 27 episode. It supplies no evidence of this closure’s continuity or reopening. December 4 villagers returning within Myanmar likewise does not establish restored Thai outbound ordinary-traveller access.</x:v>
      </x:c>
      <x:c r="I507" s="4" t="str">
        <x:v>Second full-register audit, 26 October 2026: qualified. The November 27–29 selective Three Pagodas closure is supported; worker entry and refugee admission prevent interpreting it as a complete two-way seal.</x:v>
      </x:c>
      <x:c r="J507" s="18" t="d">
        <x:v>2026-10-26T00:00:00.000Z</x:v>
      </x:c>
      <x:c r="K507" s="21" t="str">
        <x:f>IFERROR(HYPERLINK("https://www.burmalibrary.org/en/three-pagodas-border-closed-clash-in-myanmar-eases","Online Burma Library"),"Online Burma Library")</x:f>
        <x:v>Online Burma Library</x:v>
      </x:c>
      <x:c r="L507" s="21" t="str">
        <x:f>IFERROR(HYPERLINK("https://thethaiger.com/news/world/mon-refugees-continue-to-flee-myanmar-to-thailand","Thaiger / Bangkok Post"),"Thaiger / Bangkok Post")</x:f>
        <x:v>Thaiger / Bangkok Post</x:v>
      </x:c>
      <x:c r="M507" s="21" t="str">
        <x:f>IFERROR(HYPERLINK("https://monnews.org/2020/02/28/two-illegal-border-gates-in-three-pagodas-pass-closed/","IMNA"),"IMNA")</x:f>
        <x:v>IMNA</x:v>
      </x:c>
      <x:c r="N507" s="4" t="str">
        <x:v>https://www.burmalibrary.org/en/three-pagodas-border-closed-clash-in-myanmar-eases
https://thethaiger.com/news/world/mon-refugees-continue-to-flee-myanmar-to-thailand
https://monnews.org/2020/02/28/two-illegal-border-gates-in-three-pagodas-pass-closed/
https://www.bnionline.net/en/news/burma-army-mon-forces-clash-near-thai-border
https://www.bnionline.net/en/news/hundreds-refugees-remain-thailand-following-clashes-mon-border
https://myanmar-now.org/en/news/myanmar-military-violated-ceasefire-agreement-say-mon-rebels/
https://www.irrawaddy.com/news/burma/karen-mon-forces-discuss-fighting-thai-myanmar-border.html</x:v>
      </x:c>
      <x:c r="O507" s="4" t="str">
        <x:v>Second full-register audit source access, 26 October 2026
https://thethaiger.com/news/world/mon-refugees-continue-to-flee-myanmar-to-thailand: full text (fresh retrieval) — Bangkok Post lineage; not independent corroboration.
https://www.burmalibrary.org/en/three-pagodas-border-closed-clash-in-myanmar-eases: search extract (fresh retrieval) — Direct page unavailable; substantial archived description recovered by search. Archive update dates are not event dates.
Earlier URLs not separately inspected in this second assessment:
https://monnews.org/2020/02/28/two-illegal-border-gates-in-three-pagodas-pass-closed/
https://www.bnionline.net/en/news/burma-army-mon-forces-clash-near-thai-border
https://www.bnionline.net/en/news/hundreds-refugees-remain-thailand-following-clashes-mon-border
https://myanmar-now.org/en/news/myanmar-military-violated-ceasefire-agreement-say-mon-rebels/
https://www.irrawaddy.com/news/burma/karen-mon-forces-discuss-fighting-thai-myanmar-border.html
Prior audit access record
Full-register audit source access (evidence cutoff 25 October 2026)
https://thethaiger.com/news/world/mon-refugees-continue-to-flee-myanmar-to-thailand: full text — See specific claim qualifications.
https://www.burmalibrary.org/en/three-pagodas-border-closed-clash-in-myanmar-eases: search extract — Substantive archived text indexed; direct 403; same origin as Thaiger.
https://www.bnionline.net/en/news/burma-army-mon-forces-clash-near-thai-border: full text — See specific claim qualifications.
https://myanmar-now.org/en/news/myanmar-military-violated-ceasefire-agreement-say-mon-rebels/: full text — See specific claim qualifications.
https://www.irrawaddy.com/news/burma/karen-mon-forces-discuss-fighting-thai-myanmar-border.html: full text — See specific claim qualifications.
Earlier source URLs not separately listed in this audit’s retrieval log (historical access notes below are not fresh verification):
https://monnews.org/2020/02/28/two-illegal-border-gates-in-three-pagodas-pass-closed/
https://www.bnionline.net/en/news/hundreds-refugees-remain-thailand-following-clashes-mon-border
Earlier recorded access
Source 1: indexed excerpt; failed
Source 2: indexed excerpt; full
Source 3: indexed excerpt</x:v>
      </x:c>
      <x:c r="P507" s="20" t="n">
        <x:v>1</x:v>
      </x:c>
      <x:c r="Q507" s="4" t="str">
        <x:v>East and Southeast Asia and Oceania</x:v>
      </x:c>
      <x:c r="R507" s="4" t="str">
        <x:v>Included</x:v>
      </x:c>
    </x:row>
    <x:row r="508" ht="366" hidden="0" customHeight="1">
      <x:c r="A508" s="16" t="str">
        <x:v>R4-EA-003</x:v>
      </x:c>
      <x:c r="B508" s="4" t="str">
        <x:v>Poipet security barricades selectively block access to the Thailand crossing</x:v>
      </x:c>
      <x:c r="C508" s="4" t="str">
        <x:v>Cambodia; Thailand</x:v>
      </x:c>
      <x:c r="D508" s="4" t="str">
        <x:v>Poipet / Khlong Luek–Aranyaprathet
Access to Poipet international crossing via barricades on National Road 5</x:v>
      </x:c>
      <x:c r="E508" s="4" t="str">
        <x:v>Cambodian traders and residents seeking to reach the Thai market; vehicles. Tourists and casino workers initially delayed.
Direction: Observed outbound access from Cambodia; no blanket bidirectional closure inferred.
Exceptions: Casino workers were allowed past the barricades toward casinos around 08:30; this does not establish their passage across the international boundary. Foreign tourists were subsequently allowed to cross the border. Other local traders and vehicles remained blocked when reported.</x:v>
      </x:c>
      <x:c r="F508" s="4" t="str">
        <x:v>R4-EA-003-FU1 — Observed operation
National Road 5 barricades controlling Poipet crossing access
Start: unknown.
Last confirmed: 2019-11-09. Reopening is not established.
dated evidence; numeric duration withheld; see qualification</x:v>
      </x:c>
      <x:c r="G508" s="4" t="str">
        <x:v>Power and regime politics / Opposition and political reform
Reported reason
Applies to: Recorded episode; exact overlap not separately established
The recorded rationale and claim assessment support the selected subcategories. All applicable broad categories are retained together; no primary rationale is imposed.
Security / Unspecified security
Reported reason
Applies to: Recorded episode; exact overlap not separately established
The recorded rationale and claim assessment support the selected subcategories. All applicable broad categories are retained together; no primary rationale is imposed.</x:v>
      </x:c>
      <x:c r="H508" s="4" t="str">
        <x:v>R4-EA-003-FU1: Within-day status only; no full-day or ongoing closure inferred. Exact onset and final lifting time unknown.
duration: A November 9 observation can be recorded for the categories still denied access. Morning category changes and unknown lifting time prevent complete duration.
continuity: VOA's November 9 eyewitness account distinguishes morning barricades, later casino-worker/tourist passage, continued local-worker exclusion and restricted vehicles. This is selective access obstruction on the Cambodian approach, not a wholly sealed international gate or full-day closure.</x:v>
      </x:c>
      <x:c r="I508" s="4" t="str">
        <x:v>Second full-register audit, 26 October 2026: qualified. Poipet’s November 9, 2019 road barricades selectively blocked users; tourist crossing and casino access are properly distinguished.</x:v>
      </x:c>
      <x:c r="J508" s="18" t="d">
        <x:v>2026-10-26T00:00:00.000Z</x:v>
      </x:c>
      <x:c r="K508" s="21" t="str">
        <x:f>IFERROR(HYPERLINK("https://khmer.voanews.com/a/poipet-sees-heightened-security-cover-residents-prevented-from-accessing-the-border/5159099.html","VOA Khmer"),"VOA Khmer")</x:f>
        <x:v>VOA Khmer</x:v>
      </x:c>
      <x:c r="L508" s="21" t="str">
        <x:f>IFERROR(HYPERLINK("https://cc-times.com/posts/6982","Cambodia China Times"),"Cambodia China Times")</x:f>
        <x:v>Cambodia China Times</x:v>
      </x:c>
      <x:c r="M508" s="21" t="str">
        <x:f>IFERROR(HYPERLINK("https://www.euronews.com/2019/11/09/cambodian-opposition-figure-sam-rainsy-boards-plane-in-paris","Euronews"),"Euronews")</x:f>
        <x:v>Euronews</x:v>
      </x:c>
      <x:c r="N508" s="4" t="str">
        <x:v>https://khmer.voanews.com/a/poipet-sees-heightened-security-cover-residents-prevented-from-accessing-the-border/5159099.html
https://cc-times.com/posts/6982
https://www.euronews.com/2019/11/09/cambodian-opposition-figure-sam-rainsy-boards-plane-in-paris
https://vodenglish.news/poipet-military-police-detain-vod-reporters-for-three-hours/</x:v>
      </x:c>
      <x:c r="O508" s="4" t="str">
        <x:v>Second full-register audit source access, 26 October 2026
https://khmer.voanews.com/a/poipet-sees-heightened-security-cover-residents-prevented-from-accessing-the-border/5159099.html: full text (fresh retrieval) — Within-day eyewitness account; category changes explicit.
Earlier URLs not separately inspected in this second assessment:
https://cc-times.com/posts/6982
https://www.euronews.com/2019/11/09/cambodian-opposition-figure-sam-rainsy-boards-plane-in-paris
https://vodenglish.news/poipet-military-police-detain-vod-reporters-for-three-hours/
Prior audit access record
Full-register audit source access (evidence cutoff 25 October 2026)
https://khmer.voanews.com/a/poipet-sees-heightened-security-cover-residents-prevented-from-accessing-the-border/5159099.html: full text — See specific claim qualifications.
https://cc-times.com/posts/6982: full text — See specific claim qualifications.
https://vodenglish.news/poipet-military-police-detain-vod-reporters-for-three-hours/: full text — See specific claim qualifications.
Earlier source URLs not separately listed in this audit’s retrieval log (historical access notes below are not fresh verification):
https://www.euronews.com/2019/11/09/cambodian-opposition-figure-sam-rainsy-boards-plane-in-paris
Earlier recorded access
Source 1: indexed excerpt
Source 2: indexed excerpt; full
Source 3: full page</x:v>
      </x:c>
      <x:c r="P508" s="20" t="n">
        <x:v>1</x:v>
      </x:c>
      <x:c r="Q508" s="4" t="str">
        <x:v>East and Southeast Asia and Oceania</x:v>
      </x:c>
      <x:c r="R508" s="4" t="str">
        <x:v>Included</x:v>
      </x:c>
    </x:row>
    <x:row r="509" ht="409" hidden="0" customHeight="1">
      <x:c r="A509" s="16" t="str">
        <x:v>R4-EU-005</x:v>
      </x:c>
      <x:c r="B509" s="4" t="str">
        <x:v>Bosnia and Herzegovina stages pandemic foreign-entry prohibitions, March–September 2020</x:v>
      </x:c>
      <x:c r="C509" s="4" t="str">
        <x:v>Bosnia and Herzegovina; Croatia; Serbia; Montenegro</x:v>
      </x:c>
      <x:c r="D509" s="4" t="str">
        <x:v>Bosnian international land admission posts; individual first-refusal posts not named in retrieved report
Foreign-entry restriction applied at land borders; aviation closures excluded as separate measures</x:v>
      </x:c>
      <x:c r="E509" s="4" t="str">
        <x:v>Initially foreign arrivals from Italy, Iran, South Korea and specified Chinese areas; additional origins from 15 March; later non-exempt foreign entrants generally
Direction: Into Bosnia and Herzegovina
Exceptions: Bosnian citizens; later documented resident, medical, worker, civil-protection/military, freight-crew, home-transit and special-permit categories; agricultural and business easing.</x:v>
      </x:c>
      <x:c r="F509" s="4" t="str">
        <x:v>R4-EU-005-R1 — Formal policy
BiH expanded foreign-entry ban as applied to non-exempt Croatian, Serbian and Montenegrin ordinary tourists
Start: 2020-03-24 to 2020-03-25.
Policy endpoint: 2020-05-28.
Formal policy: 64–65 calendar-day difference; operational continuity not established</x:v>
      </x:c>
      <x:c r="G50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09" s="4" t="str">
        <x:v>Initial origin-specific ban was recommended March 10 and confirmed implemented March 11; precise effective onset remains bounded to March 10–11. September 12 at 06:00 is conditional formal admission, not observed first passage. The March 24–25 to May 28 phase remains scoped to non-exempt neighbouring-country tourists.
R4-EU-005-R1: Qualified formal-policy phase only. Start bounds reflect decision receipt March 24 evening and implemented refusal March 25; the original commencement clause remains unrecovered. May 28 is the legal easing date, with no effect hour or verified first passage. Exempt resident, medical, worker, freight, transit, agricultural, business, burial and specially authorized movement is excluded. May 22 Serbian-side opening and June 1 airport opening concern different directions or modes.
parent start: Recommendation and implementation are documented on successive dates, but the exact effective day is unresolved.</x:v>
      </x:c>
      <x:c r="I509" s="4" t="str">
        <x:v>Second full-register audit, 26 October 2026: qualified. Fresh implementation report and official easing notices confirm the bounded March 24–25 phase and May 28 neighbouring-national endpoint.</x:v>
      </x:c>
      <x:c r="J509" s="18" t="d">
        <x:v>2026-10-26T00:00:00.000Z</x:v>
      </x:c>
      <x:c r="K509" s="21" t="str">
        <x:f>IFERROR(HYPERLINK("https://n1info.ba/english/news/a419299-Bosnia-starts-banning-entry-to-foreign-nationals/","N1 / SRNA"),"N1 / SRNA")</x:f>
        <x:v>N1 / SRNA</x:v>
      </x:c>
      <x:c r="L509" s="21" t="str">
        <x:f>IFERROR(HYPERLINK("https://granpol.gov.ba/en/portal/post/dopuna-odluke-vijeca-ministara-bih-u-vezi-uvjeta-ulaska-u-bih-637256232000000000","Bosnia and Herzegovina Border Police"),"Bosnia and Herzegovina Border Police")</x:f>
        <x:v>Bosnia and Herzegovina Border Police</x:v>
      </x:c>
      <x:c r="M509" s="21" t="str">
        <x:f>IFERROR(HYPERLINK("https://granpol.gov.ba/en/portal/post/otvorena-granica-za-susjedne-zemlje-637263180000000000","Bosnia and Herzegovina Border Police"),"Bosnia and Herzegovina Border Police")</x:f>
        <x:v>Bosnia and Herzegovina Border Police</x:v>
      </x:c>
      <x:c r="N509" s="4" t="str">
        <x:v>https://n1info.ba/english/news/a419299-Bosnia-starts-banning-entry-to-foreign-nationals/
https://granpol.gov.ba/en/portal/post/dopuna-odluke-vijeca-ministara-bih-u-vezi-uvjeta-ulaska-u-bih-637256232000000000
https://granpol.gov.ba/en/portal/post/otvorena-granica-za-susjedne-zemlje-637263180000000000
https://www.bhdca.gov.ba/index.php/en/news/280-decision-adopted-regarding-additional-conditions-for-the-entry-of-aliens-to-bosnia-and-herzegovina
https://granpol.gov.ba/en/portal/post/dodatni-uvjeti-za-ulazak-stranih-drzavljana-u-bih-637241508000000000
https://www.vijeceministara.gov.ba/en/portal/post/council-of-ministers-of-bih-holds-its-6th-session-637262521100000000
https://english.ahram.org.eg/NewsPrint/370060.aspx
https://granpol.gov.ba/en/portal/post/otvorena-granica-s-republikom-srbijom-637257060000000000
https://vijeceministara.gov.ba/bs/portal/objava/council-of-ministers-of-bih-holds-its-16th-session-637353090590000000
https://kfgo.com/2020/05/28/bosnia-to-re-open-borders-with-neighbouring-countries-on-june-1/
https://www.slobodnaevropa.org/a/30481435.html
https://granpol.gov.ba/en/portal/post/poduzimanje-mjera-na-granicnim-prijelazima-s-ciljem-sprjecavanja-sirenja-koronavirusa-covid-19-637196580000000000
https://n1info.ba/english/news/a415449-Travel-ban-over-COVID-19-officially-in-force/
https://www.klix.ba/vijesti/bih/ministar-radoncic-dobio-podrsku-da-zabrani-ulazak-u-bih-gradjanima-iz-najzarazenijih-zemalja/200310159
https://www.slobodnaevropa.org/a/30507261.html
https://www.vijeceministara.gov.ba/en/portal/post/council-of-ministers-of-bih-holds-its-16th-session-637353090590000000
https://granpol.gov.ba/hr/portal/objava/otvorena-granica-za-susjedne-zemlje-637263180000000000</x:v>
      </x:c>
      <x:c r="O509" s="4" t="str">
        <x:v>Second full-register audit source access, 26 October 2026
https://n1info.ba/english/news/a419299-Bosnia-starts-banning-entry-to-foreign-nationals/: full text (fresh retrieval)
https://n1info.ba/english/news/a415449-Travel-ban-over-COVID-19-officially-in-force/: full text (fresh retrieval)
https://www.vijeceministara.gov.ba/en/portal/post/council-of-ministers-of-bih-holds-its-6th-session-637262521100000000: full text (fresh retrieval)
https://granpol.gov.ba/hr/portal/objava/otvorena-granica-za-susjedne-zemlje-637263180000000000: search extract (fresh retrieval) — Direct opening failed; substantive official indexed body inspected.
https://www.vijeceministara.gov.ba/en/portal/post/council-of-ministers-of-bih-holds-its-16th-session-637353090590000000: full text (fresh retrieval)
Earlier URLs not separately inspected in this second assessment:
https://granpol.gov.ba/en/portal/post/dopuna-odluke-vijeca-ministara-bih-u-vezi-uvjeta-ulaska-u-bih-637256232000000000
https://granpol.gov.ba/en/portal/post/otvorena-granica-za-susjedne-zemlje-637263180000000000
https://www.bhdca.gov.ba/index.php/en/news/280-decision-adopted-regarding-additional-conditions-for-the-entry-of-aliens-to-bosnia-and-herzegovina
https://granpol.gov.ba/en/portal/post/dodatni-uvjeti-za-ulazak-stranih-drzavljana-u-bih-637241508000000000
https://english.ahram.org.eg/NewsPrint/370060.aspx
https://granpol.gov.ba/en/portal/post/otvorena-granica-s-republikom-srbijom-637257060000000000
https://vijeceministara.gov.ba/bs/portal/objava/council-of-ministers-of-bih-holds-its-16th-session-637353090590000000
https://kfgo.com/2020/05/28/bosnia-to-re-open-borders-with-neighbouring-countries-on-june-1/
https://www.slobodnaevropa.org/a/30481435.html
https://granpol.gov.ba/en/portal/post/poduzimanje-mjera-na-granicnim-prijelazima-s-ciljem-sprjecavanja-sirenja-koronavirusa-covid-19-637196580000000000
https://www.klix.ba/vijesti/bih/ministar-radoncic-dobio-podrsku-da-zabrani-ulazak-u-bih-gradjanima-iz-najzarazenijih-zemalja/200310159
https://www.slobodnaevropa.org/a/30507261.html
Prior audit access record
Full-register audit source access (evidence cutoff 25 October 2026)
https://www.klix.ba/vijesti/bih/ministar-radoncic-dobio-podrsku-da-zabrani-ulazak-u-bih-gradjanima-iz-najzarazenijih-zemalja/200310159: full text
https://www.slobodnaevropa.org/a/30481435.html: full text
https://www.slobodnaevropa.org/a/30507261.html: full text
https://n1info.ba/english/news/a419299-Bosnia-starts-banning-entry-to-foreign-nationals/: full text
https://granpol.gov.ba/hr/portal/objava/otvorena-granica-za-susjedne-zemlje-637263180000000000: search extract
https://www.vijeceministara.gov.ba/en/portal/post/council-of-ministers-of-bih-holds-its-16th-session-637353090590000000: full text
Earlier source URLs not separately listed in this audit’s retrieval log (historical access notes below are not fresh verification):
https://granpol.gov.ba/en/portal/post/dopuna-odluke-vijeca-ministara-bih-u-vezi-uvjeta-ulaska-u-bih-637256232000000000
https://granpol.gov.ba/en/portal/post/otvorena-granica-za-susjedne-zemlje-637263180000000000
https://www.bhdca.gov.ba/index.php/en/news/280-decision-adopted-regarding-additional-conditions-for-the-entry-of-aliens-to-bosnia-and-herzegovina
https://granpol.gov.ba/en/portal/post/dodatni-uvjeti-za-ulazak-stranih-drzavljana-u-bih-637241508000000000
https://www.vijeceministara.gov.ba/en/portal/post/council-of-ministers-of-bih-holds-its-6th-session-637262521100000000
https://english.ahram.org.eg/NewsPrint/370060.aspx
https://granpol.gov.ba/en/portal/post/otvorena-granica-s-republikom-srbijom-637257060000000000
https://vijeceministara.gov.ba/bs/portal/objava/council-of-ministers-of-bih-holds-its-16th-session-637353090590000000
https://kfgo.com/2020/05/28/bosnia-to-re-open-borders-with-neighbouring-countries-on-june-1/
https://granpol.gov.ba/en/portal/post/poduzimanje-mjera-na-granicnim-prijelazima-s-ciljem-sprjecavanja-sirenja-koronavirusa-covid-19-637196580000000000
https://n1info.ba/english/news/a415449-Travel-ban-over-COVID-19-officially-in-force/
Earlier recorded access
Source 1: full
Source 2: indexed excerpt; failed
Source 3: indexed excerpt; failed</x:v>
      </x:c>
      <x:c r="P509" s="20" t="n">
        <x:v>1</x:v>
      </x:c>
      <x:c r="Q509" s="4" t="str">
        <x:v>Europe</x:v>
      </x:c>
      <x:c r="R509" s="4" t="str">
        <x:v>Included</x:v>
      </x:c>
    </x:row>
    <x:row r="510" ht="409" hidden="0" customHeight="1">
      <x:c r="A510" s="16" t="str">
        <x:v>R4-EU-002</x:v>
      </x:c>
      <x:c r="B510" s="4" t="str">
        <x:v>Lithuania prohibits non-exempt foreign entry during the first pandemic wave</x:v>
      </x:c>
      <x:c r="C510" s="4" t="str">
        <x:v>Lithuania; Latvia; Poland; Belarus; Russia</x:v>
      </x:c>
      <x:c r="D510" s="4" t="str">
        <x:v>All Lithuanian land admission routes; Saločiai–Grenstalė documented in first-day field reporting; designated road and rail posts remained available for exceptions
Nationality/residency-based admission prohibition at land and rail frontiers</x:v>
      </x:c>
      <x:c r="E510" s="4" t="str">
        <x:v>Non-exempt foreign entrants
Direction: Into Lithuania
Exceptions: Residents, international transport crews, diplomats, NATO personnel and families, authorised entrants and controlled return transit; goods movement exempt.</x:v>
      </x:c>
      <x:c r="F510" s="4" t="str">
        <x:v>R4-EU-002-D1 — Formal policy
Lithuanian prohibition of ordinary non-exempt Baltic-national/resident entry, ending at Baltic travel permission
Start: 2020-03-16.
Policy endpoint: 2020-05-15.
Formal policy: 60 calendar-day difference; operational continuity not established
R4-EU-002-C7P1 — Formal policy
Lithuanian non-exempt citizen departure prohibition during initial quarantine regime
Start: 2020-03-16.
Policy endpoint: 2020-05-04.
Formal policy: 49 calendar-day difference; operational continuity not established</x:v>
      </x:c>
      <x:c r="G51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10" s="4" t="str">
        <x:v>The inward phase is limited to ordinary non-exempt Baltic citizens and residents: March 16 to May 15, 2020. Essential and resident exceptions remained, and Baltic easing retained health and recent-travel conditions. First-day reporting observes specific refusals, not complete physical closure. The separate Lithuanian citizen-departure prohibition was revoked May 4, 2020, as stated in the FRA-commissioned country report citing Resolution 428, the OECD transport table and contemporary LRT/BNS reporting. Departure exceptions had included overseas residence/employment, crews and special permission. The original amendment and first actual post-repeal departure were not independently retrieved; the formal repeal does not end inward foreign-entry restrictions.</x:v>
      </x:c>
      <x:c r="I510" s="4" t="str">
        <x:v>Second full-register audit, 26 October 2026: qualified. Fresh official and commissioned sources confirm distinct May 4 outward and May 15 Baltic inward policy endpoints.</x:v>
      </x:c>
      <x:c r="J510" s="18" t="d">
        <x:v>2026-10-26T00:00:00.000Z</x:v>
      </x:c>
      <x:c r="K510" s="21" t="str">
        <x:f>IFERROR(HYPERLINK("https://no.mfa.lt/en/news/73/information-about-quarantine-in-the-republic-of-lithuania:1161","Lithuanian Embassy in Norway"),"Lithuanian Embassy in Norway")</x:f>
        <x:v>Lithuanian Embassy in Norway</x:v>
      </x:c>
      <x:c r="L510" s="21" t="str">
        <x:f>IFERROR(HYPERLINK("https://www.lrt.lt/naujienos/lietuvoje/2/1151712/lietuva-uzdare-siena-uzsienieciams-per-pirma-valanda-sugrazinti-latvis-ir-estas","LRT"),"LRT")</x:f>
        <x:v>LRT</x:v>
      </x:c>
      <x:c r="M510" s="21" t="str">
        <x:f>IFERROR(HYPERLINK("https://www.mfa.gov.lv/en/article/joint-statement-estonian-latvian-and-lithuanian-foreign-ministers-occasion-marking-reciprocal-lifting-covid-19-crisis-related-restrictions-movement-between-estonia-latvia-and-lithuania","Latvian Ministry of Foreign Affairs"),"Latvian Ministry of Foreign Affairs")</x:f>
        <x:v>Latvian Ministry of Foreign Affairs</x:v>
      </x:c>
      <x:c r="N510" s="4" t="str">
        <x:v>https://no.mfa.lt/en/news/73/information-about-quarantine-in-the-republic-of-lithuania:1161
https://www.lrt.lt/naujienos/lietuvoje/2/1151712/lietuva-uzdare-siena-uzsienieciams-per-pirma-valanda-sugrazinti-latvis-ir-estas
https://www.mfa.gov.lv/en/article/joint-statement-estonian-latvian-and-lithuanian-foreign-ministers-occasion-marking-reciprocal-lifting-covid-19-crisis-related-restrictions-movement-between-estonia-latvia-and-lithuania
https://en.philenews.com/international/baltics-open-europes-first-pandemic-travel-bubble-as-curbs-ease/
https://jp.mfa.lt/en/news/106/important-information-on-travel-restrictions-in-lithuania:1345
https://www.mfa.gov.lv/en/article/memorandum-understanding-latvia-lithuania-and-estonia
https://www.lrt.lt/en/news-in-english/19/1182045/lithuania-to-lift-all-border-checks-with-latvia
https://vilnius.mfa.ee/agreement-on-free-movement-between-the-baltic-states/
https://www.vestnesis.lv/op/2020/93C.1
https://no.mfa.lt/en/news/73/information-about-quarantine-in-the-republic-of-lithuania%3A1161
https://vm.ee/en/news/lifting-travel-restrictions-between-estonia-latvia-and-lithuania-land-rail-air-and-maritime
https://fra.europa.eu/sites/default/files/fra_uploads/lt_report_on_coronavirus_pandemic_may_2020.pdf
https://www.itf-oecd.org/sites/default/files/docs/lt-measures-covid19_8.pdf
https://www.lrt.lt/en/news-in-english/19/1169992/lithuania-lifts-exit-restrictions-for-citizens-airlines-to-resume-flights</x:v>
      </x:c>
      <x:c r="O510" s="4" t="str">
        <x:v>Second full-register audit source access, 26 October 2026
https://no.mfa.lt/en/news/73/information-about-quarantine-in-the-republic-of-lithuania:1161: full text (fresh retrieval)
https://vm.ee/en/news/lifting-travel-restrictions-between-estonia-latvia-and-lithuania-land-rail-air-and-maritime: full text (fresh retrieval)
https://fra.europa.eu/sites/default/files/fra_uploads/lt_report_on_coronavirus_pandemic_may_2020.pdf: full text (fresh retrieval) — Contractor report, not official FRA legal opinion; primary amendment not inspected.
Earlier URLs not separately inspected in this second assessment:
https://www.lrt.lt/naujienos/lietuvoje/2/1151712/lietuva-uzdare-siena-uzsienieciams-per-pirma-valanda-sugrazinti-latvis-ir-estas
https://www.mfa.gov.lv/en/article/joint-statement-estonian-latvian-and-lithuanian-foreign-ministers-occasion-marking-reciprocal-lifting-covid-19-crisis-related-restrictions-movement-between-estonia-latvia-and-lithuania
https://en.philenews.com/international/baltics-open-europes-first-pandemic-travel-bubble-as-curbs-ease/
https://jp.mfa.lt/en/news/106/important-information-on-travel-restrictions-in-lithuania:1345
https://www.mfa.gov.lv/en/article/memorandum-understanding-latvia-lithuania-and-estonia
https://www.lrt.lt/en/news-in-english/19/1182045/lithuania-to-lift-all-border-checks-with-latvia
https://vilnius.mfa.ee/agreement-on-free-movement-between-the-baltic-states/
https://www.vestnesis.lv/op/2020/93C.1
https://no.mfa.lt/en/news/73/information-about-quarantine-in-the-republic-of-lithuania%3A1161
https://www.itf-oecd.org/sites/default/files/docs/lt-measures-covid19_8.pdf
https://www.lrt.lt/en/news-in-english/19/1169992/lithuania-lifts-exit-restrictions-for-citizens-airlines-to-resume-flights
Prior audit access record
Full-register audit source access (evidence cutoff 25 October 2026)
https://no.mfa.lt/en/news/73/information-about-quarantine-in-the-republic-of-lithuania%3A1161: full text
https://www.lrt.lt/naujienos/lietuvoje/2/1151712/lietuva-uzdare-siena-uzsienieciams-per-pirma-valanda-sugrazinti-latvis-ir-estas: full text
https://vm.ee/en/news/lifting-travel-restrictions-between-estonia-latvia-and-lithuania-land-rail-air-and-maritime: full text
https://fra.europa.eu/sites/default/files/fra_uploads/lt_report_on_coronavirus_pandemic_may_2020.pdf: full text — Contractor report is not an official FRA legal opinion.
https://www.itf-oecd.org/sites/default/files/docs/lt-measures-covid19_8.pdf: search extract
https://www.lrt.lt/en/news-in-english/19/1169992/lithuania-lifts-exit-restrictions-for-citizens-airlines-to-resume-flights: search extract
Earlier source URLs not separately listed in this audit’s retrieval log (historical access notes below are not fresh verification):
https://no.mfa.lt/en/news/73/information-about-quarantine-in-the-republic-of-lithuania:1161
https://www.mfa.gov.lv/en/article/joint-statement-estonian-latvian-and-lithuanian-foreign-ministers-occasion-marking-reciprocal-lifting-covid-19-crisis-related-restrictions-movement-between-estonia-latvia-and-lithuania
https://en.philenews.com/international/baltics-open-europes-first-pandemic-travel-bubble-as-curbs-ease/
https://jp.mfa.lt/en/news/106/important-information-on-travel-restrictions-in-lithuania:1345
https://www.mfa.gov.lv/en/article/memorandum-understanding-latvia-lithuania-and-estonia
https://www.lrt.lt/en/news-in-english/19/1182045/lithuania-to-lift-all-border-checks-with-latvia
https://vilnius.mfa.ee/agreement-on-free-movement-between-the-baltic-states/
https://www.vestnesis.lv/op/2020/93C.1
Earlier recorded access
Source 1: full page
Source 2: search-returned article text; full page robots denial
Source 3: full page</x:v>
      </x:c>
      <x:c r="P510" s="20" t="n">
        <x:v>2</x:v>
      </x:c>
      <x:c r="Q510" s="4" t="str">
        <x:v>Europe</x:v>
      </x:c>
      <x:c r="R510" s="4" t="str">
        <x:v>Included</x:v>
      </x:c>
    </x:row>
    <x:row r="511" ht="409" hidden="0" customHeight="1">
      <x:c r="A511" s="16" t="str">
        <x:v>R4-EU-001</x:v>
      </x:c>
      <x:c r="B511" s="4" t="str">
        <x:v>Estonia prohibits non-exempt foreign entry during the first pandemic wave</x:v>
      </x:c>
      <x:c r="C511" s="4" t="str">
        <x:v>Estonia; Latvia; Russia</x:v>
      </x:c>
      <x:c r="D511" s="4" t="str">
        <x:v>Estonia–Latvia and Estonia–Russia land frontiers; Ikla–Ainaži observed at partial reopening
Admission prohibition at land/rail frontiers, alongside other modes excluded from this record</x:v>
      </x:c>
      <x:c r="E511" s="4" t="str">
        <x:v>Foreign entrants outside permitted categories; ordinary tourism affected
Direction: Into Estonia
Exceptions: Citizens/residents, authorised close family, diplomatic/military personnel, goods, essential services and immediate return transit; departure not prohibited.</x:v>
      </x:c>
      <x:c r="F511" s="4" t="str">
        <x:v>R4-EU-001-D1 — Observed operation
Ordinary non-exempt Baltic-category passenger entry to Estonia across the Latvia road frontier
Start: 2020-03-17.
Observed scoped reopening: 2020-05-15.
59 calendar-day difference; scoped endpoint only</x:v>
      </x:c>
      <x:c r="G511" s="4" t="str">
        <x:v>Health and biosecurity / Human disease control
Reported reason
Applies to: R4-EU-001-D1
Estonia introduced entry restrictions to limit the spread of COVID-19; the Baltic relaxation applied to eligible residents and legally staying persons without symptoms.</x:v>
      </x:c>
      <x:c r="H511" s="4" t="str">
        <x:v>R4-EU-001-D1: Citizens/residents and authorised essential categories were excepted as applicable; this does not describe the Russian frontier or every foreign nationality. Original March 17 order governs over later retrospective March 16 wording. Additional June admission is a different phase.</x:v>
      </x:c>
      <x:c r="I511" s="4" t="str">
        <x:v>Second full-register audit, 26 October 2026: additional source-audited corrections incorporated. See the phase, scope and qualification columns for the accepted findings.</x:v>
      </x:c>
      <x:c r="J511" s="18" t="d">
        <x:v>2026-10-26T00:00:00.000Z</x:v>
      </x:c>
      <x:c r="K511" s="21" t="str">
        <x:f>IFERROR(HYPERLINK("https://valitsus.ee/en/news/government-confirmed-decisions-reintroduction-temporary-controls-estonian-border","Government of Estonia"),"Government of Estonia")</x:f>
        <x:v>Government of Estonia</x:v>
      </x:c>
      <x:c r="L511" s="21" t="str">
        <x:f>IFERROR(HYPERLINK("https://valitsus.ee/sites/default/files/documents/2021-01/temporary_restriction_of_crossing_state_borders.pdf","Government of Estonia"),"Government of Estonia")</x:f>
        <x:v>Government of Estonia</x:v>
      </x:c>
      <x:c r="M511" s="21" t="str">
        <x:f>IFERROR(HYPERLINK("https://www.mfa.gov.lv/en/article/joint-statement-estonian-latvian-and-lithuanian-foreign-ministers-occasion-marking-reciprocal-lifting-covid-19-crisis-related-restrictions-movement-between-estonia-latvia-and-lithuania","Latvian Ministry of Foreign Affairs"),"Latvian Ministry of Foreign Affairs")</x:f>
        <x:v>Latvian Ministry of Foreign Affairs</x:v>
      </x:c>
      <x:c r="N511" s="4" t="str">
        <x:v>https://valitsus.ee/en/news/government-confirmed-decisions-reintroduction-temporary-controls-estonian-border
https://valitsus.ee/sites/default/files/documents/2021-01/temporary_restriction_of_crossing_state_borders.pdf
https://www.mfa.gov.lv/en/article/joint-statement-estonian-latvian-and-lithuanian-foreign-ministers-occasion-marking-reciprocal-lifting-covid-19-crisis-related-restrictions-movement-between-estonia-latvia-and-lithuania
https://www.euractiv.com/news/baltics-open-europes-first-pandemic-travel-bubble-as-curbs-ease/
https://valitsus.ee/en/news/government-has-eased-some-restrictions-related-covid-19
https://news.err.ee/1064921/temporary-border-controls-introduced-overnight
https://www.valitsus.ee/en/news/government-approved-memorandum-between-baltic-states-cooperation-easing-restrictions-borders
https://en.philenews.com/international/baltics-open-europes-first-pandemic-travel-bubble-as-curbs-ease/
https://www.vestnesis.lv/op/2020/93C.1</x:v>
      </x:c>
      <x:c r="O511" s="4" t="str">
        <x:v>Second full-register audit source access, 26 October 2026
https://valitsus.ee/en/news/government-confirmed-decisions-reintroduction-temporary-controls-estonian-border: full text (fresh retrieval)
https://valitsus.ee/sites/default/files/documents/2021-01/temporary_restriction_of_crossing_state_borders.pdf: full text (fresh retrieval)
https://www.valitsus.ee/en/news/government-approved-memorandum-between-baltic-states-cooperation-easing-restrictions-borders: full text (fresh retrieval)
https://en.philenews.com/international/baltics-open-europes-first-pandemic-travel-bubble-as-curbs-ease/: full text (fresh retrieval)
Earlier URLs not separately inspected in this second assessment:
https://www.mfa.gov.lv/en/article/joint-statement-estonian-latvian-and-lithuanian-foreign-ministers-occasion-marking-reciprocal-lifting-covid-19-crisis-related-restrictions-movement-between-estonia-latvia-and-lithuania
https://www.euractiv.com/news/baltics-open-europes-first-pandemic-travel-bubble-as-curbs-ease/
https://valitsus.ee/en/news/government-has-eased-some-restrictions-related-covid-19
https://news.err.ee/1064921/temporary-border-controls-introduced-overnight
https://www.vestnesis.lv/op/2020/93C.1
Prior audit access record
Full-register audit source access (evidence cutoff 25 October 2026)
https://valitsus.ee/sites/default/files/documents/2021-01/temporary_restriction_of_crossing_state_borders.pdf: full text
https://news.err.ee/1064921/temporary-border-controls-introduced-overnight: full text
https://www.valitsus.ee/en/news/government-approved-memorandum-between-baltic-states-cooperation-easing-restrictions-borders: full text
https://en.philenews.com/international/baltics-open-europes-first-pandemic-travel-bubble-as-curbs-ease/: full text
https://valitsus.ee/en/news/government-confirmed-decisions-reintroduction-temporary-controls-estonian-border: full text
https://www.mfa.gov.lv/en/article/joint-statement-estonian-latvian-and-lithuanian-foreign-ministers-occasion-marking-reciprocal-lifting-covid-19-crisis-related-restrictions-movement-between-estonia-latvia-and-lithuania: search extract — Direct open timed out; corroboration relies on full Estonian memorandum and Reuters operational account.
Earlier source URLs not separately listed in this audit’s retrieval log (historical access notes below are not fresh verification):
https://www.euractiv.com/news/baltics-open-europes-first-pandemic-travel-bubble-as-curbs-ease/
https://valitsus.ee/en/news/government-has-eased-some-restrictions-related-covid-19
https://www.vestnesis.lv/op/2020/93C.1
Earlier recorded access
Source 1: full page
Source 2: full PDF
Source 3: full page</x:v>
      </x:c>
      <x:c r="P511" s="20" t="n">
        <x:v>1</x:v>
      </x:c>
      <x:c r="Q511" s="4" t="str">
        <x:v>Europe</x:v>
      </x:c>
      <x:c r="R511" s="4" t="str">
        <x:v>Included</x:v>
      </x:c>
    </x:row>
    <x:row r="512" ht="409" hidden="0" customHeight="1">
      <x:c r="A512" s="16" t="str">
        <x:v>R4-EU-003</x:v>
      </x:c>
      <x:c r="B512" s="4" t="str">
        <x:v>Latvia prohibits non-exempt passenger movement at Russian and Belarusian land borders in March 2020</x:v>
      </x:c>
      <x:c r="C512" s="4" t="str">
        <x:v>Latvia; Russia; Belarus</x:v>
      </x:c>
      <x:c r="D512" s="4" t="str">
        <x:v>Latvia–Russia and Latvia–Belarus external-border road, rail and local crossings
External-EU land/rail and local-border-traffic crossings; internal-EU private travel excluded</x:v>
      </x:c>
      <x:c r="E512" s="4" t="str">
        <x:v>Non-exempt passengers and passenger vehicles, including Latvian citizens seeking eastern departure
Direction: Both directions, with asymmetric return and departure exceptions
Exceptions: Freight, Latvian citizen/resident return, diplomats and humanitarian/national-interest cases; outward foreign travel and additional later exemptions were permitted.</x:v>
      </x:c>
      <x:c r="F512" s="4" t="str">
        <x:v>R4-EU-003-R1 — Formal policy
Order 103 paragraph 4.17 phase for non-exempt ordinary passenger entry at Latvian Russian/Belarusian land external-border posts
Start: 2020-03-17.
Policy endpoint: 2020-06-10.
Formal policy: 85 calendar-day difference; operational continuity not established
R4-EU-003-C7P1 — Formal policy
Successor Latvian restrictions on non-exempt passenger movement at Russian and Belarusian land frontiers
Start: 2020-06-10.
Successor rule confirmed: 2020-06-10.
Scoped easing for certificate-qualified vaccinated/recovered travellers: 2021-06-16.
Inward essential-purpose restriction ended by: 2022-03-01.
Testing/certificate entry conditions removed from: 2022-04-01, except any subsequently listed high-risk origins.
Outward-rule chronology remains incomplete; no unchanged continuous duration inferred.</x:v>
      </x:c>
      <x:c r="G51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12" s="4" t="str">
        <x:v>Order 103 lost force June 10, 2020 and was replaced, rather than physically reopening all routes. Returnees, freight, transit and other exceptions persisted. Official guidance documents easing for certificate-qualified vaccinated/recovered entrants June 16, 2021 and removal of the significant-purpose entry requirement from March 1, 2022 regardless of country of entry; no specially high-risk countries were then listed. This is a latest inward policy bound, not proof that every original cohort was denied continuously until that day. Testing and certificates remained separate and were removed April 1 under the later March 29 decision. The full outward chronology, first actual passages and neighbouring-country restrictions remain unverified. Later Russia-related sanctions must not be labelled continuing COVID restrictions.</x:v>
      </x:c>
      <x:c r="I512" s="4" t="str">
        <x:v>Second full-register audit, 26 October 2026: qualified. Fresh legal text and official indexed notices support the selected original phase and qualified 2021–2022 inward easing; no COVID extension into later sanctions.</x:v>
      </x:c>
      <x:c r="J512" s="18" t="d">
        <x:v>2026-10-26T00:00:00.000Z</x:v>
      </x:c>
      <x:c r="K512" s="21" t="str">
        <x:f>IFERROR(HYPERLINK("https://www.fm.gov.lv/en/article/regarding-declaration-emergency-situation","Latvian Ministry of Finance"),"Latvian Ministry of Finance")</x:f>
        <x:v>Latvian Ministry of Finance</x:v>
      </x:c>
      <x:c r="L512" s="21" t="str">
        <x:f>IFERROR(HYPERLINK("https://faolex.fao.org/docs/pdf/lat196564LAT.pdf","Latvian Cabinet / Likumi.lv via FAOLEX"),"Latvian Cabinet / Likumi.lv via FAOLEX")</x:f>
        <x:v>Latvian Cabinet / Likumi.lv via FAOLEX</x:v>
      </x:c>
      <x:c r="M512" s="21" t="str">
        <x:f>IFERROR(HYPERLINK("https://www.rs.gov.lv/en/covid-19","Latvian State Border Guard"),"Latvian State Border Guard")</x:f>
        <x:v>Latvian State Border Guard</x:v>
      </x:c>
      <x:c r="N512" s="4" t="str">
        <x:v>https://www.fm.gov.lv/en/article/regarding-declaration-emergency-situation
https://faolex.fao.org/docs/pdf/lat196564LAT.pdf
https://www.rs.gov.lv/en/covid-19
https://likumi.lv/ta/en/en/id/313191
https://www.em.gov.lv/en/article/regarding-declaration-emergency-situation-0
https://likumi.lv/ta/id/313191-par-arkartejas-situacijas-izsludinasanu
https://www.lsm.lv/raksts/zinas/latvija/latvija-slegta-robeza-starptautiskajiem-pasazieru-parvadajumiem.a351961/
https://riga.mfa.ee/important-information-about-the-state-of-emergency-and-covid-19-in-latvia/
https://www.rs.gov.lv/en/article/june-16-requirements-entering-latvia-abroad-will-be-eased
https://www.rs.gov.lv/en/article/1-march-2022-entry-rules-will-change
https://www.rs.gov.lv/en/article/1-april-2022-no-covid-19-certificate-or-test-will-be-required-when-entering-latvia
https://www.rs.gov.lv/lv/jaunums/no-16-junija-tiks-atvieglotas-prasibas-iecelosanai-latvija-no-arvalstim</x:v>
      </x:c>
      <x:c r="O512" s="4" t="str">
        <x:v>Second full-register audit source access, 26 October 2026
https://faolex.fao.org/docs/pdf/lat196564LAT.pdf: full text (fresh retrieval)
https://www.rs.gov.lv/en/article/1-march-2022-entry-rules-will-change: search extract (fresh retrieval) — Direct page timed out; substantive official indexed text inspected.
https://www.rs.gov.lv/lv/jaunums/no-16-junija-tiks-atvieglotas-prasibas-iecelosanai-latvija-no-arvalstim: search extract (fresh retrieval) — Substantive official indexed text.
https://www.rs.gov.lv/en/article/1-april-2022-no-covid-19-certificate-or-test-will-be-required-when-entering-latvia: search extract (fresh retrieval) — Direct page timed out; complete indexed body inspected.
Earlier URLs not separately inspected in this second assessment:
https://www.fm.gov.lv/en/article/regarding-declaration-emergency-situation
https://www.rs.gov.lv/en/covid-19
https://likumi.lv/ta/en/en/id/313191
https://www.em.gov.lv/en/article/regarding-declaration-emergency-situation-0
https://likumi.lv/ta/id/313191-par-arkartejas-situacijas-izsludinasanu
https://www.lsm.lv/raksts/zinas/latvija/latvija-slegta-robeza-starptautiskajiem-pasazieru-parvadajumiem.a351961/
https://riga.mfa.ee/important-information-about-the-state-of-emergency-and-covid-19-in-latvia/
https://www.rs.gov.lv/en/article/june-16-requirements-entering-latvia-abroad-will-be-eased
Prior audit access record
Full-register audit source access (evidence cutoff 25 October 2026)
https://faolex.fao.org/docs/pdf/lat196564LAT.pdf: full text
https://www.rs.gov.lv/en/covid-19: search extract
https://www.rs.gov.lv/en/article/june-16-requirements-entering-latvia-abroad-will-be-eased: search extract
https://www.rs.gov.lv/en/article/1-march-2022-entry-rules-will-change: search extract
https://www.rs.gov.lv/en/article/1-april-2022-no-covid-19-certificate-or-test-will-be-required-when-entering-latvia: search extract
Earlier source URLs not separately listed in this audit’s retrieval log (historical access notes below are not fresh verification):
https://www.fm.gov.lv/en/article/regarding-declaration-emergency-situation
https://likumi.lv/ta/en/en/id/313191
https://www.em.gov.lv/en/article/regarding-declaration-emergency-situation-0
https://likumi.lv/ta/id/313191-par-arkartejas-situacijas-izsludinasanu
https://www.lsm.lv/raksts/zinas/latvija/latvija-slegta-robeza-starptautiskajiem-pasazieru-parvadajumiem.a351961/
https://riga.mfa.ee/important-information-about-the-state-of-emergency-and-covid-19-in-latvia/
Earlier recorded access
Source 1: indexed excerpt
Source 2: full
Source 3: indexed excerpt; indexed extract</x:v>
      </x:c>
      <x:c r="P512" s="20" t="n">
        <x:v>2</x:v>
      </x:c>
      <x:c r="Q512" s="4" t="str">
        <x:v>Europe</x:v>
      </x:c>
      <x:c r="R512" s="4" t="str">
        <x:v>Included</x:v>
      </x:c>
    </x:row>
    <x:row r="513" ht="409" hidden="0" customHeight="1">
      <x:c r="A513" s="16" t="str">
        <x:v>R4-EU-004</x:v>
      </x:c>
      <x:c r="B513" s="4" t="str">
        <x:v>Croatia restricts non-exempt personal border crossing in March–May 2020</x:v>
      </x:c>
      <x:c r="C513" s="4" t="str">
        <x:v>Croatia; Slovenia; Hungary; Serbia; Bosnia and Herzegovina; Montenegro</x:v>
      </x:c>
      <x:c r="D513" s="4" t="str">
        <x:v>Croatian road and rail frontiers; no claim that every crossing was physically barricaded
Personal crossing prohibition at all border posts; land component retained here</x:v>
      </x:c>
      <x:c r="E513" s="4" t="str">
        <x:v>Non-exempt personal movement; freight personnel and transit remained permitted
Direction: Both directions under the legal order, with nationality and purpose exceptions
Exceptions: Croatian return and departure to country of work/residence; EU/Schengen home return; medical, frontier worker, freight, diplomatic, emergency and transit categories. Later business/property exceptions.</x:v>
      </x:c>
      <x:c r="F513" s="4" t="str">
        <x:v>R4-EU-004-D1 — Formal policy
Croatia's personal-crossing prohibition regime, ending here at exemption of ten named EU nationalities
Start: 2020-03-19.
Policy endpoint: 2020-05-28.
Formal policy: 70 calendar-day difference; operational continuity not established</x:v>
      </x:c>
      <x:c r="G51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13" s="4" t="str">
        <x:v>R4-EU-004-D1: Regime-level formal partial easing, not invariant denial of all members of those nationalities or all-border traffic. Earlier business/property and essential exceptions persisted; May 29 publication is not the effective endpoint. No first physical passage is claimed.</x:v>
      </x:c>
      <x:c r="I513" s="4" t="str">
        <x:v>Second full-register audit, 26 October 2026: qualified. Operative gazette clauses confirm March 19 onset and May 28 partial easing, rather than May 29 publication.</x:v>
      </x:c>
      <x:c r="J513" s="18" t="d">
        <x:v>2026-10-26T00:00:00.000Z</x:v>
      </x:c>
      <x:c r="K513" s="21" t="str">
        <x:f>IFERROR(HYPERLINK("https://narodne-novine.nn.hr/clanci/sluzbeni/2020_03_32_714.html","Narodne novine"),"Narodne novine")</x:f>
        <x:v>Narodne novine</x:v>
      </x:c>
      <x:c r="L513" s="21" t="str">
        <x:f>IFERROR(HYPERLINK("https://narodne-novine.nn.hr/clanci/sluzbeni/full/2020_05_64_1280.html","Narodne novine"),"Narodne novine")</x:f>
        <x:v>Narodne novine</x:v>
      </x:c>
      <x:c r="M513" s="21" t="str">
        <x:f>IFERROR(HYPERLINK("https://mvep.gov.hr/print.aspx?id=177914&amp;url=print","Croatian Ministry of Foreign and European Affairs"),"Croatian Ministry of Foreign and European Affairs")</x:f>
        <x:v>Croatian Ministry of Foreign and European Affairs</x:v>
      </x:c>
      <x:c r="N513" s="4" t="str">
        <x:v>https://narodne-novine.nn.hr/clanci/sluzbeni/2020_03_32_714.html
https://narodne-novine.nn.hr/clanci/sluzbeni/full/2020_05_64_1280.html
https://mvep.gov.hr/print.aspx?id=177914&amp;url=print
https://www.croatiaweek.com/croatia-imposes-new-restrictions-concerning-cross-border-traffic/
https://mint.gov.hr/print.aspx?id=21223&amp;url=print
https://home-affairs.ec.europa.eu/system/files/2021-08/croatia_arm2020_part2_en.pdf
https://narodne-novine.nn.hr/clanci/sluzbeni/2020_05_64_1280.html
https://www.mfa.gr/missionsabroad/en/croatia-en/news/announcement-by-the-embassy-of-the-hellenic-republic-in-croatia-13052020.html</x:v>
      </x:c>
      <x:c r="O513" s="4" t="str">
        <x:v>Second full-register audit source access, 26 October 2026
https://narodne-novine.nn.hr/clanci/sluzbeni/2020_03_32_714.html: full text (fresh retrieval)
https://narodne-novine.nn.hr/clanci/sluzbeni/full/2020_05_64_1280.html: full text (fresh retrieval)
Earlier URLs not separately inspected in this second assessment:
https://mvep.gov.hr/print.aspx?id=177914&amp;url=print
https://www.croatiaweek.com/croatia-imposes-new-restrictions-concerning-cross-border-traffic/
https://mint.gov.hr/print.aspx?id=21223&amp;url=print
https://home-affairs.ec.europa.eu/system/files/2021-08/croatia_arm2020_part2_en.pdf
https://narodne-novine.nn.hr/clanci/sluzbeni/2020_05_64_1280.html
https://www.mfa.gr/missionsabroad/en/croatia-en/news/announcement-by-the-embassy-of-the-hellenic-republic-in-croatia-13052020.html
Prior audit access record
Full-register audit source access (evidence cutoff 25 October 2026)
https://narodne-novine.nn.hr/clanci/sluzbeni/2020_03_32_714.html: full text
https://narodne-novine.nn.hr/clanci/sluzbeni/2020_05_64_1280.html: full text
Earlier source URLs not separately listed in this audit’s retrieval log (historical access notes below are not fresh verification):
https://narodne-novine.nn.hr/clanci/sluzbeni/full/2020_05_64_1280.html
https://mvep.gov.hr/print.aspx?id=177914&amp;url=print
https://www.croatiaweek.com/croatia-imposes-new-restrictions-concerning-cross-border-traffic/
https://mint.gov.hr/print.aspx?id=21223&amp;url=print
https://home-affairs.ec.europa.eu/system/files/2021-08/croatia_arm2020_part2_en.pdf
https://www.mfa.gr/missionsabroad/en/croatia-en/news/announcement-by-the-embassy-of-the-hellenic-republic-in-croatia-13052020.html
Earlier recorded access
Source 1: full legal text
Source 2: full legal text
Source 3: full page</x:v>
      </x:c>
      <x:c r="P513" s="20" t="n">
        <x:v>1</x:v>
      </x:c>
      <x:c r="Q513" s="4" t="str">
        <x:v>Europe</x:v>
      </x:c>
      <x:c r="R513" s="4" t="str">
        <x:v>Included</x:v>
      </x:c>
    </x:row>
    <x:row r="514" ht="409" hidden="0" customHeight="1">
      <x:c r="A514" s="16" t="str">
        <x:v>R4-EU-006</x:v>
      </x:c>
      <x:c r="B514" s="4" t="str">
        <x:v>Slovak hauliers obstruct freight at Vyšné Nemecké–Uzhhorod, 1–4 December 2023</x:v>
      </x:c>
      <x:c r="C514" s="4" t="str">
        <x:v>Slovakia; Ukraine</x:v>
      </x:c>
      <x:c r="D514" s="4" t="str">
        <x:v>Vyšné Nemecké–Uzhhorod road crossing and its Slovak approach
Intentional throttling of freight access at one international road crossing</x:v>
      </x:c>
      <x:c r="E514" s="4" t="str">
        <x:v>Ordinary commercial trucks, prominently on the route into Ukraine; not all passenger movement
Direction: Freight access at the crossing; evidence particularly documents Slovak-side queues toward Ukraine, not identical restriction in both directions
Exceptions: Four ordinary trucks per hour reportedly admitted; humanitarian and military consignments, fuel, live animals and fresh/refrigerated goods exempt. Passenger cars and buses unaffected.</x:v>
      </x:c>
      <x:c r="F514" s="4" t="str">
        <x:v>R4-EU-006-D1 — Observed operation
Intentional throttling of freight access at one international road crossing; Ordinary commercial trucks, prominently on the route into Ukraine; not all passenger movement; Freight access at the crossing; evidence particularly documents Slovak-side queues toward Ukraine, not identical restriction in both directions
Start: 2023-12-01, reported 15:00.
Observed scoped reopening: 2023-12-04, reported 22:00.
3 calendar-day difference; scoped endpoint only</x:v>
      </x:c>
      <x:c r="G514" s="4" t="str">
        <x:v>Trade and protectionism / Trade and transport protests
Reported reason
Applies to: R4-EU-006-D1
UNAS demanded restoration of permits for Ukrainian road hauliers, attributing unfair competition and pressure on Slovak transport jobs to permit-free access.</x:v>
      </x:c>
      <x:c r="H514" s="4" t="str">
        <x:v>R4-EU-006-D1: Partial controlled throughput continued during the blockade. The endpoint report gives 22:00 without an explicit timezone; no exact hour-duration computed. Related recurrences are separate leads. Four ordinary trucks per hour reportedly admitted; humanitarian and military consignments, fuel, live animals and fresh/refrigerated goods exempt. Passenger cars and buses unaffected.</x:v>
      </x:c>
      <x:c r="I514" s="4" t="str">
        <x:v>Second full-register audit, 26 October 2026: additional source-audited corrections incorporated. See the phase, scope and qualification columns for the accepted findings.</x:v>
      </x:c>
      <x:c r="J514" s="18" t="d">
        <x:v>2026-10-26T00:00:00.000Z</x:v>
      </x:c>
      <x:c r="K514" s="21" t="str">
        <x:f>IFERROR(HYPERLINK("https://spravy.stvr.sk/2023/12/unia-autodopravcov-zablokovala-hranicny-priechod-vysne-nemecke-obmedzenie-ma-trvat-do-odvolania/","RTVS / STVR"),"RTVS / STVR")</x:f>
        <x:v>RTVS / STVR</x:v>
      </x:c>
      <x:c r="L514" s="21" t="str">
        <x:f>IFERROR(HYPERLINK("https://spravy.stvr.sk/2023/12/unia-autodopravcov-slovenska-uz-druhy-den-blokuje-hranicny-priechod-vysne-nemecke-postavili-sa-na-stranu-polskych-kamionistov/","RTVS / STVR"),"RTVS / STVR")</x:f>
        <x:v>RTVS / STVR</x:v>
      </x:c>
      <x:c r="M514" s="21" t="str">
        <x:f>IFERROR(HYPERLINK("https://t.me/s/DPSUkr?before=16604","State Border Guard Service of Ukraine official Telegram"),"State Border Guard Service of Ukraine official Telegram")</x:f>
        <x:v>State Border Guard Service of Ukraine official Telegram</x:v>
      </x:c>
      <x:c r="N514" s="4" t="str">
        <x:v>https://spravy.stvr.sk/2023/12/unia-autodopravcov-zablokovala-hranicny-priechod-vysne-nemecke-obmedzenie-ma-trvat-do-odvolania/
https://spravy.stvr.sk/2023/12/unia-autodopravcov-slovenska-uz-druhy-den-blokuje-hranicny-priechod-vysne-nemecke-postavili-sa-na-stranu-polskych-kamionistov/
https://t.me/s/DPSUkr?before=16604
https://cyprus-mail.com/2023/12/01/slovak-truckers-block-ukraine-border-crossing-joining-polish-protests
https://en.lb.ua/news/2023/12/05/24594_truck_traffic_slovakiaukraine.html
https://t.me/s/DPSUkr/16582
https://www.ukrinform.net/rubric-economy/3798487-slovak-carriers-to-block-only-trucks-leaving-ukraine-customs.html
https://www.pravda.com.ua/eng/news/2023/12/01/7431259/
https://english.nv.ua/business/truck-traffic-on-the-border-with-slovakia-is-being-restored-50376811.html
https://www.rferl.org/a/slovak-truckers-end-blockate-ukraine-border/32732069.html</x:v>
      </x:c>
      <x:c r="O514" s="4" t="str">
        <x:v>Second full-register audit source access, 26 October 2026
https://spravy.stvr.sk/2023/12/unia-autodopravcov-zablokovala-hranicny-priechod-vysne-nemecke-obmedzenie-ma-trvat-do-odvolania/: full text (fresh retrieval)
https://spravy.stvr.sk/2023/12/unia-autodopravcov-slovenska-uz-druhy-den-blokuje-hranicny-priechod-vysne-nemecke-postavili-sa-na-stranu-polskych-kamionistov/: full text (fresh retrieval)
https://cyprus-mail.com/2023/12/01/slovak-truckers-block-ukraine-border-crossing-joining-polish-protests: full text (fresh retrieval)
https://en.lb.ua/news/2023/12/05/24594_truck_traffic_slovakiaukraine.html: full text (fresh retrieval)
https://t.me/s/DPSUkr/16582: full text (fresh retrieval)
Earlier URLs not separately inspected in this second assessment:
https://t.me/s/DPSUkr?before=16604
https://www.ukrinform.net/rubric-economy/3798487-slovak-carriers-to-block-only-trucks-leaving-ukraine-customs.html
https://www.pravda.com.ua/eng/news/2023/12/01/7431259/
https://english.nv.ua/business/truck-traffic-on-the-border-with-slovakia-is-being-restored-50376811.html
https://www.rferl.org/a/slovak-truckers-end-blockate-ukraine-border/32732069.html
Prior audit access record
Full-register audit source access (evidence cutoff 25 October 2026)
https://spravy.stvr.sk/2023/12/unia-autodopravcov-zablokovala-hranicny-priechod-vysne-nemecke-obmedzenie-ma-trvat-do-odvolania/: full text
https://spravy.stvr.sk/2023/12/unia-autodopravcov-slovenska-uz-druhy-den-blokuje-hranicny-priechod-vysne-nemecke-postavili-sa-na-stranu-polskych-kamionistov/: full text
https://t.me/s/DPSUkr/16582: full text
https://en.lb.ua/news/2023/12/05/24594_truck_traffic_slovakiaukraine.html: full text
Earlier source URLs not separately listed in this audit’s retrieval log (historical access notes below are not fresh verification):
https://t.me/s/DPSUkr?before=16604
https://cyprus-mail.com/2023/12/01/slovak-truckers-block-ukraine-border-crossing-joining-polish-protests
https://www.ukrinform.net/rubric-economy/3798487-slovak-carriers-to-block-only-trucks-leaving-ukraine-customs.html
https://www.pravda.com.ua/eng/news/2023/12/01/7431259/
https://english.nv.ua/business/truck-traffic-on-the-border-with-slovakia-is-being-restored-50376811.html
https://www.rferl.org/a/slovak-truckers-end-blockate-ukraine-border/32732069.html
Earlier recorded access
Source 1: full text
Source 2: full text
Source 3: full official channel text</x:v>
      </x:c>
      <x:c r="P514" s="20" t="n">
        <x:v>1</x:v>
      </x:c>
      <x:c r="Q514" s="4" t="str">
        <x:v>Europe</x:v>
      </x:c>
      <x:c r="R514" s="4" t="str">
        <x:v>Included</x:v>
      </x:c>
    </x:row>
    <x:row r="515" ht="409" hidden="0" customHeight="1">
      <x:c r="A515" s="16" t="str">
        <x:v>R4-AES-002</x:v>
      </x:c>
      <x:c r="B515" s="4" t="str">
        <x:v>Malaba truck blockade over COVID testing charges in January 2022</x:v>
      </x:c>
      <x:c r="C515" s="4" t="str">
        <x:v>Kenya; Uganda</x:v>
      </x:c>
      <x:c r="D515" s="4" t="str">
        <x:v>Malaba
Kenya-to-Uganda truck approach and crossing at Malaba</x:v>
      </x:c>
      <x:c r="E515" s="4" t="str">
        <x:v>Uganda-bound trucks and cargo, including fuel; passenger prohibition not established.
Direction: Kenya to Uganda; broader bilateral closure not established.
Exceptions: Reverse-direction trucks and Busia flows were reported operating in the early phase.</x:v>
      </x:c>
      <x:c r="F515" s="4" t="str">
        <x:v>R4-AES-002-R1 — Observed operation
Initial Kenya-to-Uganda truck stoppage at Malaba
Start: 2022-01-01 to 2022-01-03.
Last confirmed: 2022-01-07. The Star reports drivers resuming work on 2022-01-11; exact first truck passage remains unestablished.
confirmed through 2022-01-07; at least 4 calendar-day difference; later reported resumption January 11; traffic normalization not established</x:v>
      </x:c>
      <x:c r="G515" s="4" t="str">
        <x:v>Policy and socioeconomic demands / Opposition to health policies
Reported reason
Truck drivers opposed Uganda’s charges for repeated COVID-19 tests despite Kenyan certificates and the shortened validity of those certificates.</x:v>
      </x:c>
      <x:c r="H515" s="4" t="str">
        <x:v>R4-AES-002-R1: Onset bounds retain January 1 versus January 3 reporting. Only Kenya-to-Uganda trucks at Malaba are covered; Busia and reverse-direction traffic are not generalized. The January 11 Star report describes drivers resuming work after demands were met. This supplies a reported strike-end bound, not clearance of the accumulated queue or independently timed first passage. Other January 11 continuation accounts remain in the source record; the precise sequence and geographical scope of those reports remain unresolved. Do not infer that later queues prove a continuing deliberate blockade.</x:v>
      </x:c>
      <x:c r="I515" s="4" t="str">
        <x:v>Second full-register audit, 26 October 2026: additional source-audited corrections incorporated. See the phase, scope and qualification columns for the accepted findings.</x:v>
      </x:c>
      <x:c r="J515" s="18" t="d">
        <x:v>2026-10-26T00:00:00.000Z</x:v>
      </x:c>
      <x:c r="K515" s="21" t="str">
        <x:f>IFERROR(HYPERLINK("https://www.standardmedia.co.ke/health/amp/national/article/2001433667/truck-drivers-at-kenya-uganda-border-on-strike-over-covid-19-tests","The Standard"),"The Standard")</x:f>
        <x:v>The Standard</x:v>
      </x:c>
      <x:c r="L515" s="21" t="str">
        <x:f>IFERROR(HYPERLINK("https://www.the-star.co.ke/sports/football/2022-01-06-striking-truck-drivers-reject-covid-19-testing-fees-reduction-offer","The Star"),"The Star")</x:f>
        <x:v>The Star</x:v>
      </x:c>
      <x:c r="M515" s="21" t="str">
        <x:f>IFERROR(HYPERLINK("https://www.theeastafrican.co.ke/tea/business-tech/kenyan-truckers-strike-3678976","The EastAfrican"),"The EastAfrican")</x:f>
        <x:v>The EastAfrican</x:v>
      </x:c>
      <x:c r="N515" s="4" t="str">
        <x:v>https://www.standardmedia.co.ke/health/amp/national/article/2001433667/truck-drivers-at-kenya-uganda-border-on-strike-over-covid-19-tests
https://www.the-star.co.ke/sports/football/2022-01-06-striking-truck-drivers-reject-covid-19-testing-fees-reduction-offer
https://www.theeastafrican.co.ke/tea/business-tech/kenyan-truckers-strike-3678976
https://www.the-star.co.ke/in-pictures/2022-01-11-truck-drivers-end-strike-after-uganda-heeds-to-demands
https://www.the-star.co.ke/counties/central/2022-01-06-striking-truck-drivers-reject-covid-19-testing-fees-reduction-offer
https://www.monitor.co.ug/uganda/news/national/truck-drivers-protest-covid-testing-fee-at-malaba-border-3671772
https://www.the-star.co.ke/sports/football/2022-01-11-truck-drivers-end-strike-after-uganda-heeds-to-demands
https://www.freightnews.co.za/article/covid-induced-malaba-impasse-resolved
https://www.the-star.co.ke/counties/central/2022-01-11-truck-drivers-end-strike-after-uganda-heeds-to-demands
https://www.theeastafrican.co.ke/tea/business-tech/kenyan-truckers-call-of-strike-uganda-border-3678644
https://www.standardmedia.co.ke/amp/business/national/article/2001433667/truck-drivers-at-kenya-uganda-border-on-strike-over-covid-19-tests
https://www.the-star.co.ke/news/realtime/2022-01-06-striking-truck-drivers-reject-covid-19-testing-fees-reduction-offer
https://www.monitor.co.ug/uganda/news/national/10-000-uganda-bound-trucks-stuck-in-kenya-3689104
https://www.ugandaradionetwork.net/story/truck-drivers-protest-against-covid-19-testing-fees-at-malaba-border-point
https://www.the-star.co.ke/sports/athletics/2022-01-23-kenya-uganda-suspend-cargo-scanning-to-clear-malaba-backlog
https://the-star.co.ke/sports/athletics/2022-01-25-ugandan-motorists-flock-kenyan-petrol-stations-for-cheaper-fuel</x:v>
      </x:c>
      <x:c r="O515" s="4" t="str">
        <x:v>Second full-register audit source access, 26 October 2026
https://www.standardmedia.co.ke/amp/business/national/article/2001433667/truck-drivers-at-kenya-uganda-border-on-strike-over-covid-19-tests: full text (fresh retrieval)
https://www.ugandaradionetwork.net/story/truck-drivers-protest-against-covid-19-testing-fees-at-malaba-border-point: search extract (fresh retrieval) — Subscriber body not inspected.
https://www.freightnews.co.za/article/covid-induced-malaba-impasse-resolved: full text (fresh retrieval)
https://www.theeastafrican.co.ke/tea/business-tech/kenyan-truckers-strike-3678976: search extract (fresh retrieval) — Full indexed article; direct access limited.
Earlier URLs not separately inspected in this second assessment:
https://www.standardmedia.co.ke/health/amp/national/article/2001433667/truck-drivers-at-kenya-uganda-border-on-strike-over-covid-19-tests
https://www.the-star.co.ke/sports/football/2022-01-06-striking-truck-drivers-reject-covid-19-testing-fees-reduction-offer
https://www.the-star.co.ke/in-pictures/2022-01-11-truck-drivers-end-strike-after-uganda-heeds-to-demands
https://www.the-star.co.ke/counties/central/2022-01-06-striking-truck-drivers-reject-covid-19-testing-fees-reduction-offer
https://www.monitor.co.ug/uganda/news/national/truck-drivers-protest-covid-testing-fee-at-malaba-border-3671772
https://www.the-star.co.ke/sports/football/2022-01-11-truck-drivers-end-strike-after-uganda-heeds-to-demands
https://www.the-star.co.ke/counties/central/2022-01-11-truck-drivers-end-strike-after-uganda-heeds-to-demands
https://www.theeastafrican.co.ke/tea/business-tech/kenyan-truckers-call-of-strike-uganda-border-3678644
https://www.the-star.co.ke/news/realtime/2022-01-06-striking-truck-drivers-reject-covid-19-testing-fees-reduction-offer
https://www.monitor.co.ug/uganda/news/national/10-000-uganda-bound-trucks-stuck-in-kenya-3689104
https://www.the-star.co.ke/sports/athletics/2022-01-23-kenya-uganda-suspend-cargo-scanning-to-clear-malaba-backlog
https://the-star.co.ke/sports/athletics/2022-01-25-ugandan-motorists-flock-kenyan-petrol-stations-for-cheaper-fuel
Prior audit access record
Full-register audit source access (evidence cutoff 25 October 2026)
https://www.monitor.co.ug/uganda/news/national/truck-drivers-protest-covid-testing-fee-at-malaba-border-3671772: full text
https://www.the-star.co.ke/counties/central/2022-01-11-truck-drivers-end-strike-after-uganda-heeds-to-demands: full text
Earlier source URLs not separately listed in this audit’s retrieval log (historical access notes below are not fresh verification):
https://www.standardmedia.co.ke/health/amp/national/article/2001433667/truck-drivers-at-kenya-uganda-border-on-strike-over-covid-19-tests
https://www.the-star.co.ke/sports/football/2022-01-06-striking-truck-drivers-reject-covid-19-testing-fees-reduction-offer
https://www.theeastafrican.co.ke/tea/business-tech/kenyan-truckers-strike-3678976
https://www.the-star.co.ke/in-pictures/2022-01-11-truck-drivers-end-strike-after-uganda-heeds-to-demands
https://www.the-star.co.ke/counties/central/2022-01-06-striking-truck-drivers-reject-covid-19-testing-fees-reduction-offer
https://www.the-star.co.ke/sports/football/2022-01-11-truck-drivers-end-strike-after-uganda-heeds-to-demands
https://www.freightnews.co.za/article/covid-induced-malaba-impasse-resolved
https://www.theeastafrican.co.ke/tea/business-tech/kenyan-truckers-call-of-strike-uganda-border-3678644
https://www.standardmedia.co.ke/amp/business/national/article/2001433667/truck-drivers-at-kenya-uganda-border-on-strike-over-covid-19-tests
https://www.the-star.co.ke/news/realtime/2022-01-06-striking-truck-drivers-reject-covid-19-testing-fees-reduction-offer
https://www.monitor.co.ug/uganda/news/national/10-000-uganda-bound-trucks-stuck-in-kenya-3689104
https://www.ugandaradionetwork.net/story/truck-drivers-protest-against-covid-19-testing-fees-at-malaba-border-point
https://www.the-star.co.ke/sports/athletics/2022-01-23-kenya-uganda-suspend-cargo-scanning-to-clear-malaba-backlog
https://the-star.co.ke/sports/athletics/2022-01-25-ugandan-motorists-flock-kenyan-petrol-stations-for-cheaper-fuel
Earlier recorded access
Source 1: full; full text
Source 2: indexed excerpt
Source 3: full; full text</x:v>
      </x:c>
      <x:c r="P515" s="20" t="n">
        <x:v>1</x:v>
      </x:c>
      <x:c r="Q515" s="4" t="str">
        <x:v>Great Lakes</x:v>
      </x:c>
      <x:c r="R515" s="4" t="str">
        <x:v>Included</x:v>
      </x:c>
    </x:row>
    <x:row r="516" ht="390" hidden="0" customHeight="1">
      <x:c r="A516" s="16" t="str">
        <x:v>R4-ME-003</x:v>
      </x:c>
      <x:c r="B516" s="4" t="str">
        <x:v>Exceptional extended Sukkot restriction on West Bank and Gaza crossings, October 2017</x:v>
      </x:c>
      <x:c r="C516" s="4" t="str">
        <x:v>Israel; Palestine (West Bank and Gaza)</x:v>
      </x:c>
      <x:c r="D516" s="4" t="str">
        <x:v>West Bank crossings and Gaza Erez; cargo conditions differed
Palestinian movement through Israeli-controlled crossings of disputed/de facto boundaries</x:v>
      </x:c>
      <x:c r="E516" s="4" t="str">
        <x:v>Palestinians otherwise eligible to cross; categories and destinations differed
Direction: Mainly movement out of West Bank/Gaza; category-specific operation
Exceptions: Approved humanitarian, medical and exceptional cases; some earlier passenger and cargo movement is recorded.</x:v>
      </x:c>
      <x:c r="F516" s="4" t="str">
        <x:v>R4-ME-003-D1 — Observed operation
Erez business-category passenger passage only
Start: 2017-10-04.
Observed scoped reopening: 2017-10-08.
4 calendar-day difference; scoped endpoint only
R4-ME-003-R2 — Observed operation
Erez business-category passenger passage only
Start: 2017-10-11.
Scoped endpoint: 2017-10-15.
4 calendar-day difference; scoped endpoint only</x:v>
      </x:c>
      <x:c r="G516" s="4" t="str">
        <x:v>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x:v>
      </x:c>
      <x:c r="H516" s="4" t="str">
        <x:v>Erez business passage occurred October 8–10 during the extended holiday restriction, then resumed October 15 after another interruption. October 15 is not the first partial reopening. Actual restoration across the whole West Bank is unestablished; medical, other passenger and cargo movements followed separate schedules.
R4-ME-003-D1: First Erez business-category interruption only. PCHR records business passage and partial opening on October 8–10; humanitarian and other categories moved earlier. Calendar span includes ordinary non-operating days and does not measure additional working days lost.
R4-ME-003-R2: Does not imply total Erez closure: medical and other categories crossed earlier. Calendar dates include ordinary non-operating days; no precise hours or lost working-day count inferred.</x:v>
      </x:c>
      <x:c r="I516" s="4" t="str">
        <x:v>Second full-register audit, 26 October 2026: qualified. PCHR category counts confirm the two distinct Erez business interruptions, with business passage between them. The eleven-day announced restriction cannot be treated as eleven uninterrupted days of total closure.</x:v>
      </x:c>
      <x:c r="J516" s="18" t="d">
        <x:v>2026-10-26T00:00:00.000Z</x:v>
      </x:c>
      <x:c r="K516" s="21" t="str">
        <x:f>IFERROR(HYPERLINK("https://www.timesofisrael.com/israel-to-impose-11-day-closure-on-west-bank-gaza-for-sukkot-holiday/amp/","The Times of Israel"),"The Times of Israel")</x:f>
        <x:v>The Times of Israel</x:v>
      </x:c>
      <x:c r="L516" s="21" t="str">
        <x:f>IFERROR(HYPERLINK("https://pchrgaza.org/weekly-report-on-israeli-human-rights-violations-in-the-occupied-palestinian-territory-12-18-october-2017/","Palestinian Centre for Human Rights"),"Palestinian Centre for Human Rights")</x:f>
        <x:v>Palestinian Centre for Human Rights</x:v>
      </x:c>
      <x:c r="M516" s="21" t="str">
        <x:f>IFERROR(HYPERLINK("https://pchrgaza.org/weekly-report-on-israeli-human-rights-violations-in-the-occupied-palestinian-territory-05-11-october-2017/","pchrgaza.org"),"pchrgaza.org")</x:f>
        <x:v>pchrgaza.org</x:v>
      </x:c>
      <x:c r="N516" s="4" t="str">
        <x:v>https://www.timesofisrael.com/israel-to-impose-11-day-closure-on-west-bank-gaza-for-sukkot-holiday/amp/
https://pchrgaza.org/weekly-report-on-israeli-human-rights-violations-in-the-occupied-palestinian-territory-12-18-october-2017/
https://pchrgaza.org/weekly-report-on-israeli-human-rights-violations-in-the-occupied-palestinian-territory-05-11-october-2017/
https://2017-2021.state.gov/reports/2017-country-reports-on-human-rights-practices/israel-golan-heights-west-bank-and-gaza/israel-golan-heights-west-bank-and-gaza-west-bank-and-gaza/</x:v>
      </x:c>
      <x:c r="O516" s="4" t="str">
        <x:v>Second full-register audit source access, 26 October 2026
https://www.timesofisrael.com/israel-to-impose-11-day-closure-on-west-bank-gaza-for-sukkot-holiday/amp/: full text (fresh retrieval)
https://pchrgaza.org/weekly-report-on-israeli-human-rights-violations-in-the-occupied-palestinian-territory-05-11-october-2017/: full text (fresh retrieval)
https://pchrgaza.org/weekly-report-on-israeli-human-rights-violations-in-the-occupied-palestinian-territory-12-18-october-2017/: full text (fresh retrieval)
Earlier URLs not separately inspected in this second assessment:
https://2017-2021.state.gov/reports/2017-country-reports-on-human-rights-practices/israel-golan-heights-west-bank-and-gaza/israel-golan-heights-west-bank-and-gaza-west-bank-and-gaza/
Prior audit access record
Full-register audit source access (evidence cutoff 25 October 2026)
https://www.timesofisrael.com/israel-to-impose-11-day-closure-on-west-bank-gaza-for-sukkot-holiday/amp/: full text
https://pchrgaza.org/weekly-report-on-israeli-human-rights-violations-in-the-occupied-palestinian-territory-05-11-october-2017/: full text
https://pchrgaza.org/weekly-report-on-israeli-human-rights-violations-in-the-occupied-palestinian-territory-12-18-october-2017/: full text
Earlier source URLs not separately listed in this audit’s retrieval log (historical access notes below are not fresh verification):
https://2017-2021.state.gov/reports/2017-country-reports-on-human-rights-practices/israel-golan-heights-west-bank-and-gaza/israel-golan-heights-west-bank-and-gaza-west-bank-and-gaza/
Earlier recorded access
Source 1: full page
Source 2: full relevant report and tables
Source 3: access detail is retained in the source catalogue.</x:v>
      </x:c>
      <x:c r="P516" s="20" t="n">
        <x:v>2</x:v>
      </x:c>
      <x:c r="Q516" s="4" t="str">
        <x:v>Middle East</x:v>
      </x:c>
      <x:c r="R516" s="4" t="str">
        <x:v>Included</x:v>
      </x:c>
    </x:row>
    <x:row r="517" ht="409" hidden="0" customHeight="1">
      <x:c r="A517" s="16" t="str">
        <x:v>R4-ME-001</x:v>
      </x:c>
      <x:c r="B517" s="4" t="str">
        <x:v>Khosravi and Chazzabeh pilgrimage restrictions during Iraqi unrest, October 2019</x:v>
      </x:c>
      <x:c r="C517" s="4" t="str">
        <x:v>Iran; Iraq</x:v>
      </x:c>
      <x:c r="D517" s="4" t="str">
        <x:v>Khosravi and Chazzabeh / Chazabeh
Pilgrim departures at two crossings with different reopening phases</x:v>
      </x:c>
      <x:c r="E517" s="4" t="str">
        <x:v>Pilgrims travelling from Iran into Iraq
Direction: Iran to Iraq; reverse direction unresolved
Exceptions: Chazzabeh had an earlier reported reopening; return travel and cargo are not established.</x:v>
      </x:c>
      <x:c r="F517" s="4" t="str">
        <x:v>R4-ME-001-R1 — Observed operation
Khosravi suspension of departing Iranian Arbaeen pilgrims using Baghdad route
Start: 2019-10-02 to 2019-10-03.
Observed scoped reopening: 2019-10-06 to 2019-10-07.
3–5 calendar-day difference; scoped endpoint only</x:v>
      </x:c>
      <x:c r="G517" s="4" t="str">
        <x:v>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17" s="4" t="str">
        <x:v>R4-ME-001-R1: Restriction on departing pilgrims using the Baghdad route, not proof of a physically sealed gate. Anadolu’s October 6 Persian report is a same-day reopening announcement; its English report and Iran Press describe Sunday reopening. Tasnim and AFP/ISNA reporting describe Monday morning reopening, with the latter reporting that a group of pilgrims departed. Thus passage is documented by October 7, while the exact first resumption within October 6–7 and clock times remain uncertain. Chazzabeh reopened earlier according to Reuters and is excluded from this Khosravi interval, as are freight and reverse-direction movement.</x:v>
      </x:c>
      <x:c r="I517" s="4" t="str">
        <x:v>Second full-register audit, 26 October 2026: additional source-audited corrections incorporated. See the phase, scope and qualification columns for the accepted findings.</x:v>
      </x:c>
      <x:c r="J517" s="18" t="d">
        <x:v>2026-10-26T00:00:00.000Z</x:v>
      </x:c>
      <x:c r="K517" s="21" t="str">
        <x:f>IFERROR(HYPERLINK("https://www.tasnimnews.ir/en/news/2019/10/07/2113276/iran-s-khosravi-border-crossing-reopens-to-pilgrims-visiting-iraq/amp","Tasnim"),"Tasnim")</x:f>
        <x:v>Tasnim</x:v>
      </x:c>
      <x:c r="L517" s="21" t="str">
        <x:f>IFERROR(HYPERLINK("https://www.euronews.com/2019/10/04/ahead-of-pilgrimage-iran-border-crossing-closed-due-to-iraq-unrest","Euronews"),"Euronews")</x:f>
        <x:v>Euronews</x:v>
      </x:c>
      <x:c r="M517" s="21" t="str">
        <x:f>IFERROR(HYPERLINK("https://www.aa.com.tr/en/middle-east/iraq-104-killed-in-demonstrations-since-oct1/1603958","Anadolu"),"Anadolu")</x:f>
        <x:v>Anadolu</x:v>
      </x:c>
      <x:c r="N517" s="4" t="str">
        <x:v>https://www.tasnimnews.ir/en/news/2019/10/07/2113276/iran-s-khosravi-border-crossing-reopens-to-pilgrims-visiting-iraq/amp
https://www.aa.com.tr/fa/%D8%A7%DB%8C%D8%B1%D8%A7%D9%86/%D9%85%D8%B1%D8%B2-%D8%AE%D8%B3%D8%B1%D9%88%DB%8C-%D8%A7%DB%8C%D8%B1%D8%A7%D9%86-%D8%A8%D8%A7-%D8%B9%D8%B1%D8%A7%D9%82-%D9%85%D8%AC%D8%AF%D8%AF%D8%A7-%D8%A8%D8%A7%D8%B2-%D9%85%DB%8C-%D8%B4%D9%88%D8%AF/1603537
https://www.euronews.com/2019/10/04/ahead-of-pilgrimage-iran-border-crossing-closed-due-to-iraq-unrest
https://www.aa.com.tr/en/middle-east/iraq-104-killed-in-demonstrations-since-oct1/1603958
https://aa.com.tr/en/middle-east/iraq-104-killed-in-demonstrations-since-oct1/1603958
https://www.arabnews.pk/node/1563496/middle-east
https://iranpress.com/tag/8114-arbaeen-great-walk-arbaeen-great-walk/6
https://www.vista.sahafi.jo/art.php?id=f20abc984e570b30ab9d59cf11a89c8c9f55f691
https://www.tasnimnews.ir/en/news/2019/10/07/2113276/iran-s-khosravi-border-crossing-reopens-to-pilgrims-visiting-iraq
https://iranpress.com/content/14509/khosravi-border-will-reopened-friday
https://www.aa.com.tr/fa/ایران/مرز-خسروی-ایران-با-عراق-مجددا-باز-می-شود/1603537
https://www.arabnews.com/middle-east/iran-says-two-border-crossings-to-iraq-closed-because-of-unrest-in-iraq-1563496
https://www.newarab.com/news/iran-re-opens-iraqi-border-amid-violent-protests</x:v>
      </x:c>
      <x:c r="O517" s="4" t="str">
        <x:v>Second full-register audit source access, 26 October 2026
https://www.tasnimnews.ir/en/news/2019/10/07/2113276/iran-s-khosravi-border-crossing-reopens-to-pilgrims-visiting-iraq: full text (fresh retrieval)
https://www.euronews.com/2019/10/04/ahead-of-pilgrimage-iran-border-crossing-closed-due-to-iraq-unrest: full text (fresh retrieval)
https://www.aa.com.tr/fa/ایران/مرز-خسروی-ایران-با-عراق-مجددا-باز-می-شود/1603537: full text (fresh retrieval)
https://aa.com.tr/en/middle-east/iraq-104-killed-in-demonstrations-since-oct1/1603958: search extract (fresh retrieval)
https://www.newarab.com/news/iran-re-opens-iraqi-border-amid-violent-protests: full text (fresh retrieval)
Earlier URLs not separately inspected in this second assessment:
https://www.tasnimnews.ir/en/news/2019/10/07/2113276/iran-s-khosravi-border-crossing-reopens-to-pilgrims-visiting-iraq/amp
https://www.aa.com.tr/fa/%D8%A7%DB%8C%D8%B1%D8%A7%D9%86/%D9%85%D8%B1%D8%B2-%D8%AE%D8%B3%D8%B1%D9%88%DB%8C-%D8%A7%DB%8C%D8%B1%D8%A7%D9%86-%D8%A8%D8%A7-%D8%B9%D8%B1%D8%A7%D9%82-%D9%85%D8%AC%D8%AF%D8%AF%D8%A7-%D8%A8%D8%A7%D8%B2-%D9%85%DB%8C-%D8%B4%D9%88%D8%AF/1603537
https://www.aa.com.tr/en/middle-east/iraq-104-killed-in-demonstrations-since-oct1/1603958
https://www.arabnews.pk/node/1563496/middle-east
https://iranpress.com/tag/8114-arbaeen-great-walk-arbaeen-great-walk/6
https://www.vista.sahafi.jo/art.php?id=f20abc984e570b30ab9d59cf11a89c8c9f55f691
https://iranpress.com/content/14509/khosravi-border-will-reopened-friday
https://www.arabnews.com/middle-east/iran-says-two-border-crossings-to-iraq-closed-because-of-unrest-in-iraq-1563496
Prior audit access record
Full-register audit source access (evidence cutoff 25 October 2026)
https://www.tasnimnews.ir/en/news/2019/10/07/2113276/iran-s-khosravi-border-crossing-reopens-to-pilgrims-visiting-iraq/amp: full text
https://www.euronews.com/2019/10/04/ahead-of-pilgrimage-iran-border-crossing-closed-due-to-iraq-unrest: full text
https://iranpress.com/tag/8114-arbaeen-great-walk-arbaeen-great-walk/6: search extract — Archive summary only; not independent gate observation.
https://www.arabnews.com/middle-east/iran-says-two-border-crossings-to-iraq-closed-because-of-unrest-in-iraq-1563496: search extract
https://iranpress.com/content/14509/khosravi-border-will-reopened-friday: search extract — Direct URL returned 502; no completed first departure established.
Earlier source URLs not separately listed in this audit’s retrieval log (historical access notes below are not fresh verification):
https://www.aa.com.tr/fa/%D8%A7%DB%8C%D8%B1%D8%A7%D9%86/%D9%85%D8%B1%D8%B2-%D8%AE%D8%B3%D8%B1%D9%88%DB%8C-%D8%A7%DB%8C%D8%B1%D8%A7%D9%86-%D8%A8%D8%A7-%D8%B9%D8%B1%D8%A7%D9%82-%D9%85%D8%AC%D8%AF%D8%AF%D8%A7-%D8%A8%D8%A7%D8%B2-%D9%85%DB%8C-%D8%B4%D9%88%D8%AF/1603537
https://www.aa.com.tr/en/middle-east/iraq-104-killed-in-demonstrations-since-oct1/1603958
https://aa.com.tr/en/middle-east/iraq-104-killed-in-demonstrations-since-oct1/1603958
https://www.arabnews.pk/node/1563496/middle-east
https://www.vista.sahafi.jo/art.php?id=f20abc984e570b30ab9d59cf11a89c8c9f55f691
https://www.tasnimnews.ir/en/news/2019/10/07/2113276/iran-s-khosravi-border-crossing-reopens-to-pilgrims-visiting-iraq
https://www.aa.com.tr/fa/ایران/مرز-خسروی-ایران-با-عراق-مجددا-باز-می-شود/1603537
Earlier recorded access
Source 1: full
Source 2: indexed excerpt
Source 3: failed</x:v>
      </x:c>
      <x:c r="P517" s="20" t="n">
        <x:v>1</x:v>
      </x:c>
      <x:c r="Q517" s="4" t="str">
        <x:v>Middle East</x:v>
      </x:c>
      <x:c r="R517" s="4" t="str">
        <x:v>Included</x:v>
      </x:c>
    </x:row>
    <x:row r="518" ht="409" hidden="0" customHeight="1">
      <x:c r="A518" s="16" t="str">
        <x:v>R4-ME-002</x:v>
      </x:c>
      <x:c r="B518" s="4" t="str">
        <x:v>Mehran prohibition on direct truck entry into Iraq, October 2019</x:v>
      </x:c>
      <x:c r="C518" s="4" t="str">
        <x:v>Iran; Iraq</x:v>
      </x:c>
      <x:c r="D518" s="4" t="str">
        <x:v>Mehran
Direct entry of Iranian / transit trucks; transshipment remained permitted</x:v>
      </x:c>
      <x:c r="E518" s="4" t="str">
        <x:v>Trucks crossing into Iraq; goods transferred onto Iraqi trucks were treated separately
Direction: Truck entry from Iran into Iraq
Exceptions: Cargo delivery to Iraqi trucks at the Mehran terminal was expressly allowed.</x:v>
      </x:c>
      <x:c r="F518" s="4" t="str">
        <x:v>R4-ME-002-D1 — Observed operation
Direct Iranian/transit truck entry into Iraq at Mehran, excluding transshipment
Start: 2019-10-30.
Last confirmed: 2019-11-03. Reopening is not established.
confirmed through 2019-11-03; at least 4 calendar-day difference; reopening unknown</x:v>
      </x:c>
      <x:c r="G518" s="4" t="str">
        <x:v>Security / Public order and immediate safety
Attributed official justification
Applies to: Recorded episode; exact overlap not separately established
The recorded rationale and claim assessment support the selected subcategories. All applicable broad categories are retained together; no primary rationale is imposed.</x:v>
      </x:c>
      <x:c r="H518" s="4" t="str">
        <x:v>R4-ME-002-D1: Confirmed through November 3 only, not a reopening or later persistence claim. The Persian customs interview was recovered in this audit as a substantive indexed extract: ordinary cargo transshipment continued, while direct truck delivery at Mehran remained suspended. This is official-interview evidence, not direct gate observation. Passenger accounts conflict and remain excluded. The November 25 general reopening account also says loaded trucks had continued to pass, without distinguishing truck nationality or transshipment; it cannot securely date the end of this direct-entry restriction. English and Persian relays of the same officials are not independent confirmations.</x:v>
      </x:c>
      <x:c r="I518" s="4" t="str">
        <x:v>Second full-register audit, 26 October 2026: additional source-audited corrections incorporated. See the phase, scope and qualification columns for the accepted findings.</x:v>
      </x:c>
      <x:c r="J518" s="18" t="d">
        <x:v>2026-10-26T00:00:00.000Z</x:v>
      </x:c>
      <x:c r="K518" s="21" t="str">
        <x:f>IFERROR(HYPERLINK("https://www.aa.com.tr/en/middle-east/iran-closes-border-crossing-with-protest-hit-iraq/1630775","aa.com.tr"),"aa.com.tr")</x:f>
        <x:v>aa.com.tr</x:v>
      </x:c>
      <x:c r="L518" s="21" t="str">
        <x:f>IFERROR(HYPERLINK("https://www.tasnimnews.ir/fa/news/1398/08/08/2129852/مرز-مهران-تا-اطلاع-ثانوی-بسته-شد","tasnimnews.ir"),"tasnimnews.ir")</x:f>
        <x:v>tasnimnews.ir</x:v>
      </x:c>
      <x:c r="M518" s="21" t="str">
        <x:f>IFERROR(HYPERLINK("https://asrkhabar.com/fa/news/165403/فعالیت-تجاری-هیچ-مرزی-با-عراق-متوقف-نیس/","asrkhabar.com"),"asrkhabar.com")</x:f>
        <x:v>asrkhabar.com</x:v>
      </x:c>
      <x:c r="N518" s="4" t="str">
        <x:v>https://www.aa.com.tr/en/middle-east/iran-closes-border-crossing-with-protest-hit-iraq/1630775
https://www.tasnimnews.ir/fa/news/1398/08/08/2129852/مرز-مهران-تا-اطلاع-ثانوی-بسته-شد
https://asrkhabar.com/fa/news/165403/فعالیت-تجاری-هیچ-مرزی-با-عراق-متوقف-نیس/
https://www.sarpoosh.com/religion/hajj-shrine/hajj-shrine980801506.html
https://www.aa.com.tr/tr/dunya/iran-ile-irak-arasindaki-mehran-sinir-kapisi-yeniden-acildi/1654577
https://shafaq.com/amp/en/Economy/iraq-confirms-zurbatia-port-with-iran-is-open
https://asrkhabar.com/fa/news/165403/%D9%81%D8%B9%D8%A7%D9%84%DB%8C%D8%AA-%D8%AA%D8%AC%D8%A7%D8%B1%DB%8C-%D9%87%DB%8C%DA%86-%D9%85%D8%B1%D8%B2%DB%8C-%D8%A8%D8%A7-%D8%B9%D8%B1%D8%A7%D9%82-%D9%85%D8%AA%D9%88%D9%82%D9%81-%D9%86%DB%8C%D8%B3/
https://www.hurriyetdailynews.com/amp/iran-closes-border-crossing-with-protest-hit-iraq-148103</x:v>
      </x:c>
      <x:c r="O518" s="4" t="str">
        <x:v>Second full-register audit source access, 26 October 2026
https://www.aa.com.tr/en/middle-east/iran-closes-border-crossing-with-protest-hit-iraq/1630775: full text (fresh retrieval)
https://www.tasnimnews.ir/fa/news/1398/08/08/2129852/مرز-مهران-تا-اطلاع-ثانوی-بسته-شد: search extract (fresh retrieval)
https://asrkhabar.com/fa/news/165403/%D9%81%D8%B9%D8%A7%D9%84%DB%8C%D8%AA-%D8%AA%D8%AC%D8%A7%D8%B1%DB%8C-%D9%87%DB%8C%DA%86-%D9%85%D8%B1%D8%B2%DB%8C-%D8%A8%D8%A7-%D8%B9%D8%B1%D8%A7%D9%82-%D9%85%D8%AA%D9%88%D9%82%D9%81-%D9%86%DB%8C%D8%B3/: search extract (fresh retrieval) — Direct retrieval failed; substantive Persian indexed interview recovered.
https://www.aa.com.tr/tr/dunya/iran-ile-irak-arasindaki-mehran-sinir-kapisi-yeniden-acildi/1654577: full text (fresh retrieval)
Earlier URLs not separately inspected in this second assessment:
https://asrkhabar.com/fa/news/165403/فعالیت-تجاری-هیچ-مرزی-با-عراق-متوقف-نیس/
https://www.sarpoosh.com/religion/hajj-shrine/hajj-shrine980801506.html
https://shafaq.com/amp/en/Economy/iraq-confirms-zurbatia-port-with-iran-is-open
https://www.hurriyetdailynews.com/amp/iran-closes-border-crossing-with-protest-hit-iraq-148103
Prior audit access record
Full-register audit source access (evidence cutoff 25 October 2026)
https://www.aa.com.tr/en/middle-east/iran-closes-border-crossing-with-protest-hit-iraq/1630775: full text
https://asrkhabar.com/fa/news/165403/فعالیت-تجاری-هیچ-مرزی-با-عراق-متوقف-نیس/: search extract — Direct URL inaccessible
https://www.aa.com.tr/tr/dunya/iran-ile-irak-arasindaki-mehran-sinir-kapisi-yeniden-acildi/1654577: full text
Earlier source URLs not separately listed in this audit’s retrieval log (historical access notes below are not fresh verification):
https://www.tasnimnews.ir/fa/news/1398/08/08/2129852/مرز-مهران-تا-اطلاع-ثانوی-بسته-شد
https://www.sarpoosh.com/religion/hajj-shrine/hajj-shrine980801506.html
https://shafaq.com/amp/en/Economy/iraq-confirms-zurbatia-port-with-iran-is-open
https://asrkhabar.com/fa/news/165403/%D9%81%D8%B9%D8%A7%D9%84%DB%8C%D8%AA-%D8%AA%D8%AC%D8%A7%D8%B1%DB%8C-%D9%87%DB%8C%DA%86-%D9%85%D8%B1%D8%B2%DB%8C-%D8%A8%D8%A7-%D8%B9%D8%B1%D8%A7%D9%82-%D9%85%D8%AA%D9%88%D9%82%D9%81-%D9%86%DB%8C%D8%B3/
https://www.hurriyetdailynews.com/amp/iran-closes-border-crossing-with-protest-hit-iraq-148103
Earlier recorded access
Source 1: indexed excerpt
Source 2: full
Source 3: indexed excerpt</x:v>
      </x:c>
      <x:c r="P518" s="20" t="n">
        <x:v>1</x:v>
      </x:c>
      <x:c r="Q518" s="4" t="str">
        <x:v>Middle East</x:v>
      </x:c>
      <x:c r="R518" s="4" t="str">
        <x:v>Included</x:v>
      </x:c>
    </x:row>
    <x:row r="519" ht="409" hidden="0" customHeight="1">
      <x:c r="A519" s="16" t="str">
        <x:v>R4-ME-004</x:v>
      </x:c>
      <x:c r="B519" s="4" t="str">
        <x:v>Erez and Kerem Shalom hostilities restrictions, November 2019</x:v>
      </x:c>
      <x:c r="C519" s="4" t="str">
        <x:v>Israel; Palestine (Gaza)</x:v>
      </x:c>
      <x:c r="D519" s="4" t="str">
        <x:v>Erez / Beit Hanoun and Kerem Shalom / Karm Abu Salem
Passenger and goods crossings on the Gaza–Israel de facto boundary</x:v>
      </x:c>
      <x:c r="E519" s="4" t="str">
        <x:v>Previously eligible passengers and ordinary goods traffic
Direction: Crossing movements both ways, with separate goods categories
Exceptions: Erez exceptional cases on November 13–14; indirect report of power-plant fuel permitted November 14.</x:v>
      </x:c>
      <x:c r="F519" s="4" t="str">
        <x:v>R4-ME-004-R1 — Observed operation
Kerem Shalom non-fuel goods imports during hostilities
Start: 2019-11-12.
Last conflict-related closed day: 2019-11-14. Goods reopening reported on 2019-11-17, following the weekend.
confirmed through 2019-11-14; at least 2 calendar-day difference; exact first reopening and continuous conflict-related duration not established</x:v>
      </x:c>
      <x:c r="G519"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x:v>
      </x:c>
      <x:c r="H519" s="4" t="str">
        <x:v>PCHR’s November 21 report explicitly records Kerem Shalom goods reopening on Sunday November 17, 2019. OCHA independently describes the conflict-related import shutdown as November 12–14; the intervening weekend should not be added as conflict closure. Use November 17 as a completed-action reopening bound, with November 14 retained as the last conflict-related closed day; do not call this five continuous conflict-closure days.</x:v>
      </x:c>
      <x:c r="I519" s="4" t="str">
        <x:v>Second full-register audit, 26 October 2026: qualified. Non-fuel goods were closed during November 12–14 hostilities, with completed reopening reported November 17. The weekend should remain distinct from conflict-related closure time.</x:v>
      </x:c>
      <x:c r="J519" s="18" t="d">
        <x:v>2026-10-26T00:00:00.000Z</x:v>
      </x:c>
      <x:c r="K519" s="21" t="str">
        <x:f>IFERROR(HYPERLINK("https://www.ochaopt.org/sites/default/files/gaza_crossings_operations_status_november_2019.pdf","UN OCHA"),"UN OCHA")</x:f>
        <x:v>UN OCHA</x:v>
      </x:c>
      <x:c r="L519" s="21" t="str">
        <x:f>IFERROR(HYPERLINK("https://www.timesofisrael.com/liveblog_entry/gaza-crossings-remain-closed-amid-pij-rocket-fire/","Times of Israel"),"Times of Israel")</x:f>
        <x:v>Times of Israel</x:v>
      </x:c>
      <x:c r="M519" s="21" t="str">
        <x:f>IFERROR(HYPERLINK("https://www.arabnews.com/middle-east/truce-ends-deadly-clashes-across-gaza-border-1583861","Arab News"),"Arab News")</x:f>
        <x:v>Arab News</x:v>
      </x:c>
      <x:c r="N519" s="4" t="str">
        <x:v>https://www.ochaopt.org/sites/default/files/gaza_crossings_operations_status_november_2019.pdf
https://www.timesofisrael.com/liveblog_entry/gaza-crossings-remain-closed-amid-pij-rocket-fire/
https://www.arabnews.com/middle-east/truce-ends-deadly-clashes-across-gaza-border-1583861
https://www.israelnationalnews.com/news/271608
https://pchrgaza.org/weekly-report-on-israeli-human-rights-violations-in-the-occupied-palestinian-territory-14-20-november-2019/
https://www.un.org/unispal/ngo-action-news-14-november-2019/
https://www.timesofisrael.com/liveblog-november-14-2019/amp/</x:v>
      </x:c>
      <x:c r="O519" s="4" t="str">
        <x:v>Second full-register audit source access, 26 October 2026
https://www.ochaopt.org/sites/default/files/gaza_crossings_operations_status_november_2019.pdf: full text (fresh retrieval)
https://pchrgaza.org/weekly-report-on-israeli-human-rights-violations-in-the-occupied-palestinian-territory-14-20-november-2019/: full text (fresh retrieval)
https://www.ochaopt.org/sites/default/files/gaza_crossings_operations_status_november_2019.pdf: full text (fresh retrieval)
Earlier URLs not separately inspected in this second assessment:
https://www.timesofisrael.com/liveblog_entry/gaza-crossings-remain-closed-amid-pij-rocket-fire/
https://www.arabnews.com/middle-east/truce-ends-deadly-clashes-across-gaza-border-1583861
https://www.israelnationalnews.com/news/271608
https://www.un.org/unispal/ngo-action-news-14-november-2019/
https://www.timesofisrael.com/liveblog-november-14-2019/amp/
Prior audit access record
Full-register audit source access (evidence cutoff 25 October 2026)
https://www.ochaopt.org/sites/default/files/gaza_crossings_operations_status_november_2019.pdf: full text
https://pchrgaza.org/weekly-report-on-israeli-human-rights-violations-in-the-occupied-palestinian-territory-14-20-november-2019/: full text
Earlier source URLs not separately listed in this audit’s retrieval log (historical access notes below are not fresh verification):
https://www.timesofisrael.com/liveblog_entry/gaza-crossings-remain-closed-amid-pij-rocket-fire/
https://www.arabnews.com/middle-east/truce-ends-deadly-clashes-across-gaza-border-1583861
https://www.israelnationalnews.com/news/271608
https://www.un.org/unispal/ngo-action-news-14-november-2019/
https://www.timesofisrael.com/liveblog-november-14-2019/amp/
Earlier recorded access
Source 1: full
Source 2: indexed excerpt
Source 3: indexed excerpt</x:v>
      </x:c>
      <x:c r="P519" s="20" t="n">
        <x:v>1</x:v>
      </x:c>
      <x:c r="Q519" s="4" t="str">
        <x:v>Middle East</x:v>
      </x:c>
      <x:c r="R519" s="4" t="str">
        <x:v>Included</x:v>
      </x:c>
    </x:row>
    <x:row r="520" ht="409" hidden="0" customHeight="1">
      <x:c r="A520" s="16" t="str">
        <x:v>R4-AWN-003</x:v>
      </x:c>
      <x:c r="B520" s="4" t="str">
        <x:v>Guerguerat COVID passenger closure, March 2020 to November 2021 permission</x:v>
      </x:c>
      <x:c r="C520" s="4" t="str">
        <x:v>Morocco; Mauritania; Western Sahara</x:v>
      </x:c>
      <x:c r="D520" s="4" t="str">
        <x:v>Guerguerat / El Guerguerate
Passenger crossing between Moroccan-administered Western Sahara and Mauritania</x:v>
      </x:c>
      <x:c r="E520" s="4" t="str">
        <x:v>Travellers and private or tourist vehicles; mixed passenger/goods transport was affected.
Direction: Both directions for ordinary travellers.
Exceptions: Professional freight traffic remained permitted under the health regime.</x:v>
      </x:c>
      <x:c r="F520" s="4" t="str">
        <x:v>R4-AWN-003-D1 — Formal policy
Ordinary passenger restriction at Guerguerat between Moroccan-administered Western Sahara and Mauritania
Start: 2020-03-18.
Policy endpoint: 2021-11-09 to 2021-11-10.
Formal policy: 601–602 calendar-day difference; operational continuity not established</x:v>
      </x:c>
      <x:c r="G52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20" s="4" t="str">
        <x:v>R4-AWN-003-D1: Formal passenger permission period, not observed first traffic or all-traffic closure. Freight remained permitted; separate protest blockade overlaps geographically but is not added to this duration. Disputed-territory description is retained.</x:v>
      </x:c>
      <x:c r="I520" s="4" t="str">
        <x:v>Second full-register audit, 26 October 2026: qualified. The passenger-only March 18, 2020 restriction and November 9–10, 2021 permission bounds are sound. Contemporary reopening reporting is more precise than retrospective shorthand.</x:v>
      </x:c>
      <x:c r="J520" s="18" t="d">
        <x:v>2026-10-26T00:00:00.000Z</x:v>
      </x:c>
      <x:c r="K520" s="21" t="str">
        <x:f>IFERROR(HYPERLINK("https://www.lemonde.fr/afrique/article/2020/03/25/des-transporteurs-senegalais-bloques-en-plein-desert-entre-casablanca-et-dakar_6034417_3212.html","Le Monde"),"Le Monde")</x:f>
        <x:v>Le Monde</x:v>
      </x:c>
      <x:c r="L520" s="21" t="str">
        <x:f>IFERROR(HYPERLINK("https://afrique.le360.ma/maroc-mauritanie/politique/2021/11/10/35995-maroc-mauritanie-le-poste-frontiere-del-guerguerat-rouvert-aux-voyageurs-des-ce/","Le360 Afrique"),"Le360 Afrique")</x:f>
        <x:v>Le360 Afrique</x:v>
      </x:c>
      <x:c r="M520" s="21" t="str">
        <x:f>IFERROR(HYPERLINK("https://www.swissinfo.ch/spa/marruecos-cierra-tambi%C3%A9n-el-paso-de-guerguerat-y-su-%C3%BAnica-conexi%C3%B3n-mar%C3%ADtima/47152890","Swissinfo"),"Swissinfo")</x:f>
        <x:v>Swissinfo</x:v>
      </x:c>
      <x:c r="N520" s="4" t="str">
        <x:v>https://www.lemonde.fr/afrique/article/2020/03/25/des-transporteurs-senegalais-bloques-en-plein-desert-entre-casablanca-et-dakar_6034417_3212.html
https://afrique.le360.ma/maroc-mauritanie/politique/2021/11/10/35995-maroc-mauritanie-le-poste-frontiere-del-guerguerat-rouvert-aux-voyageurs-des-ce/
https://www.swissinfo.ch/spa/marruecos-cierra-tambi%C3%A9n-el-paso-de-guerguerat-y-su-%C3%BAnica-conexi%C3%B3n-mar%C3%ADtima/47152890
https://fr.le360.ma/politique/coronavirus-le-passage-del-guerguerat-ferme-des-ce-mercredi-soir-sauf-pour-les-camions-de-211113/
https://fr.le360.ma/societe/le-poste-frontiere-del-guerguerat-rouvert-aux-voyageurs-des-ce-mercredi-10-novembre-249090/</x:v>
      </x:c>
      <x:c r="O520" s="4" t="str">
        <x:v>Second full-register audit source access, 26 October 2026
https://fr.le360.ma/politique/coronavirus-le-passage-del-guerguerat-ferme-des-ce-mercredi-soir-sauf-pour-les-camions-de-211113/: full text (fresh retrieval)
https://fr.le360.ma/societe/le-poste-frontiere-del-guerguerat-rouvert-aux-voyageurs-des-ce-mercredi-10-novembre-249090/: full text (fresh retrieval)
https://www.swissinfo.ch/spa/marruecos-cierra-tambi%C3%A9n-el-paso-de-guerguerat-y-su-%C3%BAnica-conexi%C3%B3n-mar%C3%ADtima/47152890: full text (fresh retrieval)
Earlier URLs not separately inspected in this second assessment:
https://www.lemonde.fr/afrique/article/2020/03/25/des-transporteurs-senegalais-bloques-en-plein-desert-entre-casablanca-et-dakar_6034417_3212.html
https://afrique.le360.ma/maroc-mauritanie/politique/2021/11/10/35995-maroc-mauritanie-le-poste-frontiere-del-guerguerat-rouvert-aux-voyageurs-des-ce/
Prior audit access record
Full-register audit source access (evidence cutoff 25 October 2026)
https://fr.le360.ma/politique/coronavirus-le-passage-del-guerguerat-ferme-des-ce-mercredi-soir-sauf-pour-les-camions-de-211113/: full text
https://fr.le360.ma/societe/le-poste-frontiere-del-guerguerat-rouvert-aux-voyageurs-des-ce-mercredi-10-novembre-249090/: full text
Earlier source URLs not separately listed in this audit’s retrieval log (historical access notes below are not fresh verification):
https://www.lemonde.fr/afrique/article/2020/03/25/des-transporteurs-senegalais-bloques-en-plein-desert-entre-casablanca-et-dakar_6034417_3212.html
https://afrique.le360.ma/maroc-mauritanie/politique/2021/11/10/35995-maroc-mauritanie-le-poste-frontiere-del-guerguerat-rouvert-aux-voyageurs-des-ce/
https://www.swissinfo.ch/spa/marruecos-cierra-tambi%C3%A9n-el-paso-de-guerguerat-y-su-%C3%BAnica-conexi%C3%B3n-mar%C3%ADtima/47152890
Earlier recorded access
Source 1: substantive search extract
Source 2: full page
Source 3: full page</x:v>
      </x:c>
      <x:c r="P520" s="20" t="n">
        <x:v>1</x:v>
      </x:c>
      <x:c r="Q520" s="4" t="str">
        <x:v>North Africa</x:v>
      </x:c>
      <x:c r="R520" s="4" t="str">
        <x:v>Included</x:v>
      </x:c>
    </x:row>
    <x:row r="521" ht="409" hidden="0" customHeight="1">
      <x:c r="A521" s="16" t="str">
        <x:v>R4-AWN-004</x:v>
      </x:c>
      <x:c r="B521" s="4" t="str">
        <x:v>Guerguerat Omicron passenger restrictions with repatriation phase</x:v>
      </x:c>
      <x:c r="C521" s="4" t="str">
        <x:v>Morocco; Mauritania; Western Sahara</x:v>
      </x:c>
      <x:c r="D521" s="4" t="str">
        <x:v>Guerguerat / El Guerguerate
Passenger restrictions at the Western Sahara–Mauritania crossing</x:v>
      </x:c>
      <x:c r="E521" s="4" t="str">
        <x:v>Ordinary travellers, including Moroccan and other foreign passengers.
Direction: Initially both directions; later a nationality- and direction-specific repatriation exception.
Exceptions: Goods transport continued; from 8 December Mauritanian nationals could return to Mauritania.</x:v>
      </x:c>
      <x:c r="F521" s="4" t="str">
        <x:v>R4-AWN-004-D1 — Observed operation
Ordinary Guerguerat passenger travel excluding Mauritanian nationals returning to Mauritania
Start: 2021-11-30.
Observed scoped reopening: 2022-04-04.
125 calendar-day difference; scoped endpoint only</x:v>
      </x:c>
      <x:c r="G52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21" s="4" t="str">
        <x:v>R4-AWN-004-D1: December 8 Mauritanian repatriation exception and freight are excluded from this stable scope. Health conditions continued after reopening; intended two-week expiry is not used. Retrospective two-year shorthand is not accepted as continuous closure across earlier openings.</x:v>
      </x:c>
      <x:c r="I521" s="4" t="str">
        <x:v>Second full-register audit, 26 October 2026: qualified. November 30 ordinary-passenger closure and April 4 reopening are supported; December 8 Mauritanian returnees and freight correctly remain outside the stable restricted cohort.</x:v>
      </x:c>
      <x:c r="J521" s="18" t="d">
        <x:v>2026-10-26T00:00:00.000Z</x:v>
      </x:c>
      <x:c r="K521" s="21" t="str">
        <x:f>IFERROR(HYPERLINK("https://fr.le360.ma/societe/info360-le-poste-frontiere-del-guerguerat-ferme-aux-voyageurs-250338/","Le360"),"Le360")</x:f>
        <x:v>Le360</x:v>
      </x:c>
      <x:c r="L521" s="21" t="str">
        <x:f>IFERROR(HYPERLINK("https://www.swissinfo.ch/spa/marruecos-cierra-tambi%C3%A9n-el-paso-de-guerguerat-y-su-%C3%BAnica-conexi%C3%B3n-mar%C3%ADtima/47152890","Swissinfo"),"Swissinfo")</x:f>
        <x:v>Swissinfo</x:v>
      </x:c>
      <x:c r="M521" s="21" t="str">
        <x:f>IFERROR(HYPERLINK("https://afrique.le360.ma/maroc-mauritanie/politique/2021/12/08/36306-le-poste-frontiere-del-guerguerat-rouvre-pour-le-rapatriement-des-ressortissants/","Le360 Afrique"),"Le360 Afrique")</x:f>
        <x:v>Le360 Afrique</x:v>
      </x:c>
      <x:c r="N521" s="4" t="str">
        <x:v>https://fr.le360.ma/societe/info360-le-poste-frontiere-del-guerguerat-ferme-aux-voyageurs-250338/
https://www.swissinfo.ch/spa/marruecos-cierra-tambi%C3%A9n-el-paso-de-guerguerat-y-su-%C3%BAnica-conexi%C3%B3n-mar%C3%ADtima/47152890
https://afrique.le360.ma/maroc-mauritanie/politique/2021/12/08/36306-le-poste-frontiere-del-guerguerat-rouvre-pour-le-rapatriement-des-ressortissants/
https://afrique.le360.ma/maroc-mauritanie/politique/2022/04/06/37591-maroc-mauritanie-ouverture-integrale-du-passage-de-guerguerat-mais-lobligation-du-test/
https://cridem.org/C_Info.php?article=755378
https://fr.le360.ma/societe/info360-le-poste-frontiere-del-guerguerat-rouvre-pour-le-rapatriement-des-ressortissants-250893/
https://cridem.org/C_InfoConCat.php?articl=3341&amp;tt_news_cat=16</x:v>
      </x:c>
      <x:c r="O521" s="4" t="str">
        <x:v>Second full-register audit source access, 26 October 2026
https://fr.le360.ma/societe/info360-le-poste-frontiere-del-guerguerat-ferme-aux-voyageurs-250338/: full text (fresh retrieval)
https://afrique.le360.ma/maroc-mauritanie/politique/2021/12/08/36306-le-poste-frontiere-del-guerguerat-rouvre-pour-le-rapatriement-des-ressortissants/: full text (fresh retrieval)
https://afrique.le360.ma/maroc-mauritanie/politique/2022/04/06/37591-maroc-mauritanie-ouverture-integrale-du-passage-de-guerguerat-mais-lobligation-du-test/: full text (fresh retrieval)
Earlier URLs not separately inspected in this second assessment:
https://www.swissinfo.ch/spa/marruecos-cierra-tambi%C3%A9n-el-paso-de-guerguerat-y-su-%C3%BAnica-conexi%C3%B3n-mar%C3%ADtima/47152890
https://cridem.org/C_Info.php?article=755378
https://fr.le360.ma/societe/info360-le-poste-frontiere-del-guerguerat-rouvre-pour-le-rapatriement-des-ressortissants-250893/
https://cridem.org/C_InfoConCat.php?articl=3341&amp;tt_news_cat=16
Prior audit access record
Full-register audit source access (evidence cutoff 25 October 2026)
https://fr.le360.ma/societe/info360-le-poste-frontiere-del-guerguerat-ferme-aux-voyageurs-250338/: full text
https://afrique.le360.ma/maroc-mauritanie/politique/2021/12/08/36306-le-poste-frontiere-del-guerguerat-rouvre-pour-le-rapatriement-des-ressortissants/: full text
https://afrique.le360.ma/maroc-mauritanie/politique/2022/04/06/37591-maroc-mauritanie-ouverture-integrale-du-passage-de-guerguerat-mais-lobligation-du-test/: full text
Earlier source URLs not separately listed in this audit’s retrieval log (historical access notes below are not fresh verification):
https://www.swissinfo.ch/spa/marruecos-cierra-tambi%C3%A9n-el-paso-de-guerguerat-y-su-%C3%BAnica-conexi%C3%B3n-mar%C3%ADtima/47152890
https://cridem.org/C_Info.php?article=755378
https://fr.le360.ma/societe/info360-le-poste-frontiere-del-guerguerat-rouvre-pour-le-rapatriement-des-ressortissants-250893/
https://cridem.org/C_InfoConCat.php?articl=3341&amp;tt_news_cat=16
Earlier recorded access
Source 1: full page
Source 2: full page
Source 3: full page</x:v>
      </x:c>
      <x:c r="P521" s="20" t="n">
        <x:v>1</x:v>
      </x:c>
      <x:c r="Q521" s="4" t="str">
        <x:v>North Africa</x:v>
      </x:c>
      <x:c r="R521" s="4" t="str">
        <x:v>Included</x:v>
      </x:c>
    </x:row>
    <x:row r="522" ht="222" hidden="0" customHeight="1">
      <x:c r="A522" s="16" t="str">
        <x:v>R4-SC-004</x:v>
      </x:c>
      <x:c r="B522" s="4" t="str">
        <x:v>Parsa/Birgunj border restriction for Bihar Lok Sabha voting, May 2019</x:v>
      </x:c>
      <x:c r="C522" s="4" t="str">
        <x:v>Nepal; India</x:v>
      </x:c>
      <x:c r="D522" s="4" t="str">
        <x:v>Parsa frontier / Birgunj–Raxaul
Parsa district frontier, including Birgunj/Raxaul ordinary crossing</x:v>
      </x:c>
      <x:c r="E522" s="4" t="str">
        <x:v>Ordinary crossing users; petroleum tankers excepted
Direction: General restriction reported bilaterally; fuel exception concerns supply to Nepal
Exceptions: Fuel tankers were expressly permitted as essential supply; wider emergency exceptions not established.</x:v>
      </x:c>
      <x:c r="F522" s="4" t="str">
        <x:v>R4-SC-004-R1 — Announced window
Parsa frontier including Birgunj–Raxaul, ordinary cross-border movement; petroleum tankers exempt
Start: 2019-05-10.
Scheduled endpoint: 2019-05-12.
Ordered window: 2 calendar-day difference; actual end not established</x:v>
      </x:c>
      <x:c r="G522"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Crime and law enforcement
Reported reason
Applies to: Recorded episode; exact overlap not separately established
The recorded rationale and claim assessment support the selected subcategories. All applicable broad categories are retained together; no primary rationale is imposed.</x:v>
      </x:c>
      <x:c r="H522" s="4" t="str">
        <x:v>R4-SC-004-R1: Later schedule says 23:00–23:00 (48h), earlier account says 72h. No hours or completed operational duration inferred.
continuity: May 11 reporting observes Parsa sealing from Friday night and specifies the later 48-hour schedule, while May 9 describes 72 hours and petroleum exemptions. Keep the dates as an ordered interval with no observed Sunday restoration.</x:v>
      </x:c>
      <x:c r="I522" s="4" t="str">
        <x:v>Second full-register audit, 26 October 2026: qualified. Parsa implementation onset, election order and fuel exception corroborated; exact operational ending remains unknown.</x:v>
      </x:c>
      <x:c r="J522" s="18" t="d">
        <x:v>2026-10-26T00:00:00.000Z</x:v>
      </x:c>
      <x:c r="K522" s="21" t="str">
        <x:f>IFERROR(HYPERLINK("https://kathmandupost.com/national/2019/05/11/nepal-india-border-sealed-for-48-hours","Kathmandu Post"),"Kathmandu Post")</x:f>
        <x:v>Kathmandu Post</x:v>
      </x:c>
      <x:c r="L522" s="21" t="str">
        <x:f>IFERROR(HYPERLINK("https://english.onlinekhabar.com/india-not-to-obstruct-fuel-supply-to-nepal-during-election-border-closure.html","OnlineKhabar"),"OnlineKhabar")</x:f>
        <x:v>OnlineKhabar</x:v>
      </x:c>
      <x:c r="M522" s="21"/>
      <x:c r="N522" s="4" t="str">
        <x:v>https://kathmandupost.com/national/2019/05/11/nepal-india-border-sealed-for-48-hours
https://english.onlinekhabar.com/india-not-to-obstruct-fuel-supply-to-nepal-during-election-border-closure.html</x:v>
      </x:c>
      <x:c r="O522" s="4" t="str">
        <x:v>Second full-register audit source access, 26 October 2026
https://kathmandupost.com/national/2019/05/11/nepal-india-border-sealed-for-48-hours: full text (fresh retrieval)
https://english.onlinekhabar.com/india-not-to-obstruct-fuel-supply-to-nepal-during-election-border-closure.html: full text (fresh retrieval)
Prior audit access record
Full-register audit source access (evidence cutoff 25 October 2026)
https://kathmandupost.com/national/2019/05/11/nepal-india-border-sealed-for-48-hours: full text — Schedule or reported observation only; no broader continuity inferred.
https://english.onlinekhabar.com/india-not-to-obstruct-fuel-supply-to-nepal-during-election-border-closure.html: full text — Schedule or reported observation only; no broader continuity inferred.
Earlier recorded access
Source 1: full
Source 2: indexed excerpt; full</x:v>
      </x:c>
      <x:c r="P522" s="20" t="n">
        <x:v>1</x:v>
      </x:c>
      <x:c r="Q522" s="4" t="str">
        <x:v>South Asia</x:v>
      </x:c>
      <x:c r="R522" s="4" t="str">
        <x:v>Included</x:v>
      </x:c>
    </x:row>
    <x:row r="523" ht="409" hidden="0" customHeight="1">
      <x:c r="A523" s="16" t="str">
        <x:v>R4-SC-005</x:v>
      </x:c>
      <x:c r="B523" s="4" t="str">
        <x:v>Jhulaghat bridge closure for Indian local elections, October 2019</x:v>
      </x:c>
      <x:c r="C523" s="4" t="str">
        <x:v>Nepal; India</x:v>
      </x:c>
      <x:c r="D523" s="4" t="str">
        <x:v>Jhulaghat bridge over the Kali/Mahakali River
Ordinary crossing of the Jhulaghat international suspension bridge</x:v>
      </x:c>
      <x:c r="E523" s="4" t="str">
        <x:v>Ordinary people crossing the bridge; cargo not separately disaggregated
Direction: Both directions
Exceptions: Emergency passage could be agreed by the two administrations.</x:v>
      </x:c>
      <x:c r="F523" s="4" t="str">
        <x:v>R4-SC-005-R1 — Announced window
Jhulaghat suspension bridge / Baitadi frontier election restriction with discretionary emergency passage
Start: 2019-10-03.
Scheduled endpoint: 2019-10-05 to 2019-10-06.
Ordered window: 2–3 calendar-day difference; actual end not established</x:v>
      </x:c>
      <x:c r="G523"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23" s="4" t="str">
        <x:v>Nepali officials scheduled October 3 at 17:00 through October 5 at 17:00, while Indian district reporting gives early October 6. Actual reopening was not observed. The phase therefore preserves scheduled endpoint bounds, with discretionary emergency passage.
R4-SC-005-R1: Nepali officials scheduled October 3 at 17:00 through October 5 at 17:00; Indian district reporting instead gives early October 6. Closure implementation is documented, but actual reopening is not. Emergency passage remained discretionary; later Darchula restrictions are separate.
phase endpoint: Conflicting scheduled dates and no direct resumption report.</x:v>
      </x:c>
      <x:c r="I523" s="4" t="str">
        <x:v>Second full-register audit, 26 October 2026: qualified. October 3 actual bridge closure is corroborated; later retrospective October 3–5 description supports &gt;24h but exact reopening clock remains uncertain.</x:v>
      </x:c>
      <x:c r="J523" s="18" t="d">
        <x:v>2026-10-26T00:00:00.000Z</x:v>
      </x:c>
      <x:c r="K523" s="21" t="str">
        <x:f>IFERROR(HYPERLINK("https://english.ratopati.com/story/10760","Ratopati"),"Ratopati")</x:f>
        <x:v>Ratopati</x:v>
      </x:c>
      <x:c r="L523" s="21" t="str">
        <x:f>IFERROR(HYPERLINK("https://english.khabarhub.com/2019/05/47967/","Khabarhub"),"Khabarhub")</x:f>
        <x:v>Khabarhub</x:v>
      </x:c>
      <x:c r="M523" s="21" t="str">
        <x:f>IFERROR(HYPERLINK("https://english.ratopati.com/story/11084/closed","Ratopati / RSS"),"Ratopati / RSS")</x:f>
        <x:v>Ratopati / RSS</x:v>
      </x:c>
      <x:c r="N523" s="4" t="str">
        <x:v>https://english.ratopati.com/story/10760
https://english.khabarhub.com/2019/05/47967/
https://english.ratopati.com/story/11084/closed
https://www.sharesansar.com/newsdetail/nepal-india-border-in-baitadi-darchula-to-be-sealed-off-for-three-days
https://timesofindia.indiatimes.com/city/dehradun/indo-nepal-border-to-be-closed-for-panchayat-polls/amp_articleshow/71399045.cms
https://www.livehindustan.com/uttarakhand/pithoragarh/story-indo-nepal-border-sealed-for-48-hours-in-jhulaghat-2780262.html
https://sports.nagariknews.com/news/transit-point-to-be-closed
https://enewspolar.com/border-transit-points-with-india-to-be-closed-for-48-hours/?cat=25
https://www.myrepublica.nagariknetwork.com/index.php/news/transit-point-to-be-closed</x:v>
      </x:c>
      <x:c r="O523" s="4" t="str">
        <x:v>Second full-register audit source access, 26 October 2026
https://www.livehindustan.com/uttarakhand/pithoragarh/story-indo-nepal-border-sealed-for-48-hours-in-jhulaghat-2780262.html: full text (fresh retrieval)
https://timesofindia.indiatimes.com/city/dehradun/indo-nepal-border-to-be-closed-for-panchayat-polls/amp_articleshow/71399045.cms: full text (fresh retrieval)
https://english.ratopati.com/story/10760: search extract (fresh retrieval) — Indexed extract.
https://www.myrepublica.nagariknetwork.com/index.php/news/transit-point-to-be-closed: full text (fresh retrieval)
Earlier URLs not separately inspected in this second assessment:
https://english.khabarhub.com/2019/05/47967/
https://english.ratopati.com/story/11084/closed
https://www.sharesansar.com/newsdetail/nepal-india-border-in-baitadi-darchula-to-be-sealed-off-for-three-days
https://sports.nagariknews.com/news/transit-point-to-be-closed
https://enewspolar.com/border-transit-points-with-india-to-be-closed-for-48-hours/?cat=25
Prior audit access record
Full-register audit source access (evidence cutoff 25 October 2026)
https://english.ratopati.com/story/10760: search extract — Schedule or reported observation only; no broader continuity inferred.
https://timesofindia.indiatimes.com/city/dehradun/indo-nepal-border-to-be-closed-for-panchayat-polls/amp_articleshow/71399045.cms: full text — Schedule or reported observation only; no broader continuity inferred.
https://english.khabarhub.com/2019/05/47967/: search extract — Schedule or reported observation only; no broader continuity inferred.
Earlier source URLs not separately listed in this audit’s retrieval log (historical access notes below are not fresh verification):
https://english.ratopati.com/story/11084/closed
https://www.sharesansar.com/newsdetail/nepal-india-border-in-baitadi-darchula-to-be-sealed-off-for-three-days
https://www.livehindustan.com/uttarakhand/pithoragarh/story-indo-nepal-border-sealed-for-48-hours-in-jhulaghat-2780262.html
https://sports.nagariknews.com/news/transit-point-to-be-closed
https://enewspolar.com/border-transit-points-with-india-to-be-closed-for-48-hours/?cat=25
Earlier recorded access
Source 1: indexed excerpt; failed
Source 2: indexed excerpt
Source 3: indexed excerpt; failed</x:v>
      </x:c>
      <x:c r="P523" s="20" t="n">
        <x:v>1</x:v>
      </x:c>
      <x:c r="Q523" s="4" t="str">
        <x:v>South Asia</x:v>
      </x:c>
      <x:c r="R523" s="4" t="str">
        <x:v>Included</x:v>
      </x:c>
    </x:row>
    <x:row r="524" ht="409" hidden="0" customHeight="1">
      <x:c r="A524" s="16" t="str">
        <x:v>R4-AES-001</x:v>
      </x:c>
      <x:c r="B524" s="4" t="str">
        <x:v>Oshoek border shut during EFF solidarity protest in July 2021</x:v>
      </x:c>
      <x:c r="C524" s="4" t="str">
        <x:v>South Africa; Eswatini</x:v>
      </x:c>
      <x:c r="D524" s="4" t="str">
        <x:v>Oshoek–Ngwenya
Oshoek land port; no national frontier-wide implementation established</x:v>
      </x:c>
      <x:c r="E524" s="4" t="str">
        <x:v>Port operations; source does not disaggregate passengers and freight.
Direction: Affected directions not separately established.
Exceptions: Not established.</x:v>
      </x:c>
      <x:c r="F524" s="4" t="str">
        <x:v>R4-AES-001-NP1 — Observed operation
Oshoek crossing protest obstruction
Start: unknown.
Last confirmed: 2021-07-09.
Later access permitted by: 2021-09-20, when the tourism minister listed Ngwenya–Oshoek among ports admitting visitors with negative COVID tests. The exact clearance time of the July protest is unknown.
Dated evidence; numeric duration withheld. No continuous July–September obstruction is inferred.</x:v>
      </x:c>
      <x:c r="G524" s="4" t="str">
        <x:v>Power and regime politics / Opposition and political reform
Reported reason
Applies to: Recorded episode; exact overlap not separately established
The recorded rationale and claim assessment support the selected subcategories. All applicable broad categories are retained together; no primary rationale is imposed.</x:v>
      </x:c>
      <x:c r="H524" s="4" t="str">
        <x:v>R4-AES-001-NP1: The July 9 report confirms an EFF solidarity-protest shutdown at Oshoek, without first hour, complete-day span, direction or traffic-category detail. A report of the tourism minister’s September 20 entry announcement lists Ngwenya–Oshoek as accessible subject to testing. This bounds the July episode without establishing its exact dispersal date, uninterrupted closure until September, or unrestricted pandemic-era travel. Separate later protests must not be merged into the July episode.</x:v>
      </x:c>
      <x:c r="I524" s="4" t="str">
        <x:v>Second full-register audit, 26 October 2026: qualified. July 9 Oshoek protest shutdown and September 20, 2021 later permitted visitor access are supported; July dispersal time remains unknown.</x:v>
      </x:c>
      <x:c r="J524" s="18" t="d">
        <x:v>2026-10-26T00:00:00.000Z</x:v>
      </x:c>
      <x:c r="K524" s="21" t="str">
        <x:f>IFERROR(HYPERLINK("https://www.sabcnews.com/sabcnews/call-for-king-mswatis-prosecution-as-eff-members-protest-in-solidarity-with-amaswati/","SABC"),"SABC")</x:f>
        <x:v>SABC</x:v>
      </x:c>
      <x:c r="L524" s="21" t="str">
        <x:f>IFERROR(HYPERLINK("https://eswatiniprotests.org/","Eswatini Protests"),"Eswatini Protests")</x:f>
        <x:v>Eswatini Protests</x:v>
      </x:c>
      <x:c r="M524" s="21" t="str">
        <x:f>IFERROR(HYPERLINK("https://www.news24.com/africa/news/eff-marchers-claim-eswatini-police-fired-on-them-at-border-post-with-sa-20210709","News24"),"News24")</x:f>
        <x:v>News24</x:v>
      </x:c>
      <x:c r="N524" s="4" t="str">
        <x:v>https://www.sabcnews.com/sabcnews/call-for-king-mswatis-prosecution-as-eff-members-protest-in-solidarity-with-amaswati/
https://eswatiniprotests.org/
https://www.news24.com/africa/news/eff-marchers-claim-eswatini-police-fired-on-them-at-border-post-with-sa-20210709
https://www.sowetan.co.za/news/africa/2021-07-01-sa-businesses-in-eswatini-close-shop-as-violent-protests-intensify/
https://www.sabcnews.com/sabcnews/eff-in-mpumalanga-shuts-down-mananga-border-in-solidarity-with-poeple-of-eswatini/
https://umhambi.blogspot.com/2021/09/eswatini-current-entry-guidelines-as-of.html</x:v>
      </x:c>
      <x:c r="O524" s="4" t="str">
        <x:v>Second full-register audit source access, 26 October 2026
https://www.sabcnews.com/sabcnews/call-for-king-mswatis-prosecution-as-eff-members-protest-in-solidarity-with-amaswati/: search extract (fresh retrieval) — Direct fetch failed; indexed article inspected.
https://umhambi.blogspot.com/2021/09/eswatini-current-entry-guidelines-as-of.html: full text (fresh retrieval) — Secondary account of ministerial announcement.
Earlier URLs not separately inspected in this second assessment:
https://eswatiniprotests.org/
https://www.news24.com/africa/news/eff-marchers-claim-eswatini-police-fired-on-them-at-border-post-with-sa-20210709
https://www.sowetan.co.za/news/africa/2021-07-01-sa-businesses-in-eswatini-close-shop-as-violent-protests-intensify/
https://www.sabcnews.com/sabcnews/eff-in-mpumalanga-shuts-down-mananga-border-in-solidarity-with-poeple-of-eswatini/
Prior audit access record
Full-register audit source access (evidence cutoff 25 October 2026)
https://www.sabcnews.com/sabcnews/call-for-king-mswatis-prosecution-as-eff-members-protest-in-solidarity-with-amaswati/: search extract — Substantive indexed article inspected; direct retrieval returned 500.
https://umhambi.blogspot.com/2021/09/eswatini-current-entry-guidelines-as-of.html: full text — Secondary report of named tourism minister Moses Vilakati; later permission, not direct observation of protest dispersal.
Earlier source URLs not separately listed in this audit’s retrieval log (historical access notes below are not fresh verification):
https://eswatiniprotests.org/
https://www.news24.com/africa/news/eff-marchers-claim-eswatini-police-fired-on-them-at-border-post-with-sa-20210709
https://www.sowetan.co.za/news/africa/2021-07-01-sa-businesses-in-eswatini-close-shop-as-violent-protests-intensify/
https://www.sabcnews.com/sabcnews/eff-in-mpumalanga-shuts-down-mananga-border-in-solidarity-with-poeple-of-eswatini/
Earlier recorded access
Source 1: indexed excerpt; failed
Source 2: indexed excerpt
Source 3: Substantive indexed extract; direct page restricted.</x:v>
      </x:c>
      <x:c r="P524" s="20" t="n">
        <x:v>1</x:v>
      </x:c>
      <x:c r="Q524" s="4" t="str">
        <x:v>Southern and Central Africa</x:v>
      </x:c>
      <x:c r="R524" s="4" t="str">
        <x:v>Included</x:v>
      </x:c>
    </x:row>
    <x:row r="525" ht="342" hidden="0" customHeight="1">
      <x:c r="A525" s="16" t="str">
        <x:v>R4-AES-004</x:v>
      </x:c>
      <x:c r="B525" s="4" t="str">
        <x:v>Maseru Bridge obstructions in September 2025 transport-market dispute</x:v>
      </x:c>
      <x:c r="C525" s="4" t="str">
        <x:v>Lesotho; South Africa</x:v>
      </x:c>
      <x:c r="D525" s="4" t="str">
        <x:v>Maseru Bridge
Maseru Bridge passenger transport and pedestrian access, with a temporary wider vehicle obstruction</x:v>
      </x:c>
      <x:c r="E525" s="4" t="str">
        <x:v>Hawkers and other passengers, Lesotho buses/minibuses, and pedestrians in the retaliatory phase.
Direction: Initial restriction targeted Lesotho vehicles entering South Africa; retaliatory obstruction affected bridge access.
Exceptions: No formal exemptions documented; the bridge-wide vehicle blockade was removed by police.</x:v>
      </x:c>
      <x:c r="F525" s="4" t="str">
        <x:v>R4-AES-004-FU1 — Observed operation
Maseru Bridge obstruction affecting Basotho hawkers travelling in Lesotho vehicles
Start: 2025-09-14 to 2025-09-15.
Last confirmed: 2025-09-15.
Affected hawkers were reported crossing smoothly by Sunday evening, 2025-09-21, following a temporary agreement reached Thursday, 2025-09-18. The agreement date is not treated as the first observed restored passage.
No continuous September 14–21 obstruction is established; numeric duration withheld.</x:v>
      </x:c>
      <x:c r="G525" s="4" t="str">
        <x:v>Trade and protectionism / Trade and transport protests
Reported reason
Applies to: Recorded episode; exact overlap not separately established
The recorded rationale and claim assessment support the selected subcategories. All applicable broad categories are retained together; no primary rationale is imposed.</x:v>
      </x:c>
      <x:c r="H525" s="4" t="str">
        <x:v>R4-AES-004-FU1: Hawkers interviewed September 15 had been stranded since Sunday night, giving September 14–15 onset bounds for those travellers. The September 23 LENA report describes South African operators blocking Lesotho buses and retaliatory obstruction of pedestrian access by Lesotho operators. It records smooth hawker crossings on September 21 after a September 18 temporary agreement. These are scoped observations within an intermittent transport dispute, not a single whole-bridge closure of proven duration. The precise first clearance and permanence of the arrangement are unknown.</x:v>
      </x:c>
      <x:c r="I525" s="4" t="str">
        <x:v>Second full-register audit, 26 October 2026: qualified. LENA confirms September 21, 2025 smooth hawker crossings after a September 18 agreement; Lesotho Times supports police removal of retaliatory blocking vehicles.</x:v>
      </x:c>
      <x:c r="J525" s="18" t="d">
        <x:v>2026-10-26T00:00:00.000Z</x:v>
      </x:c>
      <x:c r="K525" s="21" t="str">
        <x:f>IFERROR(HYPERLINK("https://www.lena.gov.ls/basotho-hawkers-stranded-as-maseru-border-dispute-drags-on/","Lesotho News Agency"),"Lesotho News Agency")</x:f>
        <x:v>Lesotho News Agency</x:v>
      </x:c>
      <x:c r="L525" s="21" t="str">
        <x:f>IFERROR(HYPERLINK("https://allafrica.com/stories/202509240056.html","Lesotho Times / allAfrica"),"Lesotho Times / allAfrica")</x:f>
        <x:v>Lesotho Times / allAfrica</x:v>
      </x:c>
      <x:c r="M525" s="21" t="str">
        <x:f>IFERROR(HYPERLINK("https://www.lena.gov.ls/cross-border-transportrow-eases-after-temporary-deal/","Lesotho News Agency"),"Lesotho News Agency")</x:f>
        <x:v>Lesotho News Agency</x:v>
      </x:c>
      <x:c r="N525" s="4" t="str">
        <x:v>https://www.lena.gov.ls/basotho-hawkers-stranded-as-maseru-border-dispute-drags-on/
https://allafrica.com/stories/202509240056.html
https://www.lena.gov.ls/cross-border-transportrow-eases-after-temporary-deal/
https://lesotho207.rssing.com/a/lesotho-sa-to-sign-cross-border-agreement-5ve7bygju</x:v>
      </x:c>
      <x:c r="O525" s="4" t="str">
        <x:v>Second full-register audit source access, 26 October 2026
https://www.lena.gov.ls/basotho-hawkers-stranded-as-maseru-border-dispute-drags-on/: search extract (fresh retrieval) — Direct timeout; indexed body inspected.
https://www.lena.gov.ls/cross-border-transportrow-eases-after-temporary-deal/: search extract (fresh retrieval) — Direct timeout; substantial indexed body inspected.
https://lesotho207.rssing.com/a/lesotho-sa-to-sign-cross-border-agreement-5ve7bygju: search extract (fresh retrieval) — Indexed source copy, same origin as allAfrica.
Earlier URLs not separately inspected in this second assessment:
https://allafrica.com/stories/202509240056.html
Prior audit access record
Full-register audit source access (evidence cutoff 25 October 2026)
https://www.lena.gov.ls/basotho-hawkers-stranded-as-maseru-border-dispute-drags-on/: search extract — Substantive indexed article; direct retrieval timed out.
https://www.lena.gov.ls/cross-border-transportrow-eases-after-temporary-deal/: search extract — Substantive indexed article; direct retrieval timed out.
https://allafrica.com/stories/202509240056.html: inaccessible — 403; uninspected details not credited.
Earlier recorded access
Source 1: indexed excerpt
Source 2: indexed excerpt
Source 3: indexed excerpt</x:v>
      </x:c>
      <x:c r="P525" s="20" t="n">
        <x:v>1</x:v>
      </x:c>
      <x:c r="Q525" s="4" t="str">
        <x:v>Southern and Central Africa</x:v>
      </x:c>
      <x:c r="R525" s="4" t="str">
        <x:v>Included</x:v>
      </x:c>
    </x:row>
    <x:row r="526" ht="409" hidden="0" customHeight="1">
      <x:c r="A526" s="16" t="str">
        <x:v>R4-AES-003</x:v>
      </x:c>
      <x:c r="B526" s="4" t="str">
        <x:v>Kasumbalesa trucker obstruction and broader crossing closure in autumn 2022</x:v>
      </x:c>
      <x:c r="C526" s="4" t="str">
        <x:v>Zambia; Democratic Republic of the Congo</x:v>
      </x:c>
      <x:c r="D526" s="4" t="str">
        <x:v>Kasumbalesa
Kasumbalesa crossing, changing from northbound freight disruption to broader trader obstruction</x:v>
      </x:c>
      <x:c r="E526" s="4" t="str">
        <x:v>Northbound heavy vehicles initially; Congolese small traders and wider crossing movements during escalation.
Direction: Varied by phase; both directions operating again in 6 October field accounts.
Exceptions: Southbound traffic reportedly continued during the initial truck refusal; later scope broadened.</x:v>
      </x:c>
      <x:c r="F526" s="4" t="str">
        <x:v>R4-AES-003-D1 — Observed operation
Immediate broader Kasumbalesa blockage affecting small pedestrian traders on October 5
Start: 2022-10-05.
Observed scoped reopening: 2022-10-05 to 2022-10-06.
0–1 calendar-day difference; scoped endpoint only</x:v>
      </x:c>
      <x:c r="G526" s="4" t="str">
        <x:v>Security / Public order and immediate safety
Reported reason
Applies to: Recorded episode; exact overlap not separately established
Drivers demanded safer working routes and officials responded to disorder. Contested reports of killings are not endorsed.
Policy and socioeconomic demands / Jobs, services and livelihoods
Reported reason
Applies to: Recorded episode; exact overlap not separately established
Drivers demanded safer working routes and officials responded to disorder. Contested reports of killings are not endorsed.</x:v>
      </x:c>
      <x:c r="H526" s="4" t="str">
        <x:v>R4-AES-003-D1: Only the immediate broader phase, not the earlier northbound truck refusal or a sustained all-frontier closure. First resumption may precede October 6 confirmation; durable normalisation remained disputed. Alleged killings are not adopted over conflicting official inquiries.</x:v>
      </x:c>
      <x:c r="I526" s="4" t="str">
        <x:v>Second full-register audit, 26 October 2026: qualified. October 5 broader interruption and October 6 two-way traffic are supported; the current bounded endpoint appropriately avoids claiming durable restoration for every trucker.</x:v>
      </x:c>
      <x:c r="J526" s="18" t="d">
        <x:v>2026-10-26T00:00:00.000Z</x:v>
      </x:c>
      <x:c r="K526" s="21" t="str">
        <x:f>IFERROR(HYPERLINK("https://actualite.cd/2022/10/05/rdc-zambie-les-chauffeurs-zambiens-en-greve-apres-le-deces-de-leur-collegue-sur-le-sol","Actualite.cd"),"Actualite.cd")</x:f>
        <x:v>Actualite.cd</x:v>
      </x:c>
      <x:c r="L526" s="21" t="str">
        <x:f>IFERROR(HYPERLINK("https://actualite.cd/index.php/2022/10/06/rdc-zambie-reprise-du-trafic-la-frontiere-de-kasumbalesa-apres-24h-de-greve-declenchee","Actualite.cd"),"Actualite.cd")</x:f>
        <x:v>Actualite.cd</x:v>
      </x:c>
      <x:c r="M526" s="21" t="str">
        <x:f>IFERROR(HYPERLINK("https://www.theeastafrican.co.ke/tea/news/east-africa/main-dr-congo-zambia-border-crossing-closed-amid-tensions-3975032","The EastAfrican"),"The EastAfrican")</x:f>
        <x:v>The EastAfrican</x:v>
      </x:c>
      <x:c r="N526" s="4" t="str">
        <x:v>https://actualite.cd/2022/10/05/rdc-zambie-les-chauffeurs-zambiens-en-greve-apres-le-deces-de-leur-collegue-sur-le-sol
https://actualite.cd/index.php/2022/10/06/rdc-zambie-reprise-du-trafic-la-frontiere-de-kasumbalesa-apres-24h-de-greve-declenchee
https://www.theeastafrican.co.ke/tea/news/east-africa/main-dr-congo-zambia-border-crossing-closed-amid-tensions-3975032
https://www.radiookapi.net/2022/10/06/actualite/societe/haut-katanga-reprise-du-trafic-la-frontiere-de-kasumbalesa
https://www.freightnews.co.za/article/uneasy-peace-settles-on-copperbelt-border
https://www.adiac-congo.com/content/rdc-zambie-le-poste-frontalier-de-kasumbalesa-rouvert-au-trafic-apres-la-greve-des
https://www.freightnews.co.za/article/drivers-resisting-drc-threat-block-kasumbalesa
https://www.parliament.gov.zm/node/10714
https://indianexpress.com/article/world/zambia-to-reopen-closed-border-with-democratic-republic-of-congo-9510510/lite/
https://www.lusakatimes.com/2022/10/05/zambian-police-officers-and-protesting-truck-drivers-stoned-by-congolese-traders-at-kasumbalesa/
https://www.freightnews.co.za/article/transporters-urged-to-keep-moving-across-zambiadrc-borders?page=1
https://www.adiac-congo.com/node/141850
https://actualite.cd/2022/10/06/rdc-zambie-reprise-du-trafic-la-frontiere-de-kasumbalesa-apres-24h-de-greve-declenchee</x:v>
      </x:c>
      <x:c r="O526" s="4" t="str">
        <x:v>Second full-register audit source access, 26 October 2026
https://actualite.cd/2022/10/05/rdc-zambie-les-chauffeurs-zambiens-en-greve-apres-le-deces-de-leur-collegue-sur-le-sol: full text (fresh retrieval)
https://actualite.cd/2022/10/06/rdc-zambie-reprise-du-trafic-la-frontiere-de-kasumbalesa-apres-24h-de-greve-declenchee: full text (fresh retrieval)
https://www.freightnews.co.za/article/uneasy-peace-settles-on-copperbelt-border: full text (fresh retrieval)
Earlier URLs not separately inspected in this second assessment:
https://actualite.cd/index.php/2022/10/06/rdc-zambie-reprise-du-trafic-la-frontiere-de-kasumbalesa-apres-24h-de-greve-declenchee
https://www.theeastafrican.co.ke/tea/news/east-africa/main-dr-congo-zambia-border-crossing-closed-amid-tensions-3975032
https://www.radiookapi.net/2022/10/06/actualite/societe/haut-katanga-reprise-du-trafic-la-frontiere-de-kasumbalesa
https://www.adiac-congo.com/content/rdc-zambie-le-poste-frontalier-de-kasumbalesa-rouvert-au-trafic-apres-la-greve-des
https://www.freightnews.co.za/article/drivers-resisting-drc-threat-block-kasumbalesa
https://www.parliament.gov.zm/node/10714
https://indianexpress.com/article/world/zambia-to-reopen-closed-border-with-democratic-republic-of-congo-9510510/lite/
https://www.lusakatimes.com/2022/10/05/zambian-police-officers-and-protesting-truck-drivers-stoned-by-congolese-traders-at-kasumbalesa/
https://www.freightnews.co.za/article/transporters-urged-to-keep-moving-across-zambiadrc-borders?page=1
https://www.adiac-congo.com/node/141850
Prior audit access record
Full-register audit source access (evidence cutoff 25 October 2026)
https://actualite.cd/2022/10/05/rdc-zambie-les-chauffeurs-zambiens-en-greve-apres-le-deces-de-leur-collegue-sur-le-sol: full text
https://www.radiookapi.net/2022/10/06/actualite/societe/haut-katanga-reprise-du-trafic-la-frontiere-de-kasumbalesa: search extract — Direct request timed out.
https://actualite.cd/2022/10/06/rdc-zambie-reprise-du-trafic-la-frontiere-de-kasumbalesa-apres-24h-de-greve-declenchee: search extract
https://www.freightnews.co.za/article/uneasy-peace-settles-on-copperbelt-border: full text
Earlier source URLs not separately listed in this audit’s retrieval log (historical access notes below are not fresh verification):
https://actualite.cd/index.php/2022/10/06/rdc-zambie-reprise-du-trafic-la-frontiere-de-kasumbalesa-apres-24h-de-greve-declenchee
https://www.theeastafrican.co.ke/tea/news/east-africa/main-dr-congo-zambia-border-crossing-closed-amid-tensions-3975032
https://www.adiac-congo.com/content/rdc-zambie-le-poste-frontalier-de-kasumbalesa-rouvert-au-trafic-apres-la-greve-des
https://www.freightnews.co.za/article/drivers-resisting-drc-threat-block-kasumbalesa
https://www.parliament.gov.zm/node/10714
https://indianexpress.com/article/world/zambia-to-reopen-closed-border-with-democratic-republic-of-congo-9510510/lite/
https://www.lusakatimes.com/2022/10/05/zambian-police-officers-and-protesting-truck-drivers-stoned-by-congolese-traders-at-kasumbalesa/
https://www.freightnews.co.za/article/transporters-urged-to-keep-moving-across-zambiadrc-borders?page=1
https://www.adiac-congo.com/node/141850
Earlier recorded access
Source 1: Full page.
Source 2: Substantive indexed article; direct retrieval timed out.
Source 3: Full page; marked updated 12 October.</x:v>
      </x:c>
      <x:c r="P526" s="20" t="n">
        <x:v>1</x:v>
      </x:c>
      <x:c r="Q526" s="4" t="str">
        <x:v>Southern and Central Africa</x:v>
      </x:c>
      <x:c r="R526" s="4" t="str">
        <x:v>Included</x:v>
      </x:c>
    </x:row>
    <x:row r="527" ht="409" hidden="0" customHeight="1">
      <x:c r="A527" s="16" t="str">
        <x:v>R4-AWN-001</x:v>
      </x:c>
      <x:c r="B527" s="4" t="str">
        <x:v>Guinea-Bissau COVID land-border closure, March 2020</x:v>
      </x:c>
      <x:c r="C527" s="4" t="str">
        <x:v>Guinea-Bissau; Senegal; Guinea</x:v>
      </x:c>
      <x:c r="D527" s="4" t="str">
        <x:v>Mpack–São Domingos implementation documented; other posts not individually verified
National land-border component of a wider land, sea and air closure</x:v>
      </x:c>
      <x:c r="E527" s="4" t="str">
        <x:v>Ordinary travellers and passenger transport; fish vendors were turned back at Mpack.
Direction: National restriction; observed refusals include travel from Senegal into Guinea-Bissau.
Exceptions: Medical evacuations, medicine supplies and essential food imports were excepted; treatment of small traders was uneven.</x:v>
      </x:c>
      <x:c r="F527" s="4" t="str">
        <x:v>R4-AWN-001-D1 — Formal policy
Guinea-Bissau formal land-passenger restriction with humanitarian and essential-import exceptions
Start: 2020-03-18.
Last confirmed: 2020-04-11, when the emergency renewal expressly retained land-border closure. A travel-advice update dated 2020-10-02 reports land borders reopened with health conditions; this is an upper bound, not the first reopening day.
Sustained formal restriction exceeds 24 hours; exact operational duration is unknown.</x:v>
      </x:c>
      <x:c r="G527" s="4" t="str">
        <x:v>Health and biosecurity / Human disease control
Reported reason
The presidency attributed the closure to preventing importation and spread of COVID-19.</x:v>
      </x:c>
      <x:c r="H527" s="4" t="str">
        <x:v>R4-AWN-001-D1: Local implementation and small-trader treatment were uneven, with informal Senegal-side crossings reported on March 23. UCCLA’s April 11 renewal summary confirms the continuing national land-border policy, not enforcement at every post. Lusa reported conditional international entry and exit permission on May 26, but an exact land-gate reopening cannot be assigned from that account. The October 2, 2020 A3M update explicitly attributes land/sea reopening advice to FCDO; its historical passage was recovered in the search index. This earlier access bound supersedes July 2021 as the earliest securely mode-specific bound recovered here. It does not demonstrate continuous closure until October or unrestricted bilateral access; health conditions and neighbouring restrictions remained distinct.</x:v>
      </x:c>
      <x:c r="I527" s="4" t="str">
        <x:v>Second full-register audit, 26 October 2026: additional source-audited corrections incorporated. See the phase, scope and qualification columns for the accepted findings.</x:v>
      </x:c>
      <x:c r="J527" s="18" t="d">
        <x:v>2026-10-26T00:00:00.000Z</x:v>
      </x:c>
      <x:c r="K527" s="21" t="str">
        <x:f>IFERROR(HYPERLINK("https://www.odemocratagb.com/?p=24002","O Democrata GB"),"O Democrata GB")</x:f>
        <x:v>O Democrata GB</x:v>
      </x:c>
      <x:c r="L527" s="21" t="str">
        <x:f>IFERROR(HYPERLINK("https://www.rtp.pt/noticias/mundo/guine-bissau-fecha-fronteiras-e-cancela-voos-provenientes-de-qualquer-pais_n1212793","RTP"),"RTP")</x:f>
        <x:v>RTP</x:v>
      </x:c>
      <x:c r="M527" s="21" t="str">
        <x:f>IFERROR(HYPERLINK("https://teranganews.sn/2020/03/covid-19-la-guinee-bissau-et-le-senegal-ont-finalement-ferme-leurs-frontieres/","Teranga News"),"Teranga News")</x:f>
        <x:v>Teranga News</x:v>
      </x:c>
      <x:c r="N527" s="4" t="str">
        <x:v>https://www.odemocratagb.com/?p=24002
https://www.rtp.pt/noticias/mundo/guine-bissau-fecha-fronteiras-e-cancela-voos-provenientes-de-qualquer-pais_n1212793
https://teranganews.sn/2020/03/covid-19-la-guinee-bissau-et-le-senegal-ont-finalement-ferme-leurs-frontieres/
https://www.dnoticias.pt/app/2020/3/18/64075-mais-de-150-pessoas-pedem-na-guine-bissau-para-regressar/
https://angnoticias.blogspot.com/2020/03/covid-19_35.html
https://madeira.rtp.pt/sociedade/covid-19-tap-retoma-voos-para-a-guine-bissau-ao-sabado/
https://angnoticias.blogspot.com/2020/11/covid-19-presidente-da-republica.html
https://www.igfm.sn/ui/covid-19-la-guinee-bissau-et-le-senegal-ont-finalement-ferme-leurs-frontieres
https://www.saudemais.tv/noticia/7696-covid-19-fronteira-fechou-entre-guine-bissau-e-senegal-mas-travessia-faz-se-em-sao-domingos
https://bomdia.eu/portugueses-na-guine-tentam-voltar-a-casa/
https://www.elibrary.imf.org/view/journals/002/2021/172/article-A001-en.xml
https://www.uccla.pt/sites/default/files/coronavirus_guine_200529.pdf
https://global-monitoring.com/gm/page/events/epidemic-0002049.WHuYnFbPOiVa.html?lang=en
https://dtudo1pouco.cv/covid-19-guine-bissau-abre-fronteiras-e-inicia-desconfinamento/</x:v>
      </x:c>
      <x:c r="O527" s="4" t="str">
        <x:v>Second full-register audit source access, 26 October 2026
https://www.odemocratagb.com/?p=24002: full text (fresh retrieval)
https://www.uccla.pt/sites/default/files/coronavirus_guine_200529.pdf: full text (fresh retrieval) — Chronology of measures, not gate observation.
https://global-monitoring.com/gm/page/events/epidemic-0002049.WHuYnFbPOiVa.html?lang=en: search extract (fresh retrieval) — Indexed historical entry; direct page yielded no text; October 2 is an advisory upper bound.
https://dtudo1pouco.cv/covid-19-guine-bissau-abre-fronteiras-e-inicia-desconfinamento/: full text (fresh retrieval)
https://www.saudemais.tv/noticia/7696-covid-19-fronteira-fechou-entre-guine-bissau-e-senegal-mas-travessia-faz-se-em-sao-domingos: full text (fresh retrieval)
Earlier URLs not separately inspected in this second assessment:
https://www.rtp.pt/noticias/mundo/guine-bissau-fecha-fronteiras-e-cancela-voos-provenientes-de-qualquer-pais_n1212793
https://teranganews.sn/2020/03/covid-19-la-guinee-bissau-et-le-senegal-ont-finalement-ferme-leurs-frontieres/
https://www.dnoticias.pt/app/2020/3/18/64075-mais-de-150-pessoas-pedem-na-guine-bissau-para-regressar/
https://angnoticias.blogspot.com/2020/03/covid-19_35.html
https://madeira.rtp.pt/sociedade/covid-19-tap-retoma-voos-para-a-guine-bissau-ao-sabado/
https://angnoticias.blogspot.com/2020/11/covid-19-presidente-da-republica.html
https://www.igfm.sn/ui/covid-19-la-guinee-bissau-et-le-senegal-ont-finalement-ferme-leurs-frontieres
https://bomdia.eu/portugueses-na-guine-tentam-voltar-a-casa/
https://www.elibrary.imf.org/view/journals/002/2021/172/article-A001-en.xml
Prior audit access record
Full-register audit source access (evidence cutoff 25 October 2026)
https://www.rtp.pt/noticias/mundo/guine-bissau-fecha-fronteiras-e-cancela-voos-provenientes-de-qualquer-pais_n1212793: full text — Source supports specified claims, not every crossing or continuity.
https://teranganews.sn/2020/03/covid-19-la-guinee-bissau-et-le-senegal-ont-finalement-ferme-leurs-frontieres/: full text — Source supports specified claims, not every crossing or continuity.
https://www.elibrary.imf.org/view/journals/002/2021/172/article-A001-en.xml: search extract — Indexed passages inspected; complete document not recovered.
Earlier source URLs not separately listed in this audit’s retrieval log (historical access notes below are not fresh verification):
https://www.odemocratagb.com/?p=24002
https://www.dnoticias.pt/app/2020/3/18/64075-mais-de-150-pessoas-pedem-na-guine-bissau-para-regressar/
https://angnoticias.blogspot.com/2020/03/covid-19_35.html
https://madeira.rtp.pt/sociedade/covid-19-tap-retoma-voos-para-a-guine-bissau-ao-sabado/
https://angnoticias.blogspot.com/2020/11/covid-19-presidente-da-republica.html
https://www.igfm.sn/ui/covid-19-la-guinee-bissau-et-le-senegal-ont-finalement-ferme-leurs-frontieres
https://www.saudemais.tv/noticia/7696-covid-19-fronteira-fechou-entre-guine-bissau-e-senegal-mas-travessia-faz-se-em-sao-domingos
https://bomdia.eu/portugueses-na-guine-tentam-voltar-a-casa/
Earlier recorded access
Source 1: full page
Source 2: substantive search extract and page body
Source 3: full page</x:v>
      </x:c>
      <x:c r="P527" s="20" t="n">
        <x:v>1</x:v>
      </x:c>
      <x:c r="Q527" s="4" t="str">
        <x:v>West Africa and Sahel</x:v>
      </x:c>
      <x:c r="R527" s="4" t="str">
        <x:v>Included</x:v>
      </x:c>
    </x:row>
    <x:row r="528" ht="409" hidden="0" customHeight="1">
      <x:c r="A528" s="16" t="str">
        <x:v>R4-AWN-002</x:v>
      </x:c>
      <x:c r="B528" s="4" t="str">
        <x:v>Sierra Leone COVID land-border closure and initial return window</x:v>
      </x:c>
      <x:c r="C528" s="4" t="str">
        <x:v>Sierra Leone; Guinea; Liberia</x:v>
      </x:c>
      <x:c r="D528" s="4" t="str">
        <x:v>Individual posts not exhaustively verified
National land borders with Guinea and Liberia</x:v>
      </x:c>
      <x:c r="E528" s="4" t="str">
        <x:v>Ordinary cross-border movement and passenger travel.
Direction: Land movement across both neighbouring frontiers; return window prevents an immediate absolute two-way interpretation.
Exceptions: Essential commodities; temporary return window for people on the other side.</x:v>
      </x:c>
      <x:c r="F528" s="4" t="str">
        <x:v>R4-AWN-002-D1 — Formal policy
Sierra Leone's initial formal land-border restriction, with essential commodities and temporary return window excepted
Start: 2020-03-27 to 2020-03-28.
Last confirmed: 2020-04-01. World Bank reporting places land-border reopening in February 2021; use 2021-02-28 as an upper bound, not an exact day.
Formal policy: confirmed through 2020-04-01; at least 4 calendar-day difference; later reopening month established</x:v>
      </x:c>
      <x:c r="G528" s="4" t="str">
        <x:v>Health and biosecurity / Human disease control
Reported reason
President Bio presented the land-border closure as a measure to prevent COVID-19 entering Sierra Leone from neighbouring countries, while retaining essential commodities.</x:v>
      </x:c>
      <x:c r="H528" s="4" t="str">
        <x:v>R4-AWN-002-D1: Formal restriction only, not absolute passage denial; one-day onset bounds preserve midnight ambiguity. April 1 is last confirmed date in this selected segment, not reopening. Later July/September narratives remain unresolved; original official URL changed and indexed/contemporary replacement evidence is distinguished.
The World Bank’s June 3, 2021 project document, Annex 5 paragraph 2, explicitly places land-border reopening in February 2021. The upper bound is February 28; individual posts, first passage and any earlier temporary return windows remain distinct. Guinea-specific February 18 permission is not assigned to the Liberia frontier. No uninterrupted March 2020–February 2021 operational interval is inferred.</x:v>
      </x:c>
      <x:c r="I528" s="4" t="str">
        <x:v>Second full-register audit, 26 October 2026: additional source-audited corrections incorporated. See the phase, scope and qualification columns for the accepted findings.</x:v>
      </x:c>
      <x:c r="J528" s="18" t="d">
        <x:v>2026-10-26T00:00:00.000Z</x:v>
      </x:c>
      <x:c r="K528" s="21" t="str">
        <x:f>IFERROR(HYPERLINK("https://statehouse.gov.sl/sierra-leones-president-julius-maada-bio-announces-closure-of-land-borders/","Sierra Leone State House"),"Sierra Leone State House")</x:f>
        <x:v>Sierra Leone State House</x:v>
      </x:c>
      <x:c r="L528" s="21" t="str">
        <x:f>IFERROR(HYPERLINK("https://awokonewspapersl.com/mru-borders-close-today/","awokonewspapersl.com"),"awokonewspapersl.com")</x:f>
        <x:v>awokonewspapersl.com</x:v>
      </x:c>
      <x:c r="M528" s="21" t="str">
        <x:f>IFERROR(HYPERLINK("https://childfundalliance.org/wp-content/uploads/2022/03/2020-04-01-SierraLeone-covid19-SitRep-1.pdf","childfundalliance.org"),"childfundalliance.org")</x:f>
        <x:v>childfundalliance.org</x:v>
      </x:c>
      <x:c r="N528" s="4" t="str">
        <x:v>https://statehouse.gov.sl/sierra-leones-president-julius-maada-bio-announces-closure-of-land-borders/
https://awokonewspapersl.com/mru-borders-close-today/
https://childfundalliance.org/wp-content/uploads/2022/03/2020-04-01-SierraLeone-covid19-SitRep-1.pdf
https://www.thesierraleonetelegraph.com/president-bio-closes-sierra-leones-land-borders-with-guinea-and-liberia/comment-page-1/
https://dtm.iom.int/sites/g/files/tmzbdl1461/files/reports/Sierra%20Leone_Cross%20Border%20Mobility_COVID-19_Survey%20Report%2006122022_FINAL_0.pdf
https://carl.org.sl/wp-content/uploads/2021/08/SIERRA-LEONE%E2%80%99S-RESPONSE-TO-COVID19-IMPLICATIONS-FOR-HUMAN-RIGHTS-LIVELIHOOD-AND-GOVERNANCE-Design.pdf
https://dtm.iom.int/reports/sierra-leone-points-entry-cross-border-mobility-and-disease-surveillance-focus-kailahun
https://dtm.iom.int/reports/sierra-leone-socio-economic-impacts-covid-19-pandemic-travellers-migrants-and-cross-border
https://www.cambridge.org/core/journals/journal-of-biosocial-science/article/ebola-in-the-rearview-mirror-how-epidemic-pasts-shaped-sierra-leones-preparedness-and-response-to-covid19/613119717A7DD55F8238DF5F57AED6DA
https://www.xinhuanet.com/english/2020-03/29/c_138926626.htm
https://documents1.worldbank.org/curated/en/323121624932169139/pdf/Sierra-Leone-Resilient-Urban-Sierra-Leone-Project.pdf
https://newsghana.com.gh/sierra-leone-and-guinea-to-reopen-border/</x:v>
      </x:c>
      <x:c r="O528" s="4" t="str">
        <x:v>Second full-register audit source access, 26 October 2026
https://www.thesierraleonetelegraph.com/president-bio-closes-sierra-leones-land-borders-with-guinea-and-liberia/comment-page-1/: full text (fresh retrieval)
https://childfundalliance.org/wp-content/uploads/2022/03/2020-04-01-SierraLeone-covid19-SitRep-1.pdf: full text (fresh retrieval)
https://documents1.worldbank.org/curated/en/323121624932169139/pdf/Sierra-Leone-Resilient-Urban-Sierra-Leone-Project.pdf: full text (fresh retrieval) — Month-level retrospective evidence; not all gate timestamps.
https://awokonewspapersl.com/mru-borders-close-today/: inaccessible (fresh retrieval) — Fresh direct request timed out.
Earlier URLs not separately inspected in this second assessment:
https://statehouse.gov.sl/sierra-leones-president-julius-maada-bio-announces-closure-of-land-borders/
https://dtm.iom.int/sites/g/files/tmzbdl1461/files/reports/Sierra%20Leone_Cross%20Border%20Mobility_COVID-19_Survey%20Report%2006122022_FINAL_0.pdf
https://carl.org.sl/wp-content/uploads/2021/08/SIERRA-LEONE%E2%80%99S-RESPONSE-TO-COVID19-IMPLICATIONS-FOR-HUMAN-RIGHTS-LIVELIHOOD-AND-GOVERNANCE-Design.pdf
https://dtm.iom.int/reports/sierra-leone-points-entry-cross-border-mobility-and-disease-surveillance-focus-kailahun
https://dtm.iom.int/reports/sierra-leone-socio-economic-impacts-covid-19-pandemic-travellers-migrants-and-cross-border
https://www.cambridge.org/core/journals/journal-of-biosocial-science/article/ebola-in-the-rearview-mirror-how-epidemic-pasts-shaped-sierra-leones-preparedness-and-response-to-covid19/613119717A7DD55F8238DF5F57AED6DA
https://www.xinhuanet.com/english/2020-03/29/c_138926626.htm
https://newsghana.com.gh/sierra-leone-and-guinea-to-reopen-border/
Prior audit access record
Full-register audit source access (evidence cutoff 25 October 2026)
https://www.thesierraleonetelegraph.com/president-bio-closes-sierra-leones-land-borders-with-guinea-and-liberia/comment-page-1/: full text — Source supports specified claims, not every crossing or continuity.
https://childfundalliance.org/wp-content/uploads/2022/03/2020-04-01-SierraLeone-covid19-SitRep-1.pdf: full text — Source supports specified claims, not every crossing or continuity.
https://documents1.worldbank.org/curated/en/323121624932169139/pdf/Sierra-Leone-Resilient-Urban-Sierra-Leone-Project.pdf: full text — Source supports specified claims, not every crossing or continuity.
https://newsghana.com.gh/sierra-leone-and-guinea-to-reopen-border/: search extract — Indexed passages inspected; complete document not recovered.
Earlier source URLs not separately listed in this audit’s retrieval log (historical access notes below are not fresh verification):
https://statehouse.gov.sl/sierra-leones-president-julius-maada-bio-announces-closure-of-land-borders/
https://awokonewspapersl.com/mru-borders-close-today/
https://dtm.iom.int/sites/g/files/tmzbdl1461/files/reports/Sierra%20Leone_Cross%20Border%20Mobility_COVID-19_Survey%20Report%2006122022_FINAL_0.pdf
https://carl.org.sl/wp-content/uploads/2021/08/SIERRA-LEONE%E2%80%99S-RESPONSE-TO-COVID19-IMPLICATIONS-FOR-HUMAN-RIGHTS-LIVELIHOOD-AND-GOVERNANCE-Design.pdf
https://dtm.iom.int/reports/sierra-leone-points-entry-cross-border-mobility-and-disease-surveillance-focus-kailahun
https://dtm.iom.int/reports/sierra-leone-socio-economic-impacts-covid-19-pandemic-travellers-migrants-and-cross-border
https://www.cambridge.org/core/journals/journal-of-biosocial-science/article/ebola-in-the-rearview-mirror-how-epidemic-pasts-shaped-sierra-leones-preparedness-and-response-to-covid19/613119717A7DD55F8238DF5F57AED6DA
https://www.xinhuanet.com/english/2020-03/29/c_138926626.htm
Earlier recorded access
Source 1: Round 5 original URL returns unrelated content; substantive official archive extract and contemporary report recovered
Source 2: indexed excerpt
Source 3: full</x:v>
      </x:c>
      <x:c r="P528" s="20" t="n">
        <x:v>1</x:v>
      </x:c>
      <x:c r="Q528" s="4" t="str">
        <x:v>West Africa and Sahel</x:v>
      </x:c>
      <x:c r="R528" s="4" t="str">
        <x:v>Included</x:v>
      </x:c>
    </x:row>
    <x:row r="529" ht="409" hidden="0" customHeight="1">
      <x:c r="A529" s="16" t="str">
        <x:v>R4-AWN-005</x:v>
      </x:c>
      <x:c r="B529" s="4" t="str">
        <x:v>Mauritania restrictions on entry from Mali during April 2024 border tensions</x:v>
      </x:c>
      <x:c r="C529" s="4" t="str">
        <x:v>Mauritania; Mali</x:v>
      </x:c>
      <x:c r="D529" s="4" t="str">
        <x:v>Koki Zamal named in the early report; later EFE report covers entry from Mali more broadly
Selective entry restrictions and reported transit interruption; not a verified total bilateral closure</x:v>
      </x:c>
      <x:c r="E529" s="4" t="str">
        <x:v>Malian entrants without accepted authorisation; buses and trucks were affected at Koki Zamal in the early account.
Direction: Best-supported direction is Mali into Mauritania; complete outbound closure is not established.
Exceptions: EFE reports entry for Malian residents or holders of written authorisation; an earlier account says some permit holders were nevertheless refused.</x:v>
      </x:c>
      <x:c r="F529" s="4" t="str">
        <x:v>R4-AWN-005-R1 — Observed operation
Mauritanian entry restrictions on Malians without accepted residence/authorization; Koki Zamal specifically corroborated
Start: 2024-04-01 to 2024-04-17.
Last confirmed: 2024-04-25. Reopening is not established.
confirmed through 2024-04-25; at least 8 calendar-day difference; reopening unknown</x:v>
      </x:c>
      <x:c r="G529" s="4" t="str">
        <x:v>Security / Armed conflict and military confrontation
Analytical interpretation of reported context
Contemporary accounts place the restriction amid repeated violent incidents involving Malian forces and Russian personnel near the Mauritanian frontier. They do not reproduce an official closure order or a definitive government statement of purpose.</x:v>
      </x:c>
      <x:c r="H529" s="4" t="str">
        <x:v>R4-AWN-005-R1: Not total closure; permit practice may have evolved. Outbound protest blockade is separate. Last confirmation April 25 is not reopening.</x:v>
      </x:c>
      <x:c r="I529" s="4" t="str">
        <x:v>Second full-register audit, 26 October 2026: additional source-audited corrections incorporated. See the phase, scope and qualification columns for the accepted findings.</x:v>
      </x:c>
      <x:c r="J529" s="18" t="d">
        <x:v>2026-10-26T00:00:00.000Z</x:v>
      </x:c>
      <x:c r="K529" s="21" t="str">
        <x:f>IFERROR(HYPERLINK("https://cridem.org/C_Info.php?article=774078","CRIDEM / Senalioune"),"CRIDEM / Senalioune")</x:f>
        <x:v>CRIDEM / Senalioune</x:v>
      </x:c>
      <x:c r="L529" s="21" t="str">
        <x:f>IFERROR(HYPERLINK("https://www.swissinfo.ch/spa/la-frontera-entre-mauritania-y-mali,-casi-cerrada-por-incidentes-violentos-recurrentes/76422649","Swissinfo"),"Swissinfo")</x:f>
        <x:v>Swissinfo</x:v>
      </x:c>
      <x:c r="M529" s="21" t="str">
        <x:f>IFERROR(HYPERLINK("https://www.cridem.org/imprimable.php?article=774253","CRIDEM / Senalioune"),"CRIDEM / Senalioune")</x:f>
        <x:v>CRIDEM / Senalioune</x:v>
      </x:c>
      <x:c r="N529" s="4" t="str">
        <x:v>https://cridem.org/C_Info.php?article=774078
https://www.swissinfo.ch/spa/la-frontera-entre-mauritania-y-mali,-casi-cerrada-por-incidentes-violentos-recurrentes/76422649
https://www.cridem.org/imprimable.php?article=774253
https://www.swissinfo.ch/spa/la-frontera-entre-mauritania-y-mali%2C-casi-cerrada-por-incidentes-violentos-recurrentes/76422649
https://ami.mr/fr/archives/245360
https://tefassil.mr/ar/node/1591
https://www.cridem.orgwww.cridem.org/C_Info.php?article=774078</x:v>
      </x:c>
      <x:c r="O529" s="4" t="str">
        <x:v>Second full-register audit source access, 26 October 2026
https://cridem.org/C_Info.php?article=774078: full text (fresh retrieval)
https://www.swissinfo.ch/spa/la-frontera-entre-mauritania-y-mali%2C-casi-cerrada-por-incidentes-violentos-recurrentes/76422649: full text (fresh retrieval)
https://www.cridem.org/imprimable.php?article=774253: inaccessible (fresh retrieval) — Fresh request timed out; not used to extend this entry restriction.
Earlier URLs not separately inspected in this second assessment:
https://www.swissinfo.ch/spa/la-frontera-entre-mauritania-y-mali,-casi-cerrada-por-incidentes-violentos-recurrentes/76422649
https://ami.mr/fr/archives/245360
https://tefassil.mr/ar/node/1591
https://www.cridem.orgwww.cridem.org/C_Info.php?article=774078
Prior audit access record
Full-register audit source access (evidence cutoff 25 October 2026)
https://cridem.org/C_Info.php?article=774078: search extract — Original direct retrieval timed out; substantial indexed text was recovered through the recorded alternate CRIDEM host.
https://www.swissinfo.ch/spa/la-frontera-entre-mauritania-y-mali,-casi-cerrada-por-incidentes-violentos-recurrentes/76422649: full text
https://www.cridem.org/imprimable.php?article=774253: inaccessible — Direct retrieval timed out.
Earlier source URLs not separately listed in this audit’s retrieval log (historical access notes below are not fresh verification):
https://www.swissinfo.ch/spa/la-frontera-entre-mauritania-y-mali%2C-casi-cerrada-por-incidentes-violentos-recurrentes/76422649
https://ami.mr/fr/archives/245360
https://tefassil.mr/ar/node/1591
https://www.cridem.orgwww.cridem.org/C_Info.php?article=774078
Earlier recorded access
Source 1: indexed excerpt; full; full text
Source 2: full
Source 3: indexed excerpt; full; full text</x:v>
      </x:c>
      <x:c r="P529" s="20" t="n">
        <x:v>1</x:v>
      </x:c>
      <x:c r="Q529" s="4" t="str">
        <x:v>West Africa and Sahel</x:v>
      </x:c>
      <x:c r="R529" s="4" t="str">
        <x:v>Included</x:v>
      </x:c>
    </x:row>
    <x:row r="530" ht="409" hidden="0" customHeight="1">
      <x:c r="A530" s="16" t="str">
        <x:v>R5-AM-002</x:v>
      </x:c>
      <x:c r="B530" s="4" t="str">
        <x:v>Peñas Blancas trucker blockade over shortened transit permission, April–May 2020</x:v>
      </x:c>
      <x:c r="C530" s="4" t="str">
        <x:v>Costa Rica; Nicaragua</x:v>
      </x:c>
      <x:c r="D530" s="4" t="str">
        <x:v>Peñas Blancas
Truck passage at Peñas Blancas international crossing</x:v>
      </x:c>
      <x:c r="E530" s="4" t="str">
        <x:v>Cross-border freight trucks, including perishable and urgent goods.
Direction: Truck entry and exit at the Costa Rican crossing obstructed.
Exceptions: Passenger and pedestrian access not established by these sources.</x:v>
      </x:c>
      <x:c r="F530" s="4" t="str">
        <x:v>R5-AM-002-D1 — Observed operation
Truck passage at Peñas Blancas international crossing; Cross-border freight trucks, including perishable and urgent goods.; Truck entry and exit at the Costa Rican crossing obstructed.
Start: 2020-04-30, morning; exact hour unknown.
Observed scoped reopening: 2020-05-01, approximately 05:00.
1 calendar-day difference; scoped endpoint only</x:v>
      </x:c>
      <x:c r="G530" s="4" t="str">
        <x:v>Trade and protectionism / Trade and transport protests
Reported reason
Applies to: Recorded episode; exact overlap not separately established
The blockade opposed a commercial stay limit imposed during the pandemic. It is coded as a transport protest, not infection control.</x:v>
      </x:c>
      <x:c r="H530" s="4" t="str">
        <x:v>R5-AM-002-D1: The onset is morning April 30, without exact hour. Police reported normal entry and exit after removal around 05:00 on May 1. The record concerns freight, not a universal passenger closure. Passenger and pedestrian access not established by these sources.</x:v>
      </x:c>
      <x:c r="I530" s="4" t="str">
        <x:v>Second full-register audit, 26 October 2026: additional source-audited corrections incorporated. See the phase, scope and qualification columns for the accepted findings.</x:v>
      </x:c>
      <x:c r="J530" s="18" t="d">
        <x:v>2026-10-26T00:00:00.000Z</x:v>
      </x:c>
      <x:c r="K530" s="21" t="str">
        <x:f>IFERROR(HYPERLINK("https://www.nacion.com/economia/negocios/transportistas-extranjeros-cierran-paso-en-penas/O56T3DLZOZDQZHCCNJ3NUIZMPQ/story/","La Nación"),"La Nación")</x:f>
        <x:v>La Nación</x:v>
      </x:c>
      <x:c r="L530" s="21" t="str">
        <x:f>IFERROR(HYPERLINK("https://www.teletica.com/amp/sucesos/policia-levanta-bloqueo-de-transportistas-en-penas-blancas_256017","Teletica"),"Teletica")</x:f>
        <x:v>Teletica</x:v>
      </x:c>
      <x:c r="M530" s="21" t="str">
        <x:f>IFERROR(HYPERLINK("https://presidencia.gobiernocarlosalvarado.cr/comunicados/2020/03/cinco-cuerpos-policiales-aumentan-vigilancia-en-puestos-y-puntos-ciegos-en-frontera-con-nicaragua/","presidencia.gobiernocarlosalvarado.cr"),"presidencia.gobiernocarlosalvarado.cr")</x:f>
        <x:v>presidencia.gobiernocarlosalvarado.cr</x:v>
      </x:c>
      <x:c r="N530" s="4" t="str">
        <x:v>https://www.nacion.com/economia/negocios/transportistas-extranjeros-cierran-paso-en-penas/O56T3DLZOZDQZHCCNJ3NUIZMPQ/story/
https://www.teletica.com/amp/sucesos/policia-levanta-bloqueo-de-transportistas-en-penas-blancas_256017
https://presidencia.gobiernocarlosalvarado.cr/comunicados/2020/03/cinco-cuerpos-policiales-aumentan-vigilancia-en-puestos-y-puntos-ciegos-en-frontera-con-nicaragua/
https://presidencia.gobiernocarlosalvarado.cr/comunicados/2020/04/instalada-base-aerea-alterna-en-las-tablillas-para-vigilancia-permanente-en-frontera-norte/
https://www.crhoy.com/nacionales/nicaragua-restringe-paso-de-extranjeros-en-frontera-con-costa-rica/
https://www.nacion.com/economia/politica-economica/gobierno-de-nicaragua-cierra-transito-de/4JLEPB67ZNDBJHQUI5DWZJ2DCI/story/
https://www.teletica.com/noticias/transportistas-levantan-bloqueo-en-penas-blancas-tras-15-dias-de-cierre_258333</x:v>
      </x:c>
      <x:c r="O530" s="4" t="str">
        <x:v>Second full-register audit source access, 26 October 2026
https://www.nacion.com/economia/negocios/transportistas-extranjeros-cierran-paso-en-penas/O56T3DLZOZDQZHCCNJ3NUIZMPQ/story/: full text (fresh retrieval)
https://www.teletica.com/amp/sucesos/policia-levanta-bloqueo-de-transportistas-en-penas-blancas_256017: full text (fresh retrieval)
Earlier URLs not separately inspected in this second assessment:
https://presidencia.gobiernocarlosalvarado.cr/comunicados/2020/03/cinco-cuerpos-policiales-aumentan-vigilancia-en-puestos-y-puntos-ciegos-en-frontera-con-nicaragua/
https://presidencia.gobiernocarlosalvarado.cr/comunicados/2020/04/instalada-base-aerea-alterna-en-las-tablillas-para-vigilancia-permanente-en-frontera-norte/
https://www.crhoy.com/nacionales/nicaragua-restringe-paso-de-extranjeros-en-frontera-con-costa-rica/
https://www.nacion.com/economia/politica-economica/gobierno-de-nicaragua-cierra-transito-de/4JLEPB67ZNDBJHQUI5DWZJ2DCI/story/
https://www.teletica.com/noticias/transportistas-levantan-bloqueo-en-penas-blancas-tras-15-dias-de-cierre_258333
Prior audit access record
Full-register audit source access (evidence cutoff 25 October 2026)
https://www.nacion.com/economia/negocios/transportistas-extranjeros-cierran-paso-en-penas/O56T3DLZOZDQZHCCNJ3NUIZMPQ/story/: full text — See claim-specific qualifications.
https://www.teletica.com/amp/sucesos/policia-levanta-bloqueo-de-transportistas-en-penas-blancas_256017: full text — See claim-specific qualifications.
Earlier source URLs not separately listed in this audit’s retrieval log (historical access notes below are not fresh verification):
https://presidencia.gobiernocarlosalvarado.cr/comunicados/2020/03/cinco-cuerpos-policiales-aumentan-vigilancia-en-puestos-y-puntos-ciegos-en-frontera-con-nicaragua/
https://presidencia.gobiernocarlosalvarado.cr/comunicados/2020/04/instalada-base-aerea-alterna-en-las-tablillas-para-vigilancia-permanente-en-frontera-norte/
https://www.crhoy.com/nacionales/nicaragua-restringe-paso-de-extranjeros-en-frontera-con-costa-rica/
https://www.nacion.com/economia/politica-economica/gobierno-de-nicaragua-cierra-transito-de/4JLEPB67ZNDBJHQUI5DWZJ2DCI/story/
https://www.teletica.com/noticias/transportistas-levantan-bloqueo-en-penas-blancas-tras-15-dias-de-cierre_258333
Earlier recorded access
Source 1: partial metadata
Source 2: full text
Source 3: access detail is retained in the source catalogue.</x:v>
      </x:c>
      <x:c r="P530" s="20" t="n">
        <x:v>1</x:v>
      </x:c>
      <x:c r="Q530" s="4" t="str">
        <x:v>Americas</x:v>
      </x:c>
      <x:c r="R530" s="4" t="str">
        <x:v>Included</x:v>
      </x:c>
    </x:row>
    <x:row r="531" ht="409" hidden="0" customHeight="1">
      <x:c r="A531" s="16" t="str">
        <x:v>R5-AM-001</x:v>
      </x:c>
      <x:c r="B531" s="4" t="str">
        <x:v>Bonfim traders’ interrupted freight blockade over access to Lethem, September 2021</x:v>
      </x:c>
      <x:c r="C531" s="4" t="str">
        <x:v>Brazil; Guyana</x:v>
      </x:c>
      <x:c r="D531" s="4" t="str">
        <x:v>Bonfim–Lethem / Takutu River Bridge
Brazilian approach and fiscal-post gate near the Takutu/Tacutu bridge; obstruction of supply trucks bound for Lethem</x:v>
      </x:c>
      <x:c r="E531" s="4" t="str">
        <x:v>Goods trucks travelling from Brazil to Lethem, including essential supplies.
Direction: Brazil to Guyana freight movement obstructed.
Exceptions: Goods could reach Lethem by alternative routes. No claim that all border movement stopped.</x:v>
      </x:c>
      <x:c r="F531" s="4" t="str">
        <x:v>R5-AM-001-D1 — Observed operation
Initial six-hour Brazil-to-Guyana supply-truck blockade near the Takutu bridge on September 9
Start: 2021-09-09.
Observed scoped reopening: 2021-09-09.
Same-day episode; no whole-day duration inferred; Initial protest reported as six hours; not the duration of the later resumed blockade.
R5-AM-001-AUDIT20261025-1 — Observed obstruction with bounded ending
Resumed Brazil-to-Lethem supply-truck blockade near Takutu bridge; alternative supply routes excluded
Start: 2021-09-15, Wednesday night.
Last confirmed obstruction: 2021-09-26, reported 27 September.
Ended by: 2021-10-02; exact clearance date not established.
Do not calculate an exact continuous duration.</x:v>
      </x:c>
      <x:c r="G531" s="4" t="str">
        <x:v>Trade and protectionism / Trade and transport protests
Reported reason
Applies to: R5-AM-001-D1 and R5-AM-001-AUDIT20261025-1; protesters' stated grievances
Equal access to work and trade and opposition to pandemic travel rules are explicit overlapping grievances.
Policy and socioeconomic demands / Opposition to health policies
Reported reason
Applies to: R5-AM-001-D1 and R5-AM-001-AUDIT20261025-1; protesters' stated grievances
Equal access to work and trade and opposition to pandemic travel rules are explicit overlapping grievances.
Policy and socioeconomic demands / Jobs, services and livelihoods
Reported reason
Applies to: R5-AM-001-D1 and R5-AM-001-AUDIT20261025-1; protesters' stated grievances
Equal access to work and trade and opposition to pandemic travel rules are explicit overlapping grievances.</x:v>
      </x:c>
      <x:c r="H531" s="4" t="str">
        <x:v>R5-AM-001-D1: The first protest lasted six hours on 9 September. R5-AM-001-AUDIT20261025-1: Protesters resumed obstruction on Wednesday night, 15 September. Trucks remained blocked in the 27 September report, based on a 26 September interview. The 2 October report explicitly says protests had ended, but does not date exact freight clearance. This ended-by bound does not derive solely from the 1 October easing of personal travel. Alternative road and river supplies remained available; uninterrupted closure of every movement is not asserted.</x:v>
      </x:c>
      <x:c r="I531" s="4" t="str">
        <x:v>Second full-register audit, 26 October 2026: qualified. Both Bonfim protest phases withstand fresh source checks: six-hour September 9 action and renewed September 15 obstruction, still observed September 26 and ended by October 2. No further exact clearance date is supported.</x:v>
      </x:c>
      <x:c r="J531" s="18" t="d">
        <x:v>2026-10-26T00:00:00.000Z</x:v>
      </x:c>
      <x:c r="K531" s="21" t="str">
        <x:f>IFERROR(HYPERLINK("https://kaieteurnewsonline.com/2021/09/17/brazilians-protest-unfair-practice-at-lethem-crossing/","Kaieteur News"),"Kaieteur News")</x:f>
        <x:v>Kaieteur News</x:v>
      </x:c>
      <x:c r="L531" s="21" t="str">
        <x:f>IFERROR(HYPERLINK("https://roraima1.com.br/fechamento-entre-brasil-e-guiana-causa-prejuizo-aos-moradores-da-fronteira/","Roraima 1"),"Roraima 1")</x:f>
        <x:v>Roraima 1</x:v>
      </x:c>
      <x:c r="M531" s="21" t="str">
        <x:f>IFERROR(HYPERLINK("https://www.stabroeknews.com/2021/09/27/news/guyana/bonfim-blockade-continuing-but-lethem-being-supplied-by-road-river/","Stabroek News"),"Stabroek News")</x:f>
        <x:v>Stabroek News</x:v>
      </x:c>
      <x:c r="N531" s="4" t="str">
        <x:v>https://kaieteurnewsonline.com/2021/09/17/brazilians-protest-unfair-practice-at-lethem-crossing/
https://roraima1.com.br/fechamento-entre-brasil-e-guiana-causa-prejuizo-aos-moradores-da-fronteira/
https://www.stabroeknews.com/2021/09/27/news/guyana/bonfim-blockade-continuing-but-lethem-being-supplied-by-road-river/
https://newsroom.gy/2021/09/29/pm-vaccinated-covid-negative-persons-can-use-guyana-brazil-crossing-on-thursdays-only/
https://www.stabroeknews.com/2021/10/02/news/guyana/bonfim-protest-ends-as-travel-restriction-to-lethem-eased/
https://www.stabroeknews.com/2021/09/17/news/guyana/essential-supplies-to-lethem-blocked-at-bon-fim/</x:v>
      </x:c>
      <x:c r="O531" s="4" t="str">
        <x:v>Second full-register audit source access, 26 October 2026
https://kaieteurnewsonline.com/2021/09/17/brazilians-protest-unfair-practice-at-lethem-crossing/: full text (fresh retrieval)
https://www.stabroeknews.com/2021/09/27/news/guyana/bonfim-blockade-continuing-but-lethem-being-supplied-by-road-river/: full text (fresh retrieval)
https://www.stabroeknews.com/2021/10/02/news/guyana/bonfim-protest-ends-as-travel-restriction-to-lethem-eased/: full text (fresh retrieval)
https://www.stabroeknews.com/2021/09/17/news/guyana/essential-supplies-to-lethem-blocked-at-bon-fim/: full text (fresh retrieval)
Earlier URLs not separately inspected in this second assessment:
https://roraima1.com.br/fechamento-entre-brasil-e-guiana-causa-prejuizo-aos-moradores-da-fronteira/
https://newsroom.gy/2021/09/29/pm-vaccinated-covid-negative-persons-can-use-guyana-brazil-crossing-on-thursdays-only/
Prior audit access record
Full-register audit source access (evidence cutoff 25 October 2026)
https://kaieteurnewsonline.com/2021/09/17/brazilians-protest-unfair-practice-at-lethem-crossing/: full text — See claim-specific qualifications.
https://www.stabroeknews.com/2021/09/27/news/guyana/bonfim-blockade-continuing-but-lethem-being-supplied-by-road-river/: full text — See claim-specific qualifications.
https://www.stabroeknews.com/2021/10/02/news/guyana/bonfim-protest-ends-as-travel-restriction-to-lethem-eased/: full text — See claim-specific qualifications.
https://www.stabroeknews.com/2021/09/17/news/guyana/essential-supplies-to-lethem-blocked-at-bon-fim/: full text — See claim-specific qualifications.
Earlier source URLs not separately listed in this audit’s retrieval log (historical access notes below are not fresh verification):
https://roraima1.com.br/fechamento-entre-brasil-e-guiana-causa-prejuizo-aos-moradores-da-fronteira/
https://newsroom.gy/2021/09/29/pm-vaccinated-covid-negative-persons-can-use-guyana-brazil-crossing-on-thursdays-only/
Earlier recorded access
Source 1: article body retrieved
Source 2: article body retrieved
Source 3: article body retrieved</x:v>
      </x:c>
      <x:c r="P531" s="20" t="n">
        <x:v>2</x:v>
      </x:c>
      <x:c r="Q531" s="4" t="str">
        <x:v>Americas</x:v>
      </x:c>
      <x:c r="R531" s="4" t="str">
        <x:v>Included</x:v>
      </x:c>
    </x:row>
    <x:row r="532" ht="258" hidden="0" customHeight="1">
      <x:c r="A532" s="16" t="str">
        <x:v>R5-AM-003</x:v>
      </x:c>
      <x:c r="B532" s="4" t="str">
        <x:v>Santa Rosa–Chacalluta renewed migrant road blockade, June 22, 2023</x:v>
      </x:c>
      <x:c r="C532" s="4" t="str">
        <x:v>Chile; Peru</x:v>
      </x:c>
      <x:c r="D532" s="4" t="str">
        <x:v>Santa Rosa–Chacalluta / Línea de la Concordia
Road between Chacalluta and Santa Rosa at the international boundary, on the Chilean side</x:v>
      </x:c>
      <x:c r="E532" s="4" t="str">
        <x:v>Vehicles on the international road, notably shared taxis; Emol identifies Peru-bound lanes.
Direction: Peru-bound lanes expressly identified; broader vehicle queue also reported.
Exceptions: No verified whole-frontier ban; the separate denial of admission to undocumented protesters continued after traffic resumed.</x:v>
      </x:c>
      <x:c r="F532" s="4" t="str">
        <x:v>R5-AM-003-D1 — Observed operation
Santa Rosa episode on 22 June 2023.
Start: 2023-06-22.
Observed scoped reopening: 2023-06-22.
Same-day episode; no whole-day duration inferred</x:v>
      </x:c>
      <x:c r="G532" s="4" t="str">
        <x:v>Migration / Admission and document disputes
Reported reason
Applies to: R5-AM-003-D1
Migrants blocked the international road to demand entry into Peru after being refused admission for lack of required documents. The road protest ended while their admission refusal continued.</x:v>
      </x:c>
      <x:c r="H532" s="4" t="str">
        <x:v>R5-AM-003-D1: Shown as an episode occurring on this date, not a whole-day closure. Radio Uno reports a short action of almost twenty minutes; Emol independently confirms the date and reopened road but not that duration. Clock times are reported differently on the two sides and are not harmonized here.</x:v>
      </x:c>
      <x:c r="I532" s="4" t="str">
        <x:v>Second full-register audit, 26 October 2026: additional source-audited corrections incorporated. See the phase, scope and qualification columns for the accepted findings.</x:v>
      </x:c>
      <x:c r="J532" s="18" t="d">
        <x:v>2026-10-26T00:00:00.000Z</x:v>
      </x:c>
      <x:c r="K532" s="21" t="str">
        <x:f>IFERROR(HYPERLINK("https://radiouno.pe/noticias/175298/migrantes-repiten-bloqueo-frontera-peru-y-chile/","Radio Uno"),"Radio Uno")</x:f>
        <x:v>Radio Uno</x:v>
      </x:c>
      <x:c r="L532" s="21" t="str">
        <x:f>IFERROR(HYPERLINK("https://www.emol.com/noticias/Nacional/2023/06/23/1098941/migrantes-vuelven-bloquear-carretera-internacional.html","Emol"),"Emol")</x:f>
        <x:v>Emol</x:v>
      </x:c>
      <x:c r="M532" s="21"/>
      <x:c r="N532" s="4" t="str">
        <x:v>https://radiouno.pe/noticias/175298/migrantes-repiten-bloqueo-frontera-peru-y-chile/
https://www.emol.com/noticias/Nacional/2023/06/23/1098941/migrantes-vuelven-bloquear-carretera-internacional.html</x:v>
      </x:c>
      <x:c r="O532" s="4" t="str">
        <x:v>Second full-register audit source access, 26 October 2026
https://radiouno.pe/noticias/175298/migrantes-repiten-bloqueo-frontera-peru-y-chile/: full text (fresh retrieval)
https://www.emol.com/noticias/Nacional/2023/06/23/1098941/migrantes-vuelven-bloquear-carretera-internacional.html: full text (fresh retrieval) — Substantive article summary inspected; linked El Mercurio print article not retrieved.
Prior audit access record
Full-register audit source access (evidence cutoff 25 October 2026)
https://radiouno.pe/noticias/175298/migrantes-repiten-bloqueo-frontera-peru-y-chile/: full text — Almost twenty minutes and local clock not harmonized with Chilean report
https://www.emol.com/noticias/Nacional/2023/06/23/1098941/migrantes-vuelven-bloquear-carretera-internacional.html: full text — Substantive summary inspected; linked El Mercurio full report not accessed
Earlier recorded access
Source 1: article body retrieved
Source 2: substantive article summary retrieved; linked full print report not accessed</x:v>
      </x:c>
      <x:c r="P532" s="20" t="n">
        <x:v>1</x:v>
      </x:c>
      <x:c r="Q532" s="4" t="str">
        <x:v>Americas</x:v>
      </x:c>
      <x:c r="R532" s="4" t="str">
        <x:v>Included</x:v>
      </x:c>
    </x:row>
    <x:row r="533" ht="402" hidden="0" customHeight="1">
      <x:c r="A533" s="16" t="str">
        <x:v>R5-AM-004</x:v>
      </x:c>
      <x:c r="B533" s="4" t="str">
        <x:v>Santa Rosa–Chacalluta intermittent transporters’ blockade demanding longer opening hours, November 2023</x:v>
      </x:c>
      <x:c r="C533" s="4" t="str">
        <x:v>Peru; Chile</x:v>
      </x:c>
      <x:c r="D533" s="4" t="str">
        <x:v>Santa Rosa–Chacalluta
Vehicle access near Santa Rosa on the Tacna–Arica international road</x:v>
      </x:c>
      <x:c r="E533" s="4" t="str">
        <x:v>Cross-border motor vehicles and passengers using collective taxis and buses.
Direction: Vehicle entry and exit at the crossing affected.
Exceptions: Intermittent vehicle passage and people walking past the obstruction are explicitly reported.</x:v>
      </x:c>
      <x:c r="F533" s="4" t="str">
        <x:v>R5-AM-004-D1 — Observed operation
Reported morning vehicle-access obstruction at Santa Rosa, ending at Andina's midday clearance milestone
Start: 2023-11-29.
Observed scoped reopening: 2023-11-29.
Same-day episode; no whole-day duration inferred</x:v>
      </x:c>
      <x:c r="G533" s="4" t="str">
        <x:v>Trade and protectionism / Trade and transport protests
Reported reason
Applies to: R5-AM-004-D1
Collective-taxi and other cross-border transport operators demanded round-the-clock daily operation, faster controls and fewer migration-system outages at Santa Rosa–Chacalluta.</x:v>
      </x:c>
      <x:c r="H533" s="4" t="str">
        <x:v>R5-AM-004-D1: Intermittent passage and pedestrians continued. Later-published present-tense obstruction may reflect observation-time mismatch or recurrence; final uninterrupted reopening is not established. This marks a reported completed same-day segment, not a full day or exact eight-hour duration.</x:v>
      </x:c>
      <x:c r="I533" s="4" t="str">
        <x:v>Second full-register audit, 26 October 2026: additional source-audited corrections incorporated. See the phase, scope and qualification columns for the accepted findings.</x:v>
      </x:c>
      <x:c r="J533" s="18" t="d">
        <x:v>2026-10-26T00:00:00.000Z</x:v>
      </x:c>
      <x:c r="K533" s="21" t="str">
        <x:f>IFERROR(HYPERLINK("https://andina.pe/agencia/noticia-tacna-transportistas-piden-restablecer-atencion-sin-interrupciones-frontera-chile-964794.aspx","Agencia Andina"),"Agencia Andina")</x:f>
        <x:v>Agencia Andina</x:v>
      </x:c>
      <x:c r="L533" s="21" t="str">
        <x:f>IFERROR(HYPERLINK("https://www.cooperativa.cl/noticias/pais/region-de-arica/transportistas-bloquearon-ruta-que-une-a-arica-con-tacna/2023-11-29/114419.html","Cooperativa"),"Cooperativa")</x:f>
        <x:v>Cooperativa</x:v>
      </x:c>
      <x:c r="M533" s="21" t="str">
        <x:f>IFERROR(HYPERLINK("https://larepublica.pe/sociedad/2023/11/29/frontera-peruchile-bloqueada-por-paro-de-transportistas-en-tacna-que-exigen-lrsd-1850374","La República"),"La República")</x:f>
        <x:v>La República</x:v>
      </x:c>
      <x:c r="N533" s="4" t="str">
        <x:v>https://andina.pe/agencia/noticia-tacna-transportistas-piden-restablecer-atencion-sin-interrupciones-frontera-chile-964794.aspx
https://www.cooperativa.cl/noticias/pais/region-de-arica/transportistas-bloquearon-ruta-que-une-a-arica-con-tacna/2023-11-29/114419.html
https://larepublica.pe/sociedad/2023/11/29/frontera-peruchile-bloqueada-por-paro-de-transportistas-en-tacna-que-exigen-lrsd-1850374
https://www.elmostrador.cl/noticias/pais/2023/11/29/conductores-de-tacna-bloquean-paso-fronterizo-con-chile-demandan-su-apertura-las-24-horas-del-dia/</x:v>
      </x:c>
      <x:c r="O533" s="4" t="str">
        <x:v>Second full-register audit source access, 26 October 2026
https://andina.pe/agencia/noticia-tacna-transportistas-piden-restablecer-atencion-sin-interrupciones-frontera-chile-964794.aspx: full text (fresh retrieval)
https://www.cooperativa.cl/noticias/pais/region-de-arica/transportistas-bloquearon-ruta-que-une-a-arica-con-tacna/2023-11-29/114419.html: full text (fresh retrieval)
https://larepublica.pe/sociedad/2023/11/29/frontera-peruchile-bloqueada-por-paro-de-transportistas-en-tacna-que-exigen-lrsd-1850374: full text (fresh retrieval)
Earlier URLs not separately inspected in this second assessment:
https://www.elmostrador.cl/noticias/pais/2023/11/29/conductores-de-tacna-bloquean-paso-fronterizo-con-chile-demandan-su-apertura-las-24-horas-del-dia/
Prior audit access record
Full-register audit source access (evidence cutoff 25 October 2026)
https://andina.pe/agencia/noticia-tacna-transportistas-piden-restablecer-atencion-sin-interrupciones-frontera-chile-964794.aspx: full text
https://www.cooperativa.cl/noticias/pais/region-de-arica/transportistas-bloquearon-ruta-que-une-a-arica-con-tacna/2023-11-29/114419.html: full text — More-than-eight-hour phrasing conflicts with midday milestone; not treated as exact duration
https://larepublica.pe/sociedad/2023/11/29/frontera-peruchile-bloqueada-por-paro-de-transportistas-en-tacna-que-exigen-lrsd-1850374: full text — Later publication describes restriction in present tense; observation time unclear
https://www.elmostrador.cl/noticias/pais/2023/11/29/conductores-de-tacna-bloquean-paso-fronterizo-con-chile-demandan-su-apertura-las-24-horas-del-dia/: full text
Earlier recorded access
Source 1: article body retrieved
Source 2: article body retrieved
Source 3: article body retrieved</x:v>
      </x:c>
      <x:c r="P533" s="20" t="n">
        <x:v>1</x:v>
      </x:c>
      <x:c r="Q533" s="4" t="str">
        <x:v>Americas</x:v>
      </x:c>
      <x:c r="R533" s="4" t="str">
        <x:v>Included</x:v>
      </x:c>
    </x:row>
    <x:row r="534" ht="409" hidden="0" customHeight="1">
      <x:c r="A534" s="16" t="str">
        <x:v>R5-AM-005</x:v>
      </x:c>
      <x:c r="B534" s="4" t="str">
        <x:v>Venezuela-side Pacaraima–Santa Elena crossing closure after US attack, January 3, 2026</x:v>
      </x:c>
      <x:c r="C534" s="4" t="str">
        <x:v>Venezuela; Brazil</x:v>
      </x:c>
      <x:c r="D534" s="4" t="str">
        <x:v>Pacaraima–Santa Elena de Uairén
Venezuelan side of the Pacaraima–Santa Elena de Uairén land crossing</x:v>
      </x:c>
      <x:c r="E534" s="4" t="str">
        <x:v>Ordinary cross-border travellers and vehicles at this crossing.
Direction: Venezuelan-side control affected both directions; phased Brazil-bound tourist returns.
Exceptions: Brazilian tourists were permitted to return before full normalization, according to Folhapress. Uniform denial to all people or goods is not asserted.</x:v>
      </x:c>
      <x:c r="F534" s="4" t="str">
        <x:v>R5-AM-005-D1 — Observed operation
Pacaraima episode on 3 January 2026; staged return permissions precede the reported same-day general reopening.
Start: 2026-01-03.
Observed scoped reopening: 2026-01-03.
Same-day episode; no whole-day duration inferred</x:v>
      </x:c>
      <x:c r="G534" s="4" t="str">
        <x:v>Security / Armed conflict and military confrontation
Analytical interpretation of reported context
Applies to: Recorded episode; exact overlap not separately established
Security is a contextual classification of the reported US attack. No original Venezuelan closure order is claimed to have been recovered.</x:v>
      </x:c>
      <x:c r="H534" s="4" t="str">
        <x:v>R5-AM-005-D1: Shown as an episode occurring on this date, not a whole-day closure. Reports differ on the number of hours and reopening times. Return permissions preceded general restoration. The record supports same-day bounds, not a single all-persons interval or an exact hour duration.</x:v>
      </x:c>
      <x:c r="I534" s="4" t="str">
        <x:v>Second full-register audit, 26 October 2026: qualified. Fresh on-site Folha BV reporting confirms January 3 same-day two-way pedestrian and vehicle restoration. Folhapress supplies staged tourist returns; Reuters’ shorter morning estimate remains an explicit conflict, not a second invented closure.</x:v>
      </x:c>
      <x:c r="J534" s="18" t="d">
        <x:v>2026-10-26T00:00:00.000Z</x:v>
      </x:c>
      <x:c r="K534" s="21" t="str">
        <x:f>IFERROR(HYPERLINK("https://noticias.uol.com.br/ultimas-noticias/reuters/2026/01/03/venezuela-fecha-fronteiras-com-brasil-apos-ataque-dos-eua-diz-diretor-geral-da-pf.htm","UOL / Reuters"),"UOL / Reuters")</x:f>
        <x:v>UOL / Reuters</x:v>
      </x:c>
      <x:c r="L534" s="21" t="str">
        <x:f>IFERROR(HYPERLINK("https://www.folhabv.com.br/internacional/fronteira-entre-venezuela-e-brasil-amanhece-fechada-apos-eua-anunciar-captura-de-maduro/","Folha BV"),"Folha BV")</x:f>
        <x:v>Folha BV</x:v>
      </x:c>
      <x:c r="M534" s="21" t="str">
        <x:f>IFERROR(HYPERLINK("https://www.folhabv.com.br/internacional/fronteira-entre-brasil-e-venezuela-e-reaberta-2/","Folha BV"),"Folha BV")</x:f>
        <x:v>Folha BV</x:v>
      </x:c>
      <x:c r="N534" s="4" t="str">
        <x:v>https://noticias.uol.com.br/ultimas-noticias/reuters/2026/01/03/venezuela-fecha-fronteiras-com-brasil-apos-ataque-dos-eua-diz-diretor-geral-da-pf.htm
https://www.folhabv.com.br/internacional/fronteira-entre-venezuela-e-brasil-amanhece-fechada-apos-eua-anunciar-captura-de-maduro/
https://www.folhabv.com.br/internacional/fronteira-entre-brasil-e-venezuela-e-reaberta-2/
https://www.acessa.com/mundo/2026/01/303098-fronteira-do-brasil-com-venezuela-esta-aberta-nos-dois-sentidos.html
https://noticias.uol.com.br/internacional/ultimas-noticias/2026/01/04/fronteira-brasil-venezuela.htm
https://www1.folha.uol.com.br/mundo/2026/01/fronteira-do-brasil-com-venezuela-esta-aberta-nos-dois-sentidos.shtml</x:v>
      </x:c>
      <x:c r="O534" s="4" t="str">
        <x:v>Second full-register audit source access, 26 October 2026
https://noticias.uol.com.br/ultimas-noticias/reuters/2026/01/03/venezuela-fecha-fronteiras-com-brasil-apos-ataque-dos-eua-diz-diretor-geral-da-pf.htm: search extract (fresh retrieval) — Indexed substantive article recovered; direct follow-up timed out.
https://www.folhabv.com.br/internacional/fronteira-entre-venezuela-e-brasil-amanhece-fechada-apos-eua-anunciar-captura-de-maduro/: full text (fresh retrieval)
https://www.folhabv.com.br/internacional/fronteira-entre-brasil-e-venezuela-e-reaberta-2/: full text (fresh retrieval)
https://www.acessa.com/mundo/2026/01/303098-fronteira-do-brasil-com-venezuela-esta-aberta-nos-dois-sentidos.html: full text (fresh retrieval)
Earlier URLs not separately inspected in this second assessment:
https://noticias.uol.com.br/internacional/ultimas-noticias/2026/01/04/fronteira-brasil-venezuela.htm
https://www1.folha.uol.com.br/mundo/2026/01/fronteira-do-brasil-com-venezuela-esta-aberta-nos-dois-sentidos.shtml
Prior audit access record
Full-register audit source access (evidence cutoff 25 October 2026)
https://noticias.uol.com.br/ultimas-noticias/reuters/2026/01/03/venezuela-fecha-fronteiras-com-brasil-apos-ataque-dos-eua-diz-diretor-geral-da-pf.htm: full text — Updated story reports two to three hours, conflicting with later afternoon chronology
https://www.folhabv.com.br/internacional/fronteira-entre-venezuela-e-brasil-amanhece-fechada-apos-eua-anunciar-captura-de-maduro/: full text
https://www.folhabv.com.br/internacional/fronteira-entre-brasil-e-venezuela-e-reaberta-2/: full text
https://www.acessa.com/mundo/2026/01/303098-fronteira-do-brasil-com-venezuela-esta-aberta-nos-dois-sentidos.html: full text
Earlier source URLs not separately listed in this audit’s retrieval log (historical access notes below are not fresh verification):
https://noticias.uol.com.br/internacional/ultimas-noticias/2026/01/04/fronteira-brasil-venezuela.htm
https://www1.folha.uol.com.br/mundo/2026/01/fronteira-do-brasil-com-venezuela-esta-aberta-nos-dois-sentidos.shtml
Earlier recorded access
Source 1: article body retrieved
Source 2: article body retrieved
Source 3: article body retrieved</x:v>
      </x:c>
      <x:c r="P534" s="20" t="n">
        <x:v>1</x:v>
      </x:c>
      <x:c r="Q534" s="4" t="str">
        <x:v>Americas</x:v>
      </x:c>
      <x:c r="R534" s="4" t="str">
        <x:v>Included</x:v>
      </x:c>
    </x:row>
    <x:row r="535" ht="409" hidden="0" customHeight="1">
      <x:c r="A535" s="16" t="str">
        <x:v>R5-AM-006</x:v>
      </x:c>
      <x:c r="B535" s="4" t="str">
        <x:v>Rumichaca phased commercial protest blockade against tariff dispute, March 2026</x:v>
      </x:c>
      <x:c r="C535" s="4" t="str">
        <x:v>Colombia; Ecuador</x:v>
      </x:c>
      <x:c r="D535" s="4" t="str">
        <x:v>Rumichaca
Rumichaca bridge and its road approaches; passenger and freight vehicles principally obstructed</x:v>
      </x:c>
      <x:c r="E535" s="4" t="str">
        <x:v>Freight trucks, ordinary cars and passenger vehicles on the bridge route.
Direction: Vehicle movement between Colombia and Ecuador obstructed.
Exceptions: Pedestrians and motorcycles could cross during at least the March 11 phase; pedestrian travel also documented March 18.</x:v>
      </x:c>
      <x:c r="F535" s="4" t="str">
        <x:v>R5-AM-006-R1 — Intermittent regime
Rumichaca border corridor commercial protest vehicle restrictions, initially Colombian side
Start: 2026-03-09.
Scoped endpoint: 2026-03-27.
Intermittent regime envelope; total closed days unknown</x:v>
      </x:c>
      <x:c r="G535" s="4" t="str">
        <x:v>Trade and protectionism / Trade and transport protests
Reported reason
Applies to: Commercial protest regime; exact overlap varies
Commercial actors explicitly demanded removal of reciprocal tariffs.
Policy and socioeconomic demands / Jobs, services and livelihoods
Reported reason
Applies to: March 11 protest reported March 12; not automatically every spell
EFE quotes transport leader Édison Mena demanding a guaranteed right to work amid threatened border employment.</x:v>
      </x:c>
      <x:c r="H535" s="4" t="str">
        <x:v>R5-AM-006-R1: Intermittent regime envelope only; March 27 gradual resumption began at 07:00. Exact total closed hours/days and intermediate exemptions remain unknown; pedestrians/motorcycles crossed during documented phases.</x:v>
      </x:c>
      <x:c r="I535" s="4" t="str">
        <x:v>Second full-register audit, 26 October 2026: qualified. Fresh reports confirm an intermittent March 9–27 commercial protest regime, with separate early short actions and gradual final restoration from 07:00 March 27. No continuous nineteen-day closure is inferred.</x:v>
      </x:c>
      <x:c r="J535" s="18" t="d">
        <x:v>2026-10-26T00:00:00.000Z</x:v>
      </x:c>
      <x:c r="K535" s="21" t="str">
        <x:f>IFERROR(HYPERLINK("https://www.ecuavisa.com/economia/ecuador-colombia-frontera-rumichaca-cierre-transportistas--20260309-0077.html","Ecuavisa"),"Ecuavisa")</x:f>
        <x:v>Ecuavisa</x:v>
      </x:c>
      <x:c r="L535" s="21" t="str">
        <x:f>IFERROR(HYPERLINK("https://www.teleamazonas.com/actualidad/noticias/ecuador/abre-puente-rumichaca-ecuador-colombia-protestas-113118/","Teleamazonas"),"Teleamazonas")</x:f>
        <x:v>Teleamazonas</x:v>
      </x:c>
      <x:c r="M535" s="21" t="str">
        <x:f>IFERROR(HYPERLINK("https://www.primicias.ec/economia/gremios-levantan-paro-protesta-rumichaca-carchi-frontera-ecuador-colombia-guerra-comercial-aranceles-119106/","Primicias"),"Primicias")</x:f>
        <x:v>Primicias</x:v>
      </x:c>
      <x:c r="N535" s="4" t="str">
        <x:v>https://www.ecuavisa.com/economia/ecuador-colombia-frontera-rumichaca-cierre-transportistas--20260309-0077.html
https://www.teleamazonas.com/actualidad/noticias/ecuador/abre-puente-rumichaca-ecuador-colombia-protestas-113118/
https://www.primicias.ec/economia/gremios-levantan-paro-protesta-rumichaca-carchi-frontera-ecuador-colombia-guerra-comercial-aranceles-119106/
https://www.lahora.com.ec/imbaburacarchi/segundo-dia-de-protestas-en-rumichaca-mantiene-bloqueos-intermitentes-20260310-0029.html
https://forbes.co/economia-y-finanzas/comerciantes-y-transportadores-bloquean-paso-fronterizo-con-ecuador-por-guerra-de-aranceles
https://www.primicias.ec/economia/frontera-bloqueada-colombia-asfixia-carchi-agencias-aduanas-guerra-comercial-ecuador-118643/
https://efe.com/mundo/2026-03-27/frontera-ecuador-colombia-abierta/
https://portal.migracioncolombia.gov.co/detalle-noticia/agenda-migcol/comunicaciones-y-prensa/asi-sera-el-cierre-temporal-de-fronteras-por-elecciones-legislativas-del-8-de-marzo
https://www.lahora.com.ec/imbaburacarchi/bloquean-puente-de-rumichaca-por-guerra-arancelaria-entre-ecuador-y-colombia-20260309-0025.html
https://www.noticiasrcn.com/colombia/comite-gremial-amenaza-con-mantener-el-paro-en-la-frontera-con-narino-si-no-hay-dialogo-entre-los-gobiernos-de-ecuador-y-colombia-1001748
https://www.lahora.com.ec/imbaburacarchi/rumichaca-tras-19-dias-se-levanta-el-paro-sin-resolver-crisis-y-disputa-arancelaria-entre-ecuador-y-colombia-20260327-0009.html</x:v>
      </x:c>
      <x:c r="O535" s="4" t="str">
        <x:v>Second full-register audit source access, 26 October 2026
https://www.ecuavisa.com/economia/ecuador-colombia-frontera-rumichaca-cierre-transportistas--20260309-0077.html: full text (fresh retrieval)
https://www.lahora.com.ec/imbaburacarchi/segundo-dia-de-protestas-en-rumichaca-mantiene-bloqueos-intermitentes-20260310-0029.html: full text (fresh retrieval)
https://www.teleamazonas.com/actualidad/noticias/ecuador/abre-puente-rumichaca-ecuador-colombia-protestas-113118/: full text (fresh retrieval)
https://efe.com/mundo/2026-03-27/frontera-ecuador-colombia-abierta/: full text (fresh retrieval)
https://forbes.co/economia-y-finanzas/comerciantes-y-transportadores-bloquean-paso-fronterizo-con-ecuador-por-guerra-de-aranceles: full text (fresh retrieval)
https://www.primicias.ec/economia/frontera-bloqueada-colombia-asfixia-carchi-agencias-aduanas-guerra-comercial-ecuador-118643/: full text (fresh retrieval)
Earlier URLs not separately inspected in this second assessment:
https://www.primicias.ec/economia/gremios-levantan-paro-protesta-rumichaca-carchi-frontera-ecuador-colombia-guerra-comercial-aranceles-119106/
https://portal.migracioncolombia.gov.co/detalle-noticia/agenda-migcol/comunicaciones-y-prensa/asi-sera-el-cierre-temporal-de-fronteras-por-elecciones-legislativas-del-8-de-marzo
https://www.lahora.com.ec/imbaburacarchi/bloquean-puente-de-rumichaca-por-guerra-arancelaria-entre-ecuador-y-colombia-20260309-0025.html
https://www.noticiasrcn.com/colombia/comite-gremial-amenaza-con-mantener-el-paro-en-la-frontera-con-narino-si-no-hay-dialogo-entre-los-gobiernos-de-ecuador-y-colombia-1001748
https://www.lahora.com.ec/imbaburacarchi/rumichaca-tras-19-dias-se-levanta-el-paro-sin-resolver-crisis-y-disputa-arancelaria-entre-ecuador-y-colombia-20260327-0009.html
Prior audit access record
Full-register audit source access (evidence cutoff 25 October 2026)
https://www.ecuavisa.com/economia/ecuador-colombia-frontera-rumichaca-cierre-transportistas--20260309-0077.html: full text
https://www.teleamazonas.com/actualidad/noticias/ecuador/abre-puente-rumichaca-ecuador-colombia-protestas-113118/: full text
https://www.primicias.ec/economia/gremios-levantan-paro-protesta-rumichaca-carchi-frontera-ecuador-colombia-guerra-comercial-aranceles-119106/: full text
https://www.lahora.com.ec/imbaburacarchi/segundo-dia-de-protestas-en-rumichaca-mantiene-bloqueos-intermitentes-20260310-0029.html: full text
https://forbes.co/economia-y-finanzas/comerciantes-y-transportadores-bloquean-paso-fronterizo-con-ecuador-por-guerra-de-aranceles: full text
Earlier source URLs not separately listed in this audit’s retrieval log (historical access notes below are not fresh verification):
https://www.primicias.ec/economia/frontera-bloqueada-colombia-asfixia-carchi-agencias-aduanas-guerra-comercial-ecuador-118643/
https://efe.com/mundo/2026-03-27/frontera-ecuador-colombia-abierta/
https://portal.migracioncolombia.gov.co/detalle-noticia/agenda-migcol/comunicaciones-y-prensa/asi-sera-el-cierre-temporal-de-fronteras-por-elecciones-legislativas-del-8-de-marzo
https://www.lahora.com.ec/imbaburacarchi/bloquean-puente-de-rumichaca-por-guerra-arancelaria-entre-ecuador-y-colombia-20260309-0025.html
https://www.noticiasrcn.com/colombia/comite-gremial-amenaza-con-mantener-el-paro-en-la-frontera-con-narino-si-no-hay-dialogo-entre-los-gobiernos-de-ecuador-y-colombia-1001748
https://www.lahora.com.ec/imbaburacarchi/rumichaca-tras-19-dias-se-levanta-el-paro-sin-resolver-crisis-y-disputa-arancelaria-entre-ecuador-y-colombia-20260327-0009.html
Earlier recorded access
Source 1: full
Source 2: full
Source 3: indexed excerpt</x:v>
      </x:c>
      <x:c r="P535" s="20" t="n">
        <x:v>1</x:v>
      </x:c>
      <x:c r="Q535" s="4" t="str">
        <x:v>Americas</x:v>
      </x:c>
      <x:c r="R535" s="4" t="str">
        <x:v>Included</x:v>
      </x:c>
    </x:row>
    <x:row r="536" ht="258" hidden="0" customHeight="1">
      <x:c r="A536" s="16" t="str">
        <x:v>R5-EA-001</x:v>
      </x:c>
      <x:c r="B536" s="4" t="str">
        <x:v>Myawaddy BGF river checkpoint shut during vehicle-smuggling crackdown</x:v>
      </x:c>
      <x:c r="C536" s="4" t="str">
        <x:v>Myanmar; Thailand</x:v>
      </x:c>
      <x:c r="D536" s="4" t="str">
        <x:v>Unnamed BGF river checkpoint
One unnamed BGF crossing on the Moei River near Myawaddy–Mae Sot.</x:v>
      </x:c>
      <x:c r="E536" s="4" t="str">
        <x:v>Access to this informal car-trading crossing.
Direction: Crossing access; usual vehicle flow Thailand to Myanmar.
Exceptions: Not established.</x:v>
      </x:c>
      <x:c r="F536" s="4" t="str">
        <x:v>R5-EA-001-FU1 — Observed operation
One unnamed BGF Moei River crossing near Myawaddy–Mae Sot
Start: unknown.
Last confirmed: 2018-03-26. Reopening is not established.
dated evidence; numeric duration withheld; see qualification</x:v>
      </x:c>
      <x:c r="G536" s="4" t="str">
        <x:v>Security / Smuggling and illicit trafficking
Reported reason
Applies to: Recorded episode; exact overlap not separately established
The recorded rationale and claim assessment support the selected subcategories. All applicable broad categories are retained together; no primary rationale is imposed.</x:v>
      </x:c>
      <x:c r="H536" s="4" t="str">
        <x:v>R5-EA-001-FU1: Date of observation only; unnamed gate cannot be matched to later numbered-gate reopenings. March 25 meeting is not substituted for first enforcement.
duration: March 26 direct refusal supports a scoped observation. It does not identify the gate or prove start on the preceding meeting day, nor resolve reopening.
onset: Irrawaddy's reporter was refused access by BGF soldiers March 26, 2018; local sources attribute closure to army action against vehicle smuggling. The unnamed river gate and observation date are supported, but onset and matching to later numbered gates are unknown.
continuity: Irrawaddy's reporter was refused access by BGF soldiers March 26, 2018; local sources attribute closure to army action against vehicle smuggling. The unnamed river gate and observation date are supported, but onset and matching to later numbered gates are unknown.</x:v>
      </x:c>
      <x:c r="I536" s="4" t="str">
        <x:v>Second full-register audit, 26 October 2026: qualified. The March 26, 2018 reporter-observed closure of an unnamed BGF crossing is supported; neither the prior meeting nor later named checkpoints establishes an exact onset or reopening.</x:v>
      </x:c>
      <x:c r="J536" s="18" t="d">
        <x:v>2026-10-26T00:00:00.000Z</x:v>
      </x:c>
      <x:c r="K536" s="21" t="str">
        <x:f>IFERROR(HYPERLINK("https://www.irrawaddy.com/news/burma/army-shutters-myawaddy-checkpoint-clampdown-auto-smuggling.html","The Irrawaddy"),"The Irrawaddy")</x:f>
        <x:v>The Irrawaddy</x:v>
      </x:c>
      <x:c r="L536" s="21" t="str">
        <x:f>IFERROR(HYPERLINK("https://www.xcept-research.org/publication/junta-trade-policies-spark-a-smuggling-revival-at-thai-border/","XCEPT / Frontier Myanmar"),"XCEPT / Frontier Myanmar")</x:f>
        <x:v>XCEPT / Frontier Myanmar</x:v>
      </x:c>
      <x:c r="M536" s="21"/>
      <x:c r="N536" s="4" t="str">
        <x:v>https://www.irrawaddy.com/news/burma/army-shutters-myawaddy-checkpoint-clampdown-auto-smuggling.html
https://www.xcept-research.org/publication/junta-trade-policies-spark-a-smuggling-revival-at-thai-border/
https://www.jiffa.or.jp/en/news/entry-5159.html</x:v>
      </x:c>
      <x:c r="O536" s="4" t="str">
        <x:v>Second full-register audit source access, 26 October 2026
https://www.irrawaddy.com/news/burma/army-shutters-myawaddy-checkpoint-clampdown-auto-smuggling.html: full text (fresh retrieval)
Earlier URLs not separately inspected in this second assessment:
https://www.xcept-research.org/publication/junta-trade-policies-spark-a-smuggling-revival-at-thai-border/
https://www.jiffa.or.jp/en/news/entry-5159.html
Prior audit access record
Full-register audit source access (evidence cutoff 25 October 2026)
https://www.irrawaddy.com/news/burma/army-shutters-myawaddy-checkpoint-clampdown-auto-smuggling.html: full text — See specific claim qualifications.
https://www.xcept-research.org/publication/junta-trade-policies-spark-a-smuggling-revival-at-thai-border/: full text — See specific claim qualifications.
https://www.jiffa.or.jp/en/news/entry-5159.html: search extract — See specific claim qualifications.
Earlier recorded access
Source 1: indexed excerpt; full
Source 2: full relevant article text</x:v>
      </x:c>
      <x:c r="P536" s="20" t="n">
        <x:v>1</x:v>
      </x:c>
      <x:c r="Q536" s="4" t="str">
        <x:v>East and Southeast Asia and Oceania</x:v>
      </x:c>
      <x:c r="R536" s="4" t="str">
        <x:v>Included</x:v>
      </x:c>
    </x:row>
    <x:row r="537" ht="409" hidden="0" customHeight="1">
      <x:c r="A537" s="16" t="str">
        <x:v>R5-EA-004</x:v>
      </x:c>
      <x:c r="B537" s="4" t="str">
        <x:v>Burgastai–Laoemyao pandemic suspension of road freight, 2021–2022</x:v>
      </x:c>
      <x:c r="C537" s="4" t="str">
        <x:v>Mongolia; China</x:v>
      </x:c>
      <x:c r="D537" s="4" t="str">
        <x:v>Burgastai–Laoemyao (Laoyemiao)
Burgastai–Laoemyao road port.</x:v>
      </x:c>
      <x:c r="E537" s="4" t="str">
        <x:v>Road freight, particularly mineral-product transport.
Direction: Cross-border freight; mineral exports from Mongolia emphasized.
Exceptions: Passenger restoration is not established.</x:v>
      </x:c>
      <x:c r="F537" s="4" t="str">
        <x:v>R5-EA-004-R1 — Observed operation
Burgastai–Laoemyao road freight clearance, with mineral cargo specifically documented
Start: 2021-01-01.
Observed scoped reopening: 2022-04-28.
482 calendar-day difference; scoped endpoint only</x:v>
      </x:c>
      <x:c r="G53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37" s="4" t="str">
        <x:v>R5-EA-004-R1: Year-round administrative status from April 2021 and prospective 2021 holiday operation are retained contrary wording, not observed cargo movements. Continuity remains qualified; no daily traffic logs retrieved.</x:v>
      </x:c>
      <x:c r="I537" s="4" t="str">
        <x:v>Second full-register audit, 26 October 2026: qualified. The Mongolian account expressly gives January 1, 2021 closure and April 28, 2022 freight restoration. Chinese year-round designation and holiday plans do not demonstrate actual cargo throughput during that suspension.</x:v>
      </x:c>
      <x:c r="J537" s="18" t="d">
        <x:v>2026-10-26T00:00:00.000Z</x:v>
      </x:c>
      <x:c r="K537" s="21" t="str">
        <x:f>IFERROR(HYPERLINK("https://www.ubchamber.mn/a/318","Ulaanbaatar Chamber / Mongolian ministry account"),"Ulaanbaatar Chamber / Mongolian ministry account")</x:f>
        <x:v>Ulaanbaatar Chamber / Mongolian ministry account</x:v>
      </x:c>
      <x:c r="L537" s="21" t="str">
        <x:f>IFERROR(HYPERLINK("https://www.mnb.mn/i/263221","MNB"),"MNB")</x:f>
        <x:v>MNB</x:v>
      </x:c>
      <x:c r="M537" s="21" t="str">
        <x:f>IFERROR(HYPERLINK("https://m.cnhubei.com/content/2022-04/28/content_14704525.html","cnhubei"),"cnhubei")</x:f>
        <x:v>cnhubei</x:v>
      </x:c>
      <x:c r="N537" s="4" t="str">
        <x:v>https://www.ubchamber.mn/a/318
https://www.mnb.mn/i/263221
https://m.cnhubei.com/content/2022-04/28/content_14704525.html
https://www.sohu.com/a/490250843_120545367
https://www.xjblk.gov.cn/xjblk/c119741/202207/ec780763c0cb41679f8abe9aacefbb64.shtml
https://www.hami.gov.cn/hami/c119981/202404/42610550edc64ee48c5aaa90e0586fea.shtml
https://montsame.mn/mn/read/295823
https://xjdrc.xinjiang.gov.cn/xjfgw/c112381/202304/e1d490f460e943c193a75bbf0437f115.shtml
https://ubn.mn/p/20525
https://ubinfo.mn/uploads/3849fd28-2466-4f36-a388-878a9106e74b.pdf</x:v>
      </x:c>
      <x:c r="O537" s="4" t="str">
        <x:v>Second full-register audit source access, 26 October 2026
https://www.ubchamber.mn/a/318: full text (fresh retrieval)
https://www.sohu.com/a/490250843_120545367: full text (fresh retrieval)
https://www.hami.gov.cn/hami/c119981/202404/42610550edc64ee48c5aaa90e0586fea.shtml: full text (fresh retrieval)
Earlier URLs not separately inspected in this second assessment:
https://www.mnb.mn/i/263221
https://m.cnhubei.com/content/2022-04/28/content_14704525.html
https://www.xjblk.gov.cn/xjblk/c119741/202207/ec780763c0cb41679f8abe9aacefbb64.shtml
https://montsame.mn/mn/read/295823
https://xjdrc.xinjiang.gov.cn/xjfgw/c112381/202304/e1d490f460e943c193a75bbf0437f115.shtml
https://ubn.mn/p/20525
https://ubinfo.mn/uploads/3849fd28-2466-4f36-a388-878a9106e74b.pdf
Prior audit access record
Full-register audit source access (evidence cutoff 25 October 2026)
https://www.ubchamber.mn/a/318: full text
https://www.mnb.mn/i/263221: search extract — Direct 404.
https://m.cnhubei.com/content/2022-04/28/content_14704525.html: search extract — Direct redirect loop.
https://www.xjblk.gov.cn/xjblk/c119741/202207/ec780763c0cb41679f8abe9aacefbb64.shtml: inaccessible — Direct timeout; targeted search did not recover substantive page.
Earlier source URLs not separately listed in this audit’s retrieval log (historical access notes below are not fresh verification):
https://www.sohu.com/a/490250843_120545367
https://www.hami.gov.cn/hami/c119981/202404/42610550edc64ee48c5aaa90e0586fea.shtml
https://montsame.mn/mn/read/295823
https://xjdrc.xinjiang.gov.cn/xjfgw/c112381/202304/e1d490f460e943c193a75bbf0437f115.shtml
https://ubn.mn/p/20525
https://ubinfo.mn/uploads/3849fd28-2466-4f36-a388-878a9106e74b.pdf
Earlier recorded access
Source 1: full
Source 2: indexed excerpt; failed
Source 3: indexed excerpt; failed</x:v>
      </x:c>
      <x:c r="P537" s="20" t="n">
        <x:v>1</x:v>
      </x:c>
      <x:c r="Q537" s="4" t="str">
        <x:v>East and Southeast Asia and Oceania</x:v>
      </x:c>
      <x:c r="R537" s="4" t="str">
        <x:v>Included</x:v>
      </x:c>
    </x:row>
    <x:row r="538" ht="366" hidden="0" customHeight="1">
      <x:c r="A538" s="16" t="str">
        <x:v>R5-EA-002</x:v>
      </x:c>
      <x:c r="B538" s="4" t="str">
        <x:v>Mae Sot–Myawaddy Bridge I restricts entry during March 2023 fighting</x:v>
      </x:c>
      <x:c r="C538" s="4" t="str">
        <x:v>Thailand; Myanmar</x:v>
      </x:c>
      <x:c r="D538" s="4" t="str">
        <x:v>Thai–Myanmar Friendship Bridge I
Thai–Myanmar Friendship Bridge I, Ban Rim Moei.</x:v>
      </x:c>
      <x:c r="E538" s="4" t="str">
        <x:v>Thai and other foreign visitors entering Myanmar through Bridge I.
Direction: Thailand to Myanmar for the stated visitor category.
Exceptions: Myanmar shoppers already in Thailand could return; this was not a ban on every person in both directions.</x:v>
      </x:c>
      <x:c r="F538" s="4" t="str">
        <x:v>R5-EA-002-D1 — Formal policy
Bridge I restriction on Thai/foreign visitor trips from Thailand into Myanmar
Start: 2023-03-25.
Policy endpoint: 2023-03-26.
Formal policy: 1 calendar-day difference; operational continuity not established</x:v>
      </x:c>
      <x:c r="G538"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38" s="4" t="str">
        <x:v>R5-EA-002-D1: Permission/availability endpoint only: tourists declined to use it that day, so no first visitor passage is established. Myanmar returnees were excepted. Later March 28 narrative overlaps the same incident and is not treated as a new closure; Bridge II cargo and inland roads are separate.
Additional within-day distinction: Eleven Media reports movement toward Thailand restored around 10:30 on March 25 after a morning blockage. That direction-specific account does not establish an earlier end of the restriction on Thai and foreign visitors entering Myanmar, for which The Nation reports restored permission on March 26 and no actual visitor crossings that day. The March 28 report recounts fighting beginning March 25, not a separately established new closure.</x:v>
      </x:c>
      <x:c r="I538" s="4" t="str">
        <x:v>Second full-register audit, 26 October 2026: qualified. The March 25–26, 2023 visitor-permission phase is supported. March 25 movement toward Thailand and March 26 permission into Myanmar are different directional findings.</x:v>
      </x:c>
      <x:c r="J538" s="18" t="d">
        <x:v>2026-10-26T00:00:00.000Z</x:v>
      </x:c>
      <x:c r="K538" s="21" t="str">
        <x:f>IFERROR(HYPERLINK("https://www.nationthailand.com/thailand/general/40026031","The Nation"),"The Nation")</x:f>
        <x:v>The Nation</x:v>
      </x:c>
      <x:c r="L538" s="21" t="str">
        <x:f>IFERROR(HYPERLINK("https://www.nationthailand.com/thailand/general/40026050","The Nation"),"The Nation")</x:f>
        <x:v>The Nation</x:v>
      </x:c>
      <x:c r="M538" s="21" t="str">
        <x:f>IFERROR(HYPERLINK("https://www.pptvhd36.com/news/สังคม/193221","PPTV HD36"),"PPTV HD36")</x:f>
        <x:v>PPTV HD36</x:v>
      </x:c>
      <x:c r="N538" s="4" t="str">
        <x:v>https://www.nationthailand.com/thailand/general/40026031
https://www.nationthailand.com/thailand/general/40026050
https://www.pptvhd36.com/news/สังคม/193221
https://www.thansettakij.com/business/trade-agriculture/560283
https://elevenmyanmar.com/news/no-1-friendship-bridge-reopens-after-fighting-ceased-in-myawady-trade-zone-and-thingannyinaung</x:v>
      </x:c>
      <x:c r="O538" s="4" t="str">
        <x:v>Second full-register audit source access, 26 October 2026
https://www.nationthailand.com/thailand/general/40026031: full text (fresh retrieval)
https://www.nationthailand.com/thailand/general/40026050: full text (fresh retrieval)
https://elevenmyanmar.com/news/no-1-friendship-bridge-reopens-after-fighting-ceased-in-myawady-trade-zone-and-thingannyinaung: full text (fresh retrieval)
Earlier URLs not separately inspected in this second assessment:
https://www.pptvhd36.com/news/สังคม/193221
https://www.thansettakij.com/business/trade-agriculture/560283
Prior audit access record
Full-register audit source access (evidence cutoff 25 October 2026)
https://www.nationthailand.com/thailand/general/40026031: full text — See specific claim qualifications.
https://www.nationthailand.com/thailand/general/40026050: full text — See specific claim qualifications.
https://elevenmyanmar.com/news/no-1-friendship-bridge-reopens-after-fighting-ceased-in-myawady-trade-zone-and-thingannyinaung: full text — See specific claim qualifications.
https://www.pptvhd36.com/news/สังคม/193221: full text — See specific claim qualifications.
https://www.thansettakij.com/business/trade-agriculture/560283: full text — See specific claim qualifications.
Earlier recorded access
Source 1: full text
Source 2: full text
Source 3: full text</x:v>
      </x:c>
      <x:c r="P538" s="20" t="n">
        <x:v>1</x:v>
      </x:c>
      <x:c r="Q538" s="4" t="str">
        <x:v>East and Southeast Asia and Oceania</x:v>
      </x:c>
      <x:c r="R538" s="4" t="str">
        <x:v>Included</x:v>
      </x:c>
    </x:row>
    <x:row r="539" ht="409" hidden="0" customHeight="1">
      <x:c r="A539" s="16" t="str">
        <x:v>R5-EA-003</x:v>
      </x:c>
      <x:c r="B539" s="4" t="str">
        <x:v>Chinshwehaw commercial post closure until March 2024 reopening permission; trade routes remained blocked</x:v>
      </x:c>
      <x:c r="C539" s="4" t="str">
        <x:v>Myanmar; China</x:v>
      </x:c>
      <x:c r="D539" s="4" t="str">
        <x:v>Chinshwehaw–Qingshuihe
Chinshwehaw border trade post opposite China.</x:v>
      </x:c>
      <x:c r="E539" s="4" t="str">
        <x:v>Commercial goods handled by the Chinshwehaw post.
Direction: Cross-border commercial trade; direction-specific completeness unproved.
Exceptions: Passenger, humanitarian and informal movement not established.</x:v>
      </x:c>
      <x:c r="F539" s="4" t="str">
        <x:v>R5-EA-003-D1 — Formal policy
Availability of Chinshwehaw commercial border-post services; endpoint is restored permission and post operation, not observed goods flow
Start: 2023-10-01 to 2023-10-27.
Policy endpoint: 2024-03-11.
Formal policy: 136–162 calendar-day difference; operational continuity not established
Later goods evidence: SHAN’s 2025-03-24 report describes coal shipments from Myanmar to China through Chinshwehaw. It also reports Chinese permission for coal, sugarcane and corn imports from November 2024, while its opening paragraph dates coal movement from September 2024. Because these retrospective dates differ, 2025-03-24 is used only as a conservative later bound for some outgoing goods, not as the exact reopening day. This does not prove restoration of Chinese exports to Myanmar, all cargo categories, passenger movement or uninterrupted access. Distinct later China-side restrictions must not be merged with the October 2023–March 2024 post-availability phase.</x:v>
      </x:c>
      <x:c r="G539"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539" s="4" t="str">
        <x:v>R5-EA-003-D1: October 1–27, 2023 onset bounds and the March 11, 2024 post-availability endpoint remain. SHAN residents and MNDAA confirm the office/post reopened March 11; Irrawaddy March 15 says no trade flowed because the junta blocked the Lashio road. Reported absence of recorded trade in April 1–May 17 is a later commercial observation, not proof that the gate itself stayed shut. The exact first restored cargo movement is unresolved. RFA’s December 2023 report mixes Kyin San Kyawt and Chinshwehaw geography, so that named-gate detail is not adopted.
Later goods evidence: SHAN’s 2025-03-24 report describes coal shipments from Myanmar to China through Chinshwehaw. It also reports Chinese permission for coal, sugarcane and corn imports from November 2024, while its opening paragraph dates coal movement from September 2024. Because these retrospective dates differ, 2025-03-24 is used only as a conservative later bound for some outgoing goods, not as the exact reopening day. This does not prove restoration of Chinese exports to Myanmar, all cargo categories, passenger movement or uninterrupted access. Distinct later China-side restrictions must not be merged with the October 2023–March 2024 post-availability phase.
A contemporary October 27, 2023 DMG report quotes a Chinshwehaw resident that the Chinese border crossing was already closed. This narrows the latest possible onset to October 27, but does not establish the first closure hour or replace the March 11 post-availability endpoint with an observed cargo restart.</x:v>
      </x:c>
      <x:c r="I539" s="4" t="str">
        <x:v>Second full-register audit, 26 October 2026: additional source-audited corrections incorporated. See the phase, scope and qualification columns for the accepted findings.</x:v>
      </x:c>
      <x:c r="J539" s="18" t="d">
        <x:v>2026-10-26T00:00:00.000Z</x:v>
      </x:c>
      <x:c r="K539" s="21" t="str">
        <x:f>IFERROR(HYPERLINK("https://www.taipeitimes.com/News/world/archives/2023/11/12/2003809065","Taipei Times"),"Taipei Times")</x:f>
        <x:v>Taipei Times</x:v>
      </x:c>
      <x:c r="L539" s="21" t="str">
        <x:f>IFERROR(HYPERLINK("https://www.rfa.org/english/news/myanmar/trade-12152023123932.html","Radio Free Asia"),"Radio Free Asia")</x:f>
        <x:v>Radio Free Asia</x:v>
      </x:c>
      <x:c r="M539" s="21" t="str">
        <x:f>IFERROR(HYPERLINK("https://english.shannews.org/archives/26983","SHAN"),"SHAN")</x:f>
        <x:v>SHAN</x:v>
      </x:c>
      <x:c r="N539" s="4" t="str">
        <x:v>https://www.taipeitimes.com/News/world/archives/2023/11/12/2003809065
https://www.rfa.org/english/news/myanmar/trade-12152023123932.html
https://english.shannews.org/archives/26983
https://www.irrawaddy.com/business/myanmar-junta-blocks-flow-of-exports-to-checkpoint-on-china-border.html
https://www.bnionline.net/en/news/kokang-armed-group-mndaa-orders-closure-lashio-chinshwehaw-muse-block-junta-troop-movements
https://eng.mizzima.com/2023/11/12/4649
https://eng.mizzima.com/2023/10/31/4333
https://english.shannews.org/archives/27912
https://www.irrawaddy.com/business/cross-border-trade-plunges-48-in-myanmar-as-ethnic-armies-seize-control.html
https://mmpeacemonitor.org/en/en-news/mndaa-reopens-chin-shwe-haw-border-gate-after-deal-with-junta/
https://www.dmediag.com/news/nt-al-etn.html</x:v>
      </x:c>
      <x:c r="O539" s="4" t="str">
        <x:v>Second full-register audit source access, 26 October 2026
https://www.dmediag.com/news/nt-al-etn.html: full text (fresh retrieval)
https://english.shannews.org/archives/26983: full text (fresh retrieval)
https://www.irrawaddy.com/business/myanmar-junta-blocks-flow-of-exports-to-checkpoint-on-china-border.html: full text (fresh retrieval)
https://english.shannews.org/archives/27912: full text (fresh retrieval)
Earlier URLs not separately inspected in this second assessment:
https://www.taipeitimes.com/News/world/archives/2023/11/12/2003809065
https://www.rfa.org/english/news/myanmar/trade-12152023123932.html
https://www.bnionline.net/en/news/kokang-armed-group-mndaa-orders-closure-lashio-chinshwehaw-muse-block-junta-troop-movements
https://eng.mizzima.com/2023/11/12/4649
https://eng.mizzima.com/2023/10/31/4333
https://www.irrawaddy.com/business/cross-border-trade-plunges-48-in-myanmar-as-ethnic-armies-seize-control.html
https://mmpeacemonitor.org/en/en-news/mndaa-reopens-chin-shwe-haw-border-gate-after-deal-with-junta/
Prior audit access record
Full-register audit source access (evidence cutoff 25 October 2026)
https://english.shannews.org/archives/26983: full text — See specific claim qualifications.
https://www.irrawaddy.com/business/myanmar-junta-blocks-flow-of-exports-to-checkpoint-on-china-border.html: full text — See specific claim qualifications.
https://www.rfa.org/english/news/myanmar/trade-12152023123932.html: full text — Contains a geographical conflation of Kyin San Kyawt with Chinshwehaw; that detail is not adopted.
https://www.taipeitimes.com/News/world/archives/2023/11/12/2003809065: full text — See specific claim qualifications.
https://english.shannews.org/archives/27912: full text — Reports shipments since September 2024 but also a November 2024 gate reopening; do not infer one precise restoration date from this discrepancy.
https://www.irrawaddy.com/business/cross-border-trade-plunges-48-in-myanmar-as-ethnic-armies-seize-control.html: full text — See specific claim qualifications.
https://mmpeacemonitor.org/en/en-news/mndaa-reopens-chin-shwe-haw-border-gate-after-deal-with-junta/: full text — See specific claim qualifications.
Earlier source URLs not separately listed in this audit’s retrieval log (historical access notes below are not fresh verification):
https://www.bnionline.net/en/news/kokang-armed-group-mndaa-orders-closure-lashio-chinshwehaw-muse-block-junta-troop-movements
https://eng.mizzima.com/2023/11/12/4649
https://eng.mizzima.com/2023/10/31/4333
Earlier recorded access
Source 1: full text
Source 2: full text
Source 3: full text</x:v>
      </x:c>
      <x:c r="P539" s="20" t="n">
        <x:v>1</x:v>
      </x:c>
      <x:c r="Q539" s="4" t="str">
        <x:v>East and Southeast Asia and Oceania</x:v>
      </x:c>
      <x:c r="R539" s="4" t="str">
        <x:v>Included</x:v>
      </x:c>
    </x:row>
    <x:row r="540" ht="246" hidden="0" customHeight="1">
      <x:c r="A540" s="16" t="str">
        <x:v>R5-EA-005</x:v>
      </x:c>
      <x:c r="B540" s="4" t="str">
        <x:v>Indonesia orders emergency-only crossing services at three PNG frontier posts for regional elections</x:v>
      </x:c>
      <x:c r="C540" s="4" t="str">
        <x:v>Indonesia; Papua New Guinea</x:v>
      </x:c>
      <x:c r="D540" s="4" t="str">
        <x:v>Skouw; Sota; Yetetkun
Indonesian PLBN Skouw, Sota and Yetetkun services.</x:v>
      </x:c>
      <x:c r="E540" s="4" t="str">
        <x:v>Ordinary cross-border service users under the announced emergency-only schedule.
Direction: Inbound and outbound service remit; implementation by direction unobserved.
Exceptions: Illness, accidents, remains repatriation and other emergencies, 08:00–16:00 WIT.</x:v>
      </x:c>
      <x:c r="F540" s="4" t="str">
        <x:v>R5-EA-005-R1 — Announced window
Skouw, Sota and Yetetkun: ordinary crossing service excluded during the scheduled 08:00–16:00 WIT service day; emergency crossings allowed
Start: 2024-11-27.
Scheduled endpoint: 2024-11-27.
Ordered window: Same-day episode; no whole-day duration inferred</x:v>
      </x:c>
      <x:c r="G540"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x:v>
      </x:c>
      <x:c r="H540" s="4" t="str">
        <x:v>R5-EA-005-R1: Scheduled 08:00–16:00 WIT November 27, an eight-hour restriction on non-emergency service. Ending date is partial-day window end, not actual reopening at 16:00 or November 28. Execution and subsequent ordinary service unknown.</x:v>
      </x:c>
      <x:c r="I540" s="4" t="str">
        <x:v>Second full-register audit, 26 October 2026: qualified. The BNPP statement specifies eight hours of emergency-only service at Skouw, Sota and Yetetkun on November 27, 2024; it is not a full-day shutdown.</x:v>
      </x:c>
      <x:c r="J540" s="18" t="d">
        <x:v>2026-10-26T00:00:00.000Z</x:v>
      </x:c>
      <x:c r="K540" s="21" t="str">
        <x:f>IFERROR(HYPERLINK("https://www.askara.co/read/2024/11/27/51369/hari-pencoblos-27-november-2024an-pilkada-plbn-tetap-laksanakan-pelayanan-perlintasan","Askara / BNPP"),"Askara / BNPP")</x:f>
        <x:v>Askara / BNPP</x:v>
      </x:c>
      <x:c r="L540" s="21" t="str">
        <x:f>IFERROR(HYPERLINK("https://bnpp.go.id/berita/hari-pencoblosan-pilkada-plbn-tetap-laksanakan-pelayanan-perlintasan","BNPP"),"BNPP")</x:f>
        <x:v>BNPP</x:v>
      </x:c>
      <x:c r="M540" s="21"/>
      <x:c r="N540" s="4" t="str">
        <x:v>https://www.askara.co/read/2024/11/27/51369/hari-pencoblos-27-november-2024an-pilkada-plbn-tetap-laksanakan-pelayanan-perlintasan
https://bnpp.go.id/berita/hari-pencoblosan-pilkada-plbn-tetap-laksanakan-pelayanan-perlintasan</x:v>
      </x:c>
      <x:c r="O540" s="4" t="str">
        <x:v>Second full-register audit source access, 26 October 2026
https://www.askara.co/read/2024/11/27/51369/hari-pencoblos-27-november-2024an-pilkada-plbn-tetap-laksanakan-pelayanan-perlintasan: full text (fresh retrieval)
https://bnpp.go.id/berita/hari-pencoblosan-pilkada-plbn-tetap-laksanakan-pelayanan-perlintasan: inaccessible (fresh retrieval) — Direct official page timed out; statement is reproduced and attributed to BNPP in Askara.
Prior audit access record
Full-register audit source access (evidence cutoff 25 October 2026)
https://www.askara.co/read/2024/11/27/51369/hari-pencoblos-27-november-2024an-pilkada-plbn-tetap-laksanakan-pelayanan-perlintasan: full text — See specific claim qualifications.
https://bnpp.go.id/berita/hari-pencoblosan-pilkada-plbn-tetap-laksanakan-pelayanan-perlintasan: inaccessible — Direct timeout; official statement recovered in Askara.
Earlier recorded access
Source 1: full
Source 2: indexed text; direct open failed</x:v>
      </x:c>
      <x:c r="P540" s="20" t="n">
        <x:v>1</x:v>
      </x:c>
      <x:c r="Q540" s="4" t="str">
        <x:v>East and Southeast Asia and Oceania</x:v>
      </x:c>
      <x:c r="R540" s="4" t="str">
        <x:v>Included</x:v>
      </x:c>
    </x:row>
    <x:row r="541" ht="409" hidden="0" customHeight="1">
      <x:c r="A541" s="16" t="str">
        <x:v>R5-EU-003</x:v>
      </x:c>
      <x:c r="B541" s="4" t="str">
        <x:v>Kosovo closes land admission to foreign travellers in the first pandemic wave</x:v>
      </x:c>
      <x:c r="C541" s="4" t="str">
        <x:v>Kosovo (disputed status); Serbia; Albania; Montenegro; North Macedonia</x:v>
      </x:c>
      <x:c r="D541" s="4" t="str">
        <x:v>Reopening scope: Merdare, Vërmicë, Kullë, Hani i Elezit, Jarinje and Dheu i Bardhë
Land entry prohibition; includes Kosovo–Serbia disputed-status boundary</x:v>
      </x:c>
      <x:c r="E541" s="4" t="str">
        <x:v>Foreign travellers entering Kosovo
Direction: Into Kosovo
Exceptions: Kosovo citizens could return subject initially to 14-day isolation. June monitoring records international freight permission; uninterrupted freight access from March is not established. At easing, recent PCR or seven-day isolation applied.</x:v>
      </x:c>
      <x:c r="F541" s="4" t="str">
        <x:v>R5-EU-003-D1 — Formal policy
Kosovo non-exempt foreign land-entry prohibition at the six posts covered by the June reopening decision
Start: 2020-03-14.
Policy endpoint: 2020-06-01.
Formal policy: 79 calendar-day difference; operational continuity not established
Actual reopening corroboration: 2020-06-01, Vërmicë–Morina passenger traffic; not all six posts independently observed.</x:v>
      </x:c>
      <x:c r="G54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41" s="4" t="str">
        <x:v>R5-EU-003-D1 is a formal six-post entry-prohibition phase; it does not establish identical daily enforcement at every post. The March 14 border-management announcement gives 06:00 commencement and permits Kosovo citizens to return. The May 31 cabinet decision names six posts and retains medical screening plus a recent PCR test or seven-day isolation. Contemporary June 1 reports describe actual resumed traffic at Vërmicë–Morina, including queues: this corroborates that crossing’s reopening but is not a first-vehicle timestamp for all six. KOHA’s indexed report says a later instruction that day exempted Albanian arrivals from the seven-day isolation requirement. The earlier government page’s header/body dating and monitoring’s stale contrary sentence remain source limitations; uninterrupted freight access from March is not inferred.</x:v>
      </x:c>
      <x:c r="I541" s="4" t="str">
        <x:v>Second full-register audit, 26 October 2026: additional source-audited corrections incorporated. See the phase, scope and qualification columns for the accepted findings.</x:v>
      </x:c>
      <x:c r="J541" s="18" t="d">
        <x:v>2026-10-26T00:00:00.000Z</x:v>
      </x:c>
      <x:c r="K541" s="21" t="str">
        <x:f>IFERROR(HYPERLINK("https://kryeministri.rks-gov.net/en/news/aprovohen-masat-shtese-nga-qeveria-e-kosoves-pas-konfirmimit-te-rasteve-pozitive-me-corona-virus-covid-19/","Kosovo Prime Minister’s Office"),"Kosovo Prime Minister’s Office")</x:f>
        <x:v>Kosovo Prime Minister’s Office</x:v>
      </x:c>
      <x:c r="L541" s="21" t="str">
        <x:f>IFERROR(HYPERLINK("https://www.koha.net/en/arberi/edhe-zyrtarisht-nga-ora-6-e-mengjesit-jane-mbyllur-kufijte-tokesore-ne-kosove","KOHA"),"KOHA")</x:f>
        <x:v>KOHA</x:v>
      </x:c>
      <x:c r="M541" s="21" t="str">
        <x:f>IFERROR(HYPERLINK("https://kryeministri.rks-gov.net/news/qeveria-mbajti-mbledhjen-e-38-te/","Kosovo Prime Minister’s Office"),"Kosovo Prime Minister’s Office")</x:f>
        <x:v>Kosovo Prime Minister’s Office</x:v>
      </x:c>
      <x:c r="N541" s="4" t="str">
        <x:v>https://kryeministri.rks-gov.net/en/news/aprovohen-masat-shtese-nga-qeveria-e-kosoves-pas-konfirmimit-te-rasteve-pozitive-me-corona-virus-covid-19/
https://www.koha.net/en/arberi/edhe-zyrtarisht-nga-ora-6-e-mengjesit-jane-mbyllur-kufijte-tokesore-ne-kosove
https://kryeministri.rks-gov.net/news/qeveria-mbajti-mbledhjen-e-38-te/
https://www.transport-community.org/wp-content/uploads/2020/06/draft-Monitoring-report-2.6..pdf
https://www.kosovo-online.com/vesti/drustvo/otvoren-prelaz-prema-albaniji-pojacan-saobracaj-1-6-2020
https://www.koha.net/en/arberi/kaos-e-radhe-kilometrike-ne-diten-e-pare-te-rihapjes-se-kufirit-kosove-shqiperi
https://www.koha.net/arberi/kaos-e-radhe-kilometrike-ne-diten-e-pare-te-rihapjes-se-kufirit-kosove-shqiperi</x:v>
      </x:c>
      <x:c r="O541" s="4" t="str">
        <x:v>Second full-register audit source access, 26 October 2026
https://www.koha.net/en/arberi/edhe-zyrtarisht-nga-ora-6-e-mengjesit-jane-mbyllur-kufijte-tokesore-ne-kosove: full text (fresh retrieval)
https://kryeministri.rks-gov.net/news/qeveria-mbajti-mbledhjen-e-38-te/: full text (fresh retrieval)
https://www.kosovo-online.com/vesti/drustvo/otvoren-prelaz-prema-albaniji-pojacan-saobracaj-1-6-2020: full text (fresh retrieval)
https://www.koha.net/arberi/kaos-e-radhe-kilometrike-ne-diten-e-pare-te-rihapjes-se-kufirit-kosove-shqiperi: search extract (fresh retrieval) — Indexed substantive excerpt, direct English page later denied access.
Earlier URLs not separately inspected in this second assessment:
https://kryeministri.rks-gov.net/en/news/aprovohen-masat-shtese-nga-qeveria-e-kosoves-pas-konfirmimit-te-rasteve-pozitive-me-corona-virus-covid-19/
https://www.transport-community.org/wp-content/uploads/2020/06/draft-Monitoring-report-2.6..pdf
https://www.koha.net/en/arberi/kaos-e-radhe-kilometrike-ne-diten-e-pare-te-rihapjes-se-kufirit-kosove-shqiperi
Prior audit access record
Full-register audit source access (evidence cutoff 25 October 2026)
https://kryeministri.rks-gov.net/en/news/aprovohen-masat-shtese-nga-qeveria-e-kosoves-pas-konfirmimit-te-rasteve-pozitive-me-corona-virus-covid-19/: search extract
https://www.koha.net/en/arberi/edhe-zyrtarisht-nga-ora-6-e-mengjesit-jane-mbyllur-kufijte-tokesore-ne-kosove: search extract
https://kryeministri.rks-gov.net/news/qeveria-mbajti-mbledhjen-e-38-te/: search extract
https://www.transport-community.org/wp-content/uploads/2020/06/draft-Monitoring-report-2.6..pdf: full text
https://www.koha.net/en/arberi/kaos-e-radhe-kilometrike-ne-diten-e-pare-te-rihapjes-se-kufirit-kosove-shqiperi: full text
Earlier source URLs not separately listed in this audit’s retrieval log (historical access notes below are not fresh verification):
https://www.kosovo-online.com/vesti/drustvo/otvoren-prelaz-prema-albaniji-pojacan-saobracaj-1-6-2020
Earlier recorded access
Source 1: full relevant page; header/body date mismatch
Source 2: substantive indexed article text; direct page unavailable
Source 3: full relevant decision text</x:v>
      </x:c>
      <x:c r="P541" s="20" t="n">
        <x:v>1</x:v>
      </x:c>
      <x:c r="Q541" s="4" t="str">
        <x:v>Europe</x:v>
      </x:c>
      <x:c r="R541" s="4" t="str">
        <x:v>Included</x:v>
      </x:c>
    </x:row>
    <x:row r="542" ht="409" hidden="0" customHeight="1">
      <x:c r="A542" s="16" t="str">
        <x:v>R5-EU-004</x:v>
      </x:c>
      <x:c r="B542" s="4" t="str">
        <x:v>Greece restricts passenger admission from Albania and North Macedonia during the pandemic</x:v>
      </x:c>
      <x:c r="C542" s="4" t="str">
        <x:v>Greece; Albania; North Macedonia</x:v>
      </x:c>
      <x:c r="D542" s="4" t="str">
        <x:v>Albania and North Macedonia frontiers; endpoint covers Evzoni–Bogorodica only
Inward road and rail admission at Albania and North Macedonia frontiers; other modes in the order excluded from this record</x:v>
      </x:c>
      <x:c r="E542" s="4" t="str">
        <x:v>Non-exempt passengers arriving from Albania and North Macedonia
Direction: Into Greece
Exceptions: Greek citizens, qualifying residence/main domicile and, for Albania, ethnic-Greek identity-card holders; freight trucks. Later essential work/medical and other category exceptions.</x:v>
      </x:c>
      <x:c r="F542" s="4" t="str">
        <x:v>R5-EU-004-D1 — Formal policy
Ordinary non-exempt passenger-entry restriction into Greece through Evzoni from North Macedonia
Start: 2020-03-15 at 15:00.
Policy endpoint: 2021-05-14; ERT reports Evzoni opening at 14:00 that day.
Formal policy: 425 calendar-day difference; operational continuity not established</x:v>
      </x:c>
      <x:c r="G54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42" s="4" t="str">
        <x:v>R5-EU-004-D1 is a policy-level interval, not a complete intermediate-instrument or daily enforcement reconstruction. The original order specifies March 15, 2020 at 15:00. ERT’s contemporary Skopje correspondent reports Evzoni opened on May 14, 2021 at 14:00 for the conditional travel resumption; no named first traveller or all-frontier reopening is claimed. Greek/resident/essential exceptions continued during the regime. Only Evzoni is covered by this endpoint: Niki, Doirani and Albanian posts are excluded. Subsequent opening hours were 07:00–23:00, with passenger health conditions retained.</x:v>
      </x:c>
      <x:c r="I542" s="4" t="str">
        <x:v>Second full-register audit, 26 October 2026: additional source-audited corrections incorporated. See the phase, scope and qualification columns for the accepted findings.</x:v>
      </x:c>
      <x:c r="J542" s="18" t="d">
        <x:v>2026-10-26T00:00:00.000Z</x:v>
      </x:c>
      <x:c r="K542" s="21" t="str">
        <x:f>IFERROR(HYPERLINK("https://www.ynanp.gr/media/documents/%CE%A6%CE%B5%CE%BA_860%CE%92.pdf","Greek Government Gazette"),"Greek Government Gazette")</x:f>
        <x:v>Greek Government Gazette</x:v>
      </x:c>
      <x:c r="L542" s="21" t="str">
        <x:f>IFERROR(HYPERLINK("https://media.gov.gr/enimerosi-ton-politikon-syntakton-kai-ton-antapokriton-ksenou-typou-2-7-2020/","Greek Government Secretariat of Communication"),"Greek Government Secretariat of Communication")</x:f>
        <x:v>Greek Government Secretariat of Communication</x:v>
      </x:c>
      <x:c r="M542" s="21" t="str">
        <x:f>IFERROR(HYPERLINK("https://services.naftemporiki.gr/story/1726286/boreia-makedonia-anoiksan-ta-sunora-me-ellada","Naftemporiki / AMNA"),"Naftemporiki / AMNA")</x:f>
        <x:v>Naftemporiki / AMNA</x:v>
      </x:c>
      <x:c r="N542" s="4" t="str">
        <x:v>https://www.ynanp.gr/media/documents/%CE%A6%CE%B5%CE%BA_860%CE%92.pdf
https://media.gov.gr/enimerosi-ton-politikon-syntakton-kai-ton-antapokriton-ksenou-typou-2-7-2020/
https://www.ynanp.gr/media/documents/2021/05/14/%CE%92_1969_14.05.2021_%CE%98%CE%B1%CE%BB%CE%AC%CF%83%CF%83%CE%B9%CE%B5%CF%82_%CE%A3%CF%85%CE%BD%CE%B4%CE%AD%CF%83%CE%B5%CE%B9%CF%82__%CE%A0%CF%81%CE%BF%CF%8B%CF%80%CE%BF%CE%B8%CE%AD%CF%83%CE%B5%CE%B9%CF%82_%CE%95%CE%B9%CF%83%CF%8C%CE%B4%CE%BF%CF%85_%CF%83%CF%84%CE%B7_%CF%87%CF%8E%CF%81%CE%B1_2.pdf
https://services.naftemporiki.gr/story/1726286/boreia-makedonia-anoiksan-ta-sunora-me-ellada
https://www.ekathimerini.com/news/250665/further-restrictions-to-travel-cruise-ships-banned/
https://www.carina.mk/index.php/sq/2016-08-15-20-09-55/2016-08-15-15-05-6/2921-izvestuvanje-za-sostojba-na-gp-bogorodica-evzoni-2
https://www.ertnews.gr/eidiseis/diethni/voreia-makedonia-apo-simera-oi-polites-tis-choras-mporoyn-na-taxideyoyn-stin-ellada/</x:v>
      </x:c>
      <x:c r="O542" s="4" t="str">
        <x:v>Second full-register audit source access, 26 October 2026
https://www.ynanp.gr/media/documents/%CE%A6%CE%B5%CE%BA_860%CE%92.pdf: full text (fresh retrieval)
https://www.ertnews.gr/eidiseis/diethni/voreia-makedonia-apo-simera-oi-polites-tis-choras-mporoyn-na-taxideyoyn-stin-ellada/: full text (fresh retrieval)
https://www.ekathimerini.com/news/250665/further-restrictions-to-travel-cruise-ships-banned/: full text (fresh retrieval)
Earlier URLs not separately inspected in this second assessment:
https://media.gov.gr/enimerosi-ton-politikon-syntakton-kai-ton-antapokriton-ksenou-typou-2-7-2020/
https://www.ynanp.gr/media/documents/2021/05/14/%CE%92_1969_14.05.2021_%CE%98%CE%B1%CE%BB%CE%AC%CF%83%CF%83%CE%B9%CE%B5%CF%82_%CE%A3%CF%85%CE%BD%CE%B4%CE%AD%CF%83%CE%B5%CE%B9%CF%82__%CE%A0%CF%81%CE%BF%CF%8B%CF%80%CE%BF%CE%B8%CE%AD%CF%83%CE%B5%CE%B9%CF%82_%CE%95%CE%B9%CF%83%CF%8C%CE%B4%CE%BF%CF%85_%CF%83%CF%84%CE%B7_%CF%87%CF%8E%CF%81%CE%B1_2.pdf
https://services.naftemporiki.gr/story/1726286/boreia-makedonia-anoiksan-ta-sunora-me-ellada
https://www.carina.mk/index.php/sq/2016-08-15-20-09-55/2016-08-15-15-05-6/2921-izvestuvanje-za-sostojba-na-gp-bogorodica-evzoni-2
Prior audit access record
Full-register audit source access (evidence cutoff 25 October 2026)
https://www.ynanp.gr/media/documents/%CE%A6%CE%B5%CE%BA_860%CE%92.pdf: full text
https://www.ynanp.gr/media/documents/2021/05/14/%CE%92_1969_14.05.2021_%CE%98%CE%B1%CE%BB%CE%AC%CF%83%CF%83%CE%B9%CE%B5%CF%82_%CE%A3%CF%85%CE%BD%CE%B4%CE%AD%CF%83%CE%B5%CE%B9%CF%82__%CE%A0%CF%81%CE%BF%CF%8B%CF%80%CE%BF%CE%B8%CE%AD%CF%83%CE%B5%CE%B9%CF%82_%CE%95%CE%B9%CF%83%CF%8C%CE%B4%CE%BF%CF%85_%CF%83%CF%84%CE%B7_%CF%87%CF%8E%CF%81%CE%B1_2.pdf: full text
https://www.ertnews.gr/eidiseis/diethni/voreia-makedonia-apo-simera-oi-polites-tis-choras-mporoyn-na-taxideyoyn-stin-ellada/: full text
Earlier source URLs not separately listed in this audit’s retrieval log (historical access notes below are not fresh verification):
https://media.gov.gr/enimerosi-ton-politikon-syntakton-kai-ton-antapokriton-ksenou-typou-2-7-2020/
https://services.naftemporiki.gr/story/1726286/boreia-makedonia-anoiksan-ta-sunora-me-ellada
https://www.ekathimerini.com/news/250665/further-restrictions-to-travel-cruise-ships-banned/
https://www.carina.mk/index.php/sq/2016-08-15-20-09-55/2016-08-15-15-05-6/2921-izvestuvanje-za-sostojba-na-gp-bogorodica-evzoni-2
Earlier recorded access
Source 1: full text
Source 2: full text
Source 3: full text</x:v>
      </x:c>
      <x:c r="P542" s="20" t="n">
        <x:v>1</x:v>
      </x:c>
      <x:c r="Q542" s="4" t="str">
        <x:v>Europe</x:v>
      </x:c>
      <x:c r="R542" s="4" t="str">
        <x:v>Included</x:v>
      </x:c>
    </x:row>
    <x:row r="543" ht="409" hidden="0" customHeight="1">
      <x:c r="A543" s="16" t="str">
        <x:v>R5-EU-002</x:v>
      </x:c>
      <x:c r="B543" s="4" t="str">
        <x:v>Bulgaria stages origin-based and third-country pandemic entry prohibitions</x:v>
      </x:c>
      <x:c r="C543" s="4" t="str">
        <x:v>Bulgaria; Romania; Serbia; North Macedonia; Greece; Türkiye</x:v>
      </x:c>
      <x:c r="D543" s="4" t="str">
        <x:v>Bulgarian land frontiers; regime rather than universal gate closure
Admission restrictions at all border checkpoints, including land and rail</x:v>
      </x:c>
      <x:c r="E543" s="4" t="str">
        <x:v>Initially non-exempt arrivals from named risk origins; subsequently non-exempt third-country entrants and restricted European-origin categories
Direction: Into Bulgaria
Exceptions: Bulgarian citizens, family and qualifying residents; later notices preserve health workers, freight personnel, diplomats, military, humanitarian workers and specified return transit. May permissions broadened further.</x:v>
      </x:c>
      <x:c r="F543" s="4" t="str">
        <x:v>R5-EU-002-R1 — Announced window
Initial Order RD-01-138 window forbidding non-exempt third-country citizens' entry into Bulgaria through road and rail posts
Start: 2020-03-20.
Scheduled endpoint: 2020-04-18.
Ordered window: 29 calendar-day difference; actual end not established
Later scoped easing: 2020-06-01, specified nationalities arriving from 29 listed countries permitted for tourism.
All remaining COVID entry requirements formally ended by: 2022-05-01.
This latest bound does not extend the initial announced window into one unchanged continuous prohibition.</x:v>
      </x:c>
      <x:c r="G54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43" s="4" t="str">
        <x:v>April 18 is the boundary after the last day of the initial order, not an observed reopening. Renewals and amendments followed. By June 1, 2020, specified EU/Schengen/UK, Serbian and North Macedonian citizens arriving from 29 listed countries were permitted for tourism, subject to the published conditions. All remaining COVID entry requirements were lifted from May 1, 2022 according to the official MFA notice and subsequent transport monitoring. This is a safe latest regime end bound; exact earlier endings for other cohorts and the complete amendment chain remain unknown. The March 18 European-origin restriction and Turkish-side measures are separate.</x:v>
      </x:c>
      <x:c r="I543" s="4" t="str">
        <x:v>Second full-register audit, 26 October 2026: qualified. Official notices support the initial ordered window, June 2020 scoped tourism easing and May 2022 latest COVID end bound.</x:v>
      </x:c>
      <x:c r="J543" s="18" t="d">
        <x:v>2026-10-26T00:00:00.000Z</x:v>
      </x:c>
      <x:c r="K543" s="21" t="str">
        <x:f>IFERROR(HYPERLINK("https://www.mfa.bg/embassies/turkeygc/news/24901","Bulgarian Foreign Ministry"),"Bulgarian Foreign Ministry")</x:f>
        <x:v>Bulgarian Foreign Ministry</x:v>
      </x:c>
      <x:c r="L543" s="21" t="str">
        <x:f>IFERROR(HYPERLINK("https://www.bta.bg/en/news//67248-Non-EU-Citizens-Banned-from-Entering-Bulgaria","BTA"),"BTA")</x:f>
        <x:v>BTA</x:v>
      </x:c>
      <x:c r="M543" s="21" t="str">
        <x:f>IFERROR(HYPERLINK("https://air.bg/en/posts/order-of-ministry-of-health-from-may-21st-2020","Bulgaria Air"),"Bulgaria Air")</x:f>
        <x:v>Bulgaria Air</x:v>
      </x:c>
      <x:c r="N543" s="4" t="str">
        <x:v>https://www.mfa.bg/embassies/turkeygc/news/24901
https://www.bta.bg/en/news//67248-Non-EU-Citizens-Banned-from-Entering-Bulgaria
https://air.bg/en/posts/order-of-ministry-of-health-from-may-21st-2020
https://old.mh.government.bg/bg/novini/aktualno/ot-0000-chasa-na-18-mart-vliza-v-sila-zabrana-za-v/
https://www.mfa.bg/embassies/germany/news/25468
https://mvr.bg/gdgp/информационен-център/пресцентър/новини/4335
https://wiki.unece.org/spaces/CTRBSBC/pages/101548412/Bulgaria
https://www.bta.bg/en/news/62394-Ban-on-Entry-in-Bulgaria-of-Certain-Nationals-of-EU-Schengen-Agreement-Countrie
https://tourism.government.bg/en/kategorii/covid-19/message-minister-tourism-bulgaria-welcomes-tourists-29-countries-june-1st-2020
https://www.mfa.bg/en/customnews/main/24737</x:v>
      </x:c>
      <x:c r="O543" s="4" t="str">
        <x:v>Second full-register audit source access, 26 October 2026
https://www.mfa.bg/embassies/turkeygc/news/24901: full text (fresh retrieval)
https://tourism.government.bg/en/kategorii/covid-19/message-minister-tourism-bulgaria-welcomes-tourists-29-countries-june-1st-2020: full text (fresh retrieval)
https://www.mfa.bg/en/customnews/main/24737: full text (fresh retrieval)
Earlier URLs not separately inspected in this second assessment:
https://www.bta.bg/en/news//67248-Non-EU-Citizens-Banned-from-Entering-Bulgaria
https://air.bg/en/posts/order-of-ministry-of-health-from-may-21st-2020
https://old.mh.government.bg/bg/novini/aktualno/ot-0000-chasa-na-18-mart-vliza-v-sila-zabrana-za-v/
https://www.mfa.bg/embassies/germany/news/25468
https://mvr.bg/gdgp/информационен-център/пресцентър/новини/4335
https://wiki.unece.org/spaces/CTRBSBC/pages/101548412/Bulgaria
https://www.bta.bg/en/news/62394-Ban-on-Entry-in-Bulgaria-of-Certain-Nationals-of-EU-Schengen-Agreement-Countrie
Prior audit access record
Full-register audit source access (evidence cutoff 25 October 2026)
https://www.mfa.bg/embassies/turkeygc/news/24901: full text
https://www.bta.bg/en/news//67248-Non-EU-Citizens-Banned-from-Entering-Bulgaria: full text
https://tourism.government.bg/en/kategorii/covid-19/message-minister-tourism-bulgaria-welcomes-tourists-29-countries-june-1st-2020: full text
https://www.mfa.bg/en/customnews/main/24737: full text
https://wiki.unece.org/spaces/CTRBSBC/pages/101548412/Bulgaria: search extract
Earlier source URLs not separately listed in this audit’s retrieval log (historical access notes below are not fresh verification):
https://air.bg/en/posts/order-of-ministry-of-health-from-may-21st-2020
https://old.mh.government.bg/bg/novini/aktualno/ot-0000-chasa-na-18-mart-vliza-v-sila-zabrana-za-v/
https://www.mfa.bg/embassies/germany/news/25468
https://mvr.bg/gdgp/информационен-център/пресцентър/новини/4335
https://www.bta.bg/en/news/62394-Ban-on-Entry-in-Bulgaria-of-Certain-Nationals-of-EU-Schengen-Agreement-Countrie
Earlier recorded access
Source 1: full
Source 2: indexed excerpt
Source 3: indexed excerpt</x:v>
      </x:c>
      <x:c r="P543" s="20" t="n">
        <x:v>1</x:v>
      </x:c>
      <x:c r="Q543" s="4" t="str">
        <x:v>Europe</x:v>
      </x:c>
      <x:c r="R543" s="4" t="str">
        <x:v>Included</x:v>
      </x:c>
    </x:row>
    <x:row r="544" ht="409" hidden="0" customHeight="1">
      <x:c r="A544" s="16" t="str">
        <x:v>R5-EU-001</x:v>
      </x:c>
      <x:c r="B544" s="4" t="str">
        <x:v>Romania prohibits non-exempt third-country entry during the pandemic</x:v>
      </x:c>
      <x:c r="C544" s="4" t="str">
        <x:v>Romania; Hungary; Serbia; Bulgaria; Moldova; Ukraine</x:v>
      </x:c>
      <x:c r="D544" s="4" t="str">
        <x:v>Romanian land frontiers; no assertion that every physical checkpoint shut
Inward admission prohibition at state border checkpoints; land, rail and international river crossings within this record</x:v>
      </x:c>
      <x:c r="E544" s="4" t="str">
        <x:v>Non-exempt third-country nationals and stateless persons; ordinary tourist entry affected
Direction: Into Romania
Exceptions: Romanian, EU/EEA and Swiss citizens outside the defined foreigner category; family, residence/long-stay documents, professional travel, diplomats, military, humanitarian protection, transit and imperative travel. Later study, seasonal and other specified work exceptions.</x:v>
      </x:c>
      <x:c r="F544" s="4" t="str">
        <x:v>R5-EU-001-D1 — Formal policy
Romanian non-exempt third-country entry prohibition, excluding Romanian/EU/EEA/Swiss citizens
Start: 2020-03-22.
Policy endpoint: 2021-06-01.
Formal policy: 436 calendar-day difference; operational continuity not established</x:v>
      </x:c>
      <x:c r="G54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44" s="4" t="str">
        <x:v>The entry prohibition applied from March 22, 2020 at 22:00 under Military Ordinance 2, Article 6. Decision 531/2021 retained it in Annex 3, Article 2(1)(7), with family, residence, professional, study, humanitarian, transit and other exceptions; Article 2(5) also exempted nationals or residents of third countries whose nonessential-travel restrictions were lifted at EU level, absent contrary national rules. Decision 580/2021 directly repealed both provisions effective June 1, 2021. These operative texts were inspected in this audit. The complete intermediate amendment chain, every traveller category and first actual resumed passage remain unverified; this is a policy period, not uniform physical closure.</x:v>
      </x:c>
      <x:c r="I544" s="4" t="str">
        <x:v>Second full-register audit, 26 October 2026: qualified. Original ordinance and repeal text confirm March 22, 2020–June 1, 2021 selected third-country policy interval.</x:v>
      </x:c>
      <x:c r="J544" s="18" t="d">
        <x:v>2026-10-26T00:00:00.000Z</x:v>
      </x:c>
      <x:c r="K544" s="21" t="str">
        <x:f>IFERROR(HYPERLINK("https://rm.coe.int/16809e126c","Romanian Ministry of Internal Affairs / Council of Europe"),"Romanian Ministry of Internal Affairs / Council of Europe")</x:f>
        <x:v>Romanian Ministry of Internal Affairs / Council of Europe</x:v>
      </x:c>
      <x:c r="L544" s="21" t="str">
        <x:f>IFERROR(HYPERLINK("https://legislatie.just.ro/Public/DetaliiDocument/50236","Romanian legislative portal"),"Romanian legislative portal")</x:f>
        <x:v>Romanian legislative portal</x:v>
      </x:c>
      <x:c r="M544" s="21" t="str">
        <x:f>IFERROR(HYPERLINK("https://legislatie.just.ro/Public/DetaliiDocumentAfis/242173","Romanian legislative portal"),"Romanian legislative portal")</x:f>
        <x:v>Romanian legislative portal</x:v>
      </x:c>
      <x:c r="N544" s="4" t="str">
        <x:v>https://rm.coe.int/16809e126c
https://legislatie.just.ro/Public/DetaliiDocument/50236
https://legislatie.just.ro/Public/DetaliiDocumentAfis/242173
https://www.politiadefrontiera.ro/en/main/i-information-on-the-measures-upon-the-arrival-in-romania-for-foreign-citizens-and-stateless-persons--7643.html
https://legislatie.just.ro/Public/DetaliiDocument/242908
https://agerpres.ro/economic/2021/05/31/romania-isi-redeschide-granitele-pentru-incoming-de-la-1-iunie--722792
https://www.onrc.ro/documente/legislatie/MO_580.pdf
https://www.uaic.ro/wp-content/uploads/2021/05/HOT%C4%82R%C3%82RE-nr.-531-din-10-mai-2021-privind-prelungirea-st%C4%83rii-de-alert%C4%83-pe-teritoriul-Rom%C3%A2niei-%C3%AEncep%C3%A2nd-cu-data-de-13-mai-2021.pdf
https://legislatie.just.ro/Public/DetaliiDocumentAfis/206467
https://legislatie.just.ro/Public/DetaliiDocumentAfis/224284
https://www.politiadefrontiera.ro/en/main/i-prohibition-of-the-entry-on-the-romanian-territory-through-the-state-border-crossing-points-of-foreign-citizens-and-stateless-persons-7589.html
https://www.moldpres.md/eng/society/moldovan-citizens-can-enter-romania-without-quarantine-
https://igi.mai.gov.ro/wp-content/uploads/2021/10/oug_nr._194_din_12_decembrie_2002_privind_regimul_strainilor_in_romania_forma_actualizata_martie_2021.pdf</x:v>
      </x:c>
      <x:c r="O544" s="4" t="str">
        <x:v>Second full-register audit source access, 26 October 2026
https://rm.coe.int/16809e126c: full text (fresh retrieval)
https://www.onrc.ro/documente/legislatie/MO_580.pdf: full text (fresh retrieval)
https://www.politiadefrontiera.ro/en/main/i-prohibition-of-the-entry-on-the-romanian-territory-through-the-state-border-crossing-points-of-foreign-citizens-and-stateless-persons-7589.html: full text (fresh retrieval)
Earlier URLs not separately inspected in this second assessment:
https://legislatie.just.ro/Public/DetaliiDocument/50236
https://legislatie.just.ro/Public/DetaliiDocumentAfis/242173
https://www.politiadefrontiera.ro/en/main/i-information-on-the-measures-upon-the-arrival-in-romania-for-foreign-citizens-and-stateless-persons--7643.html
https://legislatie.just.ro/Public/DetaliiDocument/242908
https://agerpres.ro/economic/2021/05/31/romania-isi-redeschide-granitele-pentru-incoming-de-la-1-iunie--722792
https://www.uaic.ro/wp-content/uploads/2021/05/HOT%C4%82R%C3%82RE-nr.-531-din-10-mai-2021-privind-prelungirea-st%C4%83rii-de-alert%C4%83-pe-teritoriul-Rom%C3%A2niei-%C3%AEncep%C3%A2nd-cu-data-de-13-mai-2021.pdf
https://legislatie.just.ro/Public/DetaliiDocumentAfis/206467
https://legislatie.just.ro/Public/DetaliiDocumentAfis/224284
https://www.moldpres.md/eng/society/moldovan-citizens-can-enter-romania-without-quarantine-
https://igi.mai.gov.ro/wp-content/uploads/2021/10/oug_nr._194_din_12_decembrie_2002_privind_regimul_strainilor_in_romania_forma_actualizata_martie_2021.pdf
Prior audit access record
Full-register audit source access (evidence cutoff 25 October 2026)
https://rm.coe.int/16809e126c: full text
https://www.politiadefrontiera.ro/en/main/i-prohibition-of-the-entry-on-the-romanian-territory-through-the-state-border-crossing-points-of-foreign-citizens-and-stateless-persons-7589.html: full text
https://www.uaic.ro/wp-content/uploads/2021/05/HOT%C4%82R%C3%82RE-nr.-531-din-10-mai-2021-privind-prelungirea-st%C4%83rii-de-alert%C4%83-pe-teritoriul-Rom%C3%A2niei-%C3%AEncep%C3%A2nd-cu-data-de-13-mai-2021.pdf: full text
https://www.onrc.ro/documente/legislatie/MO_580.pdf: full text
Earlier source URLs not separately listed in this audit’s retrieval log (historical access notes below are not fresh verification):
https://legislatie.just.ro/Public/DetaliiDocument/50236
https://legislatie.just.ro/Public/DetaliiDocumentAfis/242173
https://www.politiadefrontiera.ro/en/main/i-information-on-the-measures-upon-the-arrival-in-romania-for-foreign-citizens-and-stateless-persons--7643.html
https://legislatie.just.ro/Public/DetaliiDocument/242908
https://agerpres.ro/economic/2021/05/31/romania-isi-redeschide-granitele-pentru-incoming-de-la-1-iunie--722792
https://legislatie.just.ro/Public/DetaliiDocumentAfis/206467
https://legislatie.just.ro/Public/DetaliiDocumentAfis/224284
https://www.moldpres.md/eng/society/moldovan-citizens-can-enter-romania-without-quarantine-
https://igi.mai.gov.ro/wp-content/uploads/2021/10/oug_nr._194_din_12_decembrie_2002_privind_regimul_strainilor_in_romania_forma_actualizata_martie_2021.pdf
Earlier recorded access
Source 1: full text
Source 2: consolidated official text; Article 2 and amendment annotation read
Source 3: unavailable</x:v>
      </x:c>
      <x:c r="P544" s="20" t="n">
        <x:v>1</x:v>
      </x:c>
      <x:c r="Q544" s="4" t="str">
        <x:v>Europe</x:v>
      </x:c>
      <x:c r="R544" s="4" t="str">
        <x:v>Included</x:v>
      </x:c>
    </x:row>
    <x:row r="545" ht="409" hidden="0" customHeight="1">
      <x:c r="A545" s="16" t="str">
        <x:v>R5-EU-005</x:v>
      </x:c>
      <x:c r="B545" s="4" t="str">
        <x:v>Slovak hauliers renew inbound freight blockade at Vyšné Nemecké in December 2023</x:v>
      </x:c>
      <x:c r="C545" s="4" t="str">
        <x:v>Slovakia; Ukraine</x:v>
      </x:c>
      <x:c r="D545" s="4" t="str">
        <x:v>Vyšné Nemecké–Uzhhorod
Intentional obstruction of inbound commercial freight at one road crossing</x:v>
      </x:c>
      <x:c r="E545" s="4" t="str">
        <x:v>Trucks travelling from Ukraine into Slovakia
Direction: Ukraine to Slovakia
Exceptions: Passenger movement and trucks travelling from Slovakia into Ukraine were not blocked by this action.</x:v>
      </x:c>
      <x:c r="F545" s="4" t="str">
        <x:v>R5-EU-005-D1 — Observed operation
Ukraine-to-Slovakia truck blockage at Vyšné Nemecké, ending at first partial truck resumption.
Start: 2023-12-11, after 15:00 as reported in Slovakia.
Observed scoped reopening: 2023-12-13, 19:30 as reported by Ukrainian border guards; partial truck processing only.
2 calendar-day difference; scoped endpoint only
R5-EU-005-R2P1 — Observed operation
Residual restriction on Ukraine-to-Slovakia trucks after first partial resumption
Start: 2023-12-13, reported 19:30.
Actual throughput by the following morning: three to four trucks per hour, against an announced two per hour.
Protest blockade removed: 2023-12-14, reported 21:00 in Slovakia.
Source clocks are not harmonized; no exact elapsed duration is assigned.</x:v>
      </x:c>
      <x:c r="G545" s="4" t="str">
        <x:v>Trade and protectionism / Trade and transport protests
Reported reason
Applies to: Both recorded December 11–14 phases
UNAS demanded restoration of Ukrainian freight permits and changes to the EU–Ukraine road-haulage agreement, citing competitive pressure on Slovak carriers.</x:v>
      </x:c>
      <x:c r="H545" s="4" t="str">
        <x:v>R5-EU-005-D1 ends at the first partial truck processing on December 13; R5-EU-005-R2P1 records the remaining throttle until protest removal on December 14. Passenger traffic and Slovakia-to-Ukraine trucks were unaffected by this action. Source clocks are reported without timezone conversion, and queue clearance after protest removal is not an additional closure. The separate December 1–4 action is recorded in R4-EU-006.</x:v>
      </x:c>
      <x:c r="I545" s="4" t="str">
        <x:v>Second full-register audit, 26 October 2026: additional source-audited corrections incorporated. See the phase, scope and qualification columns for the accepted findings.</x:v>
      </x:c>
      <x:c r="J545" s="18" t="d">
        <x:v>2026-10-26T00:00:00.000Z</x:v>
      </x:c>
      <x:c r="K545" s="21" t="str">
        <x:f>IFERROR(HYPERLINK("https://spravy.stvr.sk/2023/12/hranicny-priechod-vysne-nemecke-je-pre-kamiony-z-ukrajiny-znova-zablokovany-az-do-odvolania/","STVR / RTVS"),"STVR / RTVS")</x:f>
        <x:v>STVR / RTVS</x:v>
      </x:c>
      <x:c r="L545" s="21" t="str">
        <x:f>IFERROR(HYPERLINK("https://t.me/s/DPSUkr?before=16794","State Border Guard Service of Ukraine, official Telegram"),"State Border Guard Service of Ukraine, official Telegram")</x:f>
        <x:v>State Border Guard Service of Ukraine, official Telegram</x:v>
      </x:c>
      <x:c r="M545" s="21" t="str">
        <x:f>IFERROR(HYPERLINK("https://spravy.stvr.sk/2023/12/unia-autodopravcov-ukoncila-blokadu-kamionov-na-priechode-vysne-nemecke/","STVR / RTVS"),"STVR / RTVS")</x:f>
        <x:v>STVR / RTVS</x:v>
      </x:c>
      <x:c r="N545" s="4" t="str">
        <x:v>https://spravy.stvr.sk/2023/12/hranicny-priechod-vysne-nemecke-je-pre-kamiony-z-ukrajiny-znova-zablokovany-az-do-odvolania/
https://t.me/s/DPSUkr?before=16794
https://spravy.stvr.sk/2023/12/unia-autodopravcov-ukoncila-blokadu-kamionov-na-priechode-vysne-nemecke/
https://www.pravda.com.ua/eng/news/2023/12/01/7431259/
https://www.ukrinform.net/rubric-economy/3798487-slovak-carriers-to-block-only-trucks-leaving-ukraine-customs.html
https://english.nv.ua/business/truck-traffic-on-the-border-with-slovakia-is-being-restored-50376811.html
https://www.rferl.org/a/slovak-truckers-end-blockate-ukraine-border/32732069.html
https://www.ukrinform.net/rubric-economy/3799911-movement-of-trucks-to-enter-slovakia-from-ukraine-partially-resumed-border-guards.html</x:v>
      </x:c>
      <x:c r="O545" s="4" t="str">
        <x:v>Second full-register audit source access, 26 October 2026
https://spravy.stvr.sk/2023/12/hranicny-priechod-vysne-nemecke-je-pre-kamiony-z-ukrajiny-znova-zablokovany-az-do-odvolania/: full text (fresh retrieval)
https://t.me/s/DPSUkr?before=16794: full text (fresh retrieval)
https://spravy.stvr.sk/2023/12/unia-autodopravcov-ukoncila-blokadu-kamionov-na-priechode-vysne-nemecke/: full text (fresh retrieval)
Earlier URLs not separately inspected in this second assessment:
https://www.pravda.com.ua/eng/news/2023/12/01/7431259/
https://www.ukrinform.net/rubric-economy/3798487-slovak-carriers-to-block-only-trucks-leaving-ukraine-customs.html
https://english.nv.ua/business/truck-traffic-on-the-border-with-slovakia-is-being-restored-50376811.html
https://www.rferl.org/a/slovak-truckers-end-blockate-ukraine-border/32732069.html
https://www.ukrinform.net/rubric-economy/3799911-movement-of-trucks-to-enter-slovakia-from-ukraine-partially-resumed-border-guards.html
Prior audit access record
Full-register audit source access (evidence cutoff 25 October 2026)
https://spravy.stvr.sk/2023/12/hranicny-priechod-vysne-nemecke-je-pre-kamiony-z-ukrajiny-znova-zablokovany-az-do-odvolania/: full text
https://t.me/s/DPSUkr?before=16794: full text
https://spravy.stvr.sk/2023/12/unia-autodopravcov-ukoncila-blokadu-kamionov-na-priechode-vysne-nemecke/: full text
https://english.nv.ua/business/truck-traffic-on-the-border-with-slovakia-is-being-restored-50376811.html: full text — Calls 14 December the partial restoration date; contemporaneous official post explicitly dates first partial processing to 13 December and takes precedence.
https://www.ukrinform.net/rubric-economy/3799911-movement-of-trucks-to-enter-slovakia-from-ukraine-partially-resumed-border-guards.html: inaccessible — 404; recovered underlying official DPSU post.
Earlier source URLs not separately listed in this audit’s retrieval log (historical access notes below are not fresh verification):
https://www.pravda.com.ua/eng/news/2023/12/01/7431259/
https://www.ukrinform.net/rubric-economy/3798487-slovak-carriers-to-block-only-trucks-leaving-ukraine-customs.html
https://www.rferl.org/a/slovak-truckers-end-blockate-ukraine-border/32732069.html
Earlier recorded access
Source 1: full article
Source 2: full substantive official post in channel archive; individual embed lacked text
Source 3: full article</x:v>
      </x:c>
      <x:c r="P545" s="20" t="n">
        <x:v>2</x:v>
      </x:c>
      <x:c r="Q545" s="4" t="str">
        <x:v>Europe</x:v>
      </x:c>
      <x:c r="R545" s="4" t="str">
        <x:v>Included</x:v>
      </x:c>
    </x:row>
    <x:row r="546" ht="409" hidden="0" customHeight="1">
      <x:c r="A546" s="16" t="str">
        <x:v>R5-AES-003</x:v>
      </x:c>
      <x:c r="B546" s="4" t="str">
        <x:v>Tanzanian restrictions on Kenyan truckers during May–June 2020 COVID border dispute</x:v>
      </x:c>
      <x:c r="C546" s="4" t="str">
        <x:v>Tanzania; Kenya</x:v>
      </x:c>
      <x:c r="D546" s="4" t="str">
        <x:v>Lunga Lunga/Horohoro and Taveta/Holili; retrospective KNA account also names Namanga and Isebania.
Selective Tanzanian entry prohibition affecting Kenyan drivers/trucks, with implementation reported at multiple Kenya-facing posts.</x:v>
      </x:c>
      <x:c r="E546" s="4" t="str">
        <x:v>Kenyan truck drivers and affected Kenyan-registered cargo vehicles entering Tanzania; goods transfer and some non-Kenyan-driven transit remained possible.
Direction: Kenya into Tanzania for affected drivers/vehicles; outward goods could continue through transfer arrangements.
Exceptions: Capital FM reports third-country transit permitted if vehicles were not driven by Kenyans; Tanzania-to-Kenya goods could be transferred at the border.</x:v>
      </x:c>
      <x:c r="F546" s="4" t="str">
        <x:v>R5-AES-003-R1 — Formal policy
Tanga regional commissioner's directive barring Kenyan truck-driver entry at Horohoro
Start: 2020-05-18.
Last confirmed: 2020-05-19. Reopening is not established.
Formal policy: confirmed through 2020-05-19; at least 1 calendar-day difference; reopening unknown
REC50-R01-PH001 — Formal policy
Namanga Tanzanian policy statement refusing Kenyan trucks during renewed testing dispute
Start: unknown.
Last confirmed: 2020-06-03. Reciprocal permission to proceed under a new testing arrangement was reported by 2020-06-18, following the commissioner’s statement on 2020-06-17.
Formal permission upper bound only; exact effective hour, first Kenya-to-Tanzania passage and numeric duration remain unknown.</x:v>
      </x:c>
      <x:c r="G546" s="4" t="str">
        <x:v>Health and biosecurity / Human disease control
Trade and protectionism / Customs and transport rules
Interstate disputes and pressure / Diplomatic disputes and retaliation
Reported reasons
Tanzanian officials disputed Kenya’s handling and recognition of COVID-19 tests and attributed infections to Kenyan drivers. The restrictions formed part of reciprocal testing and cargo-entry disagreements; these claims are attributed to the officials and are not independent findings about disease transmission.</x:v>
      </x:c>
      <x:c r="H546" s="4" t="str">
        <x:v>Contemporary reporting distinguishes the May 17 Holili/Taveta restriction from the May 18 Tanga/Horohoro directive; no synchronized onset at every post is established. R5-AES-003-R1 retains non-Kenyan transit and cargo-transfer exceptions. May 19 is confirmation, not repeal. The May 22 bilateral testing framework is not proof of complete restoration.
REC50-R01-PH001: June 1 dates the renewed dispute; the first actual Namanga refusal remains uncertain. The indexed UNECA/WFP June 2 claim has not been upgraded into an independently verified operational onset. KNA’s June 4 spot check found no trucks crossing at that moment amid testing delays, which does not establish continuous closure. The June 18 Citizen report quotes reciprocal permission announced June 17 for crews to proceed while awaiting results. This supplies a formal-permission upper bound, not a timed operational endpoint. Its observed driver trip is into Kenya; Kenya-to-Tanzania return and the separate Horohoro reopening remain unobserved.</x:v>
      </x:c>
      <x:c r="I546" s="4" t="str">
        <x:v>Second full-register audit, 26 October 2026: additional source-audited corrections incorporated. See the phase, scope and qualification columns for the accepted findings.</x:v>
      </x:c>
      <x:c r="J546" s="18" t="d">
        <x:v>2026-10-26T00:00:00.000Z</x:v>
      </x:c>
      <x:c r="K546" s="21" t="str">
        <x:f>IFERROR(HYPERLINK("https://capitalfm.africa/tanzania-shuts-its-borders-to-kenyan-truckers-citing-sabotage-in-virus-war/","Capital FM"),"Capital FM")</x:f>
        <x:v>Capital FM</x:v>
      </x:c>
      <x:c r="L546" s="21" t="str">
        <x:f>IFERROR(HYPERLINK("https://www.the-star.co.ke/sports/2020-06-03-tanzania-closes-reopened-border-over-virus-tests-tiff","The Star"),"The Star")</x:f>
        <x:v>The Star</x:v>
      </x:c>
      <x:c r="M546" s="21" t="str">
        <x:f>IFERROR(HYPERLINK("https://digitallibrary.un.org/record/3886569/files/AfricaCovid.pdf","UN Economic Commission for Africa"),"UN Economic Commission for Africa")</x:f>
        <x:v>UN Economic Commission for Africa</x:v>
      </x:c>
      <x:c r="N546" s="4" t="str">
        <x:v>https://capitalfm.africa/tanzania-shuts-its-borders-to-kenyan-truckers-citing-sabotage-in-virus-war/
https://www.the-star.co.ke/sports/2020-06-03-tanzania-closes-reopened-border-over-virus-tests-tiff
https://digitallibrary.un.org/record/3886569/files/AfricaCovid.pdf
https://www.kenyanews.go.ke/stand-off-brewing-at-namanga-over-covid-19-testing/
https://www.thecitizen.co.tz/tanzania/news/national/tanzania-kenya-agree-to-end-cross-border-trade-spat-2711056
https://www.kenyanews.go.ke/kenya-and-tanzania-resolve-dispute-over-covid19-tests/
https://www.thecitizen.co.tz/tanzania/news/national/rwanda-kenya-address-truck-standoff-on-tanzania-borders-2710946
https://www.thecitizen.co.tz/tanzania/news/national/-traders-agony-as-tanzania-kenya-feud-over-lorries-2709496
https://www.the-star.co.ke/counties/nyanza/2020-05-18-tanzania-blocks-entry-to-kenyan-truckers
https://www.theeastafrican.co.ke/tea/news/east-africa/kenya-tanzania-agree-on-covid-19-testing-and-cross-border-movement-1441772
https://au-pida.org/events/wp-content/uploads/2024/11/One-Stop-Border-Post-OSBP-Status-Report.pdf
https://kahawatungu.com/tanzanian-authorities-blame-kenyans-spreading-covid-19-tanga-region/
https://www.the-star.co.ke/sports/football/2020-06-03-tanzania-closes-reopened-border-over-virus-tests-tiff
https://www.businessdailyafrica.com/bd/news/corona-row-threatens-sh61-billion-tanzania-kenya-trade-2290160
https://www.businessdailyafrica.com/news/Corona-row-threatens-Sh61-billion-Tanzania--Kenya-trade/539546-5557848-2lvrb7/index.html
https://www.the-star.co.ke/news/world/2020-05-18-tanzania-blocks-entry-to-kenyan-truckers</x:v>
      </x:c>
      <x:c r="O546" s="4" t="str">
        <x:v>Second full-register audit source access, 26 October 2026
https://capitalfm.africa/tanzania-shuts-its-borders-to-kenyan-truckers-citing-sabotage-in-virus-war/: full text (fresh retrieval)
https://www.the-star.co.ke/sports/football/2020-06-03-tanzania-closes-reopened-border-over-virus-tests-tiff: full text (fresh retrieval)
https://www.thecitizen.co.tz/tanzania/news/national/tanzania-kenya-agree-to-end-cross-border-trade-spat-2711056: full text (fresh retrieval) — June 18 original publication distinguished from October 31 update.
https://www.kenyanews.go.ke/stand-off-brewing-at-namanga-over-covid-19-testing/: search extract (fresh retrieval) — Indexed full article; direct requests timed out.
https://www.kenyanews.go.ke/kenya-and-tanzania-resolve-dispute-over-covid19-tests/: search extract (fresh retrieval) — Indexed full article.
Earlier URLs not separately inspected in this second assessment:
https://www.the-star.co.ke/sports/2020-06-03-tanzania-closes-reopened-border-over-virus-tests-tiff
https://digitallibrary.un.org/record/3886569/files/AfricaCovid.pdf
https://www.thecitizen.co.tz/tanzania/news/national/rwanda-kenya-address-truck-standoff-on-tanzania-borders-2710946
https://www.thecitizen.co.tz/tanzania/news/national/-traders-agony-as-tanzania-kenya-feud-over-lorries-2709496
https://www.the-star.co.ke/counties/nyanza/2020-05-18-tanzania-blocks-entry-to-kenyan-truckers
https://www.theeastafrican.co.ke/tea/news/east-africa/kenya-tanzania-agree-on-covid-19-testing-and-cross-border-movement-1441772
https://au-pida.org/events/wp-content/uploads/2024/11/One-Stop-Border-Post-OSBP-Status-Report.pdf
https://kahawatungu.com/tanzanian-authorities-blame-kenyans-spreading-covid-19-tanga-region/
https://www.businessdailyafrica.com/bd/news/corona-row-threatens-sh61-billion-tanzania-kenya-trade-2290160
https://www.businessdailyafrica.com/news/Corona-row-threatens-Sh61-billion-Tanzania--Kenya-trade/539546-5557848-2lvrb7/index.html
https://www.the-star.co.ke/news/world/2020-05-18-tanzania-blocks-entry-to-kenyan-truckers
Prior audit access record
Full-register audit source access (evidence cutoff 25 October 2026)
https://capitalfm.africa/tanzania-shuts-its-borders-to-kenyan-truckers-citing-sabotage-in-virus-war/: full text — Source supports specified claims, not every crossing or continuity.
https://www.the-star.co.ke/sports/2020-06-03-tanzania-closes-reopened-border-over-virus-tests-tiff: full text — Source supports specified claims, not every crossing or continuity.
https://www.thecitizen.co.tz/tanzania/news/national/tanzania-kenya-agree-to-end-cross-border-trade-spat-2711056: full text — Source supports specified claims, not every crossing or continuity.
https://digitallibrary.un.org/record/3886569/files/AfricaCovid.pdf: search extract — Indexed passages inspected; complete document not recovered.
Earlier source URLs not separately listed in this audit’s retrieval log (historical access notes below are not fresh verification):
https://www.kenyanews.go.ke/stand-off-brewing-at-namanga-over-covid-19-testing/
https://www.kenyanews.go.ke/kenya-and-tanzania-resolve-dispute-over-covid19-tests/
https://www.thecitizen.co.tz/tanzania/news/national/rwanda-kenya-address-truck-standoff-on-tanzania-borders-2710946
https://www.thecitizen.co.tz/tanzania/news/national/-traders-agony-as-tanzania-kenya-feud-over-lorries-2709496
https://www.the-star.co.ke/counties/nyanza/2020-05-18-tanzania-blocks-entry-to-kenyan-truckers
https://www.theeastafrican.co.ke/tea/news/east-africa/kenya-tanzania-agree-on-covid-19-testing-and-cross-border-movement-1441772
https://au-pida.org/events/wp-content/uploads/2024/11/One-Stop-Border-Post-OSBP-Status-Report.pdf
https://kahawatungu.com/tanzanian-authorities-blame-kenyans-spreading-covid-19-tanga-region/
https://www.the-star.co.ke/sports/football/2020-06-03-tanzania-closes-reopened-border-over-virus-tests-tiff
https://www.businessdailyafrica.com/bd/news/corona-row-threatens-sh61-billion-tanzania-kenya-trade-2290160
https://www.businessdailyafrica.com/news/Corona-row-threatens-Sh61-billion-Tanzania--Kenya-trade/539546-5557848-2lvrb7/index.html
https://www.the-star.co.ke/news/world/2020-05-18-tanzania-blocks-entry-to-kenyan-truckers
Earlier recorded access
Source 1: full; full text
Source 2: full text
Source 3: indexed extract</x:v>
      </x:c>
      <x:c r="P546" s="20" t="n">
        <x:v>2</x:v>
      </x:c>
      <x:c r="Q546" s="4" t="str">
        <x:v>Horn of Africa</x:v>
      </x:c>
      <x:c r="R546" s="4" t="str">
        <x:v>Included</x:v>
      </x:c>
    </x:row>
    <x:row r="547" ht="409" hidden="0" customHeight="1">
      <x:c r="A547" s="16" t="str">
        <x:v>R5-ME-002</x:v>
      </x:c>
      <x:c r="B547" s="4" t="str">
        <x:v>Saudi restriction on Yemen-bound SUVs and heavy equipment, July 2018</x:v>
      </x:c>
      <x:c r="C547" s="4" t="str">
        <x:v>Saudi Arabia; Yemen</x:v>
      </x:c>
      <x:c r="D547" s="4" t="str">
        <x:v>Al-Wadea / Al-Wadiah
Vehicle-category restriction on Saudi exit toward Yemen</x:v>
      </x:c>
      <x:c r="E547" s="4" t="str">
        <x:v>SUVs and heavy equipment; ordinary passenger vehicles not shown universally barred.
Direction: Saudi Arabia to Yemen
Exceptions: July 9 permission required the owner and documents; Shas and Hilux remained excluded. Earlier registration-based exceptions are disputed.</x:v>
      </x:c>
      <x:c r="F547" s="4" t="str">
        <x:v>R5-ME-002-NP1 — Observed operation
Al-Wadiah entry to Yemen for qualifying owner-driven SUVs
Start: 2018-07-05.
Observed scoped reopening: by 2018-07-09; earliest bound unknown.
Contested: dated evidence; numeric duration withheld; see qualification
Held evidence: excluded from numeric duration and animation displays.</x:v>
      </x:c>
      <x:c r="G547" s="4" t="str">
        <x:v>Uncoded / Unresolved rationale
Not assigned
Applies to: Not assigned
No additional motive inferred</x:v>
      </x:c>
      <x:c r="H547" s="4" t="str">
        <x:v>R5-ME-002-NP1: The embassy dates the restriction to the evening of July 5, 2018. Al Wattan reports travellers describing passage restored on July 6 afternoon, whereas SABA records continuing diplomatic efforts on July 7 and more than fifty qualifying owner-driven SUVs entering Yemen on July 9. The early report does not identify the same ownership or vehicle subclasses precisely enough to reconcile continuity. July 9 is a supported passage bound, not necessarily the first reopening. Shas/Hilux and heavy-equipment endpoints remain unknown. The official purpose is unestablished; no motive is inferred. Numeric duration and animation remain held because same-cohort continuity is unresolved.</x:v>
      </x:c>
      <x:c r="I547" s="4" t="str">
        <x:v>Second full-register audit, 26 October 2026: additional source-audited corrections incorporated. See the phase, scope and qualification columns for the accepted findings.</x:v>
      </x:c>
      <x:c r="J547" s="18" t="d">
        <x:v>2026-10-26T00:00:00.000Z</x:v>
      </x:c>
      <x:c r="K547" s="21" t="str">
        <x:f>IFERROR(HYPERLINK("https://www.sabanew.net/story/ar/35519","SABA"),"SABA")</x:f>
        <x:v>SABA</x:v>
      </x:c>
      <x:c r="L547" s="21" t="str">
        <x:f>IFERROR(HYPERLINK("https://al-wattan.net/news/20474","al-wattan.net"),"al-wattan.net")</x:f>
        <x:v>al-wattan.net</x:v>
      </x:c>
      <x:c r="M547" s="21" t="str">
        <x:f>IFERROR(HYPERLINK("https://www.yemenmonitor.com/Details/ArtMID/908/ArticleID/25565","Yemen Monitor"),"Yemen Monitor")</x:f>
        <x:v>Yemen Monitor</x:v>
      </x:c>
      <x:c r="N547" s="4" t="str">
        <x:v>https://www.sabanew.net/story/ar/35519
https://www.yemenembassy-sa.org/index.php/pages/%D8%A7%D9%84%D8%A3%D8%AE%D8%A8%D8%A7%D8%B1/%D8%A7%D9%84%D8%B3%D9%81%D8%A7%D8%B1%D8%A9-%D8%AA%D8%AF%D8%B9%D9%88-%D9%85%D9%88%D8%A7%D8%B7%D9%86%D9%8A%D9%87%D8%A7-%D8%A5%D9%84%D9%89-%D8%B9%D8%AF%D9%85-%D8%A7%D9%84%D8%B3%D9%81%D8%B1-%D9%84%D9%84%D9%8A%D9%85%D9%86-%D8%A8%D8%A7%D9%84%D8%B3%D9%8A%D8%A7%D8%B1%D8%A7%D8%AA-%D8%B0%D8%A7%D8%AA-%D8%A7%D9%84%D8%AF%D9%81%D8%B9-%D8%A7%D9%84%D8%B1%D8%A8%D8%A7%D8%B9%D9%8A421?id=189&amp;type=news
https://www.yemenembassy-sa.org/pages/%D8%A7%D9%84%D8%A3%D8%AE%D8%A8%D8%A7%D8%B1/%D8%A7%D9%84%D8%B3%D9%81%D8%A7%D8%B1%D8%A9-%D8%AA%D8%A4%D9%83%D8%AF-%D8%A7%D9%84%D8%B3%D9%85%D8%A7%D8%AD-%D8%A8%D8%AE%D8%B1%D9%88%D8%AC-%D8%B3%D9%8A%D8%A7%D8%B1%D8%A7%D8%AA-%D8%A7%D9%84%D8%AF%D9%81%D8%B9-%D8%A7%D9%84%D8%B1%D8%A8%D8%A7%D8%B9%D9%8A-%D8%A8%D8%A7%D8%B3%D8%AA%D8%AB%D9%86%D8%A7%D8%A1-%D9%86%D9%88%D8%B9%D9%8A%D9%86945?id=190&amp;type=news
https://al-wattan.net/news/20474
https://www.yemenmonitor.com/Details/ArtMID/908/ArticleID/25565
https://www.almashhad.news/news/115312
https://www.sabanew.net/story/ar/35451
https://almawqeapost.net/news/32126
https://www.aa.com.tr/ar/%D8%A7%D9%84%D8%AF%D9%88%D9%84-%D8%A7%D9%84%D8%B9%D8%B1%D8%A8%D9%8A%D8%A9/%D8%A7%D9%84%D8%B3%D8%B9%D9%88%D8%AF%D9%8A%D8%A9-%D8%AA%D9%85%D9%86%D8%B9-%D8%AE%D8%B1%D9%88%D8%AC-%D8%B3%D9%8A%D8%A7%D8%B1%D8%A7%D8%AA-%D8%A7%D9%84%D8%AF%D9%81%D8%B9-%D8%A7%D9%84%D8%B1%D8%A8%D8%A7%D8%B9%D9%8A-%D9%85%D9%86-%D8%A3%D8%B1%D8%A7%D8%B6%D9%8A%D9%87%D8%A7-%D8%A5%D9%84%D9%89-%D8%A7%D9%84%D9%8A%D9%85%D9%86-/1197040
https://www.alaraby.co.uk/%D8%A7%D9%84%D8%B3%D8%B9%D9%88%D8%AF%D9%8A%D8%A9-%D8%AA%D9%85%D9%86%D8%B9-%D9%85%D8%BA%D8%A7%D8%AF%D8%B1%D8%A9-%D8%A7%D9%84%D9%85%D9%82%D9%8A%D9%85%D9%8A%D9%86-%D8%A7%D9%84%D9%8A%D9%85%D9%86%D9%8A%D9%8A%D9%86-%D8%A8%D8%B3%D9%8A%D8%A7%D8%B1%D8%A7%D8%AA-%D8%A7%D9%84%D8%AF%D9%81%D8%B9-%D8%A7%D9%84%D8%B1%D8%A8%D8%A7%D8%B9%D9%8A
https://www.alaraby.co.uk/السعودية-تمنع-مغادرة-المقيمين-اليمنيين-بسيارات-الدفع-الرباعي
https://alharf28.com/p-8644
https://alharf28.com/UploadControl/FilesFromEditor/Images/لا5643(1).jpg</x:v>
      </x:c>
      <x:c r="O547" s="4" t="str">
        <x:v>Second full-register audit source access, 26 October 2026
https://www.yemenembassy-sa.org/index.php/pages/%D8%A7%D9%84%D8%A3%D8%AE%D8%A8%D8%A7%D8%B1/%D8%A7%D9%84%D8%B3%D9%81%D8%A7%D8%B1%D8%A9-%D8%AA%D8%AF%D8%B9%D9%88-%D9%85%D9%88%D8%A7%D8%B7%D9%86%D9%8A%D9%87%D8%A7-%D8%A5%D9%84%D9%89-%D8%B9%D8%AF%D9%85-%D8%A7%D9%84%D8%B3%D9%81%D8%B1-%D9%84%D9%84%D9%8A%D9%85%D9%86-%D8%A8%D8%A7%D9%84%D8%B3%D9%8A%D8%A7%D8%B1%D8%A7%D8%AA-%D8%B0%D8%A7%D8%AA-%D8%A7%D9%84%D8%AF%D9%81%D8%B9-%D8%A7%D9%84%D8%B1%D8%A8%D8%A7%D8%B9%D9%8A421?id=189&amp;type=news: search extract (fresh retrieval)
https://al-wattan.net/news/20474: full text (fresh retrieval)
https://www.sabanew.net/story/ar/35451: full text (fresh retrieval)
https://www.sabanew.net/story/ar/35519: full text (fresh retrieval)
Earlier URLs not separately inspected in this second assessment:
https://www.yemenembassy-sa.org/pages/%D8%A7%D9%84%D8%A3%D8%AE%D8%A8%D8%A7%D8%B1/%D8%A7%D9%84%D8%B3%D9%81%D8%A7%D8%B1%D8%A9-%D8%AA%D8%A4%D9%83%D8%AF-%D8%A7%D9%84%D8%B3%D9%85%D8%A7%D8%AD-%D8%A8%D8%AE%D8%B1%D9%88%D8%AC-%D8%B3%D9%8A%D8%A7%D8%B1%D8%A7%D8%AA-%D8%A7%D9%84%D8%AF%D9%81%D8%B9-%D8%A7%D9%84%D8%B1%D8%A8%D8%A7%D8%B9%D9%8A-%D8%A8%D8%A7%D8%B3%D8%AA%D8%AB%D9%86%D8%A7%D8%A1-%D9%86%D9%88%D8%B9%D9%8A%D9%86945?id=190&amp;type=news
https://www.yemenmonitor.com/Details/ArtMID/908/ArticleID/25565
https://www.almashhad.news/news/115312
https://almawqeapost.net/news/32126
https://www.aa.com.tr/ar/%D8%A7%D9%84%D8%AF%D9%88%D9%84-%D8%A7%D9%84%D8%B9%D8%B1%D8%A8%D9%8A%D8%A9/%D8%A7%D9%84%D8%B3%D8%B9%D9%88%D8%AF%D9%8A%D8%A9-%D8%AA%D9%85%D9%86%D8%B9-%D8%AE%D8%B1%D9%88%D8%AC-%D8%B3%D9%8A%D8%A7%D8%B1%D8%A7%D8%AA-%D8%A7%D9%84%D8%AF%D9%81%D8%B9-%D8%A7%D9%84%D8%B1%D8%A8%D8%A7%D8%B9%D9%8A-%D9%85%D9%86-%D8%A3%D8%B1%D8%A7%D8%B6%D9%8A%D9%87%D8%A7-%D8%A5%D9%84%D9%89-%D8%A7%D9%84%D9%8A%D9%85%D9%86-/1197040
https://www.alaraby.co.uk/%D8%A7%D9%84%D8%B3%D8%B9%D9%88%D8%AF%D9%8A%D8%A9-%D8%AA%D9%85%D9%86%D8%B9-%D9%85%D8%BA%D8%A7%D8%AF%D8%B1%D8%A9-%D8%A7%D9%84%D9%85%D9%82%D9%8A%D9%85%D9%8A%D9%86-%D8%A7%D9%84%D9%8A%D9%85%D9%86%D9%8A%D9%8A%D9%86-%D8%A8%D8%B3%D9%8A%D8%A7%D8%B1%D8%A7%D8%AA-%D8%A7%D9%84%D8%AF%D9%81%D8%B9-%D8%A7%D9%84%D8%B1%D8%A8%D8%A7%D8%B9%D9%8A
https://www.alaraby.co.uk/السعودية-تمنع-مغادرة-المقيمين-اليمنيين-بسيارات-الدفع-الرباعي
https://alharf28.com/p-8644
https://alharf28.com/UploadControl/FilesFromEditor/Images/لا5643(1).jpg
Prior audit access record
Full-register audit source access (evidence cutoff 25 October 2026)
https://www.yemenembassy-sa.org/index.php/pages/%D8%A7%D9%84%D8%A3%D8%AE%D8%A8%D8%A7%D8%B1/%D8%A7%D9%84%D8%B3%D9%81%D8%A7%D8%B1%D8%A9-%D8%AA%D8%AF%D8%B9%D9%88-%D9%85%D9%88%D8%A7%D8%B7%D9%86%D9%8A%D9%87%D8%A7-%D8%A5%D9%84%D9%89-%D8%B9%D8%AF%D9%85-%D8%A7%D9%84%D8%B3%D9%81%D8%B1-%D9%84%D9%84%D9%8A%D9%85%D9%86-%D8%A8%D8%A7%D9%84%D8%B3%D9%8A%D8%A7%D8%B1%D8%A7%D8%AA-%D8%B0%D8%A7%D8%AA-%D8%A7%D9%84%D8%AF%D9%81%D8%B9-%D8%A7%D9%84%D8%B1%D8%A8%D8%A7%D8%B9%D9%8A421?id=189&amp;type=news: full text
https://www.sabanew.net/story/ar/35519: full text
https://al-wattan.net/news/20474: full text
https://www.almashhad.news/news/115312: full text
Earlier source URLs not separately listed in this audit’s retrieval log (historical access notes below are not fresh verification):
https://www.yemenembassy-sa.org/pages/%D8%A7%D9%84%D8%A3%D8%AE%D8%A8%D8%A7%D8%B1/%D8%A7%D9%84%D8%B3%D9%81%D8%A7%D8%B1%D8%A9-%D8%AA%D8%A4%D9%83%D8%AF-%D8%A7%D9%84%D8%B3%D9%85%D8%A7%D8%AD-%D8%A8%D8%AE%D8%B1%D9%88%D8%AC-%D8%B3%D9%8A%D8%A7%D8%B1%D8%A7%D8%AA-%D8%A7%D9%84%D8%AF%D9%81%D8%B9-%D8%A7%D9%84%D8%B1%D8%A8%D8%A7%D8%B9%D9%8A-%D8%A8%D8%A7%D8%B3%D8%AA%D8%AB%D9%86%D8%A7%D8%A1-%D9%86%D9%88%D8%B9%D9%8A%D9%86945?id=190&amp;type=news
https://www.yemenmonitor.com/Details/ArtMID/908/ArticleID/25565
https://www.sabanew.net/story/ar/35451
https://almawqeapost.net/news/32126
https://www.aa.com.tr/ar/%D8%A7%D9%84%D8%AF%D9%88%D9%84-%D8%A7%D9%84%D8%B9%D8%B1%D8%A8%D9%8A%D8%A9/%D8%A7%D9%84%D8%B3%D8%B9%D9%88%D8%AF%D9%8A%D8%A9-%D8%AA%D9%85%D9%86%D8%B9-%D8%AE%D8%B1%D9%88%D8%AC-%D8%B3%D9%8A%D8%A7%D8%B1%D8%A7%D8%AA-%D8%A7%D9%84%D8%AF%D9%81%D8%B9-%D8%A7%D9%84%D8%B1%D8%A8%D8%A7%D8%B9%D9%8A-%D9%85%D9%86-%D8%A3%D8%B1%D8%A7%D8%B6%D9%8A%D9%87%D8%A7-%D8%A5%D9%84%D9%89-%D8%A7%D9%84%D9%8A%D9%85%D9%86-/1197040
https://www.alaraby.co.uk/%D8%A7%D9%84%D8%B3%D8%B9%D9%88%D8%AF%D9%8A%D8%A9-%D8%AA%D9%85%D9%86%D8%B9-%D9%85%D8%BA%D8%A7%D8%AF%D8%B1%D8%A9-%D8%A7%D9%84%D9%85%D9%82%D9%8A%D9%85%D9%8A%D9%86-%D8%A7%D9%84%D9%8A%D9%85%D9%86%D9%8A%D9%8A%D9%86-%D8%A8%D8%B3%D9%8A%D8%A7%D8%B1%D8%A7%D8%AA-%D8%A7%D9%84%D8%AF%D9%81%D8%B9-%D8%A7%D9%84%D8%B1%D8%A8%D8%A7%D8%B9%D9%8A
https://www.alaraby.co.uk/السعودية-تمنع-مغادرة-المقيمين-اليمنيين-بسيارات-الدفع-الرباعي
https://alharf28.com/p-8644
https://alharf28.com/UploadControl/FilesFromEditor/Images/لا5643(1).jpg
Earlier recorded access
Source 1: full
Source 2: access detail is retained in the source catalogue.
Source 3: indexed excerpt; full</x:v>
      </x:c>
      <x:c r="P547" s="20" t="n">
        <x:v>1</x:v>
      </x:c>
      <x:c r="Q547" s="4" t="str">
        <x:v>Middle East</x:v>
      </x:c>
      <x:c r="R547" s="4" t="str">
        <x:v>Included</x:v>
      </x:c>
    </x:row>
    <x:row r="548" ht="402" hidden="0" customHeight="1">
      <x:c r="A548" s="16" t="str">
        <x:v>R5-ME-003</x:v>
      </x:c>
      <x:c r="B548" s="4" t="str">
        <x:v>Sheeb passenger departures suspended during Iranian fuel protests, November 2019</x:v>
      </x:c>
      <x:c r="C548" s="4" t="str">
        <x:v>Iraq; Iran</x:v>
      </x:c>
      <x:c r="D548" s="4" t="str">
        <x:v>Sheeb / Al-Shib
Passenger departures toward Iran at one crossing; trade exempt</x:v>
      </x:c>
      <x:c r="E548" s="4" t="str">
        <x:v>Ordinary passengers leaving Iraq for Iran.
Direction: Iraq to Iran passengers
Exceptions: Goods movement continued.</x:v>
      </x:c>
      <x:c r="F548" s="4" t="str">
        <x:v>R5-ME-003-D1 — Observed operation
Passenger departures toward Iran at one crossing; trade exempt; Ordinary passengers leaving Iraq for Iran.; Iraq to Iran passengers
Start: 2019-11-16.
Observed scoped reopening: 2019-11-25.
9 calendar-day difference; scoped endpoint only</x:v>
      </x:c>
      <x:c r="G548" s="4" t="str">
        <x:v>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48" s="4" t="str">
        <x:v>R5-ME-003-D1: Endpoints and November 16 onset rely on the Border Ports Commission account, reproduced by INA and Anadolu. No independent daily gate record recovered. Two historical NINA URLs now serve unrelated 2026 content and are withdrawn from active phase support; their prior access history remains archived.</x:v>
      </x:c>
      <x:c r="I548" s="4" t="str">
        <x:v>Second full-register audit, 26 October 2026: qualified. November 16–25 Al-Shib passenger departures restriction is supported by the official statement chain. Trade continued and the separate Shalamcheh endpoint is not imported.</x:v>
      </x:c>
      <x:c r="J548" s="18" t="d">
        <x:v>2026-10-26T00:00:00.000Z</x:v>
      </x:c>
      <x:c r="K548" s="21" t="str">
        <x:f>IFERROR(HYPERLINK("https://www.aa.com.tr/en/middle-east/iraq-closes-border-crossings-with-protest-hit-iran/1647425","Anadolu Agency"),"Anadolu Agency")</x:f>
        <x:v>Anadolu Agency</x:v>
      </x:c>
      <x:c r="L548" s="21" t="str">
        <x:f>IFERROR(HYPERLINK("https://ina.iq/ar/political/98051--.html","Iraqi News Agency"),"Iraqi News Agency")</x:f>
        <x:v>Iraqi News Agency</x:v>
      </x:c>
      <x:c r="M548" s="21" t="str">
        <x:f>IFERROR(HYPERLINK("https://www.aa.com.tr/en/middle-east/iraq-reopens-border-crossing-with-iran/1654746","Anadolu Agency"),"Anadolu Agency")</x:f>
        <x:v>Anadolu Agency</x:v>
      </x:c>
      <x:c r="N548" s="4" t="str">
        <x:v>https://www.aa.com.tr/en/middle-east/iraq-closes-border-crossings-with-protest-hit-iran/1647425
https://ina.iq/ar/political/98051--.html
https://www.aa.com.tr/en/middle-east/iraq-reopens-border-crossing-with-iran/1654746
https://ninanews.com/website/News/Details?Key=797577
https://ninanews.com/website/News/Details?Key=799044
https://shafaq.com/en/Iraq/a-port-between-iraq-and-iran-reopened-after-9-days-of-being-closed</x:v>
      </x:c>
      <x:c r="O548" s="4" t="str">
        <x:v>Second full-register audit source access, 26 October 2026
https://www.aa.com.tr/en/middle-east/iraq-closes-border-crossings-with-protest-hit-iran/1647425: full text (fresh retrieval)
https://www.aa.com.tr/en/middle-east/iraq-reopens-border-crossing-with-iran/1654746: full text (fresh retrieval)
https://shafaq.com/en/Iraq/a-port-between-iraq-and-iran-reopened-after-9-days-of-being-closed: full text (fresh retrieval)
Earlier URLs not separately inspected in this second assessment:
https://ina.iq/ar/political/98051--.html
https://ninanews.com/website/News/Details?Key=797577
https://ninanews.com/website/News/Details?Key=799044
Prior audit access record
Full-register audit source access (evidence cutoff 25 October 2026)
https://www.aa.com.tr/en/middle-east/iraq-closes-border-crossings-with-protest-hit-iran/1647425: search extract — Direct open timed out; substantive indexed article inspected.
https://www.aa.com.tr/en/middle-east/iraq-reopens-border-crossing-with-iran/1654746: full text
https://shafaq.com/en/Iraq/a-port-between-iraq-and-iran-reopened-after-9-days-of-being-closed: full text
Earlier source URLs not separately listed in this audit’s retrieval log (historical access notes below are not fresh verification):
https://ina.iq/ar/political/98051--.html
https://ninanews.com/website/News/Details?Key=797577
https://ninanews.com/website/News/Details?Key=799044
Earlier recorded access
Source 1: full article
Source 2: substantive indexed text; direct page returned 403
Source 3: full article</x:v>
      </x:c>
      <x:c r="P548" s="20" t="n">
        <x:v>1</x:v>
      </x:c>
      <x:c r="Q548" s="4" t="str">
        <x:v>Middle East</x:v>
      </x:c>
      <x:c r="R548" s="4" t="str">
        <x:v>Included</x:v>
      </x:c>
    </x:row>
    <x:row r="549" ht="409" hidden="0" customHeight="1">
      <x:c r="A549" s="16" t="str">
        <x:v>R5-ME-004</x:v>
      </x:c>
      <x:c r="B549" s="4" t="str">
        <x:v>Iraq prohibits Iranian passenger entry during the initial COVID response, February 2020</x:v>
      </x:c>
      <x:c r="C549" s="4" t="str">
        <x:v>Iraq; Iran</x:v>
      </x:c>
      <x:c r="D549" s="4" t="str">
        <x:v>Iraq–Iran land posts; individual implementation not exhaustively established
Land-border component of an all-ports Iranian passenger entry prohibition</x:v>
      </x:c>
      <x:c r="E549" s="4" t="str">
        <x:v>Initial phase: Iranian nationals seeking entry into Iraq. Successor phase: non-Iraqi passenger arrivals from Iran.
Direction: Iran to Iraq passenger entry.
Exceptions: Iraqi returnees subject to health screening; imported goods exempt.
Later exceptions: reports identify earlier visa/authorization holders and, from June 18, 2022, approved visa-free pilgrim caravans at Mehran and Shalamcheh; individual visa-free travel remained excluded at that stage. July 25 permission extended to eligible individual or group Muharram pilgrimage; August 31 records later Arbaeen permission after a separate security closure.</x:v>
      </x:c>
      <x:c r="F549" s="4" t="str">
        <x:v>R5-ME-004-R1 — Announced window
Initial Iraqi border-authority prohibition on Iranian traveller entry through land crossings
Start: 2020-02-20.
Scheduled endpoint: 2020-02-22 to 2020-02-23.
Ordered window: 2–3 calendar-day difference; actual end not established
R5-ME-004-C7P1 — Formal policy
Iraqi successor prohibition on non-Iraqi passenger arrivals from Iran
Start: 2020-02-22 to 2020-02-23.
Policy endpoint: unknown.
Formal policy: dated evidence; numeric duration withheld; see qualification
Earlier partial permission — 2022-06-18
Contemporary Fars reporting records Iraqi permission for visa-free entry by Iranian pilgrims in approved Hajj and Pilgrimage Organization caravans. June 19 reporting identifies Mehran and Shalamcheh, a 2,500-person daily initial quota, and registration ahead of the first planned departures. This is a permission date, not observed first traffic. Individual visa-free travel remained excluded; earlier visa/authorization holders could pass. A July 25 official account subsequently announced individual or group pilgrimage access through Mehran and Shalamcheh for Muharram, with passport and vaccination requirements.
Separate later permission observation — by 2022-08-31
A named Iranian deputy interior minister reported that both countries’ land borders had reopened for Arbaeen processions, specifically naming Mehran and Shalamcheh. This bounds blanket exclusion for that eligible pilgrim group only; it is not the exact repeal date of Iraq’s 2020 policy or a statement about all non-Iraqi passengers.</x:v>
      </x:c>
      <x:c r="G54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49" s="4" t="str">
        <x:v>R5-ME-004-R1: Initial ordered term only; no February 22–23 actual reopening is inferred.
R5-ME-004-C7P1: Successor commencement remains bounded by announcement/report dates, with Iraqi returnees exempt. Later August 2022 reporting establishes permission for eligible Arbaeen processions after a separate security closure. NINA quotes Iranian deputy interior minister Majid Mirahmadi saying Iraq had reopened its land borders and naming Mehran/Shalamcheh. This is attributed permission evidence for pilgrims, not first observed throughput, general repeal, uninterrupted enforcement since 2020 or a freight restriction. Full policy endpoint remains unknown for other prohibited passenger categories.
Earlier permission is documented on June 18, 2022 for approved pilgrim caravans at Mehran/Shalamcheh. June 19 reporting still treats initial departures as prospective, and explicitly acknowledges earlier visa/authorization exceptions. The August 31 evidence therefore is a later post-security-closure observation, not the first COVID easing. Neither proves general repeal for all non-Iraqi passengers.</x:v>
      </x:c>
      <x:c r="I549" s="4" t="str">
        <x:v>Second full-register audit, 26 October 2026: additional source-audited corrections incorporated. See the phase, scope and qualification columns for the accepted findings.</x:v>
      </x:c>
      <x:c r="J549" s="18" t="d">
        <x:v>2026-10-26T00:00:00.000Z</x:v>
      </x:c>
      <x:c r="K549" s="21" t="str">
        <x:f>IFERROR(HYPERLINK("https://www.rferl.org/amp/iraq-kuwait-restrict-entry-iranians-virus-fears/30446506.html","RFE/RL"),"RFE/RL")</x:f>
        <x:v>RFE/RL</x:v>
      </x:c>
      <x:c r="L549" s="21" t="str">
        <x:f>IFERROR(HYPERLINK("https://english.aawsat.com/home/article/2145541/iraq-extends-ban-border-crossings-iranians?_wrapper_format=html&amp;page=1","english.aawsat.com"),"english.aawsat.com")</x:f>
        <x:v>english.aawsat.com</x:v>
      </x:c>
      <x:c r="M549" s="21" t="str">
        <x:f>IFERROR(HYPERLINK("https://www.gettyimages.fi/detail/video/various-shots-of-bashmakh-border-crossing-between-iraq-uutismateriaali/1208135760","Getty Images"),"Getty Images")</x:f>
        <x:v>Getty Images</x:v>
      </x:c>
      <x:c r="N549" s="4" t="str">
        <x:v>https://www.alsumaria.tv/news/localnews/335095/%D9%85%D9%86%D8%B9-%D8%AF%D8%AE%D9%88%D9%84-%D8%A7%D9%84%D9%85%D8%B3%D8%A7%D9%81%D8%B1%D9%8A%D9%86-%D8%A7%D9%84%D8%A5%D9%8A%D8%B1%D8%A7%D9%86%D9%8A%D9%8A%D9%86-%D9%85%D9%86-%D9%83%D8%A7%D9%81%D8%A9-%D8%A7%D9%84%D9%85%D9%86%D8%A7%D9%81%D8%B0-%D8%A7%D9%84%D8%AD%D8%AF%D9%88%D8%AF%D9%8A%D8%A9
https://www.rferl.org/amp/iraq-kuwait-restrict-entry-iranians-virus-fears/30446506.html
https://english.aawsat.com/home/article/2145541/iraq-extends-ban-border-crossings-iranians?_wrapper_format=html&amp;page=1
https://www.gettyimages.fi/detail/video/various-shots-of-bashmakh-border-crossing-between-iraq-uutismateriaali/1208135760
https://www.aa.com.tr/en/health/iraq-shuts-border-crossings-with-iran-for-three-days/1740126
https://ninanews.com/website/News/Details?Key=814966
https://www.alsumaria.tv/news/localnews/335095/منع-دخول-المسافرين-الإيرانيين-من-كافة-المنافذ-الحدودية
https://www.thenationalnews.com/world/mena/coronavirus-iran-reports-three-new-cases-after-two-deaths-1.982259
https://alwatannews.net/ampArticle/868530
https://www.euronews.com/2022/08/31/iraq-politics-iran
https://ninanews.com/website/News/Details?Key=997388
https://www.sarpoosh.com/religion/hajj-shrine/hajj-shrine1401033198.html
https://www.khabarnab.com/art/165561169158/registration-details-and-land-travel-fee-atbat-from-which-borders-do-pilgrims-go-to-iraq
https://parstoday.ir/en/news/iran-i180040-no_restriction_on_ground_travels_from_iran_to_iraq_in_muharram
https://iranpress.com/content/57953/iran-iraq-border-crossing-requires-visa</x:v>
      </x:c>
      <x:c r="O549" s="4" t="str">
        <x:v>Second full-register audit source access, 26 October 2026
https://www.aa.com.tr/en/health/iraq-shuts-border-crossings-with-iran-for-three-days/1740126: full text (fresh retrieval)
https://english.aawsat.com/home/article/2145541/iraq-extends-ban-border-crossings-iranians?_wrapper_format=html&amp;page=1: full text (fresh retrieval)
https://www.sarpoosh.com/religion/hajj-shrine/hajj-shrine1401033198.html: full text (fresh retrieval)
https://www.khabarnab.com/art/165561169158/registration-details-and-land-travel-fee-atbat-from-which-borders-do-pilgrims-go-to-iraq: full text (fresh retrieval)
https://parstoday.ir/en/news/iran-i180040-no_restriction_on_ground_travels_from_iran_to_iraq_in_muharram: full text (fresh retrieval)
https://iranpress.com/content/57953/iran-iraq-border-crossing-requires-visa: search extract (fresh retrieval)
Earlier URLs not separately inspected in this second assessment:
https://www.alsumaria.tv/news/localnews/335095/%D9%85%D9%86%D8%B9-%D8%AF%D8%AE%D9%88%D9%84-%D8%A7%D9%84%D9%85%D8%B3%D8%A7%D9%81%D8%B1%D9%8A%D9%86-%D8%A7%D9%84%D8%A5%D9%8A%D8%B1%D8%A7%D9%86%D9%8A%D9%8A%D9%86-%D9%85%D9%86-%D9%83%D8%A7%D9%81%D8%A9-%D8%A7%D9%84%D9%85%D9%86%D8%A7%D9%81%D8%B0-%D8%A7%D9%84%D8%AD%D8%AF%D9%88%D8%AF%D9%8A%D8%A9
https://www.rferl.org/amp/iraq-kuwait-restrict-entry-iranians-virus-fears/30446506.html
https://www.gettyimages.fi/detail/video/various-shots-of-bashmakh-border-crossing-between-iraq-uutismateriaali/1208135760
https://ninanews.com/website/News/Details?Key=814966
https://www.alsumaria.tv/news/localnews/335095/منع-دخول-المسافرين-الإيرانيين-من-كافة-المنافذ-الحدودية
https://www.thenationalnews.com/world/mena/coronavirus-iran-reports-three-new-cases-after-two-deaths-1.982259
https://alwatannews.net/ampArticle/868530
https://www.euronews.com/2022/08/31/iraq-politics-iran
https://ninanews.com/website/News/Details?Key=997388
Prior audit access record
Full-register audit source access (evidence cutoff 25 October 2026)
https://www.aa.com.tr/en/health/iraq-shuts-border-crossings-with-iran-for-three-days/1740126: full text
https://english.aawsat.com/home/article/2145541/iraq-extends-ban-border-crossings-iranians?_wrapper_format=html&amp;page=1: full text
https://www.euronews.com/2022/08/31/iraq-politics-iran: search extract — Later security episode, not exact COVID repeal
https://ninanews.com/website/News/Details?Key=997388: full text
Earlier source URLs not separately listed in this audit’s retrieval log (historical access notes below are not fresh verification):
https://www.alsumaria.tv/news/localnews/335095/%D9%85%D9%86%D8%B9-%D8%AF%D8%AE%D9%88%D9%84-%D8%A7%D9%84%D9%85%D8%B3%D8%A7%D9%81%D8%B1%D9%8A%D9%86-%D8%A7%D9%84%D8%A5%D9%8A%D8%B1%D8%A7%D9%86%D9%8A%D9%8A%D9%86-%D9%85%D9%86-%D9%83%D8%A7%D9%81%D8%A9-%D8%A7%D9%84%D9%85%D9%86%D8%A7%D9%81%D8%B0-%D8%A7%D9%84%D8%AD%D8%AF%D9%88%D8%AF%D9%8A%D8%A9
https://www.rferl.org/amp/iraq-kuwait-restrict-entry-iranians-virus-fears/30446506.html
https://www.gettyimages.fi/detail/video/various-shots-of-bashmakh-border-crossing-between-iraq-uutismateriaali/1208135760
https://ninanews.com/website/News/Details?Key=814966
https://www.alsumaria.tv/news/localnews/335095/منع-دخول-المسافرين-الإيرانيين-من-كافة-المنافذ-الحدودية
https://www.thenationalnews.com/world/mena/coronavirus-iran-reports-three-new-cases-after-two-deaths-1.982259
https://alwatannews.net/ampArticle/868530
Earlier recorded access
Source 1: full
Source 2: access detail is retained in the source catalogue.
Source 3: indexed excerpt</x:v>
      </x:c>
      <x:c r="P549" s="20" t="n">
        <x:v>2</x:v>
      </x:c>
      <x:c r="Q549" s="4" t="str">
        <x:v>Middle East</x:v>
      </x:c>
      <x:c r="R549" s="4" t="str">
        <x:v>Included</x:v>
      </x:c>
    </x:row>
    <x:row r="550" ht="354" hidden="0" customHeight="1">
      <x:c r="A550" s="16" t="str">
        <x:v>R5-ME-005</x:v>
      </x:c>
      <x:c r="B550" s="4" t="str">
        <x:v>Saudi restriction on Yemen-bound personal SUVs, March–April 2021</x:v>
      </x:c>
      <x:c r="C550" s="4" t="str">
        <x:v>Saudi Arabia; Yemen</x:v>
      </x:c>
      <x:c r="D550" s="4" t="str">
        <x:v>Sharurah / Al-Wadea
Outbound vehicle-category restriction at the Saudi–Yemen land route</x:v>
      </x:c>
      <x:c r="E550" s="4" t="str">
        <x:v>Yemen-bound SUV owners and travellers; commercial military-use pickups separately implicated.
Direction: Saudi Arabia to Yemen
Exceptions: April 25 passage required owner presence; full residual commercial and vehicle-model exclusions not reconstructed.</x:v>
      </x:c>
      <x:c r="F550" s="4" t="str">
        <x:v>R5-ME-005-D1 — Observed operation
Personal SUVs travelling Saudi Arabia to Yemen in the owner-present category admitted on April 25
Start: 2021-03-01 to 2021-03-31.
Observed scoped reopening: 2021-04-25.
25–55 calendar-day difference; scoped endpoint only</x:v>
      </x:c>
      <x:c r="G550" s="4" t="str">
        <x:v>Security / Armed conflict and military confrontation
Attributed official justification
Applies to: Recorded episode; exact overlap not separately established
The anti-diversion explanation applies to the requested military-use pickup restriction; extension to private vehicles was disputed.</x:v>
      </x:c>
      <x:c r="H550" s="4" t="str">
        <x:v>R5-ME-005-D1: Onset remains month precision; mid-March, two-week and 35-day retrospective accounts are not forced into an exact day. Endpoint is conditional owner-present passage, not all models/commercial vehicles; residual exclusions are incompletely reconstructed and reports share the director's lineage.</x:v>
      </x:c>
      <x:c r="I550" s="4" t="str">
        <x:v>Second full-register audit, 26 October 2026: qualified. March onset remains bounded; April 25 actual owner-driver SUV passage and the disputed extension of a pickup restriction are supported.</x:v>
      </x:c>
      <x:c r="J550" s="18" t="d">
        <x:v>2026-10-26T00:00:00.000Z</x:v>
      </x:c>
      <x:c r="K550" s="21" t="str">
        <x:f>IFERROR(HYPERLINK("https://www.yemenmonitor.com/Details/ArtMID/908/ArticleID/52535","Yemen Monitor"),"Yemen Monitor")</x:f>
        <x:v>Yemen Monitor</x:v>
      </x:c>
      <x:c r="L550" s="21" t="str">
        <x:f>IFERROR(HYPERLINK("https://carnegieendowment.org/ar/middle-east/diwan/2021/04/mnfth-alwdyah-alhdwdy-la-yrhb-bkm","Carnegie Endowment / Diwan"),"Carnegie Endowment / Diwan")</x:f>
        <x:v>Carnegie Endowment / Diwan</x:v>
      </x:c>
      <x:c r="M550" s="21" t="str">
        <x:f>IFERROR(HYPERLINK("https://www.sabanew.net/story/ar/74905","SABA"),"SABA")</x:f>
        <x:v>SABA</x:v>
      </x:c>
      <x:c r="N550" s="4" t="str">
        <x:v>https://www.yemenmonitor.com/Details/ArtMID/908/ArticleID/52535
https://carnegieendowment.org/ar/middle-east/diwan/2021/04/mnfth-alwdyah-alhdwdy-la-yrhb-bkm
https://www.sabanew.net/story/ar/74905
https://alsharaeanews.com/2021/04/25/34415/
https://www.alwatan.com.sa/article/1074604</x:v>
      </x:c>
      <x:c r="O550" s="4" t="str">
        <x:v>Second full-register audit source access, 26 October 2026
https://www.yemenmonitor.com/Details/ArtMID/908/ArticleID/52535: full text (fresh retrieval)
https://www.sabanew.net/story/ar/74905: full text (fresh retrieval)
https://alsharaeanews.com/2021/04/25/34415/: full text (fresh retrieval) — Page carries an August 2022 update; attributed conditional passage agrees with contemporary official April 25 report.
Earlier URLs not separately inspected in this second assessment:
https://carnegieendowment.org/ar/middle-east/diwan/2021/04/mnfth-alwdyah-alhdwdy-la-yrhb-bkm
https://www.alwatan.com.sa/article/1074604
Prior audit access record
Full-register audit source access (evidence cutoff 25 October 2026)
https://www.sabanew.net/story/ar/74905: full text
https://alsharaeanews.com/2021/04/25/34415/: full text
https://carnegieendowment.org/ar/middle-east/diwan/2021/04/mnfth-alwdyah-alhdwdy-la-yrhb-bkm: full text
Earlier source URLs not separately listed in this audit’s retrieval log (historical access notes below are not fresh verification):
https://www.yemenmonitor.com/Details/ArtMID/908/ArticleID/52535
https://www.alwatan.com.sa/article/1074604
Earlier recorded access
Source 1: full article
Source 2: full article
Source 3: full article</x:v>
      </x:c>
      <x:c r="P550" s="20" t="n">
        <x:v>1</x:v>
      </x:c>
      <x:c r="Q550" s="4" t="str">
        <x:v>Middle East</x:v>
      </x:c>
      <x:c r="R550" s="4" t="str">
        <x:v>Included</x:v>
      </x:c>
    </x:row>
    <x:row r="551" ht="409" hidden="0" customHeight="1">
      <x:c r="A551" s="16" t="str">
        <x:v>R5-ME-006</x:v>
      </x:c>
      <x:c r="B551" s="4" t="str">
        <x:v>Shalamcheh security suspension and same-day passenger restoration, April 2026</x:v>
      </x:c>
      <x:c r="C551" s="4" t="str">
        <x:v>Iraq; Iran</x:v>
      </x:c>
      <x:c r="D551" s="4" t="str">
        <x:v>Shalamcheh / Shalamjah
Trade and passenger suspension at Shalamcheh after a nearby strike</x:v>
      </x:c>
      <x:c r="E551" s="4" t="str">
        <x:v>Passenger and commercial movements initially suspended.
Direction: Both crossing functions; precise directional exceptions not established.
Exceptions: Passenger traffic restored later on April 4. A separate Iranian official account reported resumed pilgrim and trader crossings and commercial activity by that evening; exact first truck movement was not documented.</x:v>
      </x:c>
      <x:c r="F551" s="4" t="str">
        <x:v>R5-ME-006-D1 — Observed operation
Shalamcheh passenger suspension on April 4, 2026.
Start: 2026-04-04.
Observed scoped reopening: 2026-04-04.
Same-day episode; no whole-day duration inferred.
Separate commercial-status observation: By 2026-04-04 evening, a Khuzestan official quoted by IRNA, as reported by The Wall Street Journal, described resumed pilgrim and trader crossings and commercial activity. This does not establish the exact first freight passage or a separately measured continuous freight interval.</x:v>
      </x:c>
      <x:c r="G551"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Security / Public order and immediate safety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551" s="4" t="str">
        <x:v>R5-ME-006-D1: The passenger episode occurred within April 4, not over a whole day. QNA relays the Iraqi Border Ports Authority through INA; Reuters also cites security sources. The Wall Street Journal separately reports that Khuzestan official Lofteh Derokvandi told IRNA that pilgrim and trader crossings had resumed and commercial activity was continuing. This is evidence of commercial operation by April 4 evening, but does not identify the first truck, precise interruption hours or identical conditions in both directions. The underlying IRNA report has not been recovered independently.</x:v>
      </x:c>
      <x:c r="I551" s="4" t="str">
        <x:v>Second full-register audit, 26 October 2026: qualified. Same-day passenger reopening is supported; retain the separately attributed commercial observation and its limits.</x:v>
      </x:c>
      <x:c r="J551" s="18" t="d">
        <x:v>2026-10-26T00:00:00.000Z</x:v>
      </x:c>
      <x:c r="K551" s="21" t="str">
        <x:f>IFERROR(HYPERLINK("https://www.reuters.com/world/middle-east/iraq-closes-shalamcheh-crossing-with-iran-after-airstrikes-kill-iraqi-2026-04-04/","Reuters"),"Reuters")</x:f>
        <x:v>Reuters</x:v>
      </x:c>
      <x:c r="L551" s="21" t="str">
        <x:f>IFERROR(HYPERLINK("https://qna.org.qa/en/news/news-details?date=4%2F04%2F2026&amp;id=iraq-passenger-traffic-returns-to-shalamcheh-border-crossing-with-iran","Qatar News Agency"),"Qatar News Agency")</x:f>
        <x:v>Qatar News Agency</x:v>
      </x:c>
      <x:c r="M551" s="21" t="str">
        <x:f>IFERROR(HYPERLINK("https://www.bernama.com/en/news.php?id=2541133","Bernama"),"Bernama")</x:f>
        <x:v>Bernama</x:v>
      </x:c>
      <x:c r="N551" s="4" t="str">
        <x:v>https://www.reuters.com/world/middle-east/iraq-closes-shalamcheh-crossing-with-iran-after-airstrikes-kill-iraqi-2026-04-04/
https://qna.org.qa/en/news/news-details?date=4%2F04%2F2026&amp;id=iraq-passenger-traffic-returns-to-shalamcheh-border-crossing-with-iran
https://www.bernama.com/en/news.php?id=2541133
https://www.iraqinews.com/iraq/iraq-iran-border-crossing-reopened-following-air-strikes/
https://www.marketscreener.com/news/iraq-iran-border-crossing-at-shalamcheh-returns-to-normal-after-closure-due-to-air-strikes-ce7e51d2dd8ef523
https://www.wsj.com/livecoverage/iran-war-news-2026/card/iran-clears-iraq-to-use-strait-of-hormuz-LUCIR9m1hjem9AAimxz9</x:v>
      </x:c>
      <x:c r="O551" s="4" t="str">
        <x:v>Second full-register audit source access, 26 October 2026
https://qna.org.qa/en/news/news-details?date=4%2F04%2F2026&amp;id=iraq-passenger-traffic-returns-to-shalamcheh-border-crossing-with-iran: full text (fresh retrieval)
https://www.reuters.com/world/middle-east/iraq-closes-shalamcheh-crossing-with-iran-after-airstrikes-kill-iraqi-2026-04-04/: full text (fresh retrieval)
https://www.wsj.com/livecoverage/iran-war-news-2026/card/iran-clears-iraq-to-use-strait-of-hormuz-LUCIR9m1hjem9AAimxz9: full text (fresh retrieval) — IRNA original not recovered; distinct commercial-status account, not a first-truck timestamp.
Earlier URLs not separately inspected in this second assessment:
https://www.bernama.com/en/news.php?id=2541133
https://www.iraqinews.com/iraq/iraq-iran-border-crossing-reopened-following-air-strikes/
https://www.marketscreener.com/news/iraq-iran-border-crossing-at-shalamcheh-returns-to-normal-after-closure-due-to-air-strikes-ce7e51d2dd8ef523
Prior audit access record
Full-register audit source access (evidence cutoff 25 October 2026)
https://www.reuters.com/world/middle-east/iraq-closes-shalamcheh-crossing-with-iran-after-airstrikes-kill-iraqi-2026-04-04/: full text
https://qna.org.qa/en/news/news-details?date=4%2F04%2F2026&amp;id=iraq-passenger-traffic-returns-to-shalamcheh-border-crossing-with-iran: full text
https://www.wsj.com/livecoverage/iran-war-news-2026/card/iran-clears-iraq-to-use-strait-of-hormuz-LUCIR9m1hjem9AAimxz9: full text — Underlying IRNA original not independently recovered; no exact first-truck observation.
Earlier source URLs not separately listed in this audit’s retrieval log (historical access notes below are not fresh verification):
https://www.bernama.com/en/news.php?id=2541133
https://www.iraqinews.com/iraq/iraq-iran-border-crossing-reopened-following-air-strikes/
https://www.marketscreener.com/news/iraq-iran-border-crossing-at-shalamcheh-returns-to-normal-after-closure-due-to-air-strikes-ce7e51d2dd8ef523
Earlier recorded access
Source 1: full article
Source 2: full article
Source 3: full article</x:v>
      </x:c>
      <x:c r="P551" s="20" t="n">
        <x:v>1</x:v>
      </x:c>
      <x:c r="Q551" s="4" t="str">
        <x:v>Middle East</x:v>
      </x:c>
      <x:c r="R551" s="4" t="str">
        <x:v>Included</x:v>
      </x:c>
    </x:row>
    <x:row r="552" ht="409" hidden="0" customHeight="1">
      <x:c r="A552" s="16" t="str">
        <x:v>R5-AWN-004</x:v>
      </x:c>
      <x:c r="B552" s="4" t="str">
        <x:v>Ras Jedir August 2024 approach-road blockade and passenger reopening</x:v>
      </x:c>
      <x:c r="C552" s="4" t="str">
        <x:v>Libya; Tunisia</x:v>
      </x:c>
      <x:c r="D552" s="4" t="str">
        <x:v>Ras Jedir / Ra’s Judayr and Boukamech / Abu Kamash approach road
Deliberate obstruction of access to the international crossing, with subsequent official outbound suspension</x:v>
      </x:c>
      <x:c r="E552" s="4" t="str">
        <x:v>Travellers and vehicles trying to use Ras Jedir; this record bounds the renewed passenger-access obstruction.
Direction: Two-way passenger obstruction reported; UN annex separately records an official outbound suspension on 26 August.
Exceptions: Dhehiba–Wazen provided an alternative route; specific exceptions through the blocked road are not established.</x:v>
      </x:c>
      <x:c r="F552" s="4" t="str">
        <x:v>R5-AWN-004-D1 — Observed operation
Ordinary passenger/vehicle access to Ras Jedir through the obstructed approach road
Start: 2024-08-22.
Observed scoped reopening: 2024-08-28.
6 calendar-day difference; scoped endpoint only</x:v>
      </x:c>
      <x:c r="G552" s="4" t="str">
        <x:v>Trade and protectionism / Trade and transport protests
Reported reason
Applies to: Protester approach blockade; precise overlap with later official suspension not established
Local reporting attributes commercial-access demands to residents; not an official government justification.</x:v>
      </x:c>
      <x:c r="H552" s="4" t="str">
        <x:v>R5-AWN-004-D1: The 28 August account calls the closure four days, inconsistent with the explicit Thursday-evening 22 August onset. The precisely anchored contemporary date is retained, with that shorthand disclosed. Protester obstruction and the later reported official outward suspension are distinct mechanisms; no exact elapsed-hour count is certified. The endpoint concerns passengers and ordinary vehicles, not restored commercial freight. Dhehiba–Wazen was an alternative. The official UN PDF was unavailable in this round.</x:v>
      </x:c>
      <x:c r="I552" s="4" t="str">
        <x:v>Second full-register audit, 26 October 2026: qualified. Explicit Thursday-evening August 22 onset and August 28 restored passenger traffic remain preferable to the later four-day shorthand. Freight reopening is not established.</x:v>
      </x:c>
      <x:c r="J552" s="18" t="d">
        <x:v>2026-10-26T00:00:00.000Z</x:v>
      </x:c>
      <x:c r="K552" s="21" t="str">
        <x:f>IFERROR(HYPERLINK("https://o2efm.radioexpressfm.com/fr/actualites/ras-jedir-le-passage-frontalier-totalement-paralyse/","Radio Express FM"),"Radio Express FM")</x:f>
        <x:v>Radio Express FM</x:v>
      </x:c>
      <x:c r="L552" s="21" t="str">
        <x:f>IFERROR(HYPERLINK("https://o2efm.radioexpressfm.com/fr/actualites/reouverture-du-passage-frontalier-de-ras-jedir/","Radio Express FM"),"Radio Express FM")</x:f>
        <x:v>Radio Express FM</x:v>
      </x:c>
      <x:c r="M552" s="21" t="str">
        <x:f>IFERROR(HYPERLINK("https://www.mosaiquefm.net/fr/actualite-regional-tunisie/1306457/reprise-du-trafic-au-passage-de-ras-jedir","Mosaïque FM"),"Mosaïque FM")</x:f>
        <x:v>Mosaïque FM</x:v>
      </x:c>
      <x:c r="N552" s="4" t="str">
        <x:v>https://o2efm.radioexpressfm.com/fr/actualites/ras-jedir-le-passage-frontalier-totalement-paralyse/
https://o2efm.radioexpressfm.com/fr/actualites/reouverture-du-passage-frontalier-de-ras-jedir/
https://www.mosaiquefm.net/fr/actualite-regional-tunisie/1306457/reprise-du-trafic-au-passage-de-ras-jedir
https://digitallibrary.un.org/record/4073810/files/S_2024_914-FR.pdf
https://africa24tv.com/libye-reouverture-du-poste-frontiere-de-ras-jedir/
https://www.mosaiquefm.net/mobile/fr/actualite-regional-tunisie/1305020/l-activite-au-poste-frontalier-de-ras-jedir-a-l-arret
https://digitallibrary.un.org/record/4073810?ln=es
https://www.webdo.tn/fr/actualite/national/tunisie-le-trafic-reprend-au-poste-frontalier-de-ras-jedir/216044/
https://www.lequotidien.com.tn/fr/nationale/4645-poste-frontalier-ras-jedir-encore-une-fermeture-dans-les-deux-sens
https://www.tunisie-tribune.com/2024/08/28/reprise-du-trafic-a-ras-jedir/
https://kapitalis.com/tunisie/2024/09/02/ras-jedir-au-coeur-de-la-contrebande-entre-la-tunisie-et-la-libye/</x:v>
      </x:c>
      <x:c r="O552" s="4" t="str">
        <x:v>Second full-register audit source access, 26 October 2026
https://www.lequotidien.com.tn/fr/nationale/4645-poste-frontalier-ras-jedir-encore-une-fermeture-dans-les-deux-sens: full text (fresh retrieval)
https://o2efm.radioexpressfm.com/fr/actualites/ras-jedir-le-passage-frontalier-totalement-paralyse/: full text (fresh retrieval)
https://o2efm.radioexpressfm.com/fr/actualites/reouverture-du-passage-frontalier-de-ras-jedir/: full text (fresh retrieval)
https://digitallibrary.un.org/record/4073810/files/S_2024_914-FR.pdf: inaccessible (fresh retrieval) — 403; no fresh verification of separate August 26 official suspension.
Earlier URLs not separately inspected in this second assessment:
https://www.mosaiquefm.net/fr/actualite-regional-tunisie/1306457/reprise-du-trafic-au-passage-de-ras-jedir
https://africa24tv.com/libye-reouverture-du-poste-frontiere-de-ras-jedir/
https://www.mosaiquefm.net/mobile/fr/actualite-regional-tunisie/1305020/l-activite-au-poste-frontalier-de-ras-jedir-a-l-arret
https://digitallibrary.un.org/record/4073810?ln=es
https://www.webdo.tn/fr/actualite/national/tunisie-le-trafic-reprend-au-poste-frontalier-de-ras-jedir/216044/
https://www.tunisie-tribune.com/2024/08/28/reprise-du-trafic-a-ras-jedir/
https://kapitalis.com/tunisie/2024/09/02/ras-jedir-au-coeur-de-la-contrebande-entre-la-tunisie-et-la-libye/
Prior audit access record
Full-register audit source access (evidence cutoff 25 October 2026)
https://www.mosaiquefm.net/mobile/fr/actualite-regional-tunisie/1305020/l-activite-au-poste-frontalier-de-ras-jedir-a-l-arret: full text
https://www.webdo.tn/fr/actualite/national/tunisie-le-trafic-reprend-au-poste-frontalier-de-ras-jedir/216044/: full text
https://digitallibrary.un.org/record/4073810/files/S_2024_914-FR.pdf: inaccessible — 403 response.
Earlier source URLs not separately listed in this audit’s retrieval log (historical access notes below are not fresh verification):
https://o2efm.radioexpressfm.com/fr/actualites/ras-jedir-le-passage-frontalier-totalement-paralyse/
https://o2efm.radioexpressfm.com/fr/actualites/reouverture-du-passage-frontalier-de-ras-jedir/
https://www.mosaiquefm.net/fr/actualite-regional-tunisie/1306457/reprise-du-trafic-au-passage-de-ras-jedir
https://africa24tv.com/libye-reouverture-du-poste-frontiere-de-ras-jedir/
https://digitallibrary.un.org/record/4073810?ln=es
https://www.lequotidien.com.tn/fr/nationale/4645-poste-frontalier-ras-jedir-encore-une-fermeture-dans-les-deux-sens
https://www.tunisie-tribune.com/2024/08/28/reprise-du-trafic-a-ras-jedir/
https://kapitalis.com/tunisie/2024/09/02/ras-jedir-au-coeur-de-la-contrebande-entre-la-tunisie-et-la-libye/
Earlier recorded access
Source 1: full text
Source 2: full text
Source 3: unavailable</x:v>
      </x:c>
      <x:c r="P552" s="20" t="n">
        <x:v>1</x:v>
      </x:c>
      <x:c r="Q552" s="4" t="str">
        <x:v>North Africa</x:v>
      </x:c>
      <x:c r="R552" s="4" t="str">
        <x:v>Included</x:v>
      </x:c>
    </x:row>
    <x:row r="553" ht="330" hidden="0" customHeight="1">
      <x:c r="A553" s="16" t="str">
        <x:v>R5-SC-004</x:v>
      </x:c>
      <x:c r="B553" s="4" t="str">
        <x:v>Jhulaghat closure order for November 2019 Indian legislative election</x:v>
      </x:c>
      <x:c r="C553" s="4" t="str">
        <x:v>Nepal; India</x:v>
      </x:c>
      <x:c r="D553" s="4" t="str">
        <x:v>Jhulaghat bridge/transit, Baitadi–Pithoragarh
Ordinary passage through Jhulaghat border transit</x:v>
      </x:c>
      <x:c r="E553" s="4" t="str">
        <x:v>Ordinary border users; freight not separately described.
Direction: Cross-border passage; not separately disaggregated
Exceptions: Emergency passage could be agreed by authorities on both sides.</x:v>
      </x:c>
      <x:c r="F553" s="4" t="str">
        <x:v>R5-SC-004-R1 — Announced window
Jhulaghat crossing restriction for Indian legislative election, emergency permission retained
Start: 2019-11-22.
Scheduled endpoint: 2019-11-25.
Ordered window: 3 calendar-day difference; actual end not established</x:v>
      </x:c>
      <x:c r="G553"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53" s="4" t="str">
        <x:v>R5-SC-004-R1: Start hour unknown; order-only dates; November 2020 pensioner reopening result is a different event.
continuity: Actual implementation and reopening are unobserved, already labeled as such.
Current finding: November 18 report gives the Jhulaghat election order November 22–25, ending at 17:00 with discretionary emergency passage. Actual implementation and lifting were not retrieved. The November 2020 pensioner event cannot supply this endpoint.</x:v>
      </x:c>
      <x:c r="I553" s="4" t="str">
        <x:v>Second full-register audit, 26 October 2026: qualified. November 22–25 Jhulaghat election order corroborated; later reopening results are different COVID or repair episodes.</x:v>
      </x:c>
      <x:c r="J553" s="18" t="d">
        <x:v>2026-10-26T00:00:00.000Z</x:v>
      </x:c>
      <x:c r="K553" s="21" t="str">
        <x:f>IFERROR(HYPERLINK("https://english.ratopati.com/story/11084/closed","Ratopati / RSS"),"Ratopati / RSS")</x:f>
        <x:v>Ratopati / RSS</x:v>
      </x:c>
      <x:c r="L553" s="21" t="str">
        <x:f>IFERROR(HYPERLINK("https://english.ratopati.com/story/16500","Ratopati / RSS"),"Ratopati / RSS")</x:f>
        <x:v>Ratopati / RSS</x:v>
      </x:c>
      <x:c r="M553" s="21" t="str">
        <x:f>IFERROR(HYPERLINK("https://www.myrepublica.nagariknetwork.com/index.php/news/transit-point-to-be-closed","Republica"),"Republica")</x:f>
        <x:v>Republica</x:v>
      </x:c>
      <x:c r="N553" s="4" t="str">
        <x:v>https://english.ratopati.com/story/11084/closed
https://english.ratopati.com/story/16500
https://www.myrepublica.nagariknetwork.com/index.php/news/transit-point-to-be-closed
https://sports.nagariknews.com/news/transit-point-to-be-closed</x:v>
      </x:c>
      <x:c r="O553" s="4" t="str">
        <x:v>Second full-register audit source access, 26 October 2026
https://www.myrepublica.nagariknetwork.com/index.php/news/transit-point-to-be-closed: full text (fresh retrieval)
https://english.ratopati.com/story/11084/closed: search extract (fresh retrieval) — Direct403; indexed text.
Earlier URLs not separately inspected in this second assessment:
https://english.ratopati.com/story/16500
https://sports.nagariknews.com/news/transit-point-to-be-closed
Prior audit access record
Full-register audit source access (evidence cutoff 25 October 2026)
https://english.ratopati.com/story/11084/closed: search extract — Schedule or reported observation only; no broader continuity inferred.
https://www.myrepublica.nagariknetwork.com/index.php/news/transit-point-to-be-closed: search extract — Schedule or reported observation only; no broader continuity inferred.
Earlier source URLs not separately listed in this audit’s retrieval log (historical access notes below are not fresh verification):
https://english.ratopati.com/story/16500
https://sports.nagariknews.com/news/transit-point-to-be-closed
Earlier recorded access
Source 1: indexed excerpt; failed
Source 2: indexed excerpt
Source 3: full page</x:v>
      </x:c>
      <x:c r="P553" s="20" t="n">
        <x:v>1</x:v>
      </x:c>
      <x:c r="Q553" s="4" t="str">
        <x:v>South Asia</x:v>
      </x:c>
      <x:c r="R553" s="4" t="str">
        <x:v>Included</x:v>
      </x:c>
    </x:row>
    <x:row r="554" ht="222" hidden="0" customHeight="1">
      <x:c r="A554" s="16" t="str">
        <x:v>R5-SC-002</x:v>
      </x:c>
      <x:c r="B554" s="4" t="str">
        <x:v>Bhutan closes southern international gates for November 2023 primary elections</x:v>
      </x:c>
      <x:c r="C554" s="4" t="str">
        <x:v>Bhutan; India</x:v>
      </x:c>
      <x:c r="D554" s="4" t="str">
        <x:v>Southern Bhutan international border gates; individual gates not listed in retrieved notice
Passage through southern international land gates</x:v>
      </x:c>
      <x:c r="E554" s="4" t="str">
        <x:v>Cross-border travellers; freight treatment and exceptions not specified.
Direction: Cross-border passage; directions not separately described
Exceptions: Not established</x:v>
      </x:c>
      <x:c r="F554" s="4" t="str">
        <x:v>R5-SC-002-R1 — Announced window
Bhutan's southern international land gates, election closure as announced
Start: 2023-11-29.
Scheduled endpoint: 2023-11-30.
Ordered window: 1 calendar-day difference; actual end not established</x:v>
      </x:c>
      <x:c r="G554"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x:v>
      </x:c>
      <x:c r="H554" s="4" t="str">
        <x:v>R5-SC-002-R1: Announced November 29 18:00–November 30 18:00 window; individual gates and exemptions not enumerated. BBS confirms onset but actual next-evening restoration is unverified. Separate pandemic episodes excluded.</x:v>
      </x:c>
      <x:c r="I554" s="4" t="str">
        <x:v>Second full-register audit, 26 October 2026: qualified. The southern Bhutan November 2023 election closure is correctly a 24h announced window with actual onset reported but no observed ending.</x:v>
      </x:c>
      <x:c r="J554" s="18" t="d">
        <x:v>2026-10-26T00:00:00.000Z</x:v>
      </x:c>
      <x:c r="K554" s="21" t="str">
        <x:f>IFERROR(HYPERLINK("https://www.bbs.bt/195177/","BBS"),"BBS")</x:f>
        <x:v>BBS</x:v>
      </x:c>
      <x:c r="L554" s="21" t="str">
        <x:f>IFERROR(HYPERLINK("https://www.indiatodayne.in/international/story/southern-bhutan-border-to-be-sealed-ahead-of-national-assembly-elections-716610-2023-11-25","India Today NE"),"India Today NE")</x:f>
        <x:v>India Today NE</x:v>
      </x:c>
      <x:c r="M554" s="21"/>
      <x:c r="N554" s="4" t="str">
        <x:v>https://www.bbs.bt/195177/
https://www.indiatodayne.in/international/story/southern-bhutan-border-to-be-sealed-ahead-of-national-assembly-elections-716610-2023-11-25</x:v>
      </x:c>
      <x:c r="O554" s="4" t="str">
        <x:v>Second full-register audit source access, 26 October 2026
https://www.bbs.bt/195177/: full text (fresh retrieval)
https://www.indiatodayne.in/international/story/southern-bhutan-border-to-be-sealed-ahead-of-national-assembly-elections-716610-2023-11-25: full text (fresh retrieval)
Prior audit access record
Full-register audit source access (evidence cutoff 25 October 2026)
https://www.indiatodayne.in/international/story/southern-bhutan-border-to-be-sealed-ahead-of-national-assembly-elections-716610-2023-11-25: search extract — Schedule or reported observation only; no broader continuity inferred.
https://www.bbs.bt/195177/: full text — Schedule or reported observation only; no broader continuity inferred.
Earlier recorded access
Source 1: full
Source 2: indexed excerpt</x:v>
      </x:c>
      <x:c r="P554" s="20" t="n">
        <x:v>1</x:v>
      </x:c>
      <x:c r="Q554" s="4" t="str">
        <x:v>South Asia</x:v>
      </x:c>
      <x:c r="R554" s="4" t="str">
        <x:v>Included</x:v>
      </x:c>
    </x:row>
    <x:row r="555" ht="342" hidden="0" customHeight="1">
      <x:c r="A555" s="16" t="str">
        <x:v>R5-SC-003</x:v>
      </x:c>
      <x:c r="B555" s="4" t="str">
        <x:v>Tamulpur orders selective Bhutan-border closure for April 2026 Assam polling</x:v>
      </x:c>
      <x:c r="C555" s="4" t="str">
        <x:v>India; Bhutan</x:v>
      </x:c>
      <x:c r="D555" s="4" t="str">
        <x:v>International land entry/exit points in Tamulpur district, Assam
Non-exempt movement of people and vehicles through Tamulpur’s Bhutan-border routes</x:v>
      </x:c>
      <x:c r="E555" s="4" t="str">
        <x:v>Non-exempt travellers and vehicles.
Direction: Entry and exit, with category-specific exemptions
Exceptions: Medical emergencies from Bhutan; Indian citizens/foreign tourists already in Bhutan with valid documents; permitted tourists travelling to Bhutan; essential perishable cargo after checks; identified Tamulpur and Goreshwar voters entering the district.</x:v>
      </x:c>
      <x:c r="F555" s="4" t="str">
        <x:v>R5-SC-003-R1 — Announced window
Tamulpur district's Bhutan land routes; ordinary individuals and vehicles restricted with specified exceptions
Start: 2026-04-06.
Scheduled endpoint: 2026-04-09.
Ordered window: 3 calendar-day difference; actual end not established</x:v>
      </x:c>
      <x:c r="G555"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55" s="4" t="str">
        <x:v>R5-SC-003-R1: Starts April 6 at 17:00; April 9 endpoint is polling completion, clock time unspecified, not a complete closed calendar day. No lifting log; exceptions include medical entry, documented tourists, eligible voters and perishable essentials.</x:v>
      </x:c>
      <x:c r="I555" s="4" t="str">
        <x:v>Second full-register audit, 26 October 2026: qualified. Tamulpur’s April 2026 district order and detailed exceptions are corroborated; polling completion remains a scheduled endpoint.</x:v>
      </x:c>
      <x:c r="J555" s="18" t="d">
        <x:v>2026-10-26T00:00:00.000Z</x:v>
      </x:c>
      <x:c r="K555" s="21" t="str">
        <x:f>IFERROR(HYPERLINK("https://english.hindusthansamachar.in/Encyc/2026/4/6/Traffic-control-on-India-Bhuta.php","Hindusthan Samachar"),"Hindusthan Samachar")</x:f>
        <x:v>Hindusthan Samachar</x:v>
      </x:c>
      <x:c r="L555" s="21" t="str">
        <x:f>IFERROR(HYPERLINK("https://timesofindia.indiatimes.com/city/guwahati/restrictions-on-vehicles-along-india-bhutan-border-for-polls/amp_articleshow/130069426.cms","Times of India"),"Times of India")</x:f>
        <x:v>Times of India</x:v>
      </x:c>
      <x:c r="M555" s="21" t="str">
        <x:f>IFERROR(HYPERLINK("https://www.indiatodayne.in/assam/story/movement-curbs-imposed-along-india-bhutan-border-in-tamulpur-ahead-of-assam-polls-1371494-2026-04-06","India Today NE"),"India Today NE")</x:f>
        <x:v>India Today NE</x:v>
      </x:c>
      <x:c r="N555" s="4" t="str">
        <x:v>https://english.hindusthansamachar.in/Encyc/2026/4/6/Traffic-control-on-India-Bhuta.php
https://timesofindia.indiatimes.com/city/guwahati/restrictions-on-vehicles-along-india-bhutan-border-for-polls/amp_articleshow/130069426.cms
https://www.indiatodayne.in/assam/story/movement-curbs-imposed-along-india-bhutan-border-in-tamulpur-ahead-of-assam-polls-1371494-2026-04-06</x:v>
      </x:c>
      <x:c r="O555" s="4" t="str">
        <x:v>Second full-register audit source access, 26 October 2026
https://www.indiatodayne.in/assam/story/movement-curbs-imposed-along-india-bhutan-border-in-tamulpur-ahead-of-assam-polls-1371494-2026-04-06: full text (fresh retrieval)
https://english.hindusthansamachar.in/Encyc/2026/4/6/Traffic-control-on-India-Bhuta.php: search extract (fresh retrieval) — Indexed substantial text, same order origin.
https://timesofindia.indiatimes.com/city/guwahati/restrictions-on-vehicles-along-india-bhutan-border-for-polls/amp_articleshow/130069426.cms: full text (fresh retrieval) — No completed ending observation.
Prior audit access record
Full-register audit source access (evidence cutoff 25 October 2026)
https://www.indiatodayne.in/assam/story/movement-curbs-imposed-along-india-bhutan-border-in-tamulpur-ahead-of-assam-polls-1371494-2026-04-06: full text — Order reporting, no end observation
https://english.hindusthansamachar.in/Encyc/2026/4/6/Traffic-control-on-India-Bhuta.php: search extract — Search extract; same order origin
Earlier source URLs not separately listed in this audit’s retrieval log (historical access notes below are not fresh verification):
https://timesofindia.indiatimes.com/city/guwahati/restrictions-on-vehicles-along-india-bhutan-border-for-polls/amp_articleshow/130069426.cms
Earlier recorded access
Source 1: indexed excerpt; full
Source 2: indexed excerpt
Source 3: full page</x:v>
      </x:c>
      <x:c r="P555" s="20" t="n">
        <x:v>1</x:v>
      </x:c>
      <x:c r="Q555" s="4" t="str">
        <x:v>South Asia</x:v>
      </x:c>
      <x:c r="R555" s="4" t="str">
        <x:v>Included</x:v>
      </x:c>
    </x:row>
    <x:row r="556" ht="378" hidden="0" customHeight="1">
      <x:c r="A556" s="16" t="str">
        <x:v>R5-SC-005</x:v>
      </x:c>
      <x:c r="B556" s="4" t="str">
        <x:v>Bhutan-facing gates close for West Bengal’s April 2026 first-phase election</x:v>
      </x:c>
      <x:c r="C556" s="4" t="str">
        <x:v>Bhutan; India</x:v>
      </x:c>
      <x:c r="D556" s="4" t="str">
        <x:v>Phuentsholing–Jaigaon; Samtse; Lhamoizingkha
Ordinary entry/exit at three Bhutan–India gates</x:v>
      </x:c>
      <x:c r="E556" s="4" t="str">
        <x:v>Ordinary cross-border users; no universal all-goods claim.
Direction: Entry and exit
Exceptions: NDTV’s Jaigaon account exempts tourists and essential services. Applicability of those exceptions at the other two gates is not established.</x:v>
      </x:c>
      <x:c r="F556" s="4" t="str">
        <x:v>R5-SC-005-R1 — Announced window
Lhamoizingkha, Phuentsholing and Samtse international exit/entry gates under Bhutan election-related notice
Start: 2026-04-20.
Scheduled endpoint: 2026-04-23.
Ordered window: 3 calendar-day difference; actual end not established</x:v>
      </x:c>
      <x:c r="G556"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56" s="4" t="str">
        <x:v>R5-SC-005-R1: NDTV reports Jaigaon closed after 18:00 rather than 17:00 and specifies exemptions; other gates not independently observed. No actual April 23 reopening inferred.</x:v>
      </x:c>
      <x:c r="I556" s="4" t="str">
        <x:v>Second full-register audit, 26 October 2026: qualified. The official 73-hour election order and Jaigaon implementation remain supported; no observed lifting at all three gates recovered.</x:v>
      </x:c>
      <x:c r="J556" s="18" t="d">
        <x:v>2026-10-26T00:00:00.000Z</x:v>
      </x:c>
      <x:c r="K556" s="21" t="str">
        <x:f>IFERROR(HYPERLINK("https://samtse.gov.bt/2026/04/public-notification/","Samtse Dzongkhag Administration"),"Samtse Dzongkhag Administration")</x:f>
        <x:v>Samtse Dzongkhag Administration</x:v>
      </x:c>
      <x:c r="L556" s="21" t="str">
        <x:f>IFERROR(HYPERLINK("https://ndtv.in/india/bhutan-gate-in-jaigaon-sealed-ahead-of-phase-1-voting-in-bengal-movement-restricted-11384959","NDTV India"),"NDTV India")</x:f>
        <x:v>NDTV India</x:v>
      </x:c>
      <x:c r="M556" s="21" t="str">
        <x:f>IFERROR(HYPERLINK("https://samtse.gov.bt/wp-content/uploads/2026/04/Public-Notification.pdf","Samtse Dzongkhag Administration"),"Samtse Dzongkhag Administration")</x:f>
        <x:v>Samtse Dzongkhag Administration</x:v>
      </x:c>
      <x:c r="N556" s="4" t="str">
        <x:v>https://samtse.gov.bt/2026/04/public-notification/
https://ndtv.in/india/bhutan-gate-in-jaigaon-sealed-ahead-of-phase-1-voting-in-bengal-movement-restricted-11384959
https://samtse.gov.bt/wp-content/uploads/2026/04/Public-Notification.pdf
https://www.newsonair.gov.in/west-bengal-assembly-elections-campaigning-enters-final-two-days/</x:v>
      </x:c>
      <x:c r="O556" s="4" t="str">
        <x:v>Second full-register audit source access, 26 October 2026
https://samtse.gov.bt/2026/04/public-notification/: full text (fresh retrieval)
https://ndtv.in/india/bhutan-gate-in-jaigaon-sealed-ahead-of-phase-1-voting-in-bengal-movement-restricted-11384959: full text (fresh retrieval) — Publication displays 20 April 22:52 IST, not an observed lifting.
https://samtse.gov.bt/wp-content/uploads/2026/04/Public-Notification.pdf: inaccessible (fresh retrieval) — PDF text contained only CamScanner; screenshot failed.
Earlier URLs not separately inspected in this second assessment:
https://www.newsonair.gov.in/west-bengal-assembly-elections-campaigning-enters-final-two-days/
Prior audit access record
Full-register audit source access (evidence cutoff 25 October 2026)
https://samtse.gov.bt/2026/04/public-notification/: full text — Not observed lifting
https://ndtv.in/india/bhutan-gate-in-jaigaon-sealed-ahead-of-phase-1-voting-in-bengal-movement-restricted-11384959: full text — Does not observe the other two gates
Earlier source URLs not separately listed in this audit’s retrieval log (historical access notes below are not fresh verification):
https://samtse.gov.bt/wp-content/uploads/2026/04/Public-Notification.pdf
https://www.newsonair.gov.in/west-bengal-assembly-elections-campaigning-enters-final-two-days/
Earlier recorded access
Source 1: indexed excerpt; failed; full
Source 2: full
Source 3: failed</x:v>
      </x:c>
      <x:c r="P556" s="20" t="n">
        <x:v>1</x:v>
      </x:c>
      <x:c r="Q556" s="4" t="str">
        <x:v>South Asia</x:v>
      </x:c>
      <x:c r="R556" s="4" t="str">
        <x:v>Included</x:v>
      </x:c>
    </x:row>
    <x:row r="557" ht="409" hidden="0" customHeight="1">
      <x:c r="A557" s="16" t="str">
        <x:v>R5-SC-001</x:v>
      </x:c>
      <x:c r="B557" s="4" t="str">
        <x:v>Banke restricts Nepali shopping trips through Jamunaha–Rupaidiha during the 2021 COVID wave</x:v>
      </x:c>
      <x:c r="C557" s="4" t="str">
        <x:v>Nepal; India</x:v>
      </x:c>
      <x:c r="D557" s="4" t="str">
        <x:v>Jamunaha–Rupaidiha, Banke district
Non-essential outbound travel by Nepali residents, especially shopping trips</x:v>
      </x:c>
      <x:c r="E557" s="4" t="str">
        <x:v>Nepali residents making non-essential trips to the Indian border market; no total freight prohibition established.
Direction: Nepal to India for the restricted trips
Exceptions: Essential work permitted in April account; India-to-Nepal returns subject to screening.</x:v>
      </x:c>
      <x:c r="F557" s="4" t="str">
        <x:v>R5-SC-001-FU1 — Observed operation
Jamunaha–Rupaidiha outbound local shopping movement
Start: unknown.
Last confirmed: 2021-03-25. Reopening is not established.
confirmed through 2021-03-25; reopening unknown
R5-SC-001-FU2 — Observed operation
Jamunaha–Rupaidiha outbound local shopping movement
Start: unknown.
Last confirmed: 2021-04-16. Reopening is not established.
confirmed through 2021-04-16; reopening unknown
Later access evidence for both restricted-state observations: shopping trips from Nepal to Rupaidiha were occurring by 2021-07-29. This supersedes the later 2022-12-06 display bound. The first relaxation day and continuity between observations remain unknown.</x:v>
      </x:c>
      <x:c r="G55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57" s="4" t="str">
        <x:v>The March 25 and April 16, 2021 accounts separately document restricted Nepali shopping trips towards Rupaidiha, with different treatment of returnees and essential journeys. Neither establishes the first onset or continuous enforcement between observations. RSS reporting on July 29, 2021 describes Nepali locals crossing Jamunaha to shop in Rupaidiha. This supplies a scope-matched later-access bound, earlier than the previously used December 2022 report. It is not the exact reopening date, a formal repeal or proof of uninterrupted access thereafter. No continuous numeric duration is established.</x:v>
      </x:c>
      <x:c r="I557" s="4" t="str">
        <x:v>Second full-register audit, 26 October 2026: additional source-audited corrections incorporated. See the phase, scope and qualification columns for the accepted findings.</x:v>
      </x:c>
      <x:c r="J557" s="18" t="d">
        <x:v>2026-10-26T00:00:00.000Z</x:v>
      </x:c>
      <x:c r="K557" s="21" t="str">
        <x:f>IFERROR(HYPERLINK("https://english.nepalnews.com/s/nation/banke-administration-halts-mobility-at-nepalindia-border/","NepalNews"),"NepalNews")</x:f>
        <x:v>NepalNews</x:v>
      </x:c>
      <x:c r="L557" s="21" t="str">
        <x:f>IFERROR(HYPERLINK("https://thehimalayantimes.com/nepal/district-risk-management-centre-in-banke-prohibits-movement-to-rupaidiha-india","The Himalayan Times"),"The Himalayan Times")</x:f>
        <x:v>The Himalayan Times</x:v>
      </x:c>
      <x:c r="M557" s="21" t="str">
        <x:f>IFERROR(HYPERLINK("https://english.nepalnews.com/s/nation/movement-to-rupaidiha-across-indian-border-banned/","NepalNews"),"NepalNews")</x:f>
        <x:v>NepalNews</x:v>
      </x:c>
      <x:c r="N557" s="4" t="str">
        <x:v>https://english.nepalnews.com/s/nation/banke-administration-halts-mobility-at-nepalindia-border/
https://thehimalayantimes.com/nepal/district-risk-management-centre-in-banke-prohibits-movement-to-rupaidiha-india
https://english.nepalnews.com/s/nation/movement-to-rupaidiha-across-indian-border-banned/
https://kathmandupost.com/province-no-5/2021/08/21/people-returning-to-india-despite-covid-19-risks
https://thehimalayantimes.com/ampArticle/1006488
https://kathmandupost.com/9/2021/08/21/people-returning-to-india-despite-covid-19-risks
https://risingnepaldaily.com/news/76469
https://risingnepaldaily.com/news/68373
https://english.khabarhub.com/2021/29/199828/
https://english.ratopati.com/story/18749</x:v>
      </x:c>
      <x:c r="O557" s="4" t="str">
        <x:v>Second full-register audit source access, 26 October 2026
https://english.nepalnews.com/s/nation/banke-administration-halts-mobility-at-nepalindia-border/: full text (fresh retrieval)
https://thehimalayantimes.com/nepal/district-risk-management-centre-in-banke-prohibits-movement-to-rupaidiha-india: full text (fresh retrieval)
https://english.khabarhub.com/2021/29/199828/: full text (fresh retrieval)
https://kathmandupost.com/province-no-5/2021/08/21/people-returning-to-india-despite-covid-19-risks: search extract (fresh retrieval) — Indexed extract.
Earlier URLs not separately inspected in this second assessment:
https://english.nepalnews.com/s/nation/movement-to-rupaidiha-across-indian-border-banned/
https://thehimalayantimes.com/ampArticle/1006488
https://kathmandupost.com/9/2021/08/21/people-returning-to-india-despite-covid-19-risks
https://risingnepaldaily.com/news/76469
https://risingnepaldaily.com/news/68373
https://english.ratopati.com/story/18749
Prior audit access record
Full-register audit source access (evidence cutoff 25 October 2026)
https://english.nepalnews.com/s/nation/banke-administration-halts-mobility-at-nepalindia-border/: full text
https://thehimalayantimes.com/nepal/district-risk-management-centre-in-banke-prohibits-movement-to-rupaidiha-india: full text
https://english.khabarhub.com/2021/29/199828/: full text — Observed practice, not repeal.
Earlier source URLs not separately listed in this audit’s retrieval log (historical access notes below are not fresh verification):
https://english.nepalnews.com/s/nation/movement-to-rupaidiha-across-indian-border-banned/
https://kathmandupost.com/province-no-5/2021/08/21/people-returning-to-india-despite-covid-19-risks
https://thehimalayantimes.com/ampArticle/1006488
https://kathmandupost.com/9/2021/08/21/people-returning-to-india-despite-covid-19-risks
https://risingnepaldaily.com/news/76469
https://risingnepaldaily.com/news/68373
https://english.ratopati.com/story/18749
Earlier recorded access
Source 1: full
Source 2: full page
Source 3: indexed excerpt</x:v>
      </x:c>
      <x:c r="P557" s="20" t="n">
        <x:v>2</x:v>
      </x:c>
      <x:c r="Q557" s="4" t="str">
        <x:v>South Asia</x:v>
      </x:c>
      <x:c r="R557" s="4" t="str">
        <x:v>Included</x:v>
      </x:c>
    </x:row>
    <x:row r="558" ht="409" hidden="0" customHeight="1">
      <x:c r="A558" s="16" t="str">
        <x:v>R5-AES-005</x:v>
      </x:c>
      <x:c r="B558" s="4" t="str">
        <x:v>Gabon COVID land-passenger restrictions beginning with northern closure in March 2020</x:v>
      </x:c>
      <x:c r="C558" s="4" t="str">
        <x:v>Gabon; Cameroon; Equatorial Guinea; Republic of the Congo</x:v>
      </x:c>
      <x:c r="D558" s="4" t="str">
        <x:v>Kyé-Ossi/Meyo-Kyé specifically documented; national extension covers other land crossings without separate gate observations.
Initial northern land frontier restrictions, extended to national land boundaries; permitted movement categories changed over time.</x:v>
      </x:c>
      <x:c r="E558" s="4" t="str">
        <x:v>Ordinary non-exempt land passengers; later explicit conditional return/institutional travel and essential-goods exceptions.
Direction: Entry and exit restrictions, with specified conditional exceptions; no uniform total two-way seal inferred.
Exceptions: February 1, 2021 notice permits specified Gabonese/regional return travel and international/subregional personnel under conditions, essential food/fuel/gas/medical supplies, and authorised entry/exit with tests and special permits. Some local pedestrian passage was observed in the initial northern phase.</x:v>
      </x:c>
      <x:c r="F558" s="4" t="str">
        <x:v>R5-AES-005-R1 — Formal policy
Initial Gabon northern land-frontier passenger restriction, with Kyé-Ossi/Meyo-Kyé implementation evidence
Start: 2020-03-06.
Last confirmed: 2020-03-12. Reopening is not established.
Formal policy: confirmed through 2020-03-12; at least 6 calendar-day difference; reopening unknown</x:v>
      </x:c>
      <x:c r="G55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58" s="4" t="str">
        <x:v>R5-AES-005-R1: Not total passenger sealing, national onset, or reopening on March 12. Later national/exception phases not appended without matching chain.</x:v>
      </x:c>
      <x:c r="I558" s="4" t="str">
        <x:v>Second full-register audit, 26 October 2026: qualified. The limited March 6–12, 2020 northern-frontier phase is supported. Broad 2022 easing does not establish a gate-specific first reopening or uninterrupted closure since March 2020.</x:v>
      </x:c>
      <x:c r="J558" s="18" t="d">
        <x:v>2026-10-26T00:00:00.000Z</x:v>
      </x:c>
      <x:c r="K558" s="21" t="str">
        <x:f>IFERROR(HYPERLINK("https://www.gabonreview.com/coronavirus-covid-19-calme-plat-a-la-frontiere-gabon-cameroun/","Gabonreview"),"Gabonreview")</x:f>
        <x:v>Gabonreview</x:v>
      </x:c>
      <x:c r="L558" s="21" t="str">
        <x:f>IFERROR(HYPERLINK("https://afrique.le360.ma/gabon/politique/2020/03/07/29733-coronavirus-le-gabon-restreint-les-mouvements-sa-frontiere-avec-le-cameroun-29733/","Le360 Afrique"),"Le360 Afrique")</x:f>
        <x:v>Le360 Afrique</x:v>
      </x:c>
      <x:c r="M558" s="21" t="str">
        <x:f>IFERROR(HYPERLINK("https://gabonactu.com/blog/2020/03/14/le-gabon-ferme-toutes-ses-frontieres-terrestres-a-cause-du-coronavirus/","Gabonactu"),"Gabonactu")</x:f>
        <x:v>Gabonactu</x:v>
      </x:c>
      <x:c r="N558" s="4" t="str">
        <x:v>https://www.gabonreview.com/coronavirus-covid-19-calme-plat-a-la-frontiere-gabon-cameroun/
https://afrique.le360.ma/gabon/politique/2020/03/07/29733-coronavirus-le-gabon-restreint-les-mouvements-sa-frontiere-avec-le-cameroun-29733/
https://gabonactu.com/blog/2020/03/14/le-gabon-ferme-toutes-ses-frontieres-terrestres-a-cause-du-coronavirus/
https://gabonmediatime.com/gabon-le-ministere-de-linterieur-enonce-des-derogations-a-la-fermeture-des-frontieres/
https://www.journal-officiel.ga/18456-0088-pr-mi-/
https://gabonactu.com/blog/2020/03/20/declaration-integrale-sur-la-fermeture-des-frontieres-au-gabon/
https://www.atibt.org/wp-content/uploads/2020/07/GABON-15-Premier-Ministre-Point-Presse-3-Phase-1-dall%C3%A8gement-des-mesures-restrictives-20200630.pdf
https://www.conjonctures.net/gouvernance/gabon-le-gouvernement-annonce-des-derogations-a-la-mesure-de-fermeture-des-frontieres-terrestres/
https://www.afro.who.int/fr/countries/gabon/news/riposte-contre-la-covid-19-deux-ans-apres-le-premier-cas-le-gabon-leve-lensemble-des-mesures
https://www.droit-afrique.com/uploads/Gabon-Decret-2020-81-mesures-confinement-pandemie-coronavirus.pdf
https://presidence.ga/2023/09/02/communique-du-ctri-n005-2/</x:v>
      </x:c>
      <x:c r="O558" s="4" t="str">
        <x:v>Second full-register audit source access, 26 October 2026
https://www.gabonreview.com/coronavirus-covid-19-calme-plat-a-la-frontiere-gabon-cameroun/: full text (fresh retrieval)
https://gabonmediatime.com/gabon-le-ministere-de-linterieur-enonce-des-derogations-a-la-fermeture-des-frontieres/: full text (fresh retrieval)
https://www.droit-afrique.com/uploads/Gabon-Decret-2020-81-mesures-confinement-pandemie-coronavirus.pdf: full text (fresh retrieval) — Headline says all, quoted operative speech says majority; no named land gate restart.
Earlier URLs not separately inspected in this second assessment:
https://afrique.le360.ma/gabon/politique/2020/03/07/29733-coronavirus-le-gabon-restreint-les-mouvements-sa-frontiere-avec-le-cameroun-29733/
https://gabonactu.com/blog/2020/03/14/le-gabon-ferme-toutes-ses-frontieres-terrestres-a-cause-du-coronavirus/
https://www.journal-officiel.ga/18456-0088-pr-mi-/
https://gabonactu.com/blog/2020/03/20/declaration-integrale-sur-la-fermeture-des-frontieres-au-gabon/
https://www.atibt.org/wp-content/uploads/2020/07/GABON-15-Premier-Ministre-Point-Presse-3-Phase-1-dall%C3%A8gement-des-mesures-restrictives-20200630.pdf
https://www.conjonctures.net/gouvernance/gabon-le-gouvernement-annonce-des-derogations-a-la-mesure-de-fermeture-des-frontieres-terrestres/
https://www.afro.who.int/fr/countries/gabon/news/riposte-contre-la-covid-19-deux-ans-apres-le-premier-cas-le-gabon-leve-lensemble-des-mesures
https://presidence.ga/2023/09/02/communique-du-ctri-n005-2/
Prior audit access record
Full-register audit source access (evidence cutoff 25 October 2026)
https://www.gabonreview.com/coronavirus-covid-19-calme-plat-a-la-frontiere-gabon-cameroun/: full text — Claim scope as stated
https://www.afro.who.int/fr/countries/gabon/news/riposte-contre-la-covid-19-deux-ans-apres-le-premier-cas-le-gabon-leve-lensemble-des-mesures: full text — Claim scope as stated
https://www.journal-officiel.ga/18456-0088-pr-mi-/: full text — Claim scope as stated
https://www.droit-afrique.com/uploads/Gabon-Decret-2020-81-mesures-confinement-pandemie-coronavirus.pdf: search extract — Direct page unavailable or article only substantively recovered via index.
https://presidence.ga/2023/09/02/communique-du-ctri-n005-2/: search extract — Direct page unavailable or article only substantively recovered via index.
Earlier source URLs not separately listed in this audit’s retrieval log (historical access notes below are not fresh verification):
https://afrique.le360.ma/gabon/politique/2020/03/07/29733-coronavirus-le-gabon-restreint-les-mouvements-sa-frontiere-avec-le-cameroun-29733/
https://gabonactu.com/blog/2020/03/14/le-gabon-ferme-toutes-ses-frontieres-terrestres-a-cause-du-coronavirus/
https://gabonmediatime.com/gabon-le-ministere-de-linterieur-enonce-des-derogations-a-la-fermeture-des-frontieres/
https://gabonactu.com/blog/2020/03/20/declaration-integrale-sur-la-fermeture-des-frontieres-au-gabon/
https://www.atibt.org/wp-content/uploads/2020/07/GABON-15-Premier-Ministre-Point-Presse-3-Phase-1-dall%C3%A8gement-des-mesures-restrictives-20200630.pdf
https://www.conjonctures.net/gouvernance/gabon-le-gouvernement-annonce-des-derogations-a-la-mesure-de-fermeture-des-frontieres-terrestres/
Earlier recorded access
Source 1: full
Source 2: indexed excerpt; full
Source 3: full</x:v>
      </x:c>
      <x:c r="P558" s="20" t="n">
        <x:v>1</x:v>
      </x:c>
      <x:c r="Q558" s="4" t="str">
        <x:v>Southern and Central Africa</x:v>
      </x:c>
      <x:c r="R558" s="4" t="str">
        <x:v>Included</x:v>
      </x:c>
    </x:row>
    <x:row r="559" ht="409" hidden="0" customHeight="1">
      <x:c r="A559" s="16" t="str">
        <x:v>R5-AES-004</x:v>
      </x:c>
      <x:c r="B559" s="4" t="str">
        <x:v>Nakonde–Tunduma COVID closure followed by limited cargo reopening in May 2020</x:v>
      </x:c>
      <x:c r="C559" s="4" t="str">
        <x:v>Zambia; Tanzania</x:v>
      </x:c>
      <x:c r="D559" s="4" t="str">
        <x:v>Nakonde / Tunduma One Stop Border Post
Nakonde–Tunduma crossing and associated Nakonde movement restriction; measured endpoint is initial cargo restoration only.</x:v>
      </x:c>
      <x:c r="E559" s="4" t="str">
        <x:v>Cross-border cargo and ordinary people initially affected; cargo resumed while ordinary passenger crossing remained prohibited.
Direction: Both freight directions reopened, initially trucks destined for Tanzania.
Exceptions: Reopening prioritised cargo, including essential fuel, food and medical supplies. Passenger reopening not established by the cargo evidence.</x:v>
      </x:c>
      <x:c r="F559" s="4" t="str">
        <x:v>R5-AES-004-D1 — Observed operation
Initial Nakonde–Tunduma cargo suspension to first limited truck restoration
Start: 2020-05-10 to 2020-05-11.
Observed scoped reopening: 2020-05-15.
4–5 calendar-day difference; scoped endpoint only</x:v>
      </x:c>
      <x:c r="G55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59" s="4" t="str">
        <x:v>R5-AES-004-D1: Cargo-only endpoint, prioritising essential consignments; passengers remained barred. Later May 22/23 notices are not first cargo restoration. Reuters mirrors are one lineage and no exact five-day or hourly duration is claimed.</x:v>
      </x:c>
      <x:c r="I559" s="4" t="str">
        <x:v>Second full-register audit, 26 October 2026: qualified. Fresh initial and reopening reports support the retained May 10–11 onset range and actual May 15, 2020 cargo restart; passengers remained barred.</x:v>
      </x:c>
      <x:c r="J559" s="18" t="d">
        <x:v>2026-10-26T00:00:00.000Z</x:v>
      </x:c>
      <x:c r="K559" s="21" t="str">
        <x:f>IFERROR(HYPERLINK("https://www.thecitizen.co.tz/tanzania/news/national/zambia-closes-border-with-tanzania-to-tame-covid-19-2709020","The Citizen (Tanzania)"),"The Citizen (Tanzania)")</x:f>
        <x:v>The Citizen (Tanzania)</x:v>
      </x:c>
      <x:c r="L559" s="21" t="str">
        <x:f>IFERROR(HYPERLINK("https://www.sabcnews.com/sabcnews/zambia-reopens-border-with-tanzania-to-cargo-after-covid-19-closure/","SABC News / Reuters"),"SABC News / Reuters")</x:f>
        <x:v>SABC News / Reuters</x:v>
      </x:c>
      <x:c r="M559" s="21" t="str">
        <x:f>IFERROR(HYPERLINK("https://magazine.feaffa.com/zambias-nakonde-border-opening-and-kenyas-mobile-lab-at-namanga-quick-gains/","FEAFFA Freight Logistics Magazine"),"FEAFFA Freight Logistics Magazine")</x:f>
        <x:v>FEAFFA Freight Logistics Magazine</x:v>
      </x:c>
      <x:c r="N559" s="4" t="str">
        <x:v>https://www.thecitizen.co.tz/tanzania/news/national/zambia-closes-border-with-tanzania-to-tame-covid-19-2709020
https://www.sabcnews.com/sabcnews/zambia-reopens-border-with-tanzania-to-cargo-after-covid-19-closure/
https://magazine.feaffa.com/zambias-nakonde-border-opening-and-kenyas-mobile-lab-at-namanga-quick-gains/
https://www.miningweekly.com/article/zambia-reopens-border-with-tanzania-to-cargo-after-covid-19-closure-2020-05-15
https://www.thecitizen.co.tz/tanzania/news/international/zambian-border-with-tanzania-reopens--2709366
https://zambianbusinesstimes.com/chirundu-nakonde-borders-resume-24-7-operations/
https://diggers.news/local/2020/05/22/lungu-directs-re-opening-of-nakonde-for-business-as-zambia-records-54-new-covid-19-cases/</x:v>
      </x:c>
      <x:c r="O559" s="4" t="str">
        <x:v>Second full-register audit source access, 26 October 2026
https://www.thecitizen.co.tz/tanzania/news/national/zambia-closes-border-with-tanzania-to-tame-covid-19-2709020: full text (fresh retrieval)
https://www.miningweekly.com/article/zambia-reopens-border-with-tanzania-to-cargo-after-covid-19-closure-2020-05-15: full text (fresh retrieval)
https://www.thecitizen.co.tz/tanzania/news/international/zambian-border-with-tanzania-reopens--2709366: full text (fresh retrieval) — Later reproduction of the same Reuters reporting; not independent reopening confirmation.
Earlier URLs not separately inspected in this second assessment:
https://www.sabcnews.com/sabcnews/zambia-reopens-border-with-tanzania-to-cargo-after-covid-19-closure/
https://magazine.feaffa.com/zambias-nakonde-border-opening-and-kenyas-mobile-lab-at-namanga-quick-gains/
https://zambianbusinesstimes.com/chirundu-nakonde-borders-resume-24-7-operations/
https://diggers.news/local/2020/05/22/lungu-directs-re-opening-of-nakonde-for-business-as-zambia-records-54-new-covid-19-cases/
Prior audit access record
Full-register audit source access (evidence cutoff 25 October 2026)
https://www.thecitizen.co.tz/tanzania/news/national/zambia-closes-border-with-tanzania-to-tame-covid-19-2709020: full text — See specific claim qualifications.
https://www.miningweekly.com/article/zambia-reopens-border-with-tanzania-to-cargo-after-covid-19-closure-2020-05-15: full text — See specific claim qualifications.
https://magazine.feaffa.com/zambias-nakonde-border-opening-and-kenyas-mobile-lab-at-namanga-quick-gains/: full text — See specific claim qualifications.
https://zambianbusinesstimes.com/chirundu-nakonde-borders-resume-24-7-operations/: search extract — See specific claim qualifications.
https://diggers.news/local/2020/05/22/lungu-directs-re-opening-of-nakonde-for-business-as-zambia-records-54-new-covid-19-cases/: search extract — See specific claim qualifications.
Earlier source URLs not separately listed in this audit’s retrieval log (historical access notes below are not fresh verification):
https://www.sabcnews.com/sabcnews/zambia-reopens-border-with-tanzania-to-cargo-after-covid-19-closure/
https://www.thecitizen.co.tz/tanzania/news/international/zambian-border-with-tanzania-reopens--2709366
Earlier recorded access
Source 1: full relevant text
Source 2: full relevant text
Source 3: full relevant text</x:v>
      </x:c>
      <x:c r="P559" s="20" t="n">
        <x:v>1</x:v>
      </x:c>
      <x:c r="Q559" s="4" t="str">
        <x:v>Southern and Central Africa</x:v>
      </x:c>
      <x:c r="R559" s="4" t="str">
        <x:v>Included</x:v>
      </x:c>
    </x:row>
    <x:row r="560" ht="409" hidden="0" customHeight="1">
      <x:c r="A560" s="16" t="str">
        <x:v>R5-AES-001</x:v>
      </x:c>
      <x:c r="B560" s="4" t="str">
        <x:v>Golela–Lavumisa export suspension during June 2021 Eswatini unrest</x:v>
      </x:c>
      <x:c r="C560" s="4" t="str">
        <x:v>South Africa; Eswatini</x:v>
      </x:c>
      <x:c r="D560" s="4" t="str">
        <x:v>Golela / Lavumisa
South Africa-to-Eswatini exports at Golela–Lavumisa; wider reported frontier interruptions remain separate scope leads.</x:v>
      </x:c>
      <x:c r="E560" s="4" t="str">
        <x:v>Exports from South Africa through Golela; the record does not extend the customs notice to all passengers or imports.
Direction: South Africa to Eswatini, export traffic.
Exceptions: No exception to the specified export suspension documented; other movement categories are not established.</x:v>
      </x:c>
      <x:c r="F560" s="4" t="str">
        <x:v>R5-AES-001-FU1 — Observed operation
Golela Port of Entry exports from South Africa to Eswatini
Start: unknown.
Last confirmed suspended: 2021-06-29.
Cargo services accessible by: 2022-08-03, when a dated SARS customs-office update listed Golela open; a July 28 letter prescribed cargo-processing hours from August 1. This is a later access bound, not the original reopening date.
Numeric duration withheld; no continuous June 2021–August 2022 suspension is inferred.</x:v>
      </x:c>
      <x:c r="G560" s="4" t="str">
        <x:v>Security / Public order and immediate safety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
Power and regime politics / Opposition and political reform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560" s="4" t="str">
        <x:v>R5-AES-001-FU1: SARS confirms exports suspended on June 29, 2021, without start hour, endpoint or coverage of every movement category. The page-wide July 2 update is not a new Golela observation. Sowetan places the disruption in Eswatini unrest; motive coding remains contextual interpretation. Parliament’s later July account describes a port that remained open but an obstructed approach road, not the export-specific June notice’s exact endpoint. The August 3, 2022 SARS customs status and scheduled cargo hours supply a later cargo-access bound. The separate 2022 wage-dispute hours and July 2021 road disruption must not be treated as one continuous export closure.</x:v>
      </x:c>
      <x:c r="I560" s="4" t="str">
        <x:v>Second full-register audit, 26 October 2026: qualified. The export-specific June 29, 2021 Golela suspension and conservative August 3, 2022 cargo-access bound are supported; no exact reopening was recovered.</x:v>
      </x:c>
      <x:c r="J560" s="18" t="d">
        <x:v>2026-10-26T00:00:00.000Z</x:v>
      </x:c>
      <x:c r="K560" s="21" t="str">
        <x:f>IFERROR(HYPERLINK("https://www.sars.gov.za/latest-news/customs-borders-and-ports-closures-2/","South African Revenue Service"),"South African Revenue Service")</x:f>
        <x:v>South African Revenue Service</x:v>
      </x:c>
      <x:c r="L560" s="21" t="str">
        <x:f>IFERROR(HYPERLINK("https://www.sowetan.co.za/news/africa/2021-06-30-protests-against-mswatis-supremacy-send-eswatini-into-chaos/","Sowetan"),"Sowetan")</x:f>
        <x:v>Sowetan</x:v>
      </x:c>
      <x:c r="M560" s="21" t="str">
        <x:f>IFERROR(HYPERLINK("https://www.parliament.gov.za/storage/app/media/Docs/atc/7163b8dd-30d2-49ec-97b6-9b465fea7f3b.pdf","Parliament of South Africa"),"Parliament of South Africa")</x:f>
        <x:v>Parliament of South Africa</x:v>
      </x:c>
      <x:c r="N560" s="4" t="str">
        <x:v>https://www.sars.gov.za/latest-news/customs-borders-and-ports-closures-2/
https://www.sowetan.co.za/news/africa/2021-06-30-protests-against-mswatis-supremacy-send-eswatini-into-chaos/
https://www.parliament.gov.za/storage/app/media/Docs/atc/7163b8dd-30d2-49ec-97b6-9b465fea7f3b.pdf
https://wiki.unece.org/spaces/CTRBSBC/pages/101549007/South%2BAfrica
https://www.saica.org.za/resources/141448
https://www.sars.gov.za/wp-content/uploads/Docs/Customs/Letter-to-Trade-on-Land-Ports-Adjusted-Cargo-Processing-Hours-27-July-2022_Updated.2.pdf</x:v>
      </x:c>
      <x:c r="O560" s="4" t="str">
        <x:v>Second full-register audit source access, 26 October 2026
https://www.sars.gov.za/latest-news/customs-borders-and-ports-closures-2/: full text (fresh retrieval)
https://www.saica.org.za/resources/141448: full text (fresh retrieval)
https://www.sars.gov.za/wp-content/uploads/Docs/Customs/Letter-to-Trade-on-Land-Ports-Adjusted-Cargo-Processing-Hours-27-July-2022_Updated.2.pdf: full text (fresh retrieval) — PDF extracted table incomplete; matching table reproduced in SAICA.
https://www.parliament.gov.za/storage/app/media/Docs/atc/7163b8dd-30d2-49ec-97b6-9b465fea7f3b.pdf: search extract (fresh retrieval) — Extract supports later road obstruction only.
Earlier URLs not separately inspected in this second assessment:
https://www.sowetan.co.za/news/africa/2021-06-30-protests-against-mswatis-supremacy-send-eswatini-into-chaos/
https://wiki.unece.org/spaces/CTRBSBC/pages/101549007/South%2BAfrica
Prior audit access record
Full-register audit source access (evidence cutoff 25 October 2026)
https://www.sars.gov.za/latest-news/customs-borders-and-ports-closures-2/: full text — See specific claim qualifications.
https://www.saica.org.za/resources/141448: full text — See specific claim qualifications.
https://www.sars.gov.za/wp-content/uploads/Docs/Customs/Letter-to-Trade-on-Land-Ports-Adjusted-Cargo-Processing-Hours-27-July-2022_Updated.2.pdf: full text — Extractable letter text inspected; port table not extracted, independently present in SAICA reproduction.
https://www.parliament.gov.za/storage/app/media/Docs/atc/7163b8dd-30d2-49ec-97b6-9b465fea7f3b.pdf: search extract — Relevant section 5.1.5 inspected in indexed extract; full PDF extraction did not find port name.
https://www.sowetan.co.za/news/africa/2021-06-30-protests-against-mswatis-supremacy-send-eswatini-into-chaos/: search extract — See specific claim qualifications.
Earlier source URLs not separately listed in this audit’s retrieval log (historical access notes below are not fresh verification):
https://wiki.unece.org/spaces/CTRBSBC/pages/101549007/South%2BAfrica
Earlier recorded access
Source 1: full
Source 2: full
Source 3: full</x:v>
      </x:c>
      <x:c r="P560" s="20" t="n">
        <x:v>1</x:v>
      </x:c>
      <x:c r="Q560" s="4" t="str">
        <x:v>Southern and Central Africa</x:v>
      </x:c>
      <x:c r="R560" s="4" t="str">
        <x:v>Included</x:v>
      </x:c>
    </x:row>
    <x:row r="561" ht="409" hidden="0" customHeight="1">
      <x:c r="A561" s="16" t="str">
        <x:v>R5-AES-002</x:v>
      </x:c>
      <x:c r="B561" s="4" t="str">
        <x:v>Eswatini frontier protest blockades on King Mswati’s birthday in April 2022</x:v>
      </x:c>
      <x:c r="C561" s="4" t="str">
        <x:v>South Africa; Eswatini</x:v>
      </x:c>
      <x:c r="D561" s="4" t="str">
        <x:v>Ngwenya/Oshoek and Golela in News24 reporting; Mananga and Jeppes Reef additionally in SABC reporting.
Reported disruption at several South Africa–Eswatini posts; confirmed same-day restoration relates specifically to Ngwenya–Oshoek.</x:v>
      </x:c>
      <x:c r="E561" s="4" t="str">
        <x:v>Cross-border traffic at the affected posts; exact passenger/freight shares are not documented.
Direction: Cross-border flow affected; direction-specific enforcement not systematically reported.
Exceptions: No documented systematic exceptions; disruption does not establish complete impermeability at every post.</x:v>
      </x:c>
      <x:c r="F561" s="4" t="str">
        <x:v>R5-AES-002-D1 — Observed operation
Protest disruption at Ngwenya–Oshoek only
Start: 2022-04-19.
Observed scoped reopening: 2022-04-19.
Same-day episode; no whole-day duration inferred; News24 describes six hours for a broader protest account; not assigned as a verified Ngwenya-only clock duration.</x:v>
      </x:c>
      <x:c r="G561" s="4" t="str">
        <x:v>Power and regime politics / Opposition and political reform
Reported reason
Applies to: Recorded episode; exact overlap not separately established
The recorded rationale and claim assessment support the selected subcategories. All applicable broad categories are retained together; no primary rationale is imposed.</x:v>
      </x:c>
      <x:c r="H561" s="4" t="str">
        <x:v>R5-AES-002-D1: Sub-day selected-post episode, not a common six-hour duration for every named Eswatini crossing. Post lists differ across reports and complete impermeability is not established. Other posts' endpoints remain unresolved.</x:v>
      </x:c>
      <x:c r="I561" s="4" t="str">
        <x:v>Second full-register audit, 26 October 2026: qualified. Same-day Ngwenya–Oshoek normalization is supported by the ministry statement. The broader six-hour account and differing post lists should not become identical verified clock durations everywhere.</x:v>
      </x:c>
      <x:c r="J561" s="18" t="d">
        <x:v>2026-10-26T00:00:00.000Z</x:v>
      </x:c>
      <x:c r="K561" s="21" t="str">
        <x:f>IFERROR(HYPERLINK("https://polity.org.za/article/king-mswati-iii-placed-on-notice-by-eff-and-pro-democracy-groups-2022-04-19","Polity / News24Wire"),"Polity / News24Wire")</x:f>
        <x:v>Polity / News24Wire</x:v>
      </x:c>
      <x:c r="L561" s="21" t="str">
        <x:f>IFERROR(HYPERLINK("https://www.sabcnews.com/sabcnews/eff-pro-democracy-groups-block-eswatini-border-posts-calling-for-democratic-reform/","SABC News"),"SABC News")</x:f>
        <x:v>SABC News</x:v>
      </x:c>
      <x:c r="M561" s="21" t="str">
        <x:f>IFERROR(HYPERLINK("https://au-pida.org/events/wp-content/uploads/2024/11/One-Stop-Border-Post-OSBP-Status-Report.pdf","AU-PIDA"),"AU-PIDA")</x:f>
        <x:v>AU-PIDA</x:v>
      </x:c>
      <x:c r="N561" s="4" t="str">
        <x:v>https://polity.org.za/article/king-mswati-iii-placed-on-notice-by-eff-and-pro-democracy-groups-2022-04-19
https://www.sabcnews.com/sabcnews/eff-pro-democracy-groups-block-eswatini-border-posts-calling-for-democratic-reform/
https://au-pida.org/events/wp-content/uploads/2024/11/One-Stop-Border-Post-OSBP-Status-Report.pdf
https://www.polity.org.za/article/king-mswati-iii-placed-on-notice-by-eff-and-pro-democracy-groups-2022-04-19</x:v>
      </x:c>
      <x:c r="O561" s="4" t="str">
        <x:v>Second full-register audit source access, 26 October 2026
https://www.polity.org.za/article/king-mswati-iii-placed-on-notice-by-eff-and-pro-democracy-groups-2022-04-19: full text (fresh retrieval)
https://www.polity.org.za/article/king-mswati-iii-placed-on-notice-by-eff-and-pro-democracy-groups-2022-04-19: full text (fresh retrieval)
https://www.sabcnews.com/sabcnews/eff-pro-democracy-groups-block-eswatini-border-posts-calling-for-democratic-reform/: search extract (fresh retrieval) — Full direct retrieval returned server error; substantive indexed article inspected.
Earlier URLs not separately inspected in this second assessment:
https://polity.org.za/article/king-mswati-iii-placed-on-notice-by-eff-and-pro-democracy-groups-2022-04-19
https://au-pida.org/events/wp-content/uploads/2024/11/One-Stop-Border-Post-OSBP-Status-Report.pdf
Prior audit access record
Full-register audit source access (evidence cutoff 25 October 2026)
https://www.polity.org.za/article/king-mswati-iii-placed-on-notice-by-eff-and-pro-democracy-groups-2022-04-19: full text
https://www.sabcnews.com/sabcnews/eff-pro-democracy-groups-block-eswatini-border-posts-calling-for-democratic-reform/: search extract — Direct page returned server error.
Earlier source URLs not separately listed in this audit’s retrieval log (historical access notes below are not fresh verification):
https://polity.org.za/article/king-mswati-iii-placed-on-notice-by-eff-and-pro-democracy-groups-2022-04-19
https://au-pida.org/events/wp-content/uploads/2024/11/One-Stop-Border-Post-OSBP-Status-Report.pdf
Earlier recorded access
Source 1: full text
Source 2: indexed extract
Source 3: full text</x:v>
      </x:c>
      <x:c r="P561" s="20" t="n">
        <x:v>1</x:v>
      </x:c>
      <x:c r="Q561" s="4" t="str">
        <x:v>Southern and Central Africa</x:v>
      </x:c>
      <x:c r="R561" s="4" t="str">
        <x:v>Included</x:v>
      </x:c>
    </x:row>
    <x:row r="562" ht="409" hidden="0" customHeight="1">
      <x:c r="A562" s="16" t="str">
        <x:v>R5-AES-006</x:v>
      </x:c>
      <x:c r="B562" s="4" t="str">
        <x:v>Gabon land-border closure order for August 2023 general elections</x:v>
      </x:c>
      <x:c r="C562" s="4" t="str">
        <x:v>Gabon; Cameroon; Equatorial Guinea; Republic of the Congo</x:v>
      </x:c>
      <x:c r="D562" s="4" t="str">
        <x:v>All land posts under the order; no crossing-specific observation retrieved.
National land boundaries; maritime part of the same order is outside this land-closure record.</x:v>
      </x:c>
      <x:c r="E562" s="4" t="str">
        <x:v>Land entry/exit authorisations suspended; source does not establish gate-by-gate passenger/freight exceptions.
Direction: Entry and exit under the formal measure.
Exceptions: No land exception recovered. Air transport expressly remained outside this order.</x:v>
      </x:c>
      <x:c r="F562" s="4" t="str">
        <x:v>R5-AES-006-R1 — Announced window
Gabon national election land-border order
Start: 2023-08-26.
Scheduled endpoint: 2023-08-27.
Ordered window: 1 calendar-day difference; actual end not established</x:v>
      </x:c>
      <x:c r="G562"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62" s="4" t="str">
        <x:v>R5-AES-006-R1: Ordered window from August 26 2023 00:00 to August 27 2023 00:00, normalized from August 25 24:00 to August 26 24:00. No observed August 27 reopening or gate-by-gate enforcement is established. Maritime component excluded from this land phase and aviation expressly exempt. The later coup restriction and September opening remain separate.</x:v>
      </x:c>
      <x:c r="I562" s="4" t="str">
        <x:v>Second full-register audit, 26 October 2026: qualified. The Gabon election order is correctly normalized as a 24-hour scheduled land-border restriction, separate from the later coup closure.</x:v>
      </x:c>
      <x:c r="J562" s="18" t="d">
        <x:v>2026-10-26T00:00:00.000Z</x:v>
      </x:c>
      <x:c r="K562" s="21" t="str">
        <x:f>IFERROR(HYPERLINK("https://gabonmediatime.com/elections-gabon-2023-fermeture-des-frontieres-terrestres-et-maritimes-des-ce-25-aout/","Gabon Media Time"),"Gabon Media Time")</x:f>
        <x:v>Gabon Media Time</x:v>
      </x:c>
      <x:c r="L562" s="21" t="str">
        <x:f>IFERROR(HYPERLINK("https://www.aa.com.tr/fr/afrique/gabon-elections-fermeture-des-fronti%C3%A8res-terrestres-et-maritimes-/2976319","Anadolu"),"Anadolu")</x:f>
        <x:v>Anadolu</x:v>
      </x:c>
      <x:c r="M562" s="21" t="str">
        <x:f>IFERROR(HYPERLINK("https://presidence.ga/2023/09/02/communique-du-ctri-n005-2/","Presidency of Gabon"),"Presidency of Gabon")</x:f>
        <x:v>Presidency of Gabon</x:v>
      </x:c>
      <x:c r="N562" s="4" t="str">
        <x:v>https://gabonmediatime.com/elections-gabon-2023-fermeture-des-frontieres-terrestres-et-maritimes-des-ce-25-aout/
https://www.aa.com.tr/fr/afrique/gabon-elections-fermeture-des-fronti%C3%A8res-terrestres-et-maritimes-/2976319
https://presidence.ga/2023/09/02/communique-du-ctri-n005-2/
https://www.fragomen.com/insights/gabon-land-borders-and-government-offices-closed.html
https://africa24tv.com/elections-2023-fermeture-des-frontieres-et-des-bars-des-ce-25-aout-pour-24-heures/
https://www.investing.com/news/world-news/gabon-reopens-borders-three-days-after-military-coup-3166544</x:v>
      </x:c>
      <x:c r="O562" s="4" t="str">
        <x:v>Second full-register audit source access, 26 October 2026
https://www.aa.com.tr/fr/afrique/gabon-elections-fermeture-des-fronti%C3%A8res-terrestres-et-maritimes-/2976319: full text (fresh retrieval) — Article subsequently updated August 27; ministerial clock text supplies scheduled window.
https://presidence.ga/2023/09/02/communique-du-ctri-n005-2/: search extract (fresh retrieval) — Separate coup reopening, not endpoint of the August 26 election order.
Earlier URLs not separately inspected in this second assessment:
https://gabonmediatime.com/elections-gabon-2023-fermeture-des-frontieres-terrestres-et-maritimes-des-ce-25-aout/
https://www.fragomen.com/insights/gabon-land-borders-and-government-offices-closed.html
https://africa24tv.com/elections-2023-fermeture-des-frontieres-et-des-bars-des-ce-25-aout-pour-24-heures/
https://www.investing.com/news/world-news/gabon-reopens-borders-three-days-after-military-coup-3166544
Prior audit access record
Full-register audit source access (evidence cutoff 25 October 2026)
https://gabonmediatime.com/elections-gabon-2023-fermeture-des-frontieres-terrestres-et-maritimes-des-ce-25-aout/: full text — See specific claim qualifications.
https://www.aa.com.tr/fr/afrique/gabon-elections-fermeture-des-fronti%C3%A8res-terrestres-et-maritimes-/2976319: full text — See specific claim qualifications.
https://presidence.ga/2023/09/02/communique-du-ctri-n005-2/: full text — See specific claim qualifications.
https://www.fragomen.com/insights/gabon-land-borders-and-government-offices-closed.html: full text — See specific claim qualifications.
Earlier source URLs not separately listed in this audit’s retrieval log (historical access notes below are not fresh verification):
https://africa24tv.com/elections-2023-fermeture-des-frontieres-et-des-bars-des-ce-25-aout-pour-24-heures/
https://www.investing.com/news/world-news/gabon-reopens-borders-three-days-after-military-coup-3166544
Earlier recorded access
Source 1: full; full text
Source 2: indexed excerpt; full; full text
Source 3: indexed excerpt; full</x:v>
      </x:c>
      <x:c r="P562" s="20" t="n">
        <x:v>1</x:v>
      </x:c>
      <x:c r="Q562" s="4" t="str">
        <x:v>Southern and Central Africa</x:v>
      </x:c>
      <x:c r="R562" s="4" t="str">
        <x:v>Included</x:v>
      </x:c>
    </x:row>
    <x:row r="563" ht="409" hidden="0" customHeight="1">
      <x:c r="A563" s="16" t="str">
        <x:v>R5-AWN-001</x:v>
      </x:c>
      <x:c r="B563" s="4" t="str">
        <x:v>Niger COVID land-passenger restriction, March 2020 to June 2021 permission</x:v>
      </x:c>
      <x:c r="C563" s="4" t="str">
        <x:v>Niger; Algeria; Libya; Chad; Nigeria; Benin; Burkina Faso; Mali</x:v>
      </x:c>
      <x:c r="D563" s="4" t="str">
        <x:v>All land posts in the order; later transport reporting specifically discusses the Mali route
National land-border passenger restriction with goods exemption</x:v>
      </x:c>
      <x:c r="E563" s="4" t="str">
        <x:v>Ordinary passenger journeys and international road passenger transport.
Direction: National land-border restriction; detailed direction and practice at every post not established.
Exceptions: Transport of goods explicitly exempt; additional individual permissions not exhaustively reconstructed.</x:v>
      </x:c>
      <x:c r="F563" s="4" t="str">
        <x:v>R5-AWN-001-D1 — Formal policy
Niger-side formal land-passenger restriction with goods exemption
Start: 2020-03-19 to 2020-03-20.
Policy endpoint: 2021-06-17.
Formal policy: 454–455 calendar-day difference; operational continuity not established</x:v>
      </x:c>
      <x:c r="G563" s="4" t="str">
        <x:v>Health and biosecurity / Human disease control
Reported reason
The government imposed the passenger restriction to prevent COVID-19 transmission, while expressly allowing goods transport.</x:v>
      </x:c>
      <x:c r="H563" s="4" t="str">
        <x:v>R5-AWN-001-D1: One-day onset bounds preserve midnight convention, not the March 17 decision date. Regime-level legal period, not complete extension-chain/daily enforcement verification or bilateral operational restoration. Neighbouring restrictions and operator accounts differed; freight remained exempt.</x:v>
      </x:c>
      <x:c r="I563" s="4" t="str">
        <x:v>Second full-register audit, 26 October 2026: additional source-audited corrections incorporated. See the phase, scope and qualification columns for the accepted findings.</x:v>
      </x:c>
      <x:c r="J563" s="18" t="d">
        <x:v>2026-10-26T00:00:00.000Z</x:v>
      </x:c>
      <x:c r="K563" s="21" t="str">
        <x:f>IFERROR(HYPERLINK("https://www.dgi.gouv.ne/index.php/communiques-de-presse/717-communiques-du-gouvernement-relatifs-a-la-lutte-contre-la-pandemie-du-coronavirus","Niger Directorate General of Taxes / Ministry of Finance"),"Niger Directorate General of Taxes / Ministry of Finance")</x:f>
        <x:v>Niger Directorate General of Taxes / Ministry of Finance</x:v>
      </x:c>
      <x:c r="L563" s="21" t="str">
        <x:f>IFERROR(HYPERLINK("https://anp.ne/coronavirus-niger-ferme-ses-aeroports-ses-frontieres-les-ecoles-et-les-lieux-de-loisir/","Agence Nigérienne de Presse"),"Agence Nigérienne de Presse")</x:f>
        <x:v>Agence Nigérienne de Presse</x:v>
      </x:c>
      <x:c r="M563" s="21" t="str">
        <x:f>IFERROR(HYPERLINK("https://www.actuniger.com/politique/17284-communique-du-conseil-des-ministres-du-jeudi-17-juin-2021","ActuNiger"),"ActuNiger")</x:f>
        <x:v>ActuNiger</x:v>
      </x:c>
      <x:c r="N563" s="4" t="str">
        <x:v>https://www.dgi.gouv.ne/index.php/communiques-de-presse/717-communiques-du-gouvernement-relatifs-a-la-lutte-contre-la-pandemie-du-coronavirus
https://anp.ne/coronavirus-niger-ferme-ses-aeroports-ses-frontieres-les-ecoles-et-les-lieux-de-loisir/
https://www.actuniger.com/politique/17284-communique-du-conseil-des-ministres-du-jeudi-17-juin-2021
https://anp.ne/ouverture-des-frontieres-terrestres-au-niger-les-transporteurs-interurbains-reprennent-progressivement-le-trafic-vers-linternational/
https://anp.ne/niger-le-gouvernement-decide-de-la-reouverture-des-frontieres-terrestres-a-compter-du-17-juin-2021/</x:v>
      </x:c>
      <x:c r="O563" s="4" t="str">
        <x:v>Second full-register audit source access, 26 October 2026
https://anp.ne/coronavirus-niger-ferme-ses-aeroports-ses-frontieres-les-ecoles-et-les-lieux-de-loisir/: full text (fresh retrieval)
https://anp.ne/niger-le-gouvernement-decide-de-la-reouverture-des-frontieres-terrestres-a-compter-du-17-juin-2021/: full text (fresh retrieval)
https://anp.ne/ouverture-des-frontieres-terrestres-au-niger-les-transporteurs-interurbains-reprennent-progressivement-le-trafic-vers-linternational/: full text (fresh retrieval) — Retrospective March 17 shorthand is outweighed by the contemporary effective-date announcement.
Earlier URLs not separately inspected in this second assessment:
https://www.dgi.gouv.ne/index.php/communiques-de-presse/717-communiques-du-gouvernement-relatifs-a-la-lutte-contre-la-pandemie-du-coronavirus
https://www.actuniger.com/politique/17284-communique-du-conseil-des-ministres-du-jeudi-17-juin-2021
Prior audit access record
Full-register audit source access (evidence cutoff 25 October 2026)
https://anp.ne/coronavirus-niger-ferme-ses-aeroports-ses-frontieres-les-ecoles-et-les-lieux-de-loisir/: full text — Source supports specified claims, not every crossing or continuity.
https://www.actuniger.com/politique/17284-communique-du-conseil-des-ministres-du-jeudi-17-juin-2021: full text — Source supports specified claims, not every crossing or continuity.
https://anp.ne/ouverture-des-frontieres-terrestres-au-niger-les-transporteurs-interurbains-reprennent-progressivement-le-trafic-vers-linternational/: full text — Source supports specified claims, not every crossing or continuity.
Earlier source URLs not separately listed in this audit’s retrieval log (historical access notes below are not fresh verification):
https://www.dgi.gouv.ne/index.php/communiques-de-presse/717-communiques-du-gouvernement-relatifs-a-la-lutte-contre-la-pandemie-du-coronavirus
https://anp.ne/niger-le-gouvernement-decide-de-la-reouverture-des-frontieres-terrestres-a-compter-du-17-juin-2021/
Earlier recorded access
Source 1: substantive indexed text; direct open timed out
Source 2: full article
Source 3: full page</x:v>
      </x:c>
      <x:c r="P563" s="20" t="n">
        <x:v>1</x:v>
      </x:c>
      <x:c r="Q563" s="4" t="str">
        <x:v>West Africa and Sahel</x:v>
      </x:c>
      <x:c r="R563" s="4" t="str">
        <x:v>Included</x:v>
      </x:c>
    </x:row>
    <x:row r="564" ht="409" hidden="0" customHeight="1">
      <x:c r="A564" s="16" t="str">
        <x:v>R5-AWN-002</x:v>
      </x:c>
      <x:c r="B564" s="4" t="str">
        <x:v>Mali COVID land-passenger closure, March to July 2020 formal reopening</x:v>
      </x:c>
      <x:c r="C564" s="4" t="str">
        <x:v>Mali; Algeria; Niger; Burkina Faso; Côte d’Ivoire; Guinea; Senegal; Mauritania</x:v>
      </x:c>
      <x:c r="D564" s="4" t="str">
        <x:v>All national land frontiers in the policy; individual posts not exhaustively observed
National land-border passenger closure with freight exception</x:v>
      </x:c>
      <x:c r="E564" s="4" t="str">
        <x:v>Ordinary passenger entry and exit through land borders.
Direction: National land restriction; implementation and individual exceptions by direction not comprehensively documented.
Exceptions: Freight and goods transport, especially essential supplies, explicitly exempt.</x:v>
      </x:c>
      <x:c r="F564" s="4" t="str">
        <x:v>R5-AWN-002-D1 — Formal policy
Malian land-passenger closure order, excluding freight/goods
Start: 2020-03-26.
Policy endpoint: 2020-07-31.
Formal policy: 127 calendar-day difference; operational continuity not established</x:v>
      </x:c>
      <x:c r="G564" s="4" t="str">
        <x:v>Health and biosecurity / Human disease control
Reported reason
President Keita presented the land-border measure as part of the response to Mali’s first confirmed COVID-19 cases; freight and essential supplies were excepted.</x:v>
      </x:c>
      <x:c r="H564" s="4" t="str">
        <x:v>R5-AWN-002-D1: Formal permission interval only, not a first enforcement hour or universal actual traffic restart. Freight/essential goods and post-reopening health conditions remained. July 25 air restoration and domestic curfew exceptions are not transferred to the land record. The full official Gazette dated August 10, 2020 records article 2 of decree 2020-0326 of July 27: land-border permission effective July 31 at 00:00. This confirms the legal endpoint without establishing simultaneous gate-level traffic resumption.</x:v>
      </x:c>
      <x:c r="I564" s="4" t="str">
        <x:v>Second full-register audit, 26 October 2026: additional source-audited corrections incorporated. See the phase, scope and qualification columns for the accepted findings.</x:v>
      </x:c>
      <x:c r="J564" s="18" t="d">
        <x:v>2026-10-26T00:00:00.000Z</x:v>
      </x:c>
      <x:c r="K564" s="21" t="str">
        <x:f>IFERROR(HYPERLINK("https://amap.ml/2020/03/26/suite-a-deux-cas-positifs-au-covid-19-le-president-keita-decrete-letat-durgence-sanitaire/","Agence malienne de presse et de publicité"),"Agence malienne de presse et de publicité")</x:f>
        <x:v>Agence malienne de presse et de publicité</x:v>
      </x:c>
      <x:c r="L564" s="21" t="str">
        <x:f>IFERROR(HYPERLINK("https://bamada.net/communique-du-ministere-de-la-securite-sur-le-couvre-feu-etabli-en-raison-du-coronavirus","Bamada.net"),"Bamada.net")</x:f>
        <x:v>Bamada.net</x:v>
      </x:c>
      <x:c r="M564" s="21" t="str">
        <x:f>IFERROR(HYPERLINK("https://www.droit-afrique.com/uploads/Mali-Decret-2020-326-reouverture-frontieres-pandemie.pdf","Droit-Afrique"),"Droit-Afrique")</x:f>
        <x:v>Droit-Afrique</x:v>
      </x:c>
      <x:c r="N564" s="4" t="str">
        <x:v>https://amap.ml/2020/03/26/suite-a-deux-cas-positifs-au-covid-19-le-president-keita-decrete-letat-durgence-sanitaire/
https://bamada.net/communique-du-ministere-de-la-securite-sur-le-couvre-feu-etabli-en-raison-du-coronavirus
https://www.droit-afrique.com/uploads/Mali-Decret-2020-326-reouverture-frontieres-pandemie.pdf
https://www.voaafrique.com/a/le-mali-rouvre-ses-fronti%C3%A8res-a%C3%A9riennes-samedi-et-terrestres-le-31-juillet/5516458.html
https://www.aa.com.tr/fr/afrique/mali-covid-19-le-gouvernement-annonce-la-r%C3%A9ouverture-des-fronti%C3%A8res-a%C3%A9riennes-et-terrestres-/1921555
https://www.ecoi.net/en/document/2048168.html
https://sgg-mali.ml/JO/2020/mali-jo-2020-20.pdf</x:v>
      </x:c>
      <x:c r="O564" s="4" t="str">
        <x:v>Second full-register audit source access, 26 October 2026
https://amap.ml/2020/03/26/suite-a-deux-cas-positifs-au-covid-19-le-president-keita-decrete-letat-durgence-sanitaire/: full text (fresh retrieval)
https://bamada.net/communique-du-ministere-de-la-securite-sur-le-couvre-feu-etabli-en-raison-du-coronavirus: full text (fresh retrieval)
https://sgg-mali.ml/JO/2020/mali-jo-2020-20.pdf: full text (fresh retrieval)
Earlier URLs not separately inspected in this second assessment:
https://www.droit-afrique.com/uploads/Mali-Decret-2020-326-reouverture-frontieres-pandemie.pdf
https://www.voaafrique.com/a/le-mali-rouvre-ses-fronti%C3%A8res-a%C3%A9riennes-samedi-et-terrestres-le-31-juillet/5516458.html
https://www.aa.com.tr/fr/afrique/mali-covid-19-le-gouvernement-annonce-la-r%C3%A9ouverture-des-fronti%C3%A8res-a%C3%A9riennes-et-terrestres-/1921555
https://www.ecoi.net/en/document/2048168.html
Prior audit access record
Full-register audit source access (evidence cutoff 25 October 2026)
https://bamada.net/communique-du-ministere-de-la-securite-sur-le-couvre-feu-etabli-en-raison-du-coronavirus: full text — Source supports specified claims, not every crossing or continuity.
https://www.voaafrique.com/a/le-mali-rouvre-ses-fronti%C3%A8res-a%C3%A9riennes-samedi-et-terrestres-le-31-juillet/5516458.html: full text — Source supports specified claims, not every crossing or continuity.
https://www.droit-afrique.com/uploads/Mali-Decret-2020-326-reouverture-frontieres-pandemie.pdf: search extract — Indexed passages inspected; complete document not recovered.
https://sgg-mali.ml/JO/2020/mali-jo-2020-20.pdf: search extract — Indexed passages inspected; complete document not recovered.
Earlier source URLs not separately listed in this audit’s retrieval log (historical access notes below are not fresh verification):
https://amap.ml/2020/03/26/suite-a-deux-cas-positifs-au-covid-19-le-president-keita-decrete-letat-durgence-sanitaire/
https://www.aa.com.tr/fr/afrique/mali-covid-19-le-gouvernement-annonce-la-r%C3%A9ouverture-des-fronti%C3%A8res-a%C3%A9riennes-et-terrestres-/1921555
https://www.ecoi.net/en/document/2048168.html
Earlier recorded access
Source 1: full article
Source 2: full page
Source 3: full three-page PDF text</x:v>
      </x:c>
      <x:c r="P564" s="20" t="n">
        <x:v>1</x:v>
      </x:c>
      <x:c r="Q564" s="4" t="str">
        <x:v>West Africa and Sahel</x:v>
      </x:c>
      <x:c r="R564" s="4" t="str">
        <x:v>Included</x:v>
      </x:c>
    </x:row>
    <x:row r="565" ht="409" hidden="0" customHeight="1">
      <x:c r="A565" s="16" t="str">
        <x:v>R5-AWN-003</x:v>
      </x:c>
      <x:c r="B565" s="4" t="str">
        <x:v>Togo April 2024 legislative and regional election land-border closure</x:v>
      </x:c>
      <x:c r="C565" s="4" t="str">
        <x:v>Togo; Ghana; Benin; Burkina Faso</x:v>
      </x:c>
      <x:c r="D565" s="4" t="str">
        <x:v>National order; resumed movement reported specifically at Aflao and Hilacondji
National land-border closure ordered for polling day</x:v>
      </x:c>
      <x:c r="E565" s="4" t="str">
        <x:v>Land-border users and cross-border movement; exact goods-category treatment not specified.
Direction: National land restriction; later Aflao account explicitly describes entries and exits.
Exceptions: Airport and seaport remained open; no land-category exemption located in the retrieved communiqué.</x:v>
      </x:c>
      <x:c r="F565" s="4" t="str">
        <x:v>R5-AWN-003-D1 — Observed operation
Election-related land restriction as reported at Aflao and Hilacondji, to observed 30 April resumption.
Start: 2024-04-29.
Observed scoped reopening: 2024-04-30.
1 calendar-day difference; scoped endpoint only</x:v>
      </x:c>
      <x:c r="G565"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565" s="4" t="str">
        <x:v>R5-AWN-003-D1: A May publication date is not the reopening date. The national order is broader than the observed endpoints; identical implementation at every land post is not established. Reopening republications are not independent observations.</x:v>
      </x:c>
      <x:c r="I565" s="4" t="str">
        <x:v>Second full-register audit, 26 October 2026: qualified. National election order and April 30 activity at Aflao/Hilacondji are corroborated; exact operational clocks remain unknown.</x:v>
      </x:c>
      <x:c r="J565" s="18" t="d">
        <x:v>2026-10-26T00:00:00.000Z</x:v>
      </x:c>
      <x:c r="K565" s="21" t="str">
        <x:f>IFERROR(HYPERLINK("https://www.republiquetogolaise.tg/gestion-publique/2804-9192-elections-les-frontieres-terrestres-seront-fermees-le-jour-j-pour-24h","Togo Officiel"),"Togo Officiel")</x:f>
        <x:v>Togo Officiel</x:v>
      </x:c>
      <x:c r="L565" s="21" t="str">
        <x:f>IFERROR(HYPERLINK("https://24heureinfo.com/politique/legislatives-et-regionales-au-togo-fermeture-des-frontieres-lundi-29-avril-2024/","24heureinfo"),"24heureinfo")</x:f>
        <x:v>24heureinfo</x:v>
      </x:c>
      <x:c r="M565" s="21" t="str">
        <x:f>IFERROR(HYPERLINK("https://www.republicoftogo.com/toutes-les-rubriques/politique/frontieres-fermees-lundi","République Togolaise / republicoftogo.com"),"République Togolaise / republicoftogo.com")</x:f>
        <x:v>République Togolaise / republicoftogo.com</x:v>
      </x:c>
      <x:c r="N565" s="4" t="str">
        <x:v>https://www.republiquetogolaise.tg/gestion-publique/2804-9192-elections-les-frontieres-terrestres-seront-fermees-le-jour-j-pour-24h
https://24heureinfo.com/politique/legislatives-et-regionales-au-togo-fermeture-des-frontieres-lundi-29-avril-2024/
https://www.republicoftogo.com/toutes-les-rubriques/politique/frontieres-fermees-lundi
https://www.togofirst.com/fr/politique/2904-13935-elections-legislatives-et-regionales-les-frontieres-du-togo-fermees-ce-lundi-29-avril
https://loeildusahara.com/togo-les-frontieres-terrestres-rouvertes-ce-30-avril/
https://beninwebtv.com/togo-le-gouvernement-annonce-la-reouverture-des-frontieres-terrestres/</x:v>
      </x:c>
      <x:c r="O565" s="4" t="str">
        <x:v>Second full-register audit source access, 26 October 2026
https://www.republiquetogolaise.tg/gestion-publique/2804-9192-elections-les-frontieres-terrestres-seront-fermees-le-jour-j-pour-24h: full text (fresh retrieval)
https://loeildusahara.com/togo-les-frontieres-terrestres-rouvertes-ce-30-avril/: full text (fresh retrieval) — Republication, not independent of matching copies.
https://www.republicoftogo.com/toutes-les-rubriques/politique/frontieres-fermees-lundi: full text (fresh retrieval)
Earlier URLs not separately inspected in this second assessment:
https://24heureinfo.com/politique/legislatives-et-regionales-au-togo-fermeture-des-frontieres-lundi-29-avril-2024/
https://www.togofirst.com/fr/politique/2904-13935-elections-legislatives-et-regionales-les-frontieres-du-togo-fermees-ce-lundi-29-avril
https://beninwebtv.com/togo-le-gouvernement-annonce-la-reouverture-des-frontieres-terrestres/
Prior audit access record
Full-register audit source access (evidence cutoff 25 October 2026)
https://www.republiquetogolaise.tg/gestion-publique/2804-9192-elections-les-frontieres-terrestres-seront-fermees-le-jour-j-pour-24h: full text — Ordered duration is distinct from measured operation.
https://www.republicoftogo.com/toutes-les-rubriques/politique/frontieres-fermees-lundi: full text
https://loeildusahara.com/togo-les-frontieres-terrestres-rouvertes-ce-30-avril/: full text — Republication timing is not reopening timing; no independent gate log.
Earlier source URLs not separately listed in this audit’s retrieval log (historical access notes below are not fresh verification):
https://24heureinfo.com/politique/legislatives-et-regionales-au-togo-fermeture-des-frontieres-lundi-29-avril-2024/
https://www.togofirst.com/fr/politique/2904-13935-elections-legislatives-et-regionales-les-frontieres-du-togo-fermees-ce-lundi-29-avril
https://beninwebtv.com/togo-le-gouvernement-annonce-la-reouverture-des-frontieres-terrestres/
Earlier recorded access
Source 1: substantive indexed article; direct open timed out
Source 2: full page
Source 3: full article</x:v>
      </x:c>
      <x:c r="P565" s="20" t="n">
        <x:v>1</x:v>
      </x:c>
      <x:c r="Q565" s="4" t="str">
        <x:v>West Africa and Sahel</x:v>
      </x:c>
      <x:c r="R565" s="4" t="str">
        <x:v>Included</x:v>
      </x:c>
    </x:row>
    <x:row r="566" ht="234" hidden="0" customHeight="1">
      <x:c r="A566" s="16" t="str">
        <x:v>R6-AM-003</x:v>
      </x:c>
      <x:c r="B566" s="4" t="str">
        <x:v>Rumichaca teachers’ vehicle blockade, May 23, 2017</x:v>
      </x:c>
      <x:c r="C566" s="4" t="str">
        <x:v>Colombia; Ecuador</x:v>
      </x:c>
      <x:c r="D566" s="4" t="str">
        <x:v>Rumichaca
Rumichaca international bridge</x:v>
      </x:c>
      <x:c r="E566" s="4" t="str">
        <x:v>International passenger vehicles and freight.
Direction: Vehicle passage across bridge blocked; Ecuador-to-Colombia truck queue explicitly reported.
Exceptions: Pedestrians could cross.</x:v>
      </x:c>
      <x:c r="F566" s="4" t="str">
        <x:v>R6-AM-003-D1 — Observed operation
Rumichaca vehicle occupation on 23 May 2017.
Start: 2017-05-23, approximately 09:30.
Observed scoped reopening: 2017-05-23.
Reported occupation duration: approximately three hours; same-day episode, not a whole-day closure.</x:v>
      </x:c>
      <x:c r="G566" s="4" t="str">
        <x:v>Policy and socioeconomic demands / Jobs, services and livelihoods
Reported reason
Applies to: R6-AM-003-D1
Public-school teachers opposed longer working hours and demanded higher pay; the bridge occupation was part of their wider labour protest.</x:v>
      </x:c>
      <x:c r="H566" s="4" t="str">
        <x:v>R6-AM-003-D1: Shown as an episode occurring on this date, not a whole-day closure. Same-day occupation ended, but exact restoration minute and all-lane normalization are not independently recorded.</x:v>
      </x:c>
      <x:c r="I566" s="4" t="str">
        <x:v>Second full-register audit, 26 October 2026: additional source-audited corrections incorporated. See the phase, scope and qualification columns for the accepted findings.</x:v>
      </x:c>
      <x:c r="J566" s="18" t="d">
        <x:v>2026-10-26T00:00:00.000Z</x:v>
      </x:c>
      <x:c r="K566" s="21" t="str">
        <x:f>IFERROR(HYPERLINK("https://www.elcomercio.com/actualidad/ecuador/manifestantes-colombia-cerraron-puente-internacional/","El Comercio (Ecuador)"),"El Comercio (Ecuador)")</x:f>
        <x:v>El Comercio (Ecuador)</x:v>
      </x:c>
      <x:c r="L566" s="21" t="str">
        <x:f>IFERROR(HYPERLINK("https://www.radioipiales.co/2017/05/profesores-se-tomaron-rumichaca/","Radio Ipiales Caracol"),"Radio Ipiales Caracol")</x:f>
        <x:v>Radio Ipiales Caracol</x:v>
      </x:c>
      <x:c r="M566" s="21"/>
      <x:c r="N566" s="4" t="str">
        <x:v>https://www.elcomercio.com/actualidad/ecuador/manifestantes-colombia-cerraron-puente-internacional/
https://www.radioipiales.co/2017/05/profesores-se-tomaron-rumichaca/</x:v>
      </x:c>
      <x:c r="O566" s="4" t="str">
        <x:v>Second full-register audit source access, 26 October 2026
https://www.elcomercio.com/actualidad/ecuador/manifestantes-colombia-cerraron-puente-internacional/: full text (fresh retrieval) — Displayed publication/modification dates are dynamic 2026; explicit event date in body governs.
https://www.radioipiales.co/2017/05/profesores-se-tomaron-rumichaca/: full text (fresh retrieval)
Prior audit access record
Full-register audit source access (evidence cutoff 25 October 2026)
https://www.elcomercio.com/actualidad/ecuador/manifestantes-colombia-cerraron-puente-internacional/: full text — Current page metadata changed; dated article body governs
https://www.radioipiales.co/2017/05/profesores-se-tomaron-rumichaca/: full text
Earlier recorded access
Source 1: opened article text
Source 2: opened article text</x:v>
      </x:c>
      <x:c r="P566" s="20" t="n">
        <x:v>1</x:v>
      </x:c>
      <x:c r="Q566" s="4" t="str">
        <x:v>Americas</x:v>
      </x:c>
      <x:c r="R566" s="4" t="str">
        <x:v>Included</x:v>
      </x:c>
    </x:row>
    <x:row r="567" ht="409" hidden="0" customHeight="1">
      <x:c r="A567" s="16" t="str">
        <x:v>R6-AM-004</x:v>
      </x:c>
      <x:c r="B567" s="4" t="str">
        <x:v>Rainbow Bridge Canadian-approach pipeline-solidarity blockade, February 16, 2020</x:v>
      </x:c>
      <x:c r="C567" s="4" t="str">
        <x:v>Canada; United States</x:v>
      </x:c>
      <x:c r="D567" s="4" t="str">
        <x:v>Rainbow Bridge
Canadian approach to Rainbow Bridge at Niagara Falls</x:v>
      </x:c>
      <x:c r="E567" s="4" t="str">
        <x:v>Cross-border vehicles; pedestrian scope unverified.
Direction: Canadian approach obstructed; directional and pedestrian scope incomplete.
Exceptions: No movement-category exceptions established.</x:v>
      </x:c>
      <x:c r="F567" s="4" t="str">
        <x:v>R6-AM-004-V1 — Observed operation
Physical protest obstruction of Canadian-side vehicular access to Rainbow Bridge
Start: 2020-02-16.
Observed scoped reopening: 2020-02-16.
Same-day episode; no whole-day duration inferred</x:v>
      </x:c>
      <x:c r="G567" s="4" t="str">
        <x:v>Policy and socioeconomic demands / Rights and other policy grievances
Reported participant reason
Protesters expressed solidarity with Wet’suwet’en hereditary chiefs, Indigenous treaty rights and opposition to pipeline development.</x:v>
      </x:c>
      <x:c r="H567" s="4" t="str">
        <x:v>R6-AM-004-V1: Reported end of protest obstruction only. No exact start/end hour, measured elapsed duration, bridge-authority reopening time, pedestrian coverage or all-direction customs continuity is established. One WBFO paragraph names Peace Bridge, but its headline and CBSA identify Rainbow Bridge. Freshly retrieved Global News text confirms voluntary departure on Sunday; shared reporting origins remain a limitation.</x:v>
      </x:c>
      <x:c r="I567" s="4" t="str">
        <x:v>Second full-register audit, 26 October 2026: additional source-audited corrections incorporated. See the phase, scope and qualification columns for the accepted findings.</x:v>
      </x:c>
      <x:c r="J567" s="18" t="d">
        <x:v>2026-10-26T00:00:00.000Z</x:v>
      </x:c>
      <x:c r="K567" s="21" t="str">
        <x:f>IFERROR(HYPERLINK("https://www.cbsa-asfc.gc.ca/transparency-transparence/pd-dp/bbp-rpp/secu/2020-02-26/issues-enjeux-eng.html","Canada Border Services Agency"),"Canada Border Services Agency")</x:f>
        <x:v>Canada Border Services Agency</x:v>
      </x:c>
      <x:c r="L567" s="21" t="str">
        <x:f>IFERROR(HYPERLINK("https://www.btpm.org/local/2020-02-17/protesters-shut-down-rainbow-bridge","WBFO / Buffalo Toronto Public Media"),"WBFO / Buffalo Toronto Public Media")</x:f>
        <x:v>WBFO / Buffalo Toronto Public Media</x:v>
      </x:c>
      <x:c r="M567" s="21" t="str">
        <x:f>IFERROR(HYPERLINK("https://thepostmillennial.com/thousand-islands-bridge-reopens-after-anti-pipeline-protests","The Post Millennial"),"The Post Millennial")</x:f>
        <x:v>The Post Millennial</x:v>
      </x:c>
      <x:c r="N567" s="4" t="str">
        <x:v>https://www.cbsa-asfc.gc.ca/transparency-transparence/pd-dp/bbp-rpp/secu/2020-02-26/issues-enjeux-eng.html
https://www.btpm.org/local/2020-02-17/protesters-shut-down-rainbow-bridge
https://thepostmillennial.com/thousand-islands-bridge-reopens-after-anti-pipeline-protests
https://globalnews.ca/news/6561031/wetsutweten-protests-bloor-street-toronto/
https://nationalpost.com/news/canada/afn-national-chief-to-speak-on-wetsuweten-crisis-rail-blockades
https://iacenter.org/2020/02/19/anti-pipeline-protests-block-traffic-at-niagara-falls/</x:v>
      </x:c>
      <x:c r="O567" s="4" t="str">
        <x:v>Second full-register audit source access, 26 October 2026
https://www.cbsa-asfc.gc.ca/transparency-transparence/pd-dp/bbp-rpp/secu/2020-02-26/issues-enjeux-eng.html: full text (fresh retrieval)
https://www.btpm.org/local/2020-02-17/protesters-shut-down-rainbow-bridge: full text (fresh retrieval) — One paragraph misnames Peace Bridge; official CBSA identification resolves the crossing.
https://globalnews.ca/news/6561031/wetsutweten-protests-bloor-street-toronto/: full text (fresh retrieval)
Earlier URLs not separately inspected in this second assessment:
https://thepostmillennial.com/thousand-islands-bridge-reopens-after-anti-pipeline-protests
https://nationalpost.com/news/canada/afn-national-chief-to-speak-on-wetsuweten-crisis-rail-blockades
https://iacenter.org/2020/02/19/anti-pipeline-protests-block-traffic-at-niagara-falls/
Prior audit access record
Full-register audit source access (evidence cutoff 25 October 2026)
https://www.cbsa-asfc.gc.ca/transparency-transparence/pd-dp/bbp-rpp/secu/2020-02-26/issues-enjeux-eng.html: search extract — Direct opens failed; substantive official indexed text inspected
https://www.btpm.org/local/2020-02-17/protesters-shut-down-rainbow-bridge: full text — One paragraph incorrectly calls it Peace Bridge; other text and CBSA agree Rainbow
https://globalnews.ca/news/6561031/wetsutweten-protests-bloor-street-toronto/: search extract — Indexed excerpt; no precise departure time
Earlier source URLs not separately listed in this audit’s retrieval log (historical access notes below are not fresh verification):
https://thepostmillennial.com/thousand-islands-bridge-reopens-after-anti-pipeline-protests
https://nationalpost.com/news/canada/afn-national-chief-to-speak-on-wetsuweten-crisis-rail-blockades
https://iacenter.org/2020/02/19/anti-pipeline-protests-block-traffic-at-niagara-falls/
Earlier recorded access
Source 1: full
Source 2: full
Source 3: indexed excerpt; failed</x:v>
      </x:c>
      <x:c r="P567" s="20" t="n">
        <x:v>1</x:v>
      </x:c>
      <x:c r="Q567" s="4" t="str">
        <x:v>Americas</x:v>
      </x:c>
      <x:c r="R567" s="4" t="str">
        <x:v>Included</x:v>
      </x:c>
    </x:row>
    <x:row r="568" ht="378" hidden="0" customHeight="1">
      <x:c r="A568" s="16" t="str">
        <x:v>R6-AM-005</x:v>
      </x:c>
      <x:c r="B568" s="4" t="str">
        <x:v>Thousand Islands Bridge pipeline-solidarity blockade and entry-point suspension, February 17, 2020</x:v>
      </x:c>
      <x:c r="C568" s="4" t="str">
        <x:v>Canada; United States</x:v>
      </x:c>
      <x:c r="D568" s="4" t="str">
        <x:v>Thousand Islands Bridge
Canadian span of Thousand Islands Bridge and associated cross-border access</x:v>
      </x:c>
      <x:c r="E568" s="4" t="str">
        <x:v>Cross-border road vehicles.
Direction: Both entry points reported closed; northbound I-81 explicitly stopped at Canadian customs’ request.
Exceptions: Local access to Wellesley Island was reportedly possible; no claim that every bridge-complex segment closed.</x:v>
      </x:c>
      <x:c r="F568" s="4" t="str">
        <x:v>R6-AM-005-D1 — Observed operation
Thousand Islands episode on 17 February 2020.
Start: 2020-02-17.
Observed scoped reopening: 2020-02-17.
Same-day episode; no whole-day duration inferred
Reported milestones: Canadian access restrictions were present by noon; the bridge-authority suspension was reported at 13:15, with traffic reopened by about 15:00. These milestones do not define one exact interval for every affected road segment.</x:v>
      </x:c>
      <x:c r="G568" s="4" t="str">
        <x:v>Policy and socioeconomic demands / Rights and other policy grievances
Reported participant reason
Demonstrators acted in solidarity with Wet’suwet’en opponents of pipeline construction through their traditional territory.</x:v>
      </x:c>
      <x:c r="H568" s="4" t="str">
        <x:v>R6-AM-005-D1: Shown as an episode occurring on this date, not a whole-day closure. Approach closure, protest length and port suspension start at different reported times; no precise-hour continuous interval.</x:v>
      </x:c>
      <x:c r="I568" s="4" t="str">
        <x:v>Second full-register audit, 26 October 2026: additional source-audited corrections incorporated. See the phase, scope and qualification columns for the accepted findings.</x:v>
      </x:c>
      <x:c r="J568" s="18" t="d">
        <x:v>2026-10-26T00:00:00.000Z</x:v>
      </x:c>
      <x:c r="K568" s="21" t="str">
        <x:f>IFERROR(HYPERLINK("https://www.wwnytv.com/2020/02/17/protest-blocks-canadian-access-ti-bridge/","WWNY"),"WWNY")</x:f>
        <x:v>WWNY</x:v>
      </x:c>
      <x:c r="L568" s="21" t="str">
        <x:f>IFERROR(HYPERLINK("https://www.btpm.org/binational/2020-02-19/thousand-islands-bridge-reopens-following-anti-pipeline-protest","Buffalo Toronto Public Media"),"Buffalo Toronto Public Media")</x:f>
        <x:v>Buffalo Toronto Public Media</x:v>
      </x:c>
      <x:c r="M568" s="21" t="str">
        <x:f>IFERROR(HYPERLINK("https://www.cbsa-asfc.gc.ca/transparency-transparence/pd-dp/bbp-rpp/secu/2020-02-26/issues-enjeux-eng.html","Canada Border Services Agency"),"Canada Border Services Agency")</x:f>
        <x:v>Canada Border Services Agency</x:v>
      </x:c>
      <x:c r="N568" s="4" t="str">
        <x:v>https://www.wwnytv.com/2020/02/17/protest-blocks-canadian-access-ti-bridge/
https://www.btpm.org/binational/2020-02-19/thousand-islands-bridge-reopens-following-anti-pipeline-protest
https://www.cbsa-asfc.gc.ca/transparency-transparence/pd-dp/bbp-rpp/secu/2020-02-26/issues-enjeux-eng.html
https://www.northcountrypublicradio.org/news/story/40628/20200218/thousand-islands-bridge-reopens-following-anti-pipeline-protest</x:v>
      </x:c>
      <x:c r="O568" s="4" t="str">
        <x:v>Second full-register audit source access, 26 October 2026
https://www.wwnytv.com/2020/02/17/protest-blocks-canadian-access-ti-bridge/: full text (fresh retrieval)
https://www.northcountrypublicradio.org/news/story/40628/20200218/thousand-islands-bridge-reopens-following-anti-pipeline-protest: full text (fresh retrieval)
https://www.cbsa-asfc.gc.ca/transparency-transparence/pd-dp/bbp-rpp/secu/2020-02-26/issues-enjeux-eng.html: full text (fresh retrieval)
Earlier URLs not separately inspected in this second assessment:
https://www.btpm.org/binational/2020-02-19/thousand-islands-bridge-reopens-following-anti-pipeline-protest
Prior audit access record
Full-register audit source access (evidence cutoff 25 October 2026)
https://www.cbsa-asfc.gc.ca/transparency-transparence/pd-dp/bbp-rpp/secu/2020-02-26/issues-enjeux-eng.html: search extract — Direct opens failed; substantive official indexed text inspected
https://www.wwnytv.com/2020/02/17/protest-blocks-canadian-access-ti-bridge/: full text
https://www.btpm.org/binational/2020-02-19/thousand-islands-bridge-reopens-following-anti-pipeline-protest: full text
Earlier source URLs not separately listed in this audit’s retrieval log (historical access notes below are not fresh verification):
https://www.northcountrypublicradio.org/news/story/40628/20200218/thousand-islands-bridge-reopens-following-anti-pipeline-protest
Earlier recorded access
Source 1: opened article text
Source 2: opened article text
Source 3: substantive indexed official text; direct opens failed (502/timeout)</x:v>
      </x:c>
      <x:c r="P568" s="20" t="n">
        <x:v>1</x:v>
      </x:c>
      <x:c r="Q568" s="4" t="str">
        <x:v>Americas</x:v>
      </x:c>
      <x:c r="R568" s="4" t="str">
        <x:v>Included</x:v>
      </x:c>
    </x:row>
    <x:row r="569" ht="409" hidden="0" customHeight="1">
      <x:c r="A569" s="16" t="str">
        <x:v>R6-AM-002</x:v>
      </x:c>
      <x:c r="B569" s="4" t="str">
        <x:v>Haiti COVID land-passenger restriction and June 2020 formal reopening permission</x:v>
      </x:c>
      <x:c r="C569" s="4" t="str">
        <x:v>Haiti; Dominican Republic</x:v>
      </x:c>
      <x:c r="D569" s="4" t="str">
        <x:v>Malpasse; Belladère; Ouanaminthe; Anse-à-Pitre
Haitian side of Dominican frontier; June permission names four official posts</x:v>
      </x:c>
      <x:c r="E569" s="4" t="str">
        <x:v>Cross-border passenger traffic.
Direction: Haitian-side passenger traffic suspended; exact directional exceptions incomplete.
Exceptions: Freight vehicles with reduced crews permitted in initial announcement. Voluntary Haitian return movements from the Dominican Republic were also documented during the formal restriction.</x:v>
      </x:c>
      <x:c r="F569" s="4" t="str">
        <x:v>R6-AM-002-D1 — Formal policy
Haitian-side passenger restriction at Malpasse, Belladere, Ouanaminthe and Anse-a-Pitre
Start: 2020-03-16 to 2020-03-17.
Policy endpoint: 2020-06-30.
Formal policy: 105–106 calendar-day difference; operational continuity not established</x:v>
      </x:c>
      <x:c r="G569" s="4" t="str">
        <x:v>Health and biosecurity / Human disease control
Attributed official justification
Applies to: R6-AM-002-D1
Haitian authorities announced passenger restrictions to prevent COVID-19 entry and spread; reduced-crew freight remained permitted.</x:v>
      </x:c>
      <x:c r="H569" s="4" t="str">
        <x:v>R6-AM-002-D1: Formal Haitian permission period only. Reduced-crew freight was excepted; Dominican restrictions remained July 1 and prevent any bilateral reopening inference. Flight-specific 00:00 wording does not fix land onset.
IOM monitoring on 30–31 March 2020 reported voluntary returns and resumed markets at some official crossings while the closure order remained in place. This corroborates the distinction between the formal restriction and actual movement.</x:v>
      </x:c>
      <x:c r="I569" s="4" t="str">
        <x:v>Second full-register audit, 26 October 2026: additional source-audited corrections incorporated. See the phase, scope and qualification columns for the accepted findings.</x:v>
      </x:c>
      <x:c r="J569" s="18" t="d">
        <x:v>2026-10-26T00:00:00.000Z</x:v>
      </x:c>
      <x:c r="K569" s="21" t="str">
        <x:f>IFERROR(HYPERLINK("https://eldia.com.do/haiti-cierra-su-frontera-con-rd-por-coronavirus-arrecian-medidas/","El Día"),"El Día")</x:f>
        <x:v>El Día</x:v>
      </x:c>
      <x:c r="L569" s="21" t="str">
        <x:f>IFERROR(HYPERLINK("https://www.exteriores.gob.es/Embajadas/puertoprincipe/es/Comunicacion/Noticias/Paginas/Articulos/Suspensi%C3%B3n-vuelos-desde-Hait%C3%AD.aspx","Spanish Ministry of Foreign Affairs"),"Spanish Ministry of Foreign Affairs")</x:f>
        <x:v>Spanish Ministry of Foreign Affairs</x:v>
      </x:c>
      <x:c r="M569" s="21" t="str">
        <x:f>IFERROR(HYPERLINK("https://rnhaiti.com/2020/07/02/le-president-jovenel-moise-annonce-la-reprise-graduelle-des-activites-sur-le-territoire/","Radio Nationale d’Haïti"),"Radio Nationale d’Haïti")</x:f>
        <x:v>Radio Nationale d’Haïti</x:v>
      </x:c>
      <x:c r="N569" s="4" t="str">
        <x:v>https://eldia.com.do/haiti-cierra-su-frontera-con-rd-por-coronavirus-arrecian-medidas/
https://www.exteriores.gob.es/Embajadas/puertoprincipe/es/Comunicacion/Noticias/Paginas/Articulos/Suspensi%C3%B3n-vuelos-desde-Hait%C3%AD.aspx
https://rnhaiti.com/2020/07/02/le-president-jovenel-moise-annonce-la-reprise-graduelle-des-activites-sur-le-territoire/
https://www.diariolibre.com/actualidad/la-republica-dominicana-mantiene-las-restricciones-en-frontera-con-haiti-EE19847113
https://www.stabroeknews.com/2020/03/20/news/world/haiti-declares-emergency-over-coronavirus-imposes-curfew-shuts-borders/
https://www.voanews.com/amp/covid-19-pandemic_haiti-reopens-international-airports-borders-amid-pandemic/6192035.html
https://www.voanews.com/a/covid-19-pandemic_haiti-reopens-international-airports-borders-amid-pandemic/6192035.html
https://dtm.iom.int/sites/g/files/tmzbdl1461/files/reports/IOM_Flow%20Monitoring_COVID-19_SitRep7.pdf
https://www.diariolibre.com/actualidad/internacional/unos-4200-haitianos-abandonaron-la-republica-dominicana-por-el-coronavirus-GB18082136</x:v>
      </x:c>
      <x:c r="O569" s="4" t="str">
        <x:v>Second full-register audit source access, 26 October 2026
https://eldia.com.do/haiti-cierra-su-frontera-con-rd-por-coronavirus-arrecian-medidas/: full text (fresh retrieval)
https://www.exteriores.gob.es/Embajadas/puertoprincipe/es/Comunicacion/Noticias/Paginas/Articulos/Suspensi%C3%B3n-vuelos-desde-Hait%C3%AD.aspx: search extract (fresh retrieval) — Direct page returned 403; indexed notice inspected.
https://www.voanews.com/a/covid-19-pandemic_haiti-reopens-international-airports-borders-amid-pandemic/6192035.html: full text (fresh retrieval)
https://www.diariolibre.com/actualidad/la-republica-dominicana-mantiene-las-restricciones-en-frontera-con-haiti-EE19847113: full text (fresh retrieval)
https://www.diariolibre.com/actualidad/internacional/unos-4200-haitianos-abandonaron-la-republica-dominicana-por-el-coronavirus-GB18082136: full text (fresh retrieval)
https://dtm.iom.int/sites/g/files/tmzbdl1461/files/reports/IOM_Flow%20Monitoring_COVID-19_SitRep7.pdf: inaccessible (fresh retrieval) — Report landing-page metadata found, but PDF and market-specific body unavailable.
Earlier URLs not separately inspected in this second assessment:
https://rnhaiti.com/2020/07/02/le-president-jovenel-moise-annonce-la-reprise-graduelle-des-activites-sur-le-territoire/
https://www.stabroeknews.com/2020/03/20/news/world/haiti-declares-emergency-over-coronavirus-imposes-curfew-shuts-borders/
https://www.voanews.com/amp/covid-19-pandemic_haiti-reopens-international-airports-borders-amid-pandemic/6192035.html
Prior audit access record
Full-register audit source access (evidence cutoff 25 October 2026)
https://eldia.com.do/haiti-cierra-su-frontera-con-rd-por-coronavirus-arrecian-medidas/: full text — Ambiguous land midnight remains conservatively bounded.
https://rnhaiti.com/2020/07/02/le-president-jovenel-moise-annonce-la-reprise-graduelle-des-activites-sur-le-territoire/: search extract — Direct URL inaccessible; substantive indexed account inspected.
https://www.voanews.com/a/covid-19-pandemic_haiti-reopens-international-airports-borders-amid-pandemic/6192035.html: full text — Land passage not independently witnessed in article.
https://www.diariolibre.com/actualidad/la-republica-dominicana-mantiene-las-restricciones-en-frontera-con-haiti-EE19847113: full text
https://dtm.iom.int/sites/g/files/tmzbdl1461/files/reports/IOM_Flow%20Monitoring_COVID-19_SitRep7.pdf: search extract — Direct PDF 403; substantive indexed UN field observations inspected.
Earlier source URLs not separately listed in this audit’s retrieval log (historical access notes below are not fresh verification):
https://www.exteriores.gob.es/Embajadas/puertoprincipe/es/Comunicacion/Noticias/Paginas/Articulos/Suspensi%C3%B3n-vuelos-desde-Hait%C3%AD.aspx
https://www.stabroeknews.com/2020/03/20/news/world/haiti-declares-emergency-over-coronavirus-imposes-curfew-shuts-borders/
https://www.voanews.com/amp/covid-19-pandemic_haiti-reopens-international-airports-borders-amid-pandemic/6192035.html
Earlier recorded access
Source 1: opened article text
Source 2: substantive indexed notice; direct opening returned 403
Source 3: substantive indexed article; direct opening unavailable</x:v>
      </x:c>
      <x:c r="P569" s="20" t="n">
        <x:v>1</x:v>
      </x:c>
      <x:c r="Q569" s="4" t="str">
        <x:v>Americas</x:v>
      </x:c>
      <x:c r="R569" s="4" t="str">
        <x:v>Included</x:v>
      </x:c>
    </x:row>
    <x:row r="570" ht="409" hidden="0" customHeight="1">
      <x:c r="A570" s="16" t="str">
        <x:v>R6-AM-001</x:v>
      </x:c>
      <x:c r="B570" s="4" t="str">
        <x:v>Dominican Republic COVID land-passenger restriction with limited Dajabón market reopening</x:v>
      </x:c>
      <x:c r="C570" s="4" t="str">
        <x:v>Dominican Republic; Haiti</x:v>
      </x:c>
      <x:c r="D570" s="4" t="str">
        <x:v>Dajabón–Ouanaminthe
Dominican side of Haiti land frontier; endpoint limited to Dajabón–Ouanaminthe</x:v>
      </x:c>
      <x:c r="E570" s="4" t="str">
        <x:v>Ordinary passenger movement and border-market attendance.
Direction: Dominican admission restricted; Haitian return departures excepted.
Exceptions: Goods and Haitian nationals returning to Haiti were permitted; November pilot admitted limited market participants.</x:v>
      </x:c>
      <x:c r="F570" s="4" t="str">
        <x:v>R6-AM-001-D1 — Formal policy with observed scoped reopening
Ordinary Haitian market-participant entry at Dajabon–Ouanaminthe
Start: 2020-03-19, 06:00 announced national commencement.
Observed scoped reopening: 2020-11-06.
232 calendar-day difference; scoped endpoint only</x:v>
      </x:c>
      <x:c r="G570" s="4" t="str">
        <x:v>Health and biosecurity / Human disease control
Reported reason
Applies to: R6-AM-001-D1
Dominican authorities restricted frontier entry and binational markets to reduce COVID-19 transmission; November access was a controlled health-protocol pilot.</x:v>
      </x:c>
      <x:c r="H570" s="4" t="str">
        <x:v>R6-AM-001-D1: Endpoint is a limited pilot of fifty entries per hour, not general national reopening. Goods and Haitian return departures were excepted. The initial fifteen-day planned term is not used; other posts and categories may differ.</x:v>
      </x:c>
      <x:c r="I570" s="4" t="str">
        <x:v>Second full-register audit, 26 October 2026: additional source-audited corrections incorporated. See the phase, scope and qualification columns for the accepted findings.</x:v>
      </x:c>
      <x:c r="J570" s="18" t="d">
        <x:v>2026-10-26T00:00:00.000Z</x:v>
      </x:c>
      <x:c r="K570" s="21" t="str">
        <x:f>IFERROR(HYPERLINK("https://gobiernodanilomedina.do/noticias/danilo-medina-solicitara-declaratoria-emergencia-nacional-dispone-cierre-fronteras-y","Gobierno Danilo Medina"),"Gobierno Danilo Medina")</x:f>
        <x:v>Gobierno Danilo Medina</x:v>
      </x:c>
      <x:c r="L570" s="21" t="str">
        <x:f>IFERROR(HYPERLINK("https://www.diariolibre.com/actualidad/la-republica-dominicana-mantiene-las-restricciones-en-frontera-con-haiti-EE19847113","Diario Libre"),"Diario Libre")</x:f>
        <x:v>Diario Libre</x:v>
      </x:c>
      <x:c r="M570" s="21" t="str">
        <x:f>IFERROR(HYPERLINK("https://www.diariolibre.com/actualidad/reanudan-mercado-binacional-de-dajabon-LE22513796","Diario Libre"),"Diario Libre")</x:f>
        <x:v>Diario Libre</x:v>
      </x:c>
      <x:c r="N570" s="4" t="str">
        <x:v>https://gobiernodanilomedina.do/noticias/danilo-medina-solicitara-declaratoria-emergencia-nacional-dispone-cierre-fronteras-y
https://www.diariolibre.com/actualidad/la-republica-dominicana-mantiene-las-restricciones-en-frontera-con-haiti-EE19847113
https://www.diariolibre.com/actualidad/reanudan-mercado-binacional-de-dajabon-LE22513796
https://eljacaguero.com.do/rd-y-haiti-reabren-mercado-binacional/
https://www.diariolibre.com/actualidad/internacional/unos-4200-haitianos-abandonaron-la-republica-dominicana-por-el-coronavirus-GB18082136
https://www.haitilibre.com/en/news-32232-haiti-dr-reopening-of-the-binational-market-of-dajabon-under-high-sanitary-surveillance.html</x:v>
      </x:c>
      <x:c r="O570" s="4" t="str">
        <x:v>Second full-register audit source access, 26 October 2026
https://gobiernodanilomedina.do/noticias/danilo-medina-solicitara-declaratoria-emergencia-nacional-dispone-cierre-fronteras-y: full text (fresh retrieval)
https://www.diariolibre.com/actualidad/la-republica-dominicana-mantiene-las-restricciones-en-frontera-con-haiti-EE19847113: full text (fresh retrieval)
https://www.diariolibre.com/actualidad/reanudan-mercado-binacional-de-dajabon-LE22513796: full text (fresh retrieval)
https://www.diariolibre.com/actualidad/internacional/unos-4200-haitianos-abandonaron-la-republica-dominicana-por-el-coronavirus-GB18082136: full text (fresh retrieval)
Earlier URLs not separately inspected in this second assessment:
https://eljacaguero.com.do/rd-y-haiti-reabren-mercado-binacional/
https://www.haitilibre.com/en/news-32232-haiti-dr-reopening-of-the-binational-market-of-dajabon-under-high-sanitary-surveillance.html
Prior audit access record
Full-register audit source access (evidence cutoff 25 October 2026)
https://gobiernodanilomedina.do/noticias/danilo-medina-solicitara-declaratoria-emergencia-nacional-dispone-cierre-fronteras-y: full text
https://www.diariolibre.com/actualidad/la-republica-dominicana-mantiene-las-restricciones-en-frontera-con-haiti-EE19847113: full text
https://www.diariolibre.com/actualidad/reanudan-mercado-binacional-de-dajabon-LE22513796: full text
https://eljacaguero.com.do/rd-y-haiti-reabren-mercado-binacional/: full text
https://www.diariolibre.com/actualidad/internacional/unos-4200-haitianos-abandonaron-la-republica-dominicana-por-el-coronavirus-GB18082136: full text
Earlier source URLs not separately listed in this audit’s retrieval log (historical access notes below are not fresh verification):
https://www.haitilibre.com/en/news-32232-haiti-dr-reopening-of-the-binational-market-of-dajabon-under-high-sanitary-surveillance.html
Earlier recorded access
Source 1: opened article text
Source 2: opened article text
Source 3: opened article text</x:v>
      </x:c>
      <x:c r="P570" s="20" t="n">
        <x:v>1</x:v>
      </x:c>
      <x:c r="Q570" s="4" t="str">
        <x:v>Americas</x:v>
      </x:c>
      <x:c r="R570" s="4" t="str">
        <x:v>Included</x:v>
      </x:c>
    </x:row>
    <x:row r="571" ht="222" hidden="0" customHeight="1">
      <x:c r="A571" s="16" t="str">
        <x:v>R6-AM-006</x:v>
      </x:c>
      <x:c r="B571" s="4" t="str">
        <x:v>Paso del Norte CBP emergency suspension during migrant crowd arrival, March 12, 2023</x:v>
      </x:c>
      <x:c r="C571" s="4" t="str">
        <x:v>United States; Mexico</x:v>
      </x:c>
      <x:c r="D571" s="4" t="str">
        <x:v>Paso del Norte
US-bound vehicle crossing and reported pedestrian suspension in both directions at Paso del Norte international bridge.</x:v>
      </x:c>
      <x:c r="E571" s="4" t="str">
        <x:v>Northbound vehicles and pedestrian movement.
Direction: Vehicles entering the United States; El Paso Matters also reports pedestrians stopped in both directions.
Exceptions: No exceptions during the reported suspension; evening reopening included pedestrians and one vehicle lane.</x:v>
      </x:c>
      <x:c r="F571" s="4" t="str">
        <x:v>R6-AM-006-D1 — Observed operation
Northbound Paso del Norte emergency stoppage to first pedestrian/one-lane vehicle reopening
Start: 2023-03-12.
Observed scoped reopening: 2023-03-12.
Same-day episode; no whole-day duration inferred
CBP reported barriers from about 13:30 and reopening beginning around 18:00. A later evening update confirmed pedestrian passage and one vehicle lane, not restoration of every lane.</x:v>
      </x:c>
      <x:c r="G571" s="4" t="str">
        <x:v>Migration / Entry and asylum control; Security / Public order and immediate safety
Reported CBP reason
CBP installed barriers after a large crowd approached the crossing, citing a potential mass-entry event and the need to protect lawful trade and travel.</x:v>
      </x:c>
      <x:c r="H571" s="4" t="str">
        <x:v>R6-AM-006-D1: Sub-day closure, not full-day or final all-lane restoration. Earlier crowd arrival is not onset. Official statements overlap in lineage and approximate clock descriptions are not treated as an exact measured duration.</x:v>
      </x:c>
      <x:c r="I571" s="4" t="str">
        <x:v>Second full-register audit, 26 October 2026: additional source-audited corrections incorporated. See the phase, scope and qualification columns for the accepted findings.</x:v>
      </x:c>
      <x:c r="J571" s="18" t="d">
        <x:v>2026-10-26T00:00:00.000Z</x:v>
      </x:c>
      <x:c r="K571" s="21" t="str">
        <x:f>IFERROR(HYPERLINK("https://kvia.com/news/top-stories/2023/03/12/witnesses-say-a-large-group-of-migrants-are-trying-to-rush-the-paso-del-norte-international-bridge/","KVIA ABC-7"),"KVIA ABC-7")</x:f>
        <x:v>KVIA ABC-7</x:v>
      </x:c>
      <x:c r="L571" s="21" t="str">
        <x:f>IFERROR(HYPERLINK("https://www.texastribune.org/2023/03/12/el-paso-bridge-migrants/","The Texas Tribune"),"The Texas Tribune")</x:f>
        <x:v>The Texas Tribune</x:v>
      </x:c>
      <x:c r="M571" s="21"/>
      <x:c r="N571" s="4" t="str">
        <x:v>https://kvia.com/news/top-stories/2023/03/12/witnesses-say-a-large-group-of-migrants-are-trying-to-rush-the-paso-del-norte-international-bridge/
https://www.texastribune.org/2023/03/12/el-paso-bridge-migrants/</x:v>
      </x:c>
      <x:c r="O571" s="4" t="str">
        <x:v>Second full-register audit source access, 26 October 2026
https://kvia.com/news/top-stories/2023/03/12/witnesses-say-a-large-group-of-migrants-are-trying-to-rush-the-paso-del-norte-international-bridge/: full text (fresh retrieval)
https://www.texastribune.org/2023/03/12/el-paso-bridge-migrants/: full text (fresh retrieval) — El Paso Matters report republished by Texas Tribune; CBP statements overlap with KVIA reporting.
Prior audit access record
Full-register audit source access (evidence cutoff 25 October 2026)
https://kvia.com/news/top-stories/2023/03/12/witnesses-say-a-large-group-of-migrants-are-trying-to-rush-the-paso-del-norte-international-bridge/: full text
https://www.texastribune.org/2023/03/12/el-paso-bridge-migrants/: full text — Official statement overlaps with KVIA
Earlier recorded access
Source 1: opened article text
Source 2: opened article text</x:v>
      </x:c>
      <x:c r="P571" s="20" t="n">
        <x:v>1</x:v>
      </x:c>
      <x:c r="Q571" s="4" t="str">
        <x:v>Americas</x:v>
      </x:c>
      <x:c r="R571" s="4" t="str">
        <x:v>Included</x:v>
      </x:c>
    </x:row>
    <x:row r="572" ht="409" hidden="0" customHeight="1">
      <x:c r="A572" s="16" t="str">
        <x:v>R6-AM-007</x:v>
      </x:c>
      <x:c r="B572" s="4" t="str">
        <x:v>Chile-side Santa Rosa–Chacalluta migrant road blockade, November 28, 2025</x:v>
      </x:c>
      <x:c r="C572" s="4" t="str">
        <x:v>Chile; Peru</x:v>
      </x:c>
      <x:c r="D572" s="4" t="str">
        <x:v>Santa Rosa–Chacalluta road
International road on Chilean side of Tacna–Arica frontier near Santa Rosa–Chacalluta</x:v>
      </x:c>
      <x:c r="E572" s="4" t="str">
        <x:v>Trucks, buses and private vehicles.
Direction: Vehicle blockage began toward Peru and subsequently affected both directions; later passage was intermittent.
Exceptions: Some passengers crossed on foot during vehicle obstruction; negotiated and category-specific vehicle passage occurred during pauses.</x:v>
      </x:c>
      <x:c r="F572" s="4" t="str">
        <x:v>R6-AM-007-RREV1 — Intermittent regime
Observed November 28 recurrent migrant obstruction of vehicle road access on Chilean side of Concordia between Chacalluta and Santa Rosa
Start: 2025-11-28.
Last observed obstruction: 2025-11-28. Vehicle passage resumed during pauses, and Panamericana reported road clearance and flowing traffic by midday that day; the final end of recurrence is not established.
Intermittent regime envelope; total closed days unknown</x:v>
      </x:c>
      <x:c r="G572" s="4" t="str">
        <x:v>Migration / Admission and document disputes
Reported participant reason
Migrants seeking to enter Peru from Chile protested their inability to enter without the required documents. This road obstruction is distinct from Peru’s admission rules.</x:v>
      </x:c>
      <x:c r="H572" s="4" t="str">
        <x:v>R6-AM-007-RREV1: Evidence establishes recurrent obstruction on November 28, including pedestrian passage and negotiated vehicle pauses. Panamericana reported road clearance and flowing traffic by midday. T13’s later-published article recounts morning footage, so it does not independently date a new afternoon obstruction. November 29 normal aggregate flows do not establish the final end of all recurrence. Customs queues and continuing admission requirements are not treated as uninterrupted road closure.</x:v>
      </x:c>
      <x:c r="I572" s="4" t="str">
        <x:v>Second full-register audit, 26 October 2026: additional source-audited corrections incorporated. See the phase, scope and qualification columns for the accepted findings.</x:v>
      </x:c>
      <x:c r="J572" s="18" t="d">
        <x:v>2026-10-26T00:00:00.000Z</x:v>
      </x:c>
      <x:c r="K572" s="21" t="str">
        <x:f>IFERROR(HYPERLINK("https://radiouno.pe/noticias/259803/migrantes-bloquean-frontera-peru-y-chile/","Radio Uno"),"Radio Uno")</x:f>
        <x:v>Radio Uno</x:v>
      </x:c>
      <x:c r="L572" s="21" t="str">
        <x:f>IFERROR(HYPERLINK("https://radiouno.pe/noticias/259824/migrantes-abren-y-cierran-frontera-entre-peru-y-chile/","Radio Uno"),"Radio Uno")</x:f>
        <x:v>Radio Uno</x:v>
      </x:c>
      <x:c r="M572" s="21" t="str">
        <x:f>IFERROR(HYPERLINK("https://www.t13.cl/noticia/nacional/extranjera-carabineros-por-bloqueo-frontera-entre-chile-peru-28-11-2025","T13"),"T13")</x:f>
        <x:v>T13</x:v>
      </x:c>
      <x:c r="N572" s="4" t="str">
        <x:v>https://radiouno.pe/noticias/259803/migrantes-bloquean-frontera-peru-y-chile/
https://radiouno.pe/noticias/259824/migrantes-abren-y-cierran-frontera-entre-peru-y-chile/
https://www.t13.cl/noticia/nacional/extranjera-carabineros-por-bloqueo-frontera-entre-chile-peru-28-11-2025
https://www.biobiochile.cl/noticias/nacional/region-de-arica-y-parinacota/2025/11/30/crisis-en-el-norte-autoridades-descartan-variaciones-en-flujos-migratorios-en-la-zona.shtml
https://cooperativa.cl/noticias/pais/poblacion/inmigrantes/gobierno-descarta-que-en-la-frontera-con-peru-exista-un-escenario/2025-11-29/181849.html
https://diariocorreo.pe/peru/migrantes-sin-documentos-bloquean-el-paso-tacnaarica-y-paralizan-el-transito-fronterizo-noticia/
https://panamericana.pe/24horas/nacionales/459857-tacna-liberan-via-internacional-peru-chile-bloqueo-migrantes</x:v>
      </x:c>
      <x:c r="O572" s="4" t="str">
        <x:v>Second full-register audit source access, 26 October 2026
https://radiouno.pe/noticias/259803/migrantes-bloquean-frontera-peru-y-chile/: full text (fresh retrieval)
https://radiouno.pe/noticias/259824/migrantes-abren-y-cierran-frontera-entre-peru-y-chile/: full text (fresh retrieval)
https://panamericana.pe/24horas/nacionales/459857-tacna-liberan-via-internacional-peru-chile-bloqueo-migrantes: full text (fresh retrieval)
https://www.t13.cl/noticia/nacional/extranjera-carabineros-por-bloqueo-frontera-entre-chile-peru-28-11-2025: full text (fresh retrieval)
https://cooperativa.cl/noticias/pais/poblacion/inmigrantes/gobierno-descarta-que-en-la-frontera-con-peru-exista-un-escenario/2025-11-29/181849.html: full text (fresh retrieval)
Earlier URLs not separately inspected in this second assessment:
https://www.biobiochile.cl/noticias/nacional/region-de-arica-y-parinacota/2025/11/30/crisis-en-el-norte-autoridades-descartan-variaciones-en-flujos-migratorios-en-la-zona.shtml
https://diariocorreo.pe/peru/migrantes-sin-documentos-bloquean-el-paso-tacnaarica-y-paralizan-el-transito-fronterizo-noticia/
Prior audit access record
Full-register audit source access (evidence cutoff 25 October 2026)
https://radiouno.pe/noticias/259803/migrantes-bloquean-frontera-peru-y-chile/: full text
https://radiouno.pe/noticias/259824/migrantes-abren-y-cierran-frontera-entre-peru-y-chile/: full text
https://panamericana.pe/24horas/nacionales/459857-tacna-liberan-via-internacional-peru-chile-bloqueo-migrantes: full text
Earlier source URLs not separately listed in this audit’s retrieval log (historical access notes below are not fresh verification):
https://www.t13.cl/noticia/nacional/extranjera-carabineros-por-bloqueo-frontera-entre-chile-peru-28-11-2025
https://www.biobiochile.cl/noticias/nacional/region-de-arica-y-parinacota/2025/11/30/crisis-en-el-norte-autoridades-descartan-variaciones-en-flujos-migratorios-en-la-zona.shtml
https://cooperativa.cl/noticias/pais/poblacion/inmigrantes/gobierno-descarta-que-en-la-frontera-con-peru-exista-un-escenario/2025-11-29/181849.html
https://diariocorreo.pe/peru/migrantes-sin-documentos-bloquean-el-paso-tacnaarica-y-paralizan-el-transito-fronterizo-noticia/
Earlier recorded access
Source 1: full
Source 2: full
Source 3: indexed excerpt; full</x:v>
      </x:c>
      <x:c r="P572" s="20" t="n">
        <x:v>1</x:v>
      </x:c>
      <x:c r="Q572" s="4" t="str">
        <x:v>Americas</x:v>
      </x:c>
      <x:c r="R572" s="4" t="str">
        <x:v>Included</x:v>
      </x:c>
    </x:row>
    <x:row r="573" ht="409" hidden="0" customHeight="1">
      <x:c r="A573" s="16" t="str">
        <x:v>R6-SC-001</x:v>
      </x:c>
      <x:c r="B573" s="4" t="str">
        <x:v>Kyrgyzstan China-frontier COVID closure order and phased cargo restoration</x:v>
      </x:c>
      <x:c r="C573" s="4" t="str">
        <x:v>Kyrgyzstan; China</x:v>
      </x:c>
      <x:c r="D573" s="4" t="str">
        <x:v>Irkeshtam; Torugart
Land frontier with China; Torugart and Irkeshtam</x:v>
      </x:c>
      <x:c r="E573" s="4" t="str">
        <x:v>China-frontier travellers and road freight, subject to exceptions and staged restoration
Direction: Both directions, with nationality/category exceptions
Exceptions: February 3 summary includes diplomats, returning citizens and specified freight drivers; April restoration cargo-only. Official April 2 guidance specifically exempts humanitarian cargo at the China frontier.</x:v>
      </x:c>
      <x:c r="F573" s="4" t="str">
        <x:v>R6-SC-001-REV1 — Formal policy
Kyrgyz order 27-р restriction on non-exempt persons at Irkeshtam-road and Torugart-road; distinct from cargo operating status
Start: 2020-02-03.
Last confirmed: 2020-05-07. Reopening is not established.
Formal policy: confirmed through 2020-05-07; at least 94 calendar-day difference; reopening unknown</x:v>
      </x:c>
      <x:c r="G573" s="4" t="str">
        <x:v>Health and biosecurity / Human disease control
Attributed official justification
Applies to: Recorded episode; exact overlap not separately established
The recorded rationale and claim assessment support the selected subcategories. All applicable broad categories are retained together; no primary rationale is imposed.</x:v>
      </x:c>
      <x:c r="H573" s="4" t="str">
        <x:v>R6-SC-001-REV1: Modern legal segment, not original holiday closure or all-passenger/all-cargo operational ban. May 7 is a dated substantive report, not reopening. January 2022 repeal instrument is identified but its operative text/effective date remains uninspected.
later legal endpoint: Repeal instrument is identified but operative effective-date text remains unavailable.</x:v>
      </x:c>
      <x:c r="I573" s="4" t="str">
        <x:v>Second full-register audit, 26 October 2026: qualified. Fresh primary customs text confirms the February 2020 China-frontier order and exceptions. The January 2022 repeal remains identifiable, but its operative effective-date clause is still inaccessible.</x:v>
      </x:c>
      <x:c r="J573" s="18" t="d">
        <x:v>2026-10-26T00:00:00.000Z</x:v>
      </x:c>
      <x:c r="K573" s="21" t="str">
        <x:f>IFERROR(HYPERLINK("https://www.wcoomd.org/-/media/wco/public/ru/pdf/topics/facilitation/activities-and-programmes/covid_19/kyrgyzstan_ru.pdf?la=fr","wcoomd.org"),"wcoomd.org")</x:f>
        <x:v>wcoomd.org</x:v>
      </x:c>
      <x:c r="L573" s="21" t="str">
        <x:f>IFERROR(HYPERLINK("https://wiki.unece.org/spaces/CTRBSBC/pages/101548463/Kyrgyzstan","wiki.unece.org"),"wiki.unece.org")</x:f>
        <x:v>wiki.unece.org</x:v>
      </x:c>
      <x:c r="M573" s="21" t="str">
        <x:f>IFERROR(HYPERLINK("https://prg.kz/Document/?doc_id=35295391","prg.kz"),"prg.kz")</x:f>
        <x:v>prg.kz</x:v>
      </x:c>
      <x:c r="N573" s="4" t="str">
        <x:v>https://www.wcoomd.org/-/media/wco/public/ru/pdf/topics/facilitation/activities-and-programmes/covid_19/kyrgyzstan_ru.pdf?la=fr
https://wiki.unece.org/spaces/CTRBSBC/pages/101548463/Kyrgyzstan
https://prg.kz/Document/?doc_id=35295391
https://interfax.com/newsroom/top-stories/68427/
https://kaktus.media/doc/411290_kyrgyzsko_kitayskaia_granica_na_irkeshtam_otkryta._no_s_15_aprelia_proehali_sem_gryzovikov.html
https://mineconom.gov.kg/froala/uploads/file/f4243e5a969fe6acf7500002426c1b3cf2a74ba6.pdf
https://www.gov.kg/ru/post/s/punkty-propuska-na-granitse-s-kitaem-vremenno-zakryty-priostanovleno-vozdushnoe-soobshchenie
https://cbd.minjust.gov.kg/57-18220/edition/1122227/ru
https://en.archive.kabar.kg/news/irkeshtam-checkpoint-at-kyrgyz-chinese-border-resumes-its-work/
https://24.kg/english/154720_Kyrgyzstan_and_China_agree_to_resume_work_of_Torugart_checkpoint/
https://mtd.gov.kg/informatsiya-po-propusku-gruzovyh-ats-cherez-gosudarstvennuyu-granitsu-kr/
https://mineconom.gov.kg/froala/uploads/file/5e6e277bea1f977fd4bed0f439b0edf02b3d6438.pdf
https://mtd.gov.kg/informatsiya-dlya-predprinimatelej-i-voditelej-gruzovyh-avtotransportnyh-sredstv-osushhestvlyayushhuyu-vneshneekonomicheskuyu-deyatelnost-i-perevozku-tovarov-v-usloviyah-pandemii/
https://prg.kz/Document/?doc_id=34227194
https://24.kg/english/272014_Working_hours_of_Torugart-Avtodorozhny_checkpoint_changed/</x:v>
      </x:c>
      <x:c r="O573" s="4" t="str">
        <x:v>Second full-register audit source access, 26 October 2026
https://www.wcoomd.org/-/media/wco/public/ru/pdf/topics/facilitation/activities-and-programmes/covid_19/kyrgyzstan_ru.pdf?la=fr: full text (fresh retrieval) — Report date is a confirmation, not reopening.
https://prg.kz/Document/?doc_id=35295391: search extract (fresh retrieval) — Indexed operative extract; displayed full document is restricted.
https://cbd.minjust.gov.kg/57-18220/edition/1122227/ru: search extract (fresh retrieval) — Direct page is a JavaScript shell; operative provision unavailable.
https://prg.kz/Document/?doc_id=34227194: full text (fresh retrieval) — Only metadata and title accessible, not operative effective-date text.
Earlier URLs not separately inspected in this second assessment:
https://wiki.unece.org/spaces/CTRBSBC/pages/101548463/Kyrgyzstan
https://interfax.com/newsroom/top-stories/68427/
https://kaktus.media/doc/411290_kyrgyzsko_kitayskaia_granica_na_irkeshtam_otkryta._no_s_15_aprelia_proehali_sem_gryzovikov.html
https://mineconom.gov.kg/froala/uploads/file/f4243e5a969fe6acf7500002426c1b3cf2a74ba6.pdf
https://www.gov.kg/ru/post/s/punkty-propuska-na-granitse-s-kitaem-vremenno-zakryty-priostanovleno-vozdushnoe-soobshchenie
https://en.archive.kabar.kg/news/irkeshtam-checkpoint-at-kyrgyz-chinese-border-resumes-its-work/
https://24.kg/english/154720_Kyrgyzstan_and_China_agree_to_resume_work_of_Torugart_checkpoint/
https://mtd.gov.kg/informatsiya-po-propusku-gruzovyh-ats-cherez-gosudarstvennuyu-granitsu-kr/
https://mineconom.gov.kg/froala/uploads/file/5e6e277bea1f977fd4bed0f439b0edf02b3d6438.pdf
https://mtd.gov.kg/informatsiya-dlya-predprinimatelej-i-voditelej-gruzovyh-avtotransportnyh-sredstv-osushhestvlyayushhuyu-vneshneekonomicheskuyu-deyatelnost-i-perevozku-tovarov-v-usloviyah-pandemii/
https://24.kg/english/272014_Working_hours_of_Torugart-Avtodorozhny_checkpoint_changed/
Prior audit access record
Full-register audit source access (evidence cutoff 25 October 2026)
https://prg.kz/Document/?doc_id=35295391: full text — Only displayed portion inspected; full document behind login. Metadata-only endpoint is provisional: another PRG order page has a January metadata date conflicting with an April operative repeal date. Operative repeal text must be checked.
https://prg.kz/Document/?doc_id=34227194: full text — Operative text unavailable. Metadata-only endpoint is provisional: another PRG order page has a January metadata date conflicting with an April operative repeal date. Operative repeal text must be checked.
https://cbd.minjust.gov.kg/57-18220/edition/1122227/ru: search extract — Open page has no substantive text.
https://24.kg/english/272014_Working_hours_of_Torugart-Avtodorozhny_checkpoint_changed/: inaccessible — 403
Earlier source URLs not separately listed in this audit’s retrieval log (historical access notes below are not fresh verification):
https://www.wcoomd.org/-/media/wco/public/ru/pdf/topics/facilitation/activities-and-programmes/covid_19/kyrgyzstan_ru.pdf?la=fr
https://wiki.unece.org/spaces/CTRBSBC/pages/101548463/Kyrgyzstan
https://interfax.com/newsroom/top-stories/68427/
https://kaktus.media/doc/411290_kyrgyzsko_kitayskaia_granica_na_irkeshtam_otkryta._no_s_15_aprelia_proehali_sem_gryzovikov.html
https://mineconom.gov.kg/froala/uploads/file/f4243e5a969fe6acf7500002426c1b3cf2a74ba6.pdf
https://www.gov.kg/ru/post/s/punkty-propuska-na-granitse-s-kitaem-vremenno-zakryty-priostanovleno-vozdushnoe-soobshchenie
https://en.archive.kabar.kg/news/irkeshtam-checkpoint-at-kyrgyz-chinese-border-resumes-its-work/
https://24.kg/english/154720_Kyrgyzstan_and_China_agree_to_resume_work_of_Torugart_checkpoint/
https://mtd.gov.kg/informatsiya-po-propusku-gruzovyh-ats-cherez-gosudarstvennuyu-granitsu-kr/
https://mineconom.gov.kg/froala/uploads/file/5e6e277bea1f977fd4bed0f439b0edf02b3d6438.pdf
https://mtd.gov.kg/informatsiya-dlya-predprinimatelej-i-voditelej-gruzovyh-avtotransportnyh-sredstv-osushhestvlyayushhuyu-vneshneekonomicheskuyu-deyatelnost-i-perevozku-tovarov-v-usloviyah-pandemii/
Earlier recorded access
Source 1: full
Source 2: indexed excerpt; failed
Source 3: indexed excerpt</x:v>
      </x:c>
      <x:c r="P573" s="20" t="n">
        <x:v>1</x:v>
      </x:c>
      <x:c r="Q573" s="4" t="str">
        <x:v>Central Asia and Caucasus</x:v>
      </x:c>
      <x:c r="R573" s="4" t="str">
        <x:v>Included</x:v>
      </x:c>
    </x:row>
    <x:row r="574" ht="409" hidden="0" customHeight="1">
      <x:c r="A574" s="16" t="str">
        <x:v>R6-SC-003</x:v>
      </x:c>
      <x:c r="B574" s="4" t="str">
        <x:v>Sarakhs Iran–Turkmenistan rail-freight COVID suspension</x:v>
      </x:c>
      <x:c r="C574" s="4" t="str">
        <x:v>Iran; Turkmenistan</x:v>
      </x:c>
      <x:c r="D574" s="4" t="str">
        <x:v>Sarakhs–Serakhs rail
Sarakhs international railway crossing</x:v>
      </x:c>
      <x:c r="E574" s="4" t="str">
        <x:v>Rail freight, including export and transit wagons
Direction: Both directions
Exceptions: No rail exception identified in reviewed accounts; no assertion about air or other routes.</x:v>
      </x:c>
      <x:c r="F574" s="4" t="str">
        <x:v>R6-SC-003-D1 — Observed operation
Sarakhs railway cargo crossing between Iran and Turkmenistan.
Start: 2020-04-01 to 2020-04-02.
Observed scoped reopening: 2020-06-18.
77–78 calendar-day difference; scoped endpoint only</x:v>
      </x:c>
      <x:c r="G574"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74" s="4" t="str">
        <x:v>R6-SC-003-D1: IRICA/Mehr-derived reports share an official reporting origin. Road freight and other crossings are not included.</x:v>
      </x:c>
      <x:c r="I574" s="4" t="str">
        <x:v>Second full-register audit, 26 October 2026: qualified. Actual Sarakhs rail wagon exchange on 18 June 2020 remains corroborated, while the 1–2 April onset conflict and separate road/other-crossing scope are preserved.</x:v>
      </x:c>
      <x:c r="J574" s="18" t="d">
        <x:v>2026-10-26T00:00:00.000Z</x:v>
      </x:c>
      <x:c r="K574" s="21" t="str">
        <x:f>IFERROR(HYPERLINK("https://iranpress.com/content/20273/sarakhs-railway-border-temporarily-closed","Iran Press"),"Iran Press")</x:f>
        <x:v>Iran Press</x:v>
      </x:c>
      <x:c r="L574" s="21" t="str">
        <x:f>IFERROR(HYPERLINK("https://iranpress.com/content/23142/iran-railway-border-with-turkmenistan-reopens","Iran Press"),"Iran Press")</x:f>
        <x:v>Iran Press</x:v>
      </x:c>
      <x:c r="M574" s="21" t="str">
        <x:f>IFERROR(HYPERLINK("https://irannewsdaily.com/2020/06/incheh-borun-border-with-turkmenistan-reopens/","Iran News Daily"),"Iran News Daily")</x:f>
        <x:v>Iran News Daily</x:v>
      </x:c>
      <x:c r="N574" s="4" t="str">
        <x:v>https://iranpress.com/content/20273/sarakhs-railway-border-temporarily-closed
https://iranpress.com/content/23142/iran-railway-border-with-turkmenistan-reopens
https://irannewsdaily.com/2020/06/incheh-borun-border-with-turkmenistan-reopens/
https://iranpress.com/content/21492/sarakhs-turkmenistan-railway-border-ready-reopen
https://ticaret.gov.tr/blog/ulkelerden-ticari-haberler/turkmenistan/turkmenistan-iran-kargosunun-sinirdan-girmesine-izin-veriyor
https://www.trend.az/business/economy/3226013.html
https://www.tehrantimes.com/news/449181/Incheboroun-railway-crossing-with-Turkmenistan-reopens</x:v>
      </x:c>
      <x:c r="O574" s="4" t="str">
        <x:v>Second full-register audit source access, 26 October 2026
https://iranpress.com/content/23142/iran-railway-border-with-turkmenistan-reopens: search extract (fresh retrieval) — Direct page returned 502; substantial indexed article inspected.
https://iranpress.com/content/21492/sarakhs-turkmenistan-railway-border-ready-reopen: search extract (fresh retrieval) — Indexed text; later update 18 May.
https://ticaret.gov.tr/blog/ulkelerden-ticari-haberler/turkmenistan/turkmenistan-iran-kargosunun-sinirdan-girmesine-izin-veriyor: full text (fresh retrieval) — Mixed wagon/truck terminology; not primary Iranian order.
Earlier URLs not separately inspected in this second assessment:
https://iranpress.com/content/20273/sarakhs-railway-border-temporarily-closed
https://irannewsdaily.com/2020/06/incheh-borun-border-with-turkmenistan-reopens/
https://www.trend.az/business/economy/3226013.html
https://www.tehrantimes.com/news/449181/Incheboroun-railway-crossing-with-Turkmenistan-reopens
Prior audit access record
Full-register audit source access (evidence cutoff 25 October 2026)
https://iranpress.com/content/20273/sarakhs-railway-border-temporarily-closed: search extract — Bounded to identified time and traffic scope.
https://iranpress.com/content/23142/iran-railway-border-with-turkmenistan-reopens: search extract — Bounded to identified time and traffic scope.
https://www.trend.az/business/economy/3226013.html: search extract — Bounded to identified time and traffic scope.
https://iranpress.com/content/21492/sarakhs-turkmenistan-railway-border-ready-reopen: search extract — Bounded to identified time and traffic scope.
Earlier source URLs not separately listed in this audit’s retrieval log (historical access notes below are not fresh verification):
https://irannewsdaily.com/2020/06/incheh-borun-border-with-turkmenistan-reopens/
https://ticaret.gov.tr/blog/ulkelerden-ticari-haberler/turkmenistan/turkmenistan-iran-kargosunun-sinirdan-girmesine-izin-veriyor
https://www.tehrantimes.com/news/449181/Incheboroun-railway-crossing-with-Turkmenistan-reopens
Earlier recorded access
Source 1: full page
Source 2: substantive indexed article; repeated direct access 502
Source 3: full page</x:v>
      </x:c>
      <x:c r="P574" s="20" t="n">
        <x:v>1</x:v>
      </x:c>
      <x:c r="Q574" s="4" t="str">
        <x:v>Central Asia and Caucasus</x:v>
      </x:c>
      <x:c r="R574" s="4" t="str">
        <x:v>Included</x:v>
      </x:c>
    </x:row>
    <x:row r="575" ht="409" hidden="0" customHeight="1">
      <x:c r="A575" s="16" t="str">
        <x:v>R6-SC-002</x:v>
      </x:c>
      <x:c r="B575" s="4" t="str">
        <x:v>Kulma–Karasu renewed freight closure in late 2020</x:v>
      </x:c>
      <x:c r="C575" s="4" t="str">
        <x:v>Tajikistan; China</x:v>
      </x:c>
      <x:c r="D575" s="4" t="str">
        <x:v>Kulma–Karasu
Kulma–Karasu land cargo gateway</x:v>
      </x:c>
      <x:c r="E575" s="4" t="str">
        <x:v>Cross-border goods movements and transport businesses
Direction: Both-direction checkpoint traffic as reported; directional volumes not verified
Exceptions: Post-reopening transshipment still separated national truck operations; passenger access is not established.</x:v>
      </x:c>
      <x:c r="F575" s="4" t="str">
        <x:v>R6-SC-002-D1 — Observed operation
Freight handling through Kulma–Karasu during the renewed suspension
Start: 2020-10-01 to 2020-10-31.
Observed scoped reopening: 2021-04-01 to 2021-04-21.
152–202 calendar-day difference; scoped endpoint only</x:v>
      </x:c>
      <x:c r="G575" s="4" t="str">
        <x:v>Health and biosecurity / Human disease control
Reported reason
Applies to: Recorded episode; exact overlap not separately established
COVID justification remains attributed. The unverified trader allegation of protectionism is not promoted to an established trade rationale.</x:v>
      </x:c>
      <x:c r="H575" s="4" t="str">
        <x:v>R6-SC-002-D1: Month-level bounds, not exact daily observation. All reports are Asia-Plus and recurring chronology may be reused; testimony differs but is not multiple independent outlets. Restored transshipment does not mean Tajik trucks or passengers were admitted.</x:v>
      </x:c>
      <x:c r="I575" s="4" t="str">
        <x:v>Second full-register audit, 26 October 2026: qualified. Fresh original reports preserve the October 2020 to April 2021 freight suspension, while distinguishing restored transshipment from Tajik truck entry in 2023.</x:v>
      </x:c>
      <x:c r="J575" s="18" t="d">
        <x:v>2026-10-26T00:00:00.000Z</x:v>
      </x:c>
      <x:c r="K575" s="21" t="str">
        <x:f>IFERROR(HYPERLINK("https://asiaplus.news/en/2021/01/25/kulma-bcp-along-tajikistan-china-border-closed-for-traffic-entrepreneurs-suffer-losses/","Asia-Plus"),"Asia-Plus")</x:f>
        <x:v>Asia-Plus</x:v>
      </x:c>
      <x:c r="L575" s="21" t="str">
        <x:f>IFERROR(HYPERLINK("https://asiaplus.news/en/2021/03/11/tajikistan-and-china-to-take-joint-measures-to-reopen-kulma-bcp-on-the-tajik-chinese-border-in-gbao/","Asia-Plus"),"Asia-Plus")</x:f>
        <x:v>Asia-Plus</x:v>
      </x:c>
      <x:c r="M575" s="21" t="str">
        <x:f>IFERROR(HYPERLINK("https://asiaplus.news/en/2021/04/21/traffic-via-kulma-bcp-along-tajikistan-china-border-restored/","Asia-Plus"),"Asia-Plus")</x:f>
        <x:v>Asia-Plus</x:v>
      </x:c>
      <x:c r="N575" s="4" t="str">
        <x:v>https://asiaplus.news/en/2021/01/25/kulma-bcp-along-tajikistan-china-border-closed-for-traffic-entrepreneurs-suffer-losses/
https://asiaplus.news/en/2021/03/11/tajikistan-and-china-to-take-joint-measures-to-reopen-kulma-bcp-on-the-tajik-chinese-border-in-gbao/
https://asiaplus.news/en/2021/04/21/traffic-via-kulma-bcp-along-tajikistan-china-border-restored/
https://asiaplus.news/en/2023/01/31/tajik-trucks-cross-the-chinese-border-for-the-first-time-after-a-three-year-ban/
https://asiaplus.news/en/2021/10/22/tajikistan-china-discuss-problems-of-transporting-goods-across-the-common-border/</x:v>
      </x:c>
      <x:c r="O575" s="4" t="str">
        <x:v>Second full-register audit source access, 26 October 2026
https://asiaplus.news/en/2021/01/25/kulma-bcp-along-tajikistan-china-border-closed-for-traffic-entrepreneurs-suffer-losses/: full text (fresh retrieval)
https://asiaplus.news/en/2021/04/21/traffic-via-kulma-bcp-along-tajikistan-china-border-restored/: full text (fresh retrieval)
https://asiaplus.news/en/2021/10/22/tajikistan-china-discuss-problems-of-transporting-goods-across-the-common-border/: full text (fresh retrieval)
https://asiaplus.news/en/2023/01/31/tajik-trucks-cross-the-chinese-border-for-the-first-time-after-a-three-year-ban/: full text (fresh retrieval)
Earlier URLs not separately inspected in this second assessment:
https://asiaplus.news/en/2021/03/11/tajikistan-and-china-to-take-joint-measures-to-reopen-kulma-bcp-on-the-tajik-chinese-border-in-gbao/
Prior audit access record
Full-register audit source access (evidence cutoff 25 October 2026)
https://asiaplus.news/en/2021/01/25/kulma-bcp-along-tajikistan-china-border-closed-for-traffic-entrepreneurs-suffer-losses/: full text
https://asiaplus.news/en/2021/03/11/tajikistan-and-china-to-take-joint-measures-to-reopen-kulma-bcp-on-the-tajik-chinese-border-in-gbao/: full text
https://asiaplus.news/en/2021/04/21/traffic-via-kulma-bcp-along-tajikistan-china-border-restored/: full text
https://asiaplus.news/en/2023/01/31/tajik-trucks-cross-the-chinese-border-for-the-first-time-after-a-three-year-ban/: full text
Earlier source URLs not separately listed in this audit’s retrieval log (historical access notes below are not fresh verification):
https://asiaplus.news/en/2021/10/22/tajikistan-china-discuss-problems-of-transporting-goods-across-the-common-border/
Earlier recorded access
Source 1: full page
Source 2: full page
Source 3: full page</x:v>
      </x:c>
      <x:c r="P575" s="20" t="n">
        <x:v>1</x:v>
      </x:c>
      <x:c r="Q575" s="4" t="str">
        <x:v>Central Asia and Caucasus</x:v>
      </x:c>
      <x:c r="R575" s="4" t="str">
        <x:v>Included</x:v>
      </x:c>
    </x:row>
    <x:row r="576" ht="409" hidden="0" customHeight="1">
      <x:c r="A576" s="16" t="str">
        <x:v>R6-SC-004</x:v>
      </x:c>
      <x:c r="B576" s="4" t="str">
        <x:v>Milak–Zaranj August 2021 security closure and phased freight restoration</x:v>
      </x:c>
      <x:c r="C576" s="4" t="str">
        <x:v>Iran; Afghanistan</x:v>
      </x:c>
      <x:c r="D576" s="4" t="str">
        <x:v>Milak–Zaranj
Milak–Zaranj road terminal</x:v>
      </x:c>
      <x:c r="E576" s="4" t="str">
        <x:v>Milak passengers and goods transit, including Chabahar-linked cargo
Direction: Crossing traffic both directions; detailed direction-specific prohibitions not established
Exceptions: Passengers reportedly restored August 10; August 11 plan covered already-stranded trucks. Dogharoun and Mahiroud trade continued.</x:v>
      </x:c>
      <x:c r="F576" s="4" t="str">
        <x:v>R6-SC-004-D1 — Observed operation
New ordinary freight consignments at Milak–Zaranj, excluding already-stranded trucks
Start: 2021-08-05 to 2021-08-06.
Observed scoped reopening: 2021-08-15.
9–10 calendar-day difference; scoped endpoint only</x:v>
      </x:c>
      <x:c r="G576"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576" s="4" t="str">
        <x:v>R6-SC-004-D1: Scoped freight phase only. Passenger restoration August 10 and proposed stranded-truck processing are separate; Dogharoun/Mahiroud trade continued. Endpoint is an attributed Mehr/port-official operational assertion, not independent field observation.</x:v>
      </x:c>
      <x:c r="I576" s="4" t="str">
        <x:v>Second full-register audit, 26 October 2026: qualified. The Milak phase remains correctly limited to new ordinary freight, with passenger and stranded-truck milestones kept separate.</x:v>
      </x:c>
      <x:c r="J576" s="18" t="d">
        <x:v>2026-10-26T00:00:00.000Z</x:v>
      </x:c>
      <x:c r="K576" s="21" t="str">
        <x:f>IFERROR(HYPERLINK("https://iranpress.com/content/45124/milak-border-crossing-between-iran-afghanistan-reopens","Iran Press"),"Iran Press")</x:f>
        <x:v>Iran Press</x:v>
      </x:c>
      <x:c r="L576" s="21" t="str">
        <x:f>IFERROR(HYPERLINK("https://goodnewsagency.ir/17825/good-news-iran-transit-of-goods-from-chabahar-to-afghanistan-resumed/","Good News Agency"),"Good News Agency")</x:f>
        <x:v>Good News Agency</x:v>
      </x:c>
      <x:c r="M576" s="21" t="str">
        <x:f>IFERROR(HYPERLINK("https://iranpress.ir/content/45124/milak-border-crossing-between-iran-afghanistan-reopens","iranpress.ir"),"iranpress.ir")</x:f>
        <x:v>iranpress.ir</x:v>
      </x:c>
      <x:c r="N576" s="4" t="str">
        <x:v>https://iranpress.com/content/45124/milak-border-crossing-between-iran-afghanistan-reopens
https://goodnewsagency.ir/17825/good-news-iran-transit-of-goods-from-chabahar-to-afghanistan-resumed/
https://iranpress.ir/content/45124/milak-border-crossing-between-iran-afghanistan-reopens
https://ifpnews.com/all-iran-afghanistan-border-crossings-open-customs-administration/</x:v>
      </x:c>
      <x:c r="O576" s="4" t="str">
        <x:v>Second full-register audit source access, 26 October 2026
https://iranpress.com/content/45124/milak-border-crossing-between-iran-afghanistan-reopens: search extract (fresh retrieval) — Direct opening 502; indexed article used.
https://goodnewsagency.ir/17825/good-news-iran-transit-of-goods-from-chabahar-to-afghanistan-resumed/: full text (fresh retrieval) — Reprint of Mehr, not independent reporting
Earlier URLs not separately inspected in this second assessment:
https://iranpress.ir/content/45124/milak-border-crossing-between-iran-afghanistan-reopens
https://ifpnews.com/all-iran-afghanistan-border-crossings-open-customs-administration/
Prior audit access record
Full-register audit source access (evidence cutoff 25 October 2026)
https://iranpress.com/content/45124/milak-border-crossing-between-iran-afghanistan-reopens: search extract — Direct access failed; substantive indexed article
https://goodnewsagency.ir/17825/good-news-iran-transit-of-goods-from-chabahar-to-afghanistan-resumed/: full text — Reproduction of Mehr, not separate corroborating observation
https://ifpnews.com/all-iran-afghanistan-border-crossings-open-customs-administration/: search extract — Direct 502; indexed text
Earlier source URLs not separately listed in this audit’s retrieval log (historical access notes below are not fresh verification):
https://iranpress.ir/content/45124/milak-border-crossing-between-iran-afghanistan-reopens
Earlier recorded access
Source 1: substantive indexed article; direct access 502
Source 2: full page
Source 3: access detail is retained in the source catalogue.</x:v>
      </x:c>
      <x:c r="P576" s="20" t="n">
        <x:v>1</x:v>
      </x:c>
      <x:c r="Q576" s="4" t="str">
        <x:v>Central Asia and Caucasus</x:v>
      </x:c>
      <x:c r="R576" s="4" t="str">
        <x:v>Included</x:v>
      </x:c>
    </x:row>
    <x:row r="577" ht="409" hidden="0" customHeight="1">
      <x:c r="A577" s="16" t="str">
        <x:v>R6-EA-007</x:v>
      </x:c>
      <x:c r="B577" s="4" t="str">
        <x:v>Myanmar–Laos Friendship Bridge COVID restriction with May 2022 cargo permission</x:v>
      </x:c>
      <x:c r="C577" s="4" t="str">
        <x:v>Myanmar; Laos</x:v>
      </x:c>
      <x:c r="D577" s="4" t="str">
        <x:v>Myanmar–Laos Friendship Bridge
Kenglat/Kyainglap–Xieng Kok Friendship Bridge</x:v>
      </x:c>
      <x:c r="E577" s="4" t="str">
        <x:v>Bridge movement; ordinary passenger prohibition remained after controlled cargo permission.
Direction: Bilateral bridge movement; cargo protocol described for both parties.
Exceptions: Only driver and conductor at designated loading places under vaccination/test conditions; ordinary passengers still barred.</x:v>
      </x:c>
      <x:c r="F577" s="4" t="str">
        <x:v>R6-EA-007-FU1 — Formal policy
Myanmar–Laos Friendship Bridge at Kenglat/Tachileik–Laos
Start: unknown.
Policy endpoint: 2022-05-13.
Formal policy: dated evidence; numeric duration withheld; see qualification
Later actual goods access: the Trade Department reports Myanmar-to-Laos aquatic and agricultural exports through Kenglat during April–July 2023, establishing some outbound commercial access by July 31, 2023 at latest. It also reports 22 tonnes of tobacco exported in the first week of September 2023 (September 1–7). The Ministry of Information published this account on September 12; that is the report date, not the movement date. Neither interval establishes the first restored cargo crossing, unrestricted bilateral trade or passenger reopening.</x:v>
      </x:c>
      <x:c r="G577" s="4" t="str">
        <x:v>Health and biosecurity / Human disease control
Attributed official justification
Applies to: Recorded episode; exact overlap not separately established
The recorded rationale and claim assessment support the selected subcategories. All applicable broad categories are retained together; no primary rationale is imposed.</x:v>
      </x:c>
      <x:c r="H577" s="4" t="str">
        <x:v>R6-EA-007-FU1: May 13, 2022 marks restoration of conditional cargo permission at the Myanmar–Laos Friendship Bridge. The initial COVID closure date and actual first commercial passage are unknown. Only the driver and conductor were permitted at designated transfer places under vaccination and testing conditions; ordinary passenger entry and exit remained prohibited. The retrospective report supports a prolonged interruption, but not an exact total or uniform suspension of every category.
Later actual goods access: the Trade Department reports Myanmar-to-Laos aquatic and agricultural exports through Kenglat during April–July 2023, establishing some outbound commercial access by July 31, 2023 at latest. It also reports 22 tonnes of tobacco exported in the first week of September 2023 (September 1–7). The Ministry of Information published this account on September 12; that is the report date, not the movement date. Neither interval establishes the first restored cargo crossing, unrestricted bilateral trade or passenger reopening.
CNI’s January 2024 account describes a four-year closure, which conflicts with the documented May 2022 cargo permission and actual 2023 exports. Its January 25 reopening ceremony is not treated as the first cargo reopening or proof of continuous closure since 2020.</x:v>
      </x:c>
      <x:c r="I577" s="4" t="str">
        <x:v>Second full-register audit, 26 October 2026: additional source-audited corrections incorporated. See the phase, scope and qualification columns for the accepted findings.</x:v>
      </x:c>
      <x:c r="J577" s="18" t="d">
        <x:v>2026-10-26T00:00:00.000Z</x:v>
      </x:c>
      <x:c r="K577" s="21" t="str">
        <x:f>IFERROR(HYPERLINK("https://www.gnlm.com.mm/myanmar-laos-friendship-bridge-reopens/","Global New Light of Myanmar"),"Global New Light of Myanmar")</x:f>
        <x:v>Global New Light of Myanmar</x:v>
      </x:c>
      <x:c r="L577" s="21" t="str">
        <x:f>IFERROR(HYPERLINK("https://www.myanmaritv.com/news/transport-sector-myanmar-laos-friendship-bridge-reopened","Myanmar International TV"),"Myanmar International TV")</x:f>
        <x:v>Myanmar International TV</x:v>
      </x:c>
      <x:c r="M577" s="21" t="str">
        <x:f>IFERROR(HYPERLINK("https://cnimyanmar.com/index.php/english-edition/20064-myanmar-laos-friendship-bridge-reopens","CNI"),"CNI")</x:f>
        <x:v>CNI</x:v>
      </x:c>
      <x:c r="N577" s="4" t="str">
        <x:v>https://www.gnlm.com.mm/myanmar-laos-friendship-bridge-reopens/
https://www.myanmaritv.com/news/transport-sector-myanmar-laos-friendship-bridge-reopened
https://cnimyanmar.com/index.php/english-edition/20064-myanmar-laos-friendship-bridge-reopens
https://www.myanmaritv.com/news/friendly-relations-opening-ceremony-myanmar-laos-friendship-bridge
https://www.moi.gov.mm/moi:eng/news/11513</x:v>
      </x:c>
      <x:c r="O577" s="4" t="str">
        <x:v>Second full-register audit source access, 26 October 2026
https://www.gnlm.com.mm/myanmar-laos-friendship-bridge-reopens/: search extract (fresh retrieval) — Direct blocked; substantive indexed article plus newspaper PDF extract corroborates date and protocol.
https://www.myanmaritv.com/news/transport-sector-myanmar-laos-friendship-bridge-reopened: full text (fresh retrieval)
https://www.moi.gov.mm/moi:eng/news/11513: full text (fresh retrieval) — Official account; reported shipments, not independent on-site observation.
https://cnimyanmar.com/index.php/english-edition/20064-myanmar-laos-friendship-bridge-reopens: search extract (fresh retrieval) — Direct blocked; indexed four-year closure conflicts with earlier cargo access.
Earlier URLs not separately inspected in this second assessment:
https://www.myanmaritv.com/news/friendly-relations-opening-ceremony-myanmar-laos-friendship-bridge
Prior audit access record
Full-register audit source access (evidence cutoff 25 October 2026)
https://www.gnlm.com.mm/myanmar-laos-friendship-bridge-reopens/: search extract — Direct page unavailable or article only substantively recovered via index.
https://www.myanmaritv.com/news/transport-sector-myanmar-laos-friendship-bridge-reopened: full text — Claim scope as stated
https://cnimyanmar.com/index.php/english-edition/20064-myanmar-laos-friendship-bridge-reopens: search extract — Direct page unavailable or article only substantively recovered via index.
https://www.myanmaritv.com/news/friendly-relations-opening-ceremony-myanmar-laos-friendship-bridge: search extract — Direct page unavailable or article only substantively recovered via index.
Earlier recorded access
Source 1: indexed excerpt
Source 2: opened full text
Source 3: indexed excerpt</x:v>
      </x:c>
      <x:c r="P577" s="20" t="n">
        <x:v>1</x:v>
      </x:c>
      <x:c r="Q577" s="4" t="str">
        <x:v>East and Southeast Asia and Oceania</x:v>
      </x:c>
      <x:c r="R577" s="4" t="str">
        <x:v>Included</x:v>
      </x:c>
    </x:row>
    <x:row r="578" ht="409" hidden="0" customHeight="1">
      <x:c r="A578" s="16" t="str">
        <x:v>R6-EA-001</x:v>
      </x:c>
      <x:c r="B578" s="4" t="str">
        <x:v>Quang Tri suspends auxiliary gates and local routes on Laos frontier</x:v>
      </x:c>
      <x:c r="C578" s="4" t="str">
        <x:v>Vietnam; Laos</x:v>
      </x:c>
      <x:c r="D578" s="4" t="str">
        <x:v>Ta Rung; Cheng; Thanh; Cooc
Quang Tri land frontier with Savannakhet and Salavan; auxiliary gates, trails and river crossing points</x:v>
      </x:c>
      <x:c r="E578" s="4" t="str">
        <x:v>Border residents and other movement through auxiliary routes, initially goods as well as people.
Direction: Both directions across specified local frontier routes.
Exceptions: Goods-only exchange at four gates permitted by 12 May; ordinary passengers remained prohibited.</x:v>
      </x:c>
      <x:c r="F578" s="4" t="str">
        <x:v>R6-EA-001-D1 — Formal policy
Ordinary passenger prohibition at the four Quang Tri auxiliary gates covered by the May goods-only relaxation
Start: 2020-02-03 to 2020-02-04.
Last confirmed: 2020-05-12. Reopening is not established.
Formal policy: confirmed through 2020-05-12; at least 98 calendar-day difference; reopening unknown</x:v>
      </x:c>
      <x:c r="G57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78" s="4" t="str">
        <x:v>R6-EA-001-D1: Formal passenger restriction confirmed through May 12, not reopening or uniform daily enforcement on every trail. March field refusal supports local implementation. Undated goods permission cannot supply a passenger endpoint; no later extension is inferred.</x:v>
      </x:c>
      <x:c r="I578" s="4" t="str">
        <x:v>Second full-register audit, 26 October 2026: qualified. The four-gate passenger prohibition and February 3–4 onset conflict are supported. Goods permission in May does not establish passenger reopening.</x:v>
      </x:c>
      <x:c r="J578" s="18" t="d">
        <x:v>2026-10-26T00:00:00.000Z</x:v>
      </x:c>
      <x:c r="K578" s="21" t="str">
        <x:f>IFERROR(HYPERLINK("https://ubmttqvn.quangtri.gov.vn/index.php/dan-toc-ton-giao/no-luc-phong-chong-covid-19-tren-tuyen-bien-gioi-viet-lao-3683.html","Quang Tri Fatherland Front portal"),"Quang Tri Fatherland Front portal")</x:f>
        <x:v>Quang Tri Fatherland Front portal</x:v>
      </x:c>
      <x:c r="L578" s="21" t="str">
        <x:f>IFERROR(HYPERLINK("https://baochinhphu.vn/quang-tri-mo-lai-4-cua-khau-phu-voi-lao-102272480.htm","Vietnam Government News"),"Vietnam Government News")</x:f>
        <x:v>Vietnam Government News</x:v>
      </x:c>
      <x:c r="M578" s="21" t="str">
        <x:f>IFERROR(HYPERLINK("https://tienphong.vn/dai-nang-dam-suong-ngan-dai-dich-post1262885.tpo","Tien Phong"),"Tien Phong")</x:f>
        <x:v>Tien Phong</x:v>
      </x:c>
      <x:c r="N578" s="4" t="str">
        <x:v>https://ubmttqvn.quangtri.gov.vn/index.php/dan-toc-ton-giao/no-luc-phong-chong-covid-19-tren-tuyen-bien-gioi-viet-lao-3683.html
https://baochinhphu.vn/quang-tri-mo-lai-4-cua-khau-phu-voi-lao-102272480.htm
https://tienphong.vn/dai-nang-dam-suong-ngan-dai-dich-post1262885.tpo
https://en.baochinhphu.vn/quang-tri-re-opens-four-auxiliary-border-gates-with-laos-11138194.htm
https://baoquangtri.vn/thoi-su/202206/chinh-phu-lao-nhat-tri-mo-lai-cua-khau-quoc-te-phuc-vu-xuat-nhap-canh-2201009/
https://xanhx.vn/viet-nam-ewec/hoi-dam-thuong-nien-cong-tac-bien-gioi-hai-tinh-quang-tri-savannakhet-22799.html
https://qppl.dienbien.gov.vn/qlvb/vbpq.nsf/3d0f058120469ad34725726600365420/9CCA8D25109604DB47258A2100056CD7/%24file/4180_BNG-UBBG_28.8.23.pdf</x:v>
      </x:c>
      <x:c r="O578" s="4" t="str">
        <x:v>Second full-register audit source access, 26 October 2026
https://ubmttqvn.quangtri.gov.vn/index.php/dan-toc-ton-giao/no-luc-phong-chong-covid-19-tren-tuyen-bien-gioi-viet-lao-3683.html: full text (fresh retrieval)
https://baochinhphu.vn/quang-tri-mo-lai-4-cua-khau-phu-voi-lao-102272480.htm: full text (fresh retrieval)
https://tienphong.vn/dai-nang-dam-suong-ngan-dai-dich-post1262885.tpo: full text (fresh retrieval) — Retrospective onset and later patrol activity; not proof of unchanged rules at all four named gates.
Earlier URLs not separately inspected in this second assessment:
https://en.baochinhphu.vn/quang-tri-re-opens-four-auxiliary-border-gates-with-laos-11138194.htm
https://baoquangtri.vn/thoi-su/202206/chinh-phu-lao-nhat-tri-mo-lai-cua-khau-quoc-te-phuc-vu-xuat-nhap-canh-2201009/
https://xanhx.vn/viet-nam-ewec/hoi-dam-thuong-nien-cong-tac-bien-gioi-hai-tinh-quang-tri-savannakhet-22799.html
https://qppl.dienbien.gov.vn/qlvb/vbpq.nsf/3d0f058120469ad34725726600365420/9CCA8D25109604DB47258A2100056CD7/%24file/4180_BNG-UBBG_28.8.23.pdf
Prior audit access record
Full-register audit source access (evidence cutoff 25 October 2026)
https://baochinhphu.vn/quang-tri-mo-lai-4-cua-khau-phu-voi-lao-102272480.htm: full text — See specific claim qualifications.
https://en.baochinhphu.vn/quang-tri-re-opens-four-auxiliary-border-gates-with-laos-11138194.htm: full text — See specific claim qualifications.
https://tienphong.vn/dai-nang-dam-suong-ngan-dai-dich-post1262885.tpo: full text — See specific claim qualifications.
https://baoquangtri.vn/thoi-su/202206/chinh-phu-lao-nhat-tri-mo-lai-cua-khau-quoc-te-phuc-vu-xuat-nhap-canh-2201009/: search extract — See specific claim qualifications.
https://xanhx.vn/viet-nam-ewec/hoi-dam-thuong-nien-cong-tac-bien-gioi-hai-tinh-quang-tri-savannakhet-22799.html: search extract — See specific claim qualifications.
https://qppl.dienbien.gov.vn/qlvb/vbpq.nsf/3d0f058120469ad34725726600365420/9CCA8D25109604DB47258A2100056CD7/%24file/4180_BNG-UBBG_28.8.23.pdf: search extract — Relevant official indexed text inspected; direct PDF returned 502.
https://ubmttqvn.quangtri.gov.vn/index.php/dan-toc-ton-giao/no-luc-phong-chong-covid-19-tren-tuyen-bien-gioi-viet-lao-3683.html: inaccessible — See specific claim qualifications.
Earlier recorded access
Source 1: opened full text
Source 2: opened full text
Source 3: opened full text</x:v>
      </x:c>
      <x:c r="P578" s="20" t="n">
        <x:v>1</x:v>
      </x:c>
      <x:c r="Q578" s="4" t="str">
        <x:v>East and Southeast Asia and Oceania</x:v>
      </x:c>
      <x:c r="R578" s="4" t="str">
        <x:v>Included</x:v>
      </x:c>
    </x:row>
    <x:row r="579" ht="409" hidden="0" customHeight="1">
      <x:c r="A579" s="16" t="str">
        <x:v>R6-EA-006</x:v>
      </x:c>
      <x:c r="B579" s="4" t="str">
        <x:v>Merauke closes Sota, Kali Torasi and Bupul crossings to PNG for COVID prevention</x:v>
      </x:c>
      <x:c r="C579" s="4" t="str">
        <x:v>Indonesia; Papua New Guinea</x:v>
      </x:c>
      <x:c r="D579" s="4" t="str">
        <x:v>Sota; Kali Torasi; Bupul
Three southern Indonesia–PNG crossing points in Merauke district</x:v>
      </x:c>
      <x:c r="E579" s="4" t="str">
        <x:v>People in either direction, including traditional border crossers.
Direction: Both directions.
Exceptions: By December 2020 nearby PNG residents could shop at Sota twice weekly; relaxation date unknown. By May 2022 market access expanded from three to five weekdays.</x:v>
      </x:c>
      <x:c r="F579" s="4" t="str">
        <x:v>R6-EA-006-R1 — Observed operation
Sota, Kali Torasi and Bupul international people crossings under Merauke deputy-regent order
Start: 2020-03-17.
Last confirmed: 2020-03-19. Reopening is not established.
confirmed through 2020-03-19; at least 2 calendar-day difference; reopening unknown
R6-EA-006-REV1 — Observed operation
Sota traditional international people crossing between Merauke and Papua New Guinea
Start: 2020-03-17.
Last confirmed: 2020-10-15. Reopening is not established.
confirmed through 2020-10-15; at least 212 calendar-day difference; partial shopping access established by 2020-12-29, exact full reopening unknown
Partial later access: a 29 December 2020 interview reports 15–20 nearby PNG residents already shopping at Sota twice weekly. This bounds the Sota shopping restriction by that date; the first permitted shopping day remains unknown. It does not establish reopening at Kali Torasi or Bupul or all-person daily entry at Sota. A planned renewed January 2021 ban is a separate episode.</x:v>
      </x:c>
      <x:c r="G579" s="4" t="str">
        <x:v>Health and biosecurity / Human disease control
Attributed official justification
Applies to: Recorded episode; exact overlap not separately established
The recorded rationale and claim assessment support the selected subcategories. All applicable broad categories are retained together; no primary rationale is imposed.</x:v>
      </x:c>
      <x:c r="H579" s="4" t="str">
        <x:v>R6-EA-006-R1: Last substantive observation is March 19; March 20 publication does not extend it. Not reopening, not continuity to December or 2022.
R6-EA-006-REV1: Sota only; overlaps the Sota portion of R6-EA-006-R1 and must not be added arithmetically to it. October 15 is last confirmation, not reopening. Later twice-weekly shopping entry existed by December 29; first permission date unresolved.
Partial later access: a 29 December 2020 interview reports 15–20 nearby PNG residents already shopping at Sota twice weekly. This bounds the Sota shopping restriction by that date; the first permitted shopping day remains unknown. It does not establish reopening at Kali Torasi or Bupul or all-person daily entry at Sota. A planned renewed January 2021 ban is a separate episode.</x:v>
      </x:c>
      <x:c r="I579" s="4" t="str">
        <x:v>Second full-register audit, 26 October 2026: qualified. The three-post March closure, Sota October continuation and December 29 shopping-access bound are supported and must remain scoped separately.</x:v>
      </x:c>
      <x:c r="J579" s="18" t="d">
        <x:v>2026-10-26T00:00:00.000Z</x:v>
      </x:c>
      <x:c r="K579" s="21" t="str">
        <x:f>IFERROR(HYPERLINK("https://cenderawasihpos.jawapos.com/lintas-papua/merauke/20/03/2020/cegah-corona-lintas-perbatasan-negara-ditutup/","Cenderawasih Pos"),"Cenderawasih Pos")</x:f>
        <x:v>Cenderawasih Pos</x:v>
      </x:c>
      <x:c r="L579" s="21" t="str">
        <x:f>IFERROR(HYPERLINK("https://arsip.jubi.id/papua-jalur-pelintas-batas-tradisional-di-sota/","Jubi, Frans L Kobun / Ans K"),"Jubi, Frans L Kobun / Ans K")</x:f>
        <x:v>Jubi, Frans L Kobun / Ans K</x:v>
      </x:c>
      <x:c r="M579" s="21" t="str">
        <x:f>IFERROR(HYPERLINK("https://cenderawasihpos.jawapos.com/lintas-papua/merauke/30/06/2020/plbn-sota-kembali-dibuka-untuk-umum/","Cenderawasih Pos"),"Cenderawasih Pos")</x:f>
        <x:v>Cenderawasih Pos</x:v>
      </x:c>
      <x:c r="N579" s="4" t="str">
        <x:v>https://cenderawasihpos.jawapos.com/lintas-papua/merauke/20/03/2020/cegah-corona-lintas-perbatasan-negara-ditutup/
https://arsip.jubi.id/papua-jalur-pelintas-batas-tradisional-di-sota/
https://cenderawasihpos.jawapos.com/lintas-papua/merauke/30/06/2020/plbn-sota-kembali-dibuka-untuk-umum/
https://cenderawasihpos.jawapos.com/berita-utama/30/12/2020/sejak-januari-2020-akses-pintu-perbatasan-sudah-tutup/
https://arsip.jubi.id/eliminasi-covid-merauke-tutup-perbatasan-ri-png-papua/
https://www.ceposonline.com/nasional/1993201768/plbn-sota-sudah-buka-lima-hari-bagi-warga-png</x:v>
      </x:c>
      <x:c r="O579" s="4" t="str">
        <x:v>Second full-register audit source access, 26 October 2026
https://cenderawasihpos.jawapos.com/lintas-papua/merauke/20/03/2020/cegah-corona-lintas-perbatasan-negara-ditutup/: full text (fresh retrieval)
https://arsip.jubi.id/papua-jalur-pelintas-batas-tradisional-di-sota/: full text (fresh retrieval) — September 2021 archive update is not a new observation.
https://cenderawasihpos.jawapos.com/berita-utama/30/12/2020/sejak-januari-2020-akses-pintu-perbatasan-sudah-tutup/: full text (fresh retrieval) — Headline/general northern Papua timing does not override the specific Merauke March order; interview December 29.
Earlier URLs not separately inspected in this second assessment:
https://cenderawasihpos.jawapos.com/lintas-papua/merauke/30/06/2020/plbn-sota-kembali-dibuka-untuk-umum/
https://arsip.jubi.id/eliminasi-covid-merauke-tutup-perbatasan-ri-png-papua/
https://www.ceposonline.com/nasional/1993201768/plbn-sota-sudah-buka-lima-hari-bagi-warga-png
Prior audit access record
Full-register audit source access (evidence cutoff 25 October 2026)
https://cenderawasihpos.jawapos.com/lintas-papua/merauke/20/03/2020/cegah-corona-lintas-perbatasan-negara-ditutup/: full text — Claim scope as stated
https://arsip.jubi.id/papua-jalur-pelintas-batas-tradisional-di-sota/: full text — Claim scope as stated
https://cenderawasihpos.jawapos.com/berita-utama/30/12/2020/sejak-januari-2020-akses-pintu-perbatasan-sudah-tutup/: full text — Claim scope as stated
Earlier source URLs not separately listed in this audit’s retrieval log (historical access notes below are not fresh verification):
https://cenderawasihpos.jawapos.com/lintas-papua/merauke/30/06/2020/plbn-sota-kembali-dibuka-untuk-umum/
https://arsip.jubi.id/eliminasi-covid-merauke-tutup-perbatasan-ri-png-papua/
https://www.ceposonline.com/nasional/1993201768/plbn-sota-sudah-buka-lima-hari-bagi-warga-png
Earlier recorded access
Source 1: full
Source 2: full
Source 3: indexed excerpt</x:v>
      </x:c>
      <x:c r="P579" s="20" t="n">
        <x:v>2</x:v>
      </x:c>
      <x:c r="Q579" s="4" t="str">
        <x:v>East and Southeast Asia and Oceania</x:v>
      </x:c>
      <x:c r="R579" s="4" t="str">
        <x:v>Included</x:v>
      </x:c>
    </x:row>
    <x:row r="580" ht="409" hidden="0" customHeight="1">
      <x:c r="A580" s="16" t="str">
        <x:v>R6-EA-003</x:v>
      </x:c>
      <x:c r="B580" s="4" t="str">
        <x:v>Chi Ma–Ai Diem suspends freight clearance in December 2021</x:v>
      </x:c>
      <x:c r="C580" s="4" t="str">
        <x:v>Vietnam; China</x:v>
      </x:c>
      <x:c r="D580" s="4" t="str">
        <x:v>Chi Ma–Ai Diem
Bilateral cargo clearance at Chi Ma–Ai Diem (Aidian)</x:v>
      </x:c>
      <x:c r="E580" s="4" t="str">
        <x:v>Import/export freight through this gate.
Direction: Both directions initially.
Exceptions: Restored trade was limited by commodity and transloading; this endpoint is first partial cargo movement.</x:v>
      </x:c>
      <x:c r="F580" s="4" t="str">
        <x:v>R6-EA-003-D1 — Observed operation
Chi Ma–Ai Diem freight halt to first partial cargo resumption; not all commodities.
Start: 2021-12-08.
Observed scoped reopening: 2021-12-22.
14 calendar-day difference; scoped endpoint only</x:v>
      </x:c>
      <x:c r="G58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80" s="4" t="str">
        <x:v>December 22 marks partial trade restoration, not clearance of all stranded agricultural goods. A contemporaneous commander account gives mixed public-health and technical explanations; the evidence does not isolate each factor’s contribution.
R6-EA-003-D1: The endpoint is partial. Commodity and transloading restrictions remained; combined Huu Nghi/Chi Ma vehicle totals are not attributed to Chi Ma alone. The commander also reported a customs-network malfunction alongside COVID prevention; relative contributions are unquantified.</x:v>
      </x:c>
      <x:c r="I580" s="4" t="str">
        <x:v>Second full-register audit, 26 October 2026: qualified. December 8–22 cargo interruption and partial resumption are freshly corroborated; no all-commodity reopening is justified.</x:v>
      </x:c>
      <x:c r="J580" s="18" t="d">
        <x:v>2026-10-26T00:00:00.000Z</x:v>
      </x:c>
      <x:c r="K580" s="21" t="str">
        <x:f>IFERROR(HYPERLINK("https://news.tuoitre.vn/thousands-of-fruit-carrying-trucks-stranded-at-vietnam-china-border-gates-over-sluggish-produce-clearance-10364798.htm","Tuoi Tre News"),"Tuoi Tre News")</x:f>
        <x:v>Tuoi Tre News</x:v>
      </x:c>
      <x:c r="L580" s="21" t="str">
        <x:f>IFERROR(HYPERLINK("https://tuoitre.vn/cua-khau-chi-ma-thong-quan-tro-lai-lap-them-tram-phun-khu-khuan-o-tan-thanh-20211222180125292.htm","Tuoi Tre"),"Tuoi Tre")</x:f>
        <x:v>Tuoi Tre</x:v>
      </x:c>
      <x:c r="M580" s="21" t="str">
        <x:f>IFERROR(HYPERLINK("https://tienphong.vn/cua-khau-chi-ma-mo-cua-tro-lai-chi-co-7-xe-trung-quoc-vao-viet-nam-post1403889.tpo","Tien Phong"),"Tien Phong")</x:f>
        <x:v>Tien Phong</x:v>
      </x:c>
      <x:c r="N580" s="4" t="str">
        <x:v>https://news.tuoitre.vn/thousands-of-fruit-carrying-trucks-stranded-at-vietnam-china-border-gates-over-sluggish-produce-clearance-10364798.htm
https://tuoitre.vn/cua-khau-chi-ma-thong-quan-tro-lai-lap-them-tram-phun-khu-khuan-o-tan-thanh-20211222180125292.htm
https://tienphong.vn/cua-khau-chi-ma-mo-cua-tro-lai-chi-co-7-xe-trung-quoc-vao-viet-nam-post1403889.tpo
https://vnexpress.net/doanh-nghiep-co-the-thiet-hai-4-000-ty-dong-vi-container-un-u-4407112.html
https://cafebiz.vn/hang-nghin-xe-tai-ach-tac-o-cua-khau-chi-ma-tien-thoai-luong-nan-20211217085441575.chn</x:v>
      </x:c>
      <x:c r="O580" s="4" t="str">
        <x:v>Second full-register audit source access, 26 October 2026
https://tuoitre.vn/cua-khau-chi-ma-thong-quan-tro-lai-lap-them-tram-phun-khu-khuan-o-tan-thanh-20211222180125292.htm: full text (fresh retrieval)
https://tienphong.vn/cua-khau-chi-ma-mo-cua-tro-lai-chi-co-7-xe-trung-quoc-vao-viet-nam-post1403889.tpo: full text (fresh retrieval)
https://cafebiz.vn/hang-nghin-xe-tai-ach-tac-o-cua-khau-chi-ma-tien-thoai-luong-nan-20211217085441575.chn: full text (fresh retrieval)
Earlier URLs not separately inspected in this second assessment:
https://news.tuoitre.vn/thousands-of-fruit-carrying-trucks-stranded-at-vietnam-china-border-gates-over-sluggish-produce-clearance-10364798.htm
https://vnexpress.net/doanh-nghiep-co-the-thiet-hai-4-000-ty-dong-vi-container-un-u-4407112.html
Prior audit access record
Full-register audit source access (evidence cutoff 25 October 2026)
https://cafebiz.vn/hang-nghin-xe-tai-ach-tac-o-cua-khau-chi-ma-tien-thoai-luong-nan-20211217085441575.chn: full text
https://tuoitre.vn/cua-khau-chi-ma-thong-quan-tro-lai-lap-them-tram-phun-khu-khuan-o-tan-thanh-20211222180125292.htm: full text
https://tienphong.vn/cua-khau-chi-ma-mo-cua-tro-lai-chi-co-7-xe-trung-quoc-vao-viet-nam-post1403889.tpo: full text
Earlier source URLs not separately listed in this audit’s retrieval log (historical access notes below are not fresh verification):
https://news.tuoitre.vn/thousands-of-fruit-carrying-trucks-stranded-at-vietnam-china-border-gates-over-sluggish-produce-clearance-10364798.htm
https://vnexpress.net/doanh-nghiep-co-the-thiet-hai-4-000-ty-dong-vi-container-un-u-4407112.html
Earlier recorded access
Source 1: opened full text
Source 2: opened full text
Source 3: opened full text</x:v>
      </x:c>
      <x:c r="P580" s="20" t="n">
        <x:v>1</x:v>
      </x:c>
      <x:c r="Q580" s="4" t="str">
        <x:v>East and Southeast Asia and Oceania</x:v>
      </x:c>
      <x:c r="R580" s="4" t="str">
        <x:v>Included</x:v>
      </x:c>
    </x:row>
    <x:row r="581" ht="409" hidden="0" customHeight="1">
      <x:c r="A581" s="16" t="str">
        <x:v>R6-EA-002</x:v>
      </x:c>
      <x:c r="B581" s="4" t="str">
        <x:v>Tan Thanh–Po Chai halts Vietnamese cargo exports during COVID controls</x:v>
      </x:c>
      <x:c r="C581" s="4" t="str">
        <x:v>Vietnam; China</x:v>
      </x:c>
      <x:c r="D581" s="4" t="str">
        <x:v>Tan Thanh–Po Chai
Vietnamese exports through Tan Thanh–Po Chai (Pu Zhai)</x:v>
      </x:c>
      <x:c r="E581" s="4" t="str">
        <x:v>Vietnam-to-China freight, including fresh agricultural produce.
Direction: Vietnam to China.
Exceptions: Imports into Vietnam and empty-vehicle returns were possible by December 22–23; not a total two-way border closure.</x:v>
      </x:c>
      <x:c r="F581" s="4" t="str">
        <x:v>R6-EA-002-D1 — Observed operation
Vietnamese exports through Tan Thanh–Po Chai (Pu Zhai); Vietnam-to-China freight, including fresh agricultural produce.; Vietnam to China.
Start: 2021-12-18.
Observed scoped reopening: 2022-01-25.
38 calendar-day difference; scoped endpoint only</x:v>
      </x:c>
      <x:c r="G58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81" s="4" t="str">
        <x:v>R6-EA-002-D1: Chinese reason was not initially announced to the local official; later ministry report supplies public-health attribution. Reopening remained low-capacity. Imports into Vietnam and empty-vehicle returns were possible by December 22–23; not a total two-way border closure.</x:v>
      </x:c>
      <x:c r="I581" s="4" t="str">
        <x:v>Second full-register audit, 26 October 2026: qualified. The December 18, 2021–January 25, 2022 Tan Thanh export interruption is supported, with import activity preserved during the restriction.</x:v>
      </x:c>
      <x:c r="J581" s="18" t="d">
        <x:v>2026-10-26T00:00:00.000Z</x:v>
      </x:c>
      <x:c r="K581" s="21" t="str">
        <x:f>IFERROR(HYPERLINK("https://news.tuoitre.vn/thousands-of-fruit-carrying-trucks-stranded-at-vietnam-china-border-gates-over-sluggish-produce-clearance-10364798.htm","Tuoi Tre News"),"Tuoi Tre News")</x:f>
        <x:v>Tuoi Tre News</x:v>
      </x:c>
      <x:c r="L581" s="21" t="str">
        <x:f>IFERROR(HYPERLINK("https://moit.gov.vn/en/news/ministerial-leaders-activities/china-resumes-customs-clearance-of-goods-at-po-chai-border-gate.html","Vietnam Ministry of Industry and Trade"),"Vietnam Ministry of Industry and Trade")</x:f>
        <x:v>Vietnam Ministry of Industry and Trade</x:v>
      </x:c>
      <x:c r="M581" s="21" t="str">
        <x:f>IFERROR(HYPERLINK("https://www.vietnamplus.vn/hai-cua-khau-chi-ma-va-tan-thanh-thuc-hien-thong-quan-tro-lai/770432.vnp","VietnamPlus"),"VietnamPlus")</x:f>
        <x:v>VietnamPlus</x:v>
      </x:c>
      <x:c r="N581" s="4" t="str">
        <x:v>https://news.tuoitre.vn/thousands-of-fruit-carrying-trucks-stranded-at-vietnam-china-border-gates-over-sluggish-produce-clearance-10364798.htm
https://moit.gov.vn/en/news/ministerial-leaders-activities/china-resumes-customs-clearance-of-goods-at-po-chai-border-gate.html
https://www.vietnamplus.vn/hai-cua-khau-chi-ma-va-tan-thanh-thuc-hien-thong-quan-tro-lai/770432.vnp
https://tuoitre.vn/cua-khau-chi-ma-thong-quan-tro-lai-lap-them-tram-phun-khu-khuan-o-tan-thanh-20211222180125292.htm
https://tienphong.vn/cua-khau-chi-ma-mo-cua-tro-lai-chi-co-7-xe-trung-quoc-vao-viet-nam-post1403889.tpo
https://baochinhphu.vn/lang-son-tam-dung-tiep-nhan-xe-cho-hoa-qua-tuoi-den-cua-khau-tu-17-1-102220113133507293.htm
https://moit.gov.vn/tin-tuc/hoat-dong/trung-quoc-khoi-phuc-thong-quan-tai-po-chai.html
https://vtv.vn/kinh-te/cua-khau-tan-thanh-thong-quan-tro-lai-20220125132115225.htm
https://baotintuc.vn/kinh-te/cua-khau-chi-ma-tan-thanh-thong-quan-tro-lai-20220126174427269.htm</x:v>
      </x:c>
      <x:c r="O581" s="4" t="str">
        <x:v>Second full-register audit source access, 26 October 2026
https://news.tuoitre.vn/thousands-of-fruit-carrying-trucks-stranded-at-vietnam-china-border-gates-over-sluggish-produce-clearance-10364798.htm: full text (fresh retrieval)
https://moit.gov.vn/en/news/ministerial-leaders-activities/china-resumes-customs-clearance-of-goods-at-po-chai-border-gate.html: full text (fresh retrieval)
https://tuoitre.vn/cua-khau-chi-ma-thong-quan-tro-lai-lap-them-tram-phun-khu-khuan-o-tan-thanh-20211222180125292.htm: full text (fresh retrieval)
https://vtv.vn/kinh-te/cua-khau-tan-thanh-thong-quan-tro-lai-20220125132115225.htm: full text (fresh retrieval)
Earlier URLs not separately inspected in this second assessment:
https://www.vietnamplus.vn/hai-cua-khau-chi-ma-va-tan-thanh-thuc-hien-thong-quan-tro-lai/770432.vnp
https://tienphong.vn/cua-khau-chi-ma-mo-cua-tro-lai-chi-co-7-xe-trung-quoc-vao-viet-nam-post1403889.tpo
https://baochinhphu.vn/lang-son-tam-dung-tiep-nhan-xe-cho-hoa-qua-tuoi-den-cua-khau-tu-17-1-102220113133507293.htm
https://moit.gov.vn/tin-tuc/hoat-dong/trung-quoc-khoi-phuc-thong-quan-tai-po-chai.html
https://baotintuc.vn/kinh-te/cua-khau-chi-ma-tan-thanh-thong-quan-tro-lai-20220126174427269.htm
Prior audit access record
Full-register audit source access (evidence cutoff 25 October 2026)
https://news.tuoitre.vn/thousands-of-fruit-carrying-trucks-stranded-at-vietnam-china-border-gates-over-sluggish-produce-clearance-10364798.htm: full text — See specific claim qualifications.
https://tuoitre.vn/cua-khau-chi-ma-thong-quan-tro-lai-lap-them-tram-phun-khu-khuan-o-tan-thanh-20211222180125292.htm: full text — See specific claim qualifications.
https://moit.gov.vn/en/news/ministerial-leaders-activities/china-resumes-customs-clearance-of-goods-at-po-chai-border-gate.html: search extract — See specific claim qualifications.
https://vtv.vn/kinh-te/cua-khau-tan-thanh-thong-quan-tro-lai-20220125132115225.htm: full text — See specific claim qualifications.
https://baotintuc.vn/kinh-te/cua-khau-chi-ma-tan-thanh-thong-quan-tro-lai-20220126174427269.htm: full text — See specific claim qualifications.
Earlier source URLs not separately listed in this audit’s retrieval log (historical access notes below are not fresh verification):
https://www.vietnamplus.vn/hai-cua-khau-chi-ma-va-tan-thanh-thuc-hien-thong-quan-tro-lai/770432.vnp
https://tienphong.vn/cua-khau-chi-ma-mo-cua-tro-lai-chi-co-7-xe-trung-quoc-vao-viet-nam-post1403889.tpo
https://baochinhphu.vn/lang-son-tam-dung-tiep-nhan-xe-cho-hoa-qua-tuoi-den-cua-khau-tu-17-1-102220113133507293.htm
https://moit.gov.vn/tin-tuc/hoat-dong/trung-quoc-khoi-phuc-thong-quan-tai-po-chai.html
Earlier recorded access
Source 1: opened full text
Source 2: full text
Source 3: opened full text</x:v>
      </x:c>
      <x:c r="P581" s="20" t="n">
        <x:v>1</x:v>
      </x:c>
      <x:c r="Q581" s="4" t="str">
        <x:v>East and Southeast Asia and Oceania</x:v>
      </x:c>
      <x:c r="R581" s="4" t="str">
        <x:v>Included</x:v>
      </x:c>
    </x:row>
    <x:row r="582" ht="409" hidden="0" customHeight="1">
      <x:c r="A582" s="16" t="str">
        <x:v>R6-EA-004</x:v>
      </x:c>
      <x:c r="B582" s="4" t="str">
        <x:v>Chi Ma–Ai Diem suspends freight clearance after infected cargo worker detected</x:v>
      </x:c>
      <x:c r="C582" s="4" t="str">
        <x:v>Vietnam; China</x:v>
      </x:c>
      <x:c r="D582" s="4" t="str">
        <x:v>Chi Ma–Ai Diem
Cargo clearance through Chi Ma–Ai Diem</x:v>
      </x:c>
      <x:c r="E582" s="4" t="str">
        <x:v>Import/export freight; endpoint directly evidences Vietnamese export vehicles.
Direction: Both directions in notice; observed endpoint Vietnam to China.
Exceptions: No cargo exemptions established in closure notices; subsequent throughput remained restricted.</x:v>
      </x:c>
      <x:c r="F582" s="4" t="str">
        <x:v>R6-EA-004-D1 — Observed operation
Vietnam-to-China export freight through Chi Ma–Ai Diem to first resumed export clearance.
Start: 2022-01-17.
Observed scoped reopening: 2022-01-25.
8 calendar-day difference; scoped endpoint only</x:v>
      </x:c>
      <x:c r="G582"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82" s="4" t="str">
        <x:v>R6-EA-004-D1: Reports disagree on the start hour, not the date. The export endpoint does not establish restoration of imports or every commodity; agency republications share one origin.</x:v>
      </x:c>
      <x:c r="I582" s="4" t="str">
        <x:v>Second full-register audit, 26 October 2026: qualified. January 17 suspension and January 25 observed export restoration are supported by government and agency accounts.</x:v>
      </x:c>
      <x:c r="J582" s="18" t="d">
        <x:v>2026-10-26T00:00:00.000Z</x:v>
      </x:c>
      <x:c r="K582" s="21" t="str">
        <x:f>IFERROR(HYPERLINK("https://www.vietnamplus.vn/hai-cua-khau-chi-ma-va-tan-thanh-thuc-hien-thong-quan-tro-lai/770432.vnp","VietnamPlus"),"VietnamPlus")</x:f>
        <x:v>VietnamPlus</x:v>
      </x:c>
      <x:c r="L582" s="21" t="str">
        <x:f>IFERROR(HYPERLINK("https://english.haiquanonline.com.vn/china-suspends-customs-clearance-at-chi-ma-border-gate-21290.html","Customs News"),"Customs News")</x:f>
        <x:v>Customs News</x:v>
      </x:c>
      <x:c r="M582" s="21" t="str">
        <x:f>IFERROR(HYPERLINK("https://baolangson.vn/tam-dung-thuc-hien-thong-quan-hang-hoa-qua-cua-khau-chi-ma-1475667.html","Lang Son newspaper"),"Lang Son newspaper")</x:f>
        <x:v>Lang Son newspaper</x:v>
      </x:c>
      <x:c r="N582" s="4" t="str">
        <x:v>https://www.vietnamplus.vn/hai-cua-khau-chi-ma-va-tan-thanh-thuc-hien-thong-quan-tro-lai/770432.vnp
https://english.haiquanonline.com.vn/china-suspends-customs-clearance-at-chi-ma-border-gate-21290.html
https://baolangson.vn/tam-dung-thuc-hien-thong-quan-hang-hoa-qua-cua-khau-chi-ma-1475667.html
https://baochinhphu.vn/lang-son-tam-dung-thong-quan-hang-hoa-qua-cua-khau-chi-ma-102220120111052071.htm
https://baotintuc.vn/kinh-te/cua-khau-chi-ma-tan-thanh-thong-quan-tro-lai-20220126174427269.htm</x:v>
      </x:c>
      <x:c r="O582" s="4" t="str">
        <x:v>Second full-register audit source access, 26 October 2026
https://baochinhphu.vn/lang-son-tam-dung-thong-quan-hang-hoa-qua-cua-khau-chi-ma-102220120111052071.htm: full text (fresh retrieval)
https://baotintuc.vn/kinh-te/cua-khau-chi-ma-tan-thanh-thong-quan-tro-lai-20220126174427269.htm: full text (fresh retrieval)
https://english.haiquanonline.com.vn/china-suspends-customs-clearance-at-chi-ma-border-gate-21290.html: inaccessible (fresh retrieval) — Direct access rejected.
Earlier URLs not separately inspected in this second assessment:
https://www.vietnamplus.vn/hai-cua-khau-chi-ma-va-tan-thanh-thuc-hien-thong-quan-tro-lai/770432.vnp
https://baolangson.vn/tam-dung-thuc-hien-thong-quan-hang-hoa-qua-cua-khau-chi-ma-1475667.html
Prior audit access record
Full-register audit source access (evidence cutoff 25 October 2026)
https://www.vietnamplus.vn/hai-cua-khau-chi-ma-va-tan-thanh-thuc-hien-thong-quan-tro-lai/770432.vnp: full text
https://english.haiquanonline.com.vn/china-suspends-customs-clearance-at-chi-ma-border-gate-21290.html: search extract — Direct access unavailable.
https://baolangson.vn/tam-dung-thuc-hien-thong-quan-hang-hoa-qua-cua-khau-chi-ma-1475667.html: search extract
https://baochinhphu.vn/lang-son-tam-dung-thong-quan-hang-hoa-qua-cua-khau-chi-ma-102220120111052071.htm: full text
Earlier source URLs not separately listed in this audit’s retrieval log (historical access notes below are not fresh verification):
https://baotintuc.vn/kinh-te/cua-khau-chi-ma-tan-thanh-thong-quan-tro-lai-20220126174427269.htm
Earlier recorded access
Source 1: opened full text
Source 2: substantive indexed text; direct open unavailable
Source 3: substantive indexed text; direct open returned 410</x:v>
      </x:c>
      <x:c r="P582" s="20" t="n">
        <x:v>1</x:v>
      </x:c>
      <x:c r="Q582" s="4" t="str">
        <x:v>East and Southeast Asia and Oceania</x:v>
      </x:c>
      <x:c r="R582" s="4" t="str">
        <x:v>Included</x:v>
      </x:c>
    </x:row>
    <x:row r="583" ht="409" hidden="0" customHeight="1">
      <x:c r="A583" s="16" t="str">
        <x:v>R6-EA-005</x:v>
      </x:c>
      <x:c r="B583" s="4" t="str">
        <x:v>Chi Ma–Ai Diem halts freight clearance during March–April 2022 outbreak</x:v>
      </x:c>
      <x:c r="C583" s="4" t="str">
        <x:v>Vietnam; China</x:v>
      </x:c>
      <x:c r="D583" s="4" t="str">
        <x:v>Chi Ma–Ai Diem
Cargo clearance through Chi Ma–Ai Diem</x:v>
      </x:c>
      <x:c r="E583" s="4" t="str">
        <x:v>Bilateral freight suspension; later partial restoration is evidenced for China-to-Vietnam imports.
Direction: Both freight directions reported suspended; five inbound trucks recorded on 2022-04-22 and eight on 2022-04-26, with no exports on either day.
Exceptions: Container-transfer procedures and restricted capacity continued. These counts do not establish full bilateral restoration.</x:v>
      </x:c>
      <x:c r="F583" s="4" t="str">
        <x:v>R6-EA-005-FU1 — Observed operation
Chi Ma–Ai Diem bilateral freight clearance
Start: unknown; clearance confirmed suspended on 2022-03-15.
Partial freight access restored by: 2022-04-22, when the published daily report records five inbound trucks and no exports. The April 26 report records eight imports and no exports.
The disputed April 20 first-import report and April 21 protocol change do not establish full restoration. Exact onset, first restored shipment and continuous duration remain unresolved; no numerical duration is calculated.
Government News reports a suspension lasting more than a month before the April 21 relaxation. This supports greater-than-24-hour eligibility for the freight interruption, while the conflicting onset and first-shipment reports still prevent a precise complete duration.</x:v>
      </x:c>
      <x:c r="G58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83" s="4" t="str">
        <x:v>R6-EA-005-FU1: Dan Viet records a March 14 closure notice and a March 15 official exchange confirming clearance could not proceed. The provincial April 20 report records one inbound truck, while the later Finance Ministry letter 4612 records zero and internally conflicts between March 15 and April 15 onset dates. Government News separately reports cargo processing on April 21. These discrepancies remain visible. However, daily official trade reports dated to April 22 and April 26 explicitly record five and eight imports respectively, with no exports. Therefore some China-to-Vietnam freight clearance was restored by April 22, independently of the disputed first-shipment date. This is a partial later-access bound, not unrestricted bilateral trade, exact first reopening, or proof of a continuous March–April closure.
Government News reports a suspension lasting more than a month before the April 21 relaxation. This supports greater-than-24-hour eligibility for the freight interruption, while the conflicting onset and first-shipment reports still prevent a precise complete duration.</x:v>
      </x:c>
      <x:c r="I583" s="4" t="str">
        <x:v>Second full-register audit, 26 October 2026: additional source-audited corrections incorporated. See the phase, scope and qualification columns for the accepted findings.</x:v>
      </x:c>
      <x:c r="J583" s="18" t="d">
        <x:v>2026-10-26T00:00:00.000Z</x:v>
      </x:c>
      <x:c r="K583" s="21" t="str">
        <x:f>IFERROR(HYPERLINK("https://www.vietnamplus.vn/lang-son-nang-luc-thong-quan-hang-hoa-qua-cac-cua-khau-van-rat-cham-post778236.vnp","VietnamPlus / VNA"),"VietnamPlus / VNA")</x:f>
        <x:v>VietnamPlus / VNA</x:v>
      </x:c>
      <x:c r="L583" s="21" t="str">
        <x:f>IFERROR(HYPERLINK("https://danviet.vn/lang-son-cua-khau-chi-ma-tam-dung-thong-quan-20220316153043089-d1007384.html","Dân Việt"),"Dân Việt")</x:f>
        <x:v>Dân Việt</x:v>
      </x:c>
      <x:c r="M583" s="21" t="str">
        <x:f>IFERROR(HYPERLINK("https://vanphong.langson.gov.vn/upload/105364/20231214/c81ccef33cecaa01667df6e7800c86e0BC_20tinh_20hinh_20XNK_20ngay_2020.4.2022.pdf","Lạng Sơn provincial government"),"Lạng Sơn provincial government")</x:f>
        <x:v>Lạng Sơn provincial government</x:v>
      </x:c>
      <x:c r="N583" s="4" t="str">
        <x:v>https://www.vietnamplus.vn/lang-son-nang-luc-thong-quan-hang-hoa-qua-cac-cua-khau-van-rat-cham-post778236.vnp
https://danviet.vn/lang-son-cua-khau-chi-ma-tam-dung-thong-quan-20220316153043089-d1007384.html
https://vanphong.langson.gov.vn/upload/105364/20231214/c81ccef33cecaa01667df6e7800c86e0BC_20tinh_20hinh_20XNK_20ngay_2020.4.2022.pdf
https://thuvienphapluat.vn/cong-van/Xuat-nhap-khau/Cong-van-4612-BTC-TCHQ-2022-nang-cao-nang-luc-van-chuyen-hang-hoa-xuat-nhap-khau-bang-duong-sat-516891.aspx?tab=2
https://bnews.vn/thong-quan-hang-hoa-tai-lang-son-van-rat-cham/236716.html
https://vinacas.com.vn/khoi-phuc-thong-quan-hang-hoa-tai-nhieu-cua-khau-o-lang-son-bv2910.htm
https://hethongphapluat.com/cong-van-4612-btc-tchq-nam-2022-ve-nang-cao-nang-luc-hieu-qua-van-chuyen-hang-hoa-xuat-khau-nhap-khau-bang-duong-sat-do-bo-tai-chinh-ban-hanh.html
https://vbpl.ts24.com.vn/support/solutions/articles/16000136657-c%C3%B4ng-v%C4%83n-4612-btc-tchq-ng%C3%A0y-23-05-2022-n%C3%A2ng-cao-n%C4%83ng-l%E1%BB%B1c-hi%E1%BB%87u-qu%E1%BA%A3-v%E1%BA%ADn-chuy%E1%BB%83n-h%C3%A0ng-h%C3%B3a-xu%E1%BA%A5t-kh%E1%BA%A9u-nh%E1%BA%AD
https://vneconomy.vn/cua-khau-huu-nghi-tan-thanh-chi-ma-van-thong-quan-hang-hoa-nhung-so-luong-han-che
https://24hmoney.vn/news/tam-dung-thong-quan-hang-qua-cap-cua-khau-song-phuong-chi-ma--ai-diem-den-het-17-3-c27a1386552.html
https://vneconomy.vn/tam-dung-thong-quan-hang-qua-cap-cua-khau-song-phuong-chi-ma-ai-diem-den-het-17-3.htm
https://baochinhphu.vn/nhieu-cua-khau-voi-trung-quoc-khoi-phuc-thong-quan-hang-hoa-102220425132452852.htm
https://www.vinacas.com.vn/khoi-phuc-thong-quan-hang-hoa-tai-nhieu-cua-khau-o-lang-son-bv2910.htm
https://baolangson.vn/cua-khau-song-phuong-chi-ma-viet-nam-ai-diem-trung-quoc-thuc-hien-thong-quan-tro-lai-1494907.html
https://sct.dongnai.gov.vn/vi/news/Quan-ly-thuong-mai/tinh-hinh-xnk-hang-hoa-qua-cac-cua-khau-tren-dia-ban-tinh-lang-son-cap-nhat-den-20h00-ngay-22-4-2022-3642.html
https://sct.dongnai.gov.vn/vi/news/Quan-ly-thuong-mai/tinh-hinh-xnk-hang-hoa-qua-cac-cua-khau-tren-dia-ban-tinh-lang-son-cap-nhat-den-20h00-ngay-26-4-2022-3644.html</x:v>
      </x:c>
      <x:c r="O583" s="4" t="str">
        <x:v>Second full-register audit source access, 26 October 2026
https://danviet.vn/lang-son-cua-khau-chi-ma-tam-dung-thong-quan-20220316153043089-d1007384.html: full text (fresh retrieval)
https://thuvienphapluat.vn/cong-van/Xuat-nhap-khau/Cong-van-4612-BTC-TCHQ-2022-nang-cao-nang-luc-van-chuyen-hang-hoa-xuat-nhap-khau-bang-duong-sat-516891.aspx?tab=2: full text (fresh retrieval) — Internal March/April onset discrepancy.
https://sct.dongnai.gov.vn/vi/news/Quan-ly-thuong-mai/tinh-hinh-xnk-hang-hoa-qua-cac-cua-khau-tren-dia-ban-tinh-lang-son-cap-nhat-den-20h00-ngay-22-4-2022-3642.html: full text (fresh retrieval) — Published May 4; measurements are explicitly April 22.
https://sct.dongnai.gov.vn/vi/news/Quan-ly-thuong-mai/tinh-hinh-xnk-hang-hoa-qua-cac-cua-khau-tren-dia-ban-tinh-lang-son-cap-nhat-den-20h00-ngay-26-4-2022-3644.html: full text (fresh retrieval) — Published May 4; measurements are explicitly April 26.
https://baochinhphu.vn/nhieu-cua-khau-voi-trung-quoc-khoi-phuc-thong-quan-hang-hoa-102220425132452852.htm: full text (fresh retrieval)
Earlier URLs not separately inspected in this second assessment:
https://www.vietnamplus.vn/lang-son-nang-luc-thong-quan-hang-hoa-qua-cac-cua-khau-van-rat-cham-post778236.vnp
https://vanphong.langson.gov.vn/upload/105364/20231214/c81ccef33cecaa01667df6e7800c86e0BC_20tinh_20hinh_20XNK_20ngay_2020.4.2022.pdf
https://bnews.vn/thong-quan-hang-hoa-tai-lang-son-van-rat-cham/236716.html
https://vinacas.com.vn/khoi-phuc-thong-quan-hang-hoa-tai-nhieu-cua-khau-o-lang-son-bv2910.htm
https://hethongphapluat.com/cong-van-4612-btc-tchq-nam-2022-ve-nang-cao-nang-luc-hieu-qua-van-chuyen-hang-hoa-xuat-khau-nhap-khau-bang-duong-sat-do-bo-tai-chinh-ban-hanh.html
https://vbpl.ts24.com.vn/support/solutions/articles/16000136657-c%C3%B4ng-v%C4%83n-4612-btc-tchq-ng%C3%A0y-23-05-2022-n%C3%A2ng-cao-n%C4%83ng-l%E1%BB%B1c-hi%E1%BB%87u-qu%E1%BA%A3-v%E1%BA%ADn-chuy%E1%BB%83n-h%C3%A0ng-h%C3%B3a-xu%E1%BA%A5t-kh%E1%BA%A9u-nh%E1%BA%AD
https://vneconomy.vn/cua-khau-huu-nghi-tan-thanh-chi-ma-van-thong-quan-hang-hoa-nhung-so-luong-han-che
https://24hmoney.vn/news/tam-dung-thong-quan-hang-qua-cap-cua-khau-song-phuong-chi-ma--ai-diem-den-het-17-3-c27a1386552.html
https://vneconomy.vn/tam-dung-thong-quan-hang-qua-cap-cua-khau-song-phuong-chi-ma-ai-diem-den-het-17-3.htm
https://www.vinacas.com.vn/khoi-phuc-thong-quan-hang-hoa-tai-nhieu-cua-khau-o-lang-son-bv2910.htm
https://baolangson.vn/cua-khau-song-phuong-chi-ma-viet-nam-ai-diem-trung-quoc-thuc-hien-thong-quan-tro-lai-1494907.html
Prior audit access record
Full-register audit source access (evidence cutoff 25 October 2026)
https://danviet.vn/lang-son-cua-khau-chi-ma-tam-dung-thong-quan-20220316153043089-d1007384.html: full text — See specific claim qualifications.
https://vanphong.langson.gov.vn/upload/105364/20231214/c81ccef33cecaa01667df6e7800c86e0BC_20tinh_20hinh_20XNK_20ngay_2020.4.2022.pdf: search extract — Direct PDF timeout; substantive relevant table and prose indexed.
https://hethongphapluat.com/cong-van-4612-btc-tchq-nam-2022-ve-nang-cao-nang-luc-hieu-qua-van-chuyen-hang-hoa-xuat-khau-nhap-khau-bang-duong-sat-do-bo-tai-chinh-ban-hanh.html: full text — See specific claim qualifications.
https://baochinhphu.vn/nhieu-cua-khau-voi-trung-quoc-khoi-phuc-thong-quan-hang-hoa-102220425132452852.htm: full text — See specific claim qualifications.
https://www.vinacas.com.vn/khoi-phuc-thong-quan-hang-hoa-tai-nhieu-cua-khau-o-lang-son-bv2910.htm: full text — See specific claim qualifications.
https://sct.dongnai.gov.vn/vi/news/Quan-ly-thuong-mai/tinh-hinh-xnk-hang-hoa-qua-cac-cua-khau-tren-dia-ban-tinh-lang-son-cap-nhat-den-20h00-ngay-22-4-2022-3642.html: full text — See specific claim qualifications.
https://sct.dongnai.gov.vn/vi/news/Quan-ly-thuong-mai/tinh-hinh-xnk-hang-hoa-qua-cac-cua-khau-tren-dia-ban-tinh-lang-son-cap-nhat-den-20h00-ngay-26-4-2022-3644.html: full text — See specific claim qualifications.
Earlier source URLs not separately listed in this audit’s retrieval log (historical access notes below are not fresh verification):
https://www.vietnamplus.vn/lang-son-nang-luc-thong-quan-hang-hoa-qua-cac-cua-khau-van-rat-cham-post778236.vnp
https://thuvienphapluat.vn/cong-van/Xuat-nhap-khau/Cong-van-4612-BTC-TCHQ-2022-nang-cao-nang-luc-van-chuyen-hang-hoa-xuat-nhap-khau-bang-duong-sat-516891.aspx?tab=2
https://bnews.vn/thong-quan-hang-hoa-tai-lang-son-van-rat-cham/236716.html
https://vinacas.com.vn/khoi-phuc-thong-quan-hang-hoa-tai-nhieu-cua-khau-o-lang-son-bv2910.htm
https://vbpl.ts24.com.vn/support/solutions/articles/16000136657-c%C3%B4ng-v%C4%83n-4612-btc-tchq-ng%C3%A0y-23-05-2022-n%C3%A2ng-cao-n%C4%83ng-l%E1%BB%B1c-hi%E1%BB%87u-qu%E1%BA%A3-v%E1%BA%ADn-chuy%E1%BB%83n-h%C3%A0ng-h%C3%B3a-xu%E1%BA%A5t-kh%E1%BA%A9u-nh%E1%BA%AD
https://vneconomy.vn/cua-khau-huu-nghi-tan-thanh-chi-ma-van-thong-quan-hang-hoa-nhung-so-luong-han-che
https://24hmoney.vn/news/tam-dung-thong-quan-hang-qua-cap-cua-khau-song-phuong-chi-ma--ai-diem-den-het-17-3-c27a1386552.html
https://vneconomy.vn/tam-dung-thong-quan-hang-qua-cap-cua-khau-song-phuong-chi-ma-ai-diem-den-het-17-3.htm
https://baolangson.vn/cua-khau-song-phuong-chi-ma-viet-nam-ai-diem-trung-quoc-thuc-hien-thong-quan-tro-lai-1494907.html
Earlier recorded access
Source 1: full text
Source 2: full text
Source 3: indexed excerpt; failed; indexed extract</x:v>
      </x:c>
      <x:c r="P583" s="20" t="n">
        <x:v>1</x:v>
      </x:c>
      <x:c r="Q583" s="4" t="str">
        <x:v>East and Southeast Asia and Oceania</x:v>
      </x:c>
      <x:c r="R583" s="4" t="str">
        <x:v>Included</x:v>
      </x:c>
    </x:row>
    <x:row r="584" ht="409" hidden="0" customHeight="1">
      <x:c r="A584" s="16" t="str">
        <x:v>R6-EU-005</x:v>
      </x:c>
      <x:c r="B584" s="4" t="str">
        <x:v>Kastanies–Pazarkule gate closure following February 2020 migration confrontation</x:v>
      </x:c>
      <x:c r="C584" s="4" t="str">
        <x:v>Greece; Türkiye</x:v>
      </x:c>
      <x:c r="D584" s="4" t="str">
        <x:v>Kastanies (Greece)–Pazarkule (Turkey)
Specific road/pedestrian crossing, later subject to pandemic admission restrictions</x:v>
      </x:c>
      <x:c r="E584" s="4" t="str">
        <x:v>Users of the named gate; no national Greece–Turkey total freight closure inferred.
Direction: Gate service affected; initial stated concern was entry into Greece.
Exceptions: Other crossings and exceptional admission remained possible; July 2021 resumption retained eligibility/health limits.</x:v>
      </x:c>
      <x:c r="F584" s="4" t="str">
        <x:v>R6-EU-005-R1 — Observed operation
Kastanies–Pazarkule gate unavailable for ordinary authorized civilian passenger crossings, ending with restricted passenger operation
Start: 2020-02-28, from contemporaneous reporting that the customs post had closed that Friday.
Observed scoped reopening: 2021-07-03; service was reported from 16:30 for eligible passengers.
491 calendar-day difference; scoped endpoint only, not an exact measured all-category closure duration.</x:v>
      </x:c>
      <x:c r="G584" s="4" t="str">
        <x:v>Migration / Entry and asylum control
Reported initial reason
Contemporary reporting links the February 28 customs-post suspension to preventing uncontrolled entry after a large crowd gathered on the Turkish side.
Health and biosecurity / Human disease control
Subsequent policy context
Pandemic admission restrictions later governed the crossing; the precise transition date from the migration confrontation is unresolved.</x:v>
      </x:c>
      <x:c r="H584" s="4" t="str">
        <x:v>R6-EU-005-R1: February 28 contemporary ANA reporting is preferred for the first observed gate closure, corroborated by July 2020 DHA reporting. A Romanian notice reports all-category closure from February 29, while a July 2021 retrospective article gives March 1; these competing descriptions are retained rather than silently harmonized. The July 1, 2020 reopening announcement did not produce actual opening. Migration and pandemic rationales changed at an unresolved date. July 3, 2021 reopened service for eligible passengers, not all nationalities. Irregular river crossings and alternative service at Ipsala are excluded.</x:v>
      </x:c>
      <x:c r="I584" s="4" t="str">
        <x:v>Second full-register audit, 26 October 2026: additional source-audited corrections incorporated. See the phase, scope and qualification columns for the accepted findings.</x:v>
      </x:c>
      <x:c r="J584" s="18" t="d">
        <x:v>2026-10-26T00:00:00.000Z</x:v>
      </x:c>
      <x:c r="K584" s="21" t="str">
        <x:f>IFERROR(HYPERLINK("https://www.newsbomb.gr/en/story/1058466/kastanies-customs-post-closed-after-large-numbers-of-people-seek-to-enter-greece-from-turkey","Newsbomb"),"Newsbomb")</x:f>
        <x:v>Newsbomb</x:v>
      </x:c>
      <x:c r="L584" s="21" t="str">
        <x:f>IFERROR(HYPERLINK("https://www.gunhaber.com.tr/haber/Yunanistan-1-Temmuz-da-acilacagini-duyurdugu-sinir-kapilari-acmadi/457086","DHA via Gün Haber"),"DHA via Gün Haber")</x:f>
        <x:v>DHA via Gün Haber</x:v>
      </x:c>
      <x:c r="M584" s="21" t="str">
        <x:f>IFERROR(HYPERLINK("https://atina-be.mfa.gov.tr/Mission/ShowAnnouncement/375288","Turkish Embassy in Athens"),"Turkish Embassy in Athens")</x:f>
        <x:v>Turkish Embassy in Athens</x:v>
      </x:c>
      <x:c r="N584" s="4" t="str">
        <x:v>https://www.newsbomb.gr/en/story/1058466/kastanies-customs-post-closed-after-large-numbers-of-people-seek-to-enter-greece-from-turkey
https://www.gunhaber.com.tr/haber/Yunanistan-1-Temmuz-da-acilacagini-duyurdugu-sinir-kapilari-acmadi/457086
https://atina-be.mfa.gov.tr/Mission/ShowAnnouncement/375288
https://www.trthaber.com/haber/turkiye/pazarkule-sinir-kapisi-yeniden-acildi-593089.html
https://www.sozcu.com.tr/pazarkule-sinir-kapisi-16-ay-sonra-hizmet-vermeye-basladi-wp6519961
https://mobile.aa.com.tr/tr/dunya/yunanistan-komsu-ulkelere-sinirlarini-acma-karari-aldi/1893805
https://www.ekathimerini.com/opinion/1164082/reopen-the-greek-turkish-borders-why-it-makes-sense-now/
https://www.news.ro/politic-extern/mae-frontiera-terestra-dintre-republica-elena-si-turcia-in-zona-kastanies-regiunea-evros-inchisa-circulatiei-tuturor-categoriilor-de-persoane-si-marfuri-1922404329532020021119284512
https://insete.gr/wp-content/uploads/2021/12/Bulletin_EN_2102-1.pdf</x:v>
      </x:c>
      <x:c r="O584" s="4" t="str">
        <x:v>Second full-register audit source access, 26 October 2026
https://www.newsbomb.gr/en/story/1058466/kastanies-customs-post-closed-after-large-numbers-of-people-seek-to-enter-greece-from-turkey: full text (fresh retrieval)
https://www.gunhaber.com.tr/haber/Yunanistan-1-Temmuz-da-acilacagini-duyurdugu-sinir-kapilari-acmadi/457086: full text (fresh retrieval)
https://atina-be.mfa.gov.tr/Mission/ShowAnnouncement/375288: full text (fresh retrieval)
https://www.trthaber.com/haber/turkiye/pazarkule-sinir-kapisi-yeniden-acildi-593089.html: full text (fresh retrieval)
https://www.sozcu.com.tr/pazarkule-sinir-kapisi-16-ay-sonra-hizmet-vermeye-basladi-wp6519961: full text (fresh retrieval)
https://www.news.ro/politic-extern/mae-frontiera-terestra-dintre-republica-elena-si-turcia-in-zona-kastanies-regiunea-evros-inchisa-circulatiei-tuturor-categoriilor-de-persoane-si-marfuri-1922404329532020021119284512: full text (fresh retrieval)
Earlier URLs not separately inspected in this second assessment:
https://mobile.aa.com.tr/tr/dunya/yunanistan-komsu-ulkelere-sinirlarini-acma-karari-aldi/1893805
https://www.ekathimerini.com/opinion/1164082/reopen-the-greek-turkish-borders-why-it-makes-sense-now/
https://insete.gr/wp-content/uploads/2021/12/Bulletin_EN_2102-1.pdf
Prior audit access record
Full-register audit source access (evidence cutoff 25 October 2026)
https://www.newsbomb.gr/en/story/1058466/kastanies-customs-post-closed-after-large-numbers-of-people-seek-to-enter-greece-from-turkey: full text
https://www.news.ro/politic-extern/mae-frontiera-terestra-dintre-republica-elena-si-turcia-in-zona-kastanies-regiunea-evros-inchisa-circulatiei-tuturor-categoriilor-de-persoane-si-marfuri-1922404329532020021119284512: full text
https://www.gunhaber.com.tr/haber/Yunanistan-1-Temmuz-da-acilacagini-duyurdugu-sinir-kapilari-acmadi/457086: full text
https://atina-be.mfa.gov.tr/Mission/ShowAnnouncement/375288: full text
https://www.trthaber.com/haber/turkiye/pazarkule-sinir-kapisi-yeniden-acildi-593089.html: full text
https://www.sozcu.com.tr/pazarkule-sinir-kapisi-16-ay-sonra-hizmet-vermeye-basladi-wp6519961: full text
https://www.ekathimerini.com/opinion/1164082/reopen-the-greek-turkish-borders-why-it-makes-sense-now/: inaccessible — 403; other primary and operational sources inspected.
Earlier source URLs not separately listed in this audit’s retrieval log (historical access notes below are not fresh verification):
https://mobile.aa.com.tr/tr/dunya/yunanistan-komsu-ulkelere-sinirlarini-acma-karari-aldi/1893805
https://insete.gr/wp-content/uploads/2021/12/Bulletin_EN_2102-1.pdf
Earlier recorded access
Source 1: full
Source 2: indexed excerpt; full; full text
Source 3: full; full text</x:v>
      </x:c>
      <x:c r="P584" s="20" t="n">
        <x:v>1</x:v>
      </x:c>
      <x:c r="Q584" s="4" t="str">
        <x:v>Europe</x:v>
      </x:c>
      <x:c r="R584" s="4" t="str">
        <x:v>Included</x:v>
      </x:c>
    </x:row>
    <x:row r="585" ht="409" hidden="0" customHeight="1">
      <x:c r="A585" s="16" t="str">
        <x:v>R6-EU-001</x:v>
      </x:c>
      <x:c r="B585" s="4" t="str">
        <x:v>Finland restricts non-exempt land entry and closes secondary routes in the first COVID wave</x:v>
      </x:c>
      <x:c r="C585" s="4" t="str">
        <x:v>Finland; Norway; Sweden; Russia</x:v>
      </x:c>
      <x:c r="D585" s="4" t="str">
        <x:v>Designated Norway/Sweden gates; Russian frontier; Vainikkala passenger rail
National land-entry regime, with frontier-specific exceptions and partial easing</x:v>
      </x:c>
      <x:c r="E585" s="4" t="str">
        <x:v>Non-exempt passenger entry and use of secondary land routes.
Direction: Entry restriction; designated-route restrictions in both directions.
Exceptions: Return rights, goods, necessary travel and evolving work exceptions; outward travel advice did not abolish constitutional exit rights.</x:v>
      </x:c>
      <x:c r="F585" s="4" t="str">
        <x:v>R6-EU-001-D1 — Formal policy
Finland's non-exempt ordinary entry restriction at its Norwegian land frontier
Start: 2020-03-19.
Policy endpoint: 2020-06-15.
Formal policy: 88 calendar-day difference; operational continuity not established</x:v>
      </x:c>
      <x:c r="G58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85" s="4" t="str">
        <x:v>R6-EU-001-D1: Policy only, not first refusal or every post's enforcement. Return, goods, necessary/work exceptions evolved; constitutional exit rights remained. Excludes Sweden/Russia, where restrictions continued, and does not treat outward advice as a legal exit ban.</x:v>
      </x:c>
      <x:c r="I585" s="4" t="str">
        <x:v>Second full-register audit, 26 October 2026: qualified. Fresh Border Guard instructions confirm the Norway-only June 15 easing and continuing constitutional exit rights.</x:v>
      </x:c>
      <x:c r="J585" s="18" t="d">
        <x:v>2026-10-26T00:00:00.000Z</x:v>
      </x:c>
      <x:c r="K585" s="21" t="str">
        <x:f>IFERROR(HYPERLINK("https://valtioneuvosto.fi/en/-/1410869/suomen-rajaliikennetta-aletaan-rajoittaa-elakkeella-olevia-rajavartijoita-ja-poliiseja-voidaan-kutsua-toihin","Finnish Ministry of the Interior"),"Finnish Ministry of the Interior")</x:f>
        <x:v>Finnish Ministry of the Interior</x:v>
      </x:c>
      <x:c r="L585" s="21" t="str">
        <x:f>IFERROR(HYPERLINK("https://valtioneuvosto.fi/en/-/1410869/valtioneuvoston-paatos-rajaliikenteen-rajoituksista-15-6-alkaen","Finnish Ministry of the Interior"),"Finnish Ministry of the Interior")</x:f>
        <x:v>Finnish Ministry of the Interior</x:v>
      </x:c>
      <x:c r="M585" s="21" t="str">
        <x:f>IFERROR(HYPERLINK("https://um.fi/current-affairs/-/asset_publisher/gc654PySnjTX/content/coronavirus-pandemic-is-a-global-threat-continue-to-avoid-travelling","Finnish Ministry for Foreign Affairs"),"Finnish Ministry for Foreign Affairs")</x:f>
        <x:v>Finnish Ministry for Foreign Affairs</x:v>
      </x:c>
      <x:c r="N585" s="4" t="str">
        <x:v>https://valtioneuvosto.fi/en/-/1410869/suomen-rajaliikennetta-aletaan-rajoittaa-elakkeella-olevia-rajavartijoita-ja-poliiseja-voidaan-kutsua-toihin
https://valtioneuvosto.fi/en/-/1410869/valtioneuvoston-paatos-rajaliikenteen-rajoituksista-15-6-alkaen
https://um.fi/current-affairs/-/asset_publisher/gc654PySnjTX/content/coronavirus-pandemic-is-a-global-threat-continue-to-avoid-travelling
https://returnticket.fi/en/news/restrictions-on-border-traffic-starting-from-15-jun
https://um.fi/documents/385072/0/Border%2BGuard%2Binstructions%2Bfor%2Bborder%2Btraffic%2Bas%2Bfrom%2B150620.pdf/86f675a9-37cc-b0c8-ff67-6e5ce91733d5?t=1592288486066
https://wiki.unece.org/pages/viewpage.action?navigatingVersions=true&amp;pageId=136446140
https://valtioneuvosto.fi/en/article/-/asset_publisher/1410869/valtioneuvoston-paatos-rajaliikenteen-rajoituksista-15-6-alkaen?_101_INSTANCE_3qmUeJgIxZEK_languageId=fi_FI</x:v>
      </x:c>
      <x:c r="O585" s="4" t="str">
        <x:v>Second full-register audit source access, 26 October 2026
https://valtioneuvosto.fi/en/-/1410869/suomen-rajaliikennetta-aletaan-rajoittaa-elakkeella-olevia-rajavartijoita-ja-poliiseja-voidaan-kutsua-toihin: search extract (fresh retrieval) — Direct page denied; substantive official indexed body.
https://um.fi/documents/385072/0/Border%2BGuard%2Binstructions%2Bfor%2Bborder%2Btraffic%2Bas%2Bfrom%2B150620.pdf/86f675a9-37cc-b0c8-ff67-6e5ce91733d5?t=1592288486066: full text (fresh retrieval)
Earlier URLs not separately inspected in this second assessment:
https://valtioneuvosto.fi/en/-/1410869/valtioneuvoston-paatos-rajaliikenteen-rajoituksista-15-6-alkaen
https://um.fi/current-affairs/-/asset_publisher/gc654PySnjTX/content/coronavirus-pandemic-is-a-global-threat-continue-to-avoid-travelling
https://returnticket.fi/en/news/restrictions-on-border-traffic-starting-from-15-jun
https://wiki.unece.org/pages/viewpage.action?navigatingVersions=true&amp;pageId=136446140
https://valtioneuvosto.fi/en/article/-/asset_publisher/1410869/valtioneuvoston-paatos-rajaliikenteen-rajoituksista-15-6-alkaen?_101_INSTANCE_3qmUeJgIxZEK_languageId=fi_FI
Prior audit access record
Full-register audit source access (evidence cutoff 25 October 2026)
https://valtioneuvosto.fi/en/-/1410869/suomen-rajaliikennetta-aletaan-rajoittaa-elakkeella-olevia-rajavartijoita-ja-poliiseja-voidaan-kutsua-toihin: search extract — Direct fetch intermittently403
https://valtioneuvosto.fi/en/article/-/asset_publisher/1410869/valtioneuvoston-paatos-rajaliikenteen-rajoituksista-15-6-alkaen?_101_INSTANCE_3qmUeJgIxZEK_languageId=fi_FI: search extract
Earlier source URLs not separately listed in this audit’s retrieval log (historical access notes below are not fresh verification):
https://valtioneuvosto.fi/en/-/1410869/valtioneuvoston-paatos-rajaliikenteen-rajoituksista-15-6-alkaen
https://um.fi/current-affairs/-/asset_publisher/gc654PySnjTX/content/coronavirus-pandemic-is-a-global-threat-continue-to-avoid-travelling
https://returnticket.fi/en/news/restrictions-on-border-traffic-starting-from-15-jun
https://um.fi/documents/385072/0/Border%2BGuard%2Binstructions%2Bfor%2Bborder%2Btraffic%2Bas%2Bfrom%2B150620.pdf/86f675a9-37cc-b0c8-ff67-6e5ce91733d5?t=1592288486066
https://wiki.unece.org/pages/viewpage.action?navigatingVersions=true&amp;pageId=136446140
Earlier recorded access
Source 1: full page
Source 2: substantive indexed full article; direct open blocked
Source 3: full page</x:v>
      </x:c>
      <x:c r="P585" s="20" t="n">
        <x:v>1</x:v>
      </x:c>
      <x:c r="Q585" s="4" t="str">
        <x:v>Europe</x:v>
      </x:c>
      <x:c r="R585" s="4" t="str">
        <x:v>Included</x:v>
      </x:c>
    </x:row>
    <x:row r="586" ht="409" hidden="0" customHeight="1">
      <x:c r="A586" s="16" t="str">
        <x:v>R6-EU-007</x:v>
      </x:c>
      <x:c r="B586" s="4" t="str">
        <x:v>San Marino physically closes secondary roads at its Italian border during COVID-19</x:v>
      </x:c>
      <x:c r="C586" s="4" t="str">
        <x:v>San Marino; Italy</x:v>
      </x:c>
      <x:c r="D586" s="4" t="str">
        <x:v>Minor roads along Italian frontier; initially Dogana, Gualdicciolo, Faetano, Cerbaiola and Chiesanuova retained; Rovereta later added with limits
Secondary border roads physically blocked; main controlled routes preserved</x:v>
      </x:c>
      <x:c r="E586" s="4" t="str">
        <x:v>Users of secondary roads; no complete isolation of San Marino.
Direction: Both directions on blocked roads.
Exceptions: Main routes remained; Rovereta later admitted heavy vehicles and health staff under time limits.</x:v>
      </x:c>
      <x:c r="F586" s="4" t="str">
        <x:v>R6-EU-007-R1 — Formal policy
San Marino road-access closure under Ordinance 17 excluding Dogana, Gualdicciolo, Faetano, Cerbaiola, Chiesanuova and Rovereta–Barrina main routes, with police-authorized temporary or timed openings
Start: 2020-05-05.
Policy endpoint: 2020-05-19.
Formal policy: 14 calendar-day difference; operational continuity not established</x:v>
      </x:c>
      <x:c r="G586"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86" s="4" t="str">
        <x:v>R6-EU-007-R1: Legal validity only. Ordinance 19 orders immediate reopening on May 19, with no hour or verified time of barrier removal. Ordinance 17 permits police-authorized additional temporary/timed openings for traffic or public-order needs. No property-access exemption appears in the inspected order or its attached sign. The earlier March 21/23–May 3 physical accounts remain separate.</x:v>
      </x:c>
      <x:c r="I586" s="4" t="str">
        <x:v>Second full-register audit, 26 October 2026: qualified. Fresh repeal instrument confirms May 5–19 legal restriction and retained main roads; publication does not prove the moment each barrier was removed.</x:v>
      </x:c>
      <x:c r="J586" s="18" t="d">
        <x:v>2026-10-26T00:00:00.000Z</x:v>
      </x:c>
      <x:c r="K586" s="21" t="str">
        <x:f>IFERROR(HYPERLINK("https://www.interni.sm/pub1/InterniSM/dam/jcr:749ca0c3-75cc-446e-9b2b-bb3abfcfd6a9/25118250Ordinanzan.17Cov.pdf","San Marino Secretary of State for Internal Affairs"),"San Marino Secretary of State for Internal Affairs")</x:f>
        <x:v>San Marino Secretary of State for Internal Affairs</x:v>
      </x:c>
      <x:c r="L586" s="21" t="str">
        <x:f>IFERROR(HYPERLINK("https://www.interni.sm/pub1/InterniSM/dam/jcr:485bcc36-e47a-48de-b740-8535d22398a2/2511717219-riaperturaCOV.pdf","San Marino Secretary of State for Internal Affairs"),"San Marino Secretary of State for Internal Affairs")</x:f>
        <x:v>San Marino Secretary of State for Internal Affairs</x:v>
      </x:c>
      <x:c r="M586" s="21" t="str">
        <x:f>IFERROR(HYPERLINK("https://www.garanteprivacy.sm/pub2/InterniSM/dam/jcr:749ca0c3-75cc-446e-9b2b-bb3abfcfd6a9/25118250Ordinanzan.17Cov.pdf","San Marino Secretary of State for Internal Affairs"),"San Marino Secretary of State for Internal Affairs")</x:f>
        <x:v>San Marino Secretary of State for Internal Affairs</x:v>
      </x:c>
      <x:c r="N586" s="4" t="str">
        <x:v>https://www.interni.sm/pub1/InterniSM/dam/jcr:749ca0c3-75cc-446e-9b2b-bb3abfcfd6a9/25118250Ordinanzan.17Cov.pdf
https://www.interni.sm/pub1/InterniSM/dam/jcr:485bcc36-e47a-48de-b740-8535d22398a2/2511717219-riaperturaCOV.pdf
https://www.garanteprivacy.sm/pub2/InterniSM/dam/jcr:749ca0c3-75cc-446e-9b2b-bb3abfcfd6a9/25118250Ordinanzan.17Cov.pdf
https://www.settesere.it/it/notizie-romagna-san-marino.-resoconto-delloperativit-della-gendarmeria-nellanno-2020-n27421.php
https://ambsanmarino.esteri.it/it/news/dall_ambasciata/2020/03/congresso-di-stato-della-repubblica/
https://giornalesm.com/san-marino-aperti-solo-5-varchi-di-accesso-alla-repubblica/
https://www.interni.sm/pub1/InterniSM/Ordinanze/Ordinanze2020.html
https://giornalesm.com/san-marino-aperti-tutti-i-varchi-di-frontiera/
https://www.interni.sm/pub1/InterniSM/dam/jcr%3A749ca0c3-75cc-446e-9b2b-bb3abfcfd6a9/25118250Ordinanzan.17Cov.pdf
https://www.interni.sm/pub1/InterniSM/dam/jcr%3A485bcc36-e47a-48de-b740-8535d22398a2/2511717219-riaperturaCOV.pdf</x:v>
      </x:c>
      <x:c r="O586" s="4" t="str">
        <x:v>Second full-register audit source access, 26 October 2026
https://www.interni.sm/pub1/InterniSM/dam/jcr:485bcc36-e47a-48de-b740-8535d22398a2/2511717219-riaperturaCOV.pdf: full text (fresh retrieval)
https://giornalesm.com/san-marino-aperti-tutti-i-varchi-di-frontiera/: full text (fresh retrieval)
https://www.interni.sm/pub1/InterniSM/dam/jcr:749ca0c3-75cc-446e-9b2b-bb3abfcfd6a9/25118250Ordinanzan.17Cov.pdf: full text (fresh retrieval) — Scanned PDF visually inspected; physical barrier installation and removal clocks not established.
Earlier URLs not separately inspected in this second assessment:
https://www.garanteprivacy.sm/pub2/InterniSM/dam/jcr:749ca0c3-75cc-446e-9b2b-bb3abfcfd6a9/25118250Ordinanzan.17Cov.pdf
https://www.settesere.it/it/notizie-romagna-san-marino.-resoconto-delloperativit-della-gendarmeria-nellanno-2020-n27421.php
https://ambsanmarino.esteri.it/it/news/dall_ambasciata/2020/03/congresso-di-stato-della-repubblica/
https://giornalesm.com/san-marino-aperti-solo-5-varchi-di-accesso-alla-repubblica/
https://www.interni.sm/pub1/InterniSM/Ordinanze/Ordinanze2020.html
https://www.interni.sm/pub1/InterniSM/dam/jcr%3A749ca0c3-75cc-446e-9b2b-bb3abfcfd6a9/25118250Ordinanzan.17Cov.pdf
https://www.interni.sm/pub1/InterniSM/dam/jcr%3A485bcc36-e47a-48de-b740-8535d22398a2/2511717219-riaperturaCOV.pdf
Prior audit access record
Full-register audit source access (evidence cutoff 25 October 2026)
https://www.interni.sm/pub1/InterniSM/dam/jcr:485bcc36-e47a-48de-b740-8535d22398a2/2511717219-riaperturaCOV.pdf: full text
https://www.interni.sm/pub1/InterniSM/Ordinanze/Ordinanze2020.html: full text
https://www.interni.sm/pub1/InterniSM/dam/jcr:749ca0c3-75cc-446e-9b2b-bb3abfcfd6a9/25118250Ordinanzan.17Cov.pdf: inaccessible — Full original order unavailable
Earlier source URLs not separately listed in this audit’s retrieval log (historical access notes below are not fresh verification):
https://www.garanteprivacy.sm/pub2/InterniSM/dam/jcr:749ca0c3-75cc-446e-9b2b-bb3abfcfd6a9/25118250Ordinanzan.17Cov.pdf
https://www.settesere.it/it/notizie-romagna-san-marino.-resoconto-delloperativit-della-gendarmeria-nellanno-2020-n27421.php
https://ambsanmarino.esteri.it/it/news/dall_ambasciata/2020/03/congresso-di-stato-della-repubblica/
https://giornalesm.com/san-marino-aperti-solo-5-varchi-di-accesso-alla-repubblica/
https://giornalesm.com/san-marino-aperti-tutti-i-varchi-di-frontiera/
https://www.interni.sm/pub1/InterniSM/dam/jcr%3A749ca0c3-75cc-446e-9b2b-bb3abfcfd6a9/25118250Ordinanzan.17Cov.pdf
https://www.interni.sm/pub1/InterniSM/dam/jcr%3A485bcc36-e47a-48de-b740-8535d22398a2/2511717219-riaperturaCOV.pdf
Earlier recorded access
Source 1: full; failed
Source 2: full
Source 3: full</x:v>
      </x:c>
      <x:c r="P586" s="20" t="n">
        <x:v>1</x:v>
      </x:c>
      <x:c r="Q586" s="4" t="str">
        <x:v>Europe</x:v>
      </x:c>
      <x:c r="R586" s="4" t="str">
        <x:v>Included</x:v>
      </x:c>
    </x:row>
    <x:row r="587" ht="409" hidden="0" customHeight="1">
      <x:c r="A587" s="16" t="str">
        <x:v>R6-EU-003</x:v>
      </x:c>
      <x:c r="B587" s="4" t="str">
        <x:v>Latvia prohibits nonessential European-origin entry through passenger carriers and for non-exempt private travellers in February 2021</x:v>
      </x:c>
      <x:c r="C587" s="4" t="str">
        <x:v>Latvia; Estonia; Lithuania</x:v>
      </x:c>
      <x:c r="D587" s="4" t="str">
        <x:v>Latvian land-entry routes, including Estonia and Lithuania
European-origin admission prohibition, including cross-border bus/rail passengers; important private-vehicle nationality/residence exception</x:v>
      </x:c>
      <x:c r="E587" s="4" t="str">
        <x:v>Nonessential passengers using international carriers and private-vehicle users outside the express nationality/residence exemption.
Direction: Inbound.
Exceptions: Essential purposes and commercial transport staff; from onset, non-commercial-vehicle entry by EU (including Latvian), EEA, Swiss and UK nationals, and EU permanent residents holding a Latvian residence permit, was not restricted under this provision.</x:v>
      </x:c>
      <x:c r="F587" s="4" t="str">
        <x:v>R6-EU-003-D1 — Formal policy
Latvian essential-purpose entry rule for non-exempt European-origin passenger-carrier users, including cross-border bus/rail
Start: 2021-02-11.
Policy endpoint: 2021-06-16.
Formal policy: 125 calendar-day difference; operational continuity not established</x:v>
      </x:c>
      <x:c r="G58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87" s="4" t="str">
        <x:v>R6-EU-003-D1: Not a blanket private-car or all-border ban: specified European nationals/residents in non-commercial vehicles were exempt from onset. Testing/isolation and very-high-risk rules persisted; intermediate amendments and actual first passenger crossing are not fully reconstructed.</x:v>
      </x:c>
      <x:c r="I587" s="4" t="str">
        <x:v>Second full-register audit, 26 October 2026: qualified. Fresh operative indexed text confirms the private-car exception; June easing is conditional rather than an all-border physical reopening.</x:v>
      </x:c>
      <x:c r="J587" s="18" t="d">
        <x:v>2026-10-26T00:00:00.000Z</x:v>
      </x:c>
      <x:c r="K587" s="21" t="str">
        <x:f>IFERROR(HYPERLINK("https://www.rs.gov.lv/en/article/until-end-emergency-situation-only-essential-travel-latvia-permitted","Latvian State Border Guard"),"Latvian State Border Guard")</x:f>
        <x:v>Latvian State Border Guard</x:v>
      </x:c>
      <x:c r="L587" s="21" t="str">
        <x:f>IFERROR(HYPERLINK("https://www.em.gov.lv/en/article/june-16-requirements-entering-latvia-abroad-will-be-eased","Latvian Ministry of Economics"),"Latvian Ministry of Economics")</x:f>
        <x:v>Latvian Ministry of Economics</x:v>
      </x:c>
      <x:c r="M587" s="21" t="str">
        <x:f>IFERROR(HYPERLINK("https://www.sam.gov.lv/en/article/june-16-requirements-entering-latvia-abroad-will-be-eased","Latvian Ministry of Transport"),"Latvian Ministry of Transport")</x:f>
        <x:v>Latvian Ministry of Transport</x:v>
      </x:c>
      <x:c r="N587" s="4" t="str">
        <x:v>https://www.rs.gov.lv/en/article/until-end-emergency-situation-only-essential-travel-latvia-permitted
https://www.em.gov.lv/en/article/june-16-requirements-entering-latvia-abroad-will-be-eased
https://www.sam.gov.lv/en/article/june-16-requirements-entering-latvia-abroad-will-be-eased
https://www.mk.gov.lv/en/regarding-declaration-emergency-situation
https://www.mfa.gov.lv/en/article/11-25-february-only-essential-travel-latvia-permitted
https://www.riga-airport.com/en/news/until-end-state-emergency-it-will-still-be-allowed-enter-latvia-important-and-urgent-reasons
https://covid19.gov.lv/en/aktualites/june-16-requirements-entering-latvia-abroad-will-be-eased
https://www.caa.gov.lv/en/article/11-25-february-only-essential-travel-latvia-permitted
https://www.sam.gov.lv/en/article/11-25-february-only-essential-travel-latvia-permitted
https://www.riga-airport.com/en/news/june-16-requirements-entering-latvia-abroad-will-be-eased
https://www.vestnesis.lv/op/2021/25A.4
https://likumi.lv/ta/en/en/id/318517
https://www.rs.gov.lv/lv/jaunums/no-16-junija-tiks-atvieglotas-prasibas-iecelosanai-latvija-no-arvalstim</x:v>
      </x:c>
      <x:c r="O587" s="4" t="str">
        <x:v>Second full-register audit source access, 26 October 2026
https://www.sam.gov.lv/en/article/11-25-february-only-essential-travel-latvia-permitted: search extract (fresh retrieval) — Substantive official indexed body; live site access timed out.
https://likumi.lv/ta/en/en/id/318517: search extract (fresh retrieval) — Relevant operative clause available in indexed text.
https://www.riga-airport.com/en/news/june-16-requirements-entering-latvia-abroad-will-be-eased: full text (fresh retrieval)
https://www.rs.gov.lv/lv/jaunums/no-16-junija-tiks-atvieglotas-prasibas-iecelosanai-latvija-no-arvalstim: search extract (previously retrieved text re-examined) — Indexed official text; very-high-risk exception retained.
Earlier URLs not separately inspected in this second assessment:
https://www.rs.gov.lv/en/article/until-end-emergency-situation-only-essential-travel-latvia-permitted
https://www.em.gov.lv/en/article/june-16-requirements-entering-latvia-abroad-will-be-eased
https://www.sam.gov.lv/en/article/june-16-requirements-entering-latvia-abroad-will-be-eased
https://www.mk.gov.lv/en/regarding-declaration-emergency-situation
https://www.mfa.gov.lv/en/article/11-25-february-only-essential-travel-latvia-permitted
https://www.riga-airport.com/en/news/until-end-state-emergency-it-will-still-be-allowed-enter-latvia-important-and-urgent-reasons
https://covid19.gov.lv/en/aktualites/june-16-requirements-entering-latvia-abroad-will-be-eased
https://www.caa.gov.lv/en/article/11-25-february-only-essential-travel-latvia-permitted
https://www.vestnesis.lv/op/2021/25A.4
Prior audit access record
Full-register audit source access (evidence cutoff 25 October 2026)
https://www.vestnesis.lv/op/2021/25A.4: search extract
https://likumi.lv/ta/en/en/id/318517: search extract
https://www.riga-airport.com/en/news/june-16-requirements-entering-latvia-abroad-will-be-eased: full text
https://www.mk.gov.lv/en/regarding-declaration-emergency-situation: inaccessible
Earlier source URLs not separately listed in this audit’s retrieval log (historical access notes below are not fresh verification):
https://www.rs.gov.lv/en/article/until-end-emergency-situation-only-essential-travel-latvia-permitted
https://www.em.gov.lv/en/article/june-16-requirements-entering-latvia-abroad-will-be-eased
https://www.sam.gov.lv/en/article/june-16-requirements-entering-latvia-abroad-will-be-eased
https://www.mfa.gov.lv/en/article/11-25-february-only-essential-travel-latvia-permitted
https://www.riga-airport.com/en/news/until-end-state-emergency-it-will-still-be-allowed-enter-latvia-important-and-urgent-reasons
https://covid19.gov.lv/en/aktualites/june-16-requirements-entering-latvia-abroad-will-be-eased
https://www.caa.gov.lv/en/article/11-25-february-only-essential-travel-latvia-permitted
https://www.sam.gov.lv/en/article/11-25-february-only-essential-travel-latvia-permitted
Earlier recorded access
Source 1: full article; includes later emergency-period updates
Source 2: full page initially; later retrieval timed out
Source 3: page opened; substantive indexed text retrieved through official mirrors</x:v>
      </x:c>
      <x:c r="P587" s="20" t="n">
        <x:v>1</x:v>
      </x:c>
      <x:c r="Q587" s="4" t="str">
        <x:v>Europe</x:v>
      </x:c>
      <x:c r="R587" s="4" t="str">
        <x:v>Included</x:v>
      </x:c>
    </x:row>
    <x:row r="588" ht="409" hidden="0" customHeight="1">
      <x:c r="A588" s="16" t="str">
        <x:v>R6-EU-002</x:v>
      </x:c>
      <x:c r="B588" s="4" t="str">
        <x:v>Slovenia prohibits non-exempt residents’ travel to red-listed countries until judicial stay</x:v>
      </x:c>
      <x:c r="C588" s="4" t="str">
        <x:v>Slovenia; Austria; Italy; Croatia; Hungary</x:v>
      </x:c>
      <x:c r="D588" s="4" t="str">
        <x:v>National land departures to listed countries/regions; not a closure of every gate
Outbound red-list travel prohibition, including land departures</x:v>
      </x:c>
      <x:c r="E588" s="4" t="str">
        <x:v>Residents undertaking non-exempt trips to red-listed destinations.
Direction: Outbound.
Exceptions: Vaccinated/recovered people and specified work, education, transport, transit, landholding and urgent categories subject to conditions.</x:v>
      </x:c>
      <x:c r="F588" s="4" t="str">
        <x:v>R6-EU-002-D1 — Formal policy
Non-exempt Slovenian citizens’ and residents’ outbound travel to red-listed countries.
Start: 2021-03-29.
Policy endpoint: 2021-04-08.
Formal policy: 10 calendar-day difference; operational continuity not established</x:v>
      </x:c>
      <x:c r="G588"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88" s="4" t="str">
        <x:v>R6-EU-002-D1: Formal policy dates only. Vaccinated/recovered and specified essential travellers had exceptions. The stay does not end inbound testing or quarantine, or establish the time of physical barrier removal.</x:v>
      </x:c>
      <x:c r="I588" s="4" t="str">
        <x:v>Second full-register audit, 26 October 2026: qualified. Government commencement and operative court stay support March 29–April 8 outbound phase.</x:v>
      </x:c>
      <x:c r="J588" s="18" t="d">
        <x:v>2026-10-26T00:00:00.000Z</x:v>
      </x:c>
      <x:c r="K588" s="21" t="str">
        <x:f>IFERROR(HYPERLINK("https://www.gov.si/en/news/2021-03-28-slovenia-in-lockdown-from-1-april-to-11-april-2021/","Government of Slovenia"),"Government of Slovenia")</x:f>
        <x:v>Government of Slovenia</x:v>
      </x:c>
      <x:c r="L588" s="21" t="str">
        <x:f>IFERROR(HYPERLINK("https://www.uradni-list.si/glasilo-uradni-list-rs/vsebina/2021-01-1045/sklep-o-zacasnem-zadrzanju-izvrsevanja-11--clena-odloka-o-dolocitvi-pogojev-vstopa-v-republiko-slovenijo-zaradi-zajezitve-in-obvladovanja-nalezljive-bolezni-covid-19","Uradni list Republike Slovenije"),"Uradni list Republike Slovenije")</x:f>
        <x:v>Uradni list Republike Slovenije</x:v>
      </x:c>
      <x:c r="M588" s="21" t="str">
        <x:f>IFERROR(HYPERLINK("https://www.metropolitan.si/novice/ustavno-sodisce-zacasno-zadrzalo-dolocbo-vladnega-odloka-ki-omejuje-potovanja-v-drzave-na-rdecem-seznamu/","Metropolitan.si"),"Metropolitan.si")</x:f>
        <x:v>Metropolitan.si</x:v>
      </x:c>
      <x:c r="N588" s="4" t="str">
        <x:v>https://www.gov.si/en/news/2021-03-28-slovenia-in-lockdown-from-1-april-to-11-april-2021/
https://www.uradni-list.si/glasilo-uradni-list-rs/vsebina/2021-01-1045/sklep-o-zacasnem-zadrzanju-izvrsevanja-11--clena-odloka-o-dolocitvi-pogojev-vstopa-v-republiko-slovenijo-zaradi-zajezitve-in-obvladovanja-nalezljive-bolezni-covid-19
https://www.metropolitan.si/novice/ustavno-sodisce-zacasno-zadrzalo-dolocbo-vladnega-odloka-ki-omejuje-potovanja-v-drzave-na-rdecem-seznamu/
https://www.24ur.com/novice/korona/ustavno-sodisce-zadrzalo-dolocbo-ki-omejuje-potovanja-v-rdece-drzave.html
https://www.us-rs.si/sl/zadeve-in-odlocitve/odlocitve/u-i-8321-u-i-8421-u-i-8621
https://www.tax-fin-lex.si/dokument/podrobnosti/49502cda-3c5f-470a-bb76-33be83121c57</x:v>
      </x:c>
      <x:c r="O588" s="4" t="str">
        <x:v>Second full-register audit source access, 26 October 2026
https://www.gov.si/en/news/2021-03-28-slovenia-in-lockdown-from-1-april-to-11-april-2021/: full text (fresh retrieval)
https://www.uradni-list.si/glasilo-uradni-list-rs/vsebina/2021-01-1045/sklep-o-zacasnem-zadrzanju-izvrsevanja-11--clena-odloka-o-dolocitvi-pogojev-vstopa-v-republiko-slovenijo-zaradi-zajezitve-in-obvladovanja-nalezljive-bolezni-covid-19: full text (fresh retrieval)
Earlier URLs not separately inspected in this second assessment:
https://www.metropolitan.si/novice/ustavno-sodisce-zacasno-zadrzalo-dolocbo-vladnega-odloka-ki-omejuje-potovanja-v-drzave-na-rdecem-seznamu/
https://www.24ur.com/novice/korona/ustavno-sodisce-zadrzalo-dolocbo-ki-omejuje-potovanja-v-rdece-drzave.html
https://www.us-rs.si/sl/zadeve-in-odlocitve/odlocitve/u-i-8321-u-i-8421-u-i-8621
https://www.tax-fin-lex.si/dokument/podrobnosti/49502cda-3c5f-470a-bb76-33be83121c57
Prior audit access record
Full-register audit source access (evidence cutoff 25 October 2026)
https://www.gov.si/en/news/2021-03-28-slovenia-in-lockdown-from-1-april-to-11-april-2021/: full text
https://www.us-rs.si/sl/zadeve-in-odlocitve/odlocitve/u-i-8321-u-i-8421-u-i-8621: search extract
https://www.tax-fin-lex.si/dokument/podrobnosti/49502cda-3c5f-470a-bb76-33be83121c57: search extract
https://www.uradni-list.si/glasilo-uradni-list-rs/vsebina/2021-01-1045/sklep-o-zacasnem-zadrzanju-izvrsevanja-11--clena-odloka-o-dolocitvi-pogojev-vstopa-v-republiko-slovenijo-zaradi-zajezitve-in-obvladovanja-nalezljive-bolezni-covid-19: inaccessible
Earlier source URLs not separately listed in this audit’s retrieval log (historical access notes below are not fresh verification):
https://www.metropolitan.si/novice/ustavno-sodisce-zacasno-zadrzalo-dolocbo-vladnega-odloka-ki-omejuje-potovanja-v-drzave-na-rdecem-seznamu/
https://www.24ur.com/novice/korona/ustavno-sodisce-zadrzalo-dolocbo-ki-omejuje-potovanja-v-rdece-drzave.html
Earlier recorded access
Source 1: full page
Source 2: full official text
Source 3: full article</x:v>
      </x:c>
      <x:c r="P588" s="20" t="n">
        <x:v>1</x:v>
      </x:c>
      <x:c r="Q588" s="4" t="str">
        <x:v>Europe</x:v>
      </x:c>
      <x:c r="R588" s="4" t="str">
        <x:v>Included</x:v>
      </x:c>
    </x:row>
    <x:row r="589" ht="409" hidden="0" customHeight="1">
      <x:c r="A589" s="16" t="str">
        <x:v>R6-EU-004</x:v>
      </x:c>
      <x:c r="B589" s="4" t="str">
        <x:v>England’s explicit non-excused overseas-departure prohibition, including Channel Tunnel travel</x:v>
      </x:c>
      <x:c r="C589" s="4" t="str">
        <x:v>United Kingdom; France</x:v>
      </x:c>
      <x:c r="D589" s="4" t="str">
        <x:v>International rail/tunnel departures from England, including Folkestone and international passenger rail terminals
England-only outbound legal prohibition; rail/tunnel component retained in this land-focused register</x:v>
      </x:c>
      <x:c r="E589" s="4" t="str">
        <x:v>Persons leaving England for overseas destinations without a reasonable excuse.
Direction: Outbound.
Exceptions: Reasonable excuses including work and other listed needs; specified hauliers, tunnel workers and other transport/diplomatic categories exempt.</x:v>
      </x:c>
      <x:c r="F589" s="4" t="str">
        <x:v>R6-EU-004-D1 — Formal policy
England’s explicit prohibition on overseas departure without reasonable excuse, including Channel Tunnel travel.
Start: 2021-03-29.
Policy endpoint: 2021-05-17.
Formal policy: 49 calendar-day difference; operational continuity not established</x:v>
      </x:c>
      <x:c r="G589"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89" s="4" t="str">
        <x:v>R6-EU-004-D1: Formal policy dates only. Reasonable-excuse and transport-worker exemptions continued as applicable. No first leisure-train movement is established. This England provision is not extrapolated to other UK jurisdictions or the Northern Ireland land border.</x:v>
      </x:c>
      <x:c r="I589" s="4" t="str">
        <x:v>Second full-register audit, 26 October 2026: qualified. Operative legislation confirms an actual overseas-departure prohibition, distinct from testing, limited to England and the dated49-day phase.</x:v>
      </x:c>
      <x:c r="J589" s="18" t="d">
        <x:v>2026-10-26T00:00:00.000Z</x:v>
      </x:c>
      <x:c r="K589" s="21" t="str">
        <x:f>IFERROR(HYPERLINK("https://www.legislation.gov.uk/uksi/2021/364/pdfs/uksi_20210364_en.pdf","legislation.gov.uk"),"legislation.gov.uk")</x:f>
        <x:v>legislation.gov.uk</x:v>
      </x:c>
      <x:c r="L589" s="21" t="str">
        <x:f>IFERROR(HYPERLINK("https://www.legislation.gov.uk/uksi/2021/585/pdfs/uksi_20210585_en.pdf","legislation.gov.uk"),"legislation.gov.uk")</x:f>
        <x:v>legislation.gov.uk</x:v>
      </x:c>
      <x:c r="M589" s="21" t="str">
        <x:f>IFERROR(HYPERLINK("https://www.cps.gov.uk/cy/node/14109","Crown Prosecution Service"),"Crown Prosecution Service")</x:f>
        <x:v>Crown Prosecution Service</x:v>
      </x:c>
      <x:c r="N589" s="4" t="str">
        <x:v>https://www.legislation.gov.uk/uksi/2021/364/pdfs/uksi_20210364_en.pdf
https://www.legislation.gov.uk/uksi/2021/585/pdfs/uksi_20210585_en.pdf
https://www.cps.gov.uk/cy/node/14109
https://www.cps.gov.uk/prosecution-guidance/coronavirus-health-protection-coronavirus-restrictions-steps-england
https://www.gov.uk/government/news/government-confirms-traffic-light-list-ahead-of-cautious-return-to-international-travel</x:v>
      </x:c>
      <x:c r="O589" s="4" t="str">
        <x:v>Second full-register audit source access, 26 October 2026
https://www.legislation.gov.uk/uksi/2021/364/pdfs/uksi_20210364_en.pdf: full text (fresh retrieval)
https://www.legislation.gov.uk/uksi/2021/585/pdfs/uksi_20210585_en.pdf: full text (fresh retrieval)
Earlier URLs not separately inspected in this second assessment:
https://www.cps.gov.uk/cy/node/14109
https://www.cps.gov.uk/prosecution-guidance/coronavirus-health-protection-coronavirus-restrictions-steps-england
https://www.gov.uk/government/news/government-confirms-traffic-light-list-ahead-of-cautious-return-to-international-travel
Prior audit access record
Full-register audit source access (evidence cutoff 25 October 2026)
https://www.legislation.gov.uk/uksi/2021/364/pdfs/uksi_20210364_en.pdf: full text
https://www.legislation.gov.uk/uksi/2021/364/pdfs/uksi_20210364_en.pdf: full text
https://www.legislation.gov.uk/uksi/2021/364/pdfs/uksi_20210364_en.pdf: full text
https://www.legislation.gov.uk/uksi/2021/364/pdfs/uksi_20210364_en.pdf: full text
https://www.legislation.gov.uk/uksi/2021/585/pdfs/uksi_20210585_en.pdf: full text
Earlier source URLs not separately listed in this audit’s retrieval log (historical access notes below are not fresh verification):
https://www.cps.gov.uk/cy/node/14109
https://www.cps.gov.uk/prosecution-guidance/coronavirus-health-protection-coronavirus-restrictions-steps-england
https://www.gov.uk/government/news/government-confirms-traffic-light-list-ahead-of-cautious-return-to-international-travel
Earlier recorded access
Source 1: full official PDF text; corrected publication version
Source 2: full official PDF text
Source 3: full guidance updated through 2022</x:v>
      </x:c>
      <x:c r="P589" s="20" t="n">
        <x:v>1</x:v>
      </x:c>
      <x:c r="Q589" s="4" t="str">
        <x:v>Europe</x:v>
      </x:c>
      <x:c r="R589" s="4" t="str">
        <x:v>Included</x:v>
      </x:c>
    </x:row>
    <x:row r="590" ht="409" hidden="0" customHeight="1">
      <x:c r="A590" s="16" t="str">
        <x:v>R6-EU-006</x:v>
      </x:c>
      <x:c r="B590" s="4" t="str">
        <x:v>Coordinated farmer blockades on Spain–France and Spain–Andorra frontier roads, June 2024</x:v>
      </x:c>
      <x:c r="C590" s="4" t="str">
        <x:v>Spain; France; Andorra</x:v>
      </x:c>
      <x:c r="D590" s="4" t="str">
        <x:v>La Jonquera/AP-7–A9; Biriatou/Irún; Somport; Portalet; Bòssost; Puigcerdà; Coll d’Ares; La Seu d’Urgell–Andorra route
Coordinated blockade episode at selected frontier road approaches; movement restrictions varied by post</x:v>
      </x:c>
      <x:c r="E590" s="4" t="str">
        <x:v>Road freight and passenger vehicles, with movement-specific exceptions.
Direction: Both directions at some approaches; Biriatou restrictions especially affected freight towards France.
Exceptions: Light vehicles admitted selectively at some points; overnight passage and alternating flows differed by site.</x:v>
      </x:c>
      <x:c r="F590" s="4" t="str">
        <x:v>R6-EU-006-D1 — Observed operation
France-bound freight obstruction at Biriatou during the coordinated farmer action
Start: 2024-06-03.
Observed scoped reopening: 2024-06-04.
1 calendar-day difference; scoped endpoint only
Reported elapsed duration: approximately 24 hours; not securely greater than 24 hours. Residual queues do not extend the closure.</x:v>
      </x:c>
      <x:c r="G590" s="4" t="str">
        <x:v>Trade and protectionism / Trade and transport protests; Policy and socioeconomic demands / Jobs, services and livelihoods
Reported farmer demands
Organizers sought stronger controls on agricultural imports, priority for local production and lower food-production or energy taxes. These are participant demands; site-specific passage exceptions and interruptions remain separate.</x:v>
      </x:c>
      <x:c r="H590" s="4" t="str">
        <x:v>R6-EU-006-D1: Selected freight approach only, not a common interval across all coordinated posts. Somport/Portalet reopened overnight and reblocked; those interruptions are excluded. Tractor departure elsewhere is not used as traffic restoration, and light vehicles could pass selectively. At Biriatou, the Basque Government reported freight closure from 10:00 on 3 June to 10:00 on 4 June; later reporting describes all-vehicle passage just after 10:00. Treat this as approximately 24 hours, not a securely measured duration greater than 24 hours. Residual queues until that evening did not extend the closure.</x:v>
      </x:c>
      <x:c r="I590" s="4" t="str">
        <x:v>Second full-register audit, 26 October 2026: additional source-audited corrections incorporated. See the phase, scope and qualification columns for the accepted findings.</x:v>
      </x:c>
      <x:c r="J590" s="18" t="d">
        <x:v>2026-10-26T00:00:00.000Z</x:v>
      </x:c>
      <x:c r="K590" s="21" t="str">
        <x:f>IFERROR(HYPERLINK("https://efe.com/economia/2024-06-03/caravanas-agricultores-frontera-jornada-protestas/","EFE"),"EFE")</x:f>
        <x:v>EFE</x:v>
      </x:c>
      <x:c r="L590" s="21" t="str">
        <x:f>IFERROR(HYPERLINK("https://cadenaser.com/aragon/2024/06/04/normalidad-en-el-trafico-fronterizo-tras-la-protesta-agricola-radio-jaca-ser-pirineos/","Cadena SER / Radio Jaca"),"Cadena SER / Radio Jaca")</x:f>
        <x:v>Cadena SER / Radio Jaca</x:v>
      </x:c>
      <x:c r="M590" s="21" t="str">
        <x:f>IFERROR(HYPERLINK("https://www.rtve.es/noticias/20240604/agricultores-levantan-bloqueos-fronterizos-tras-protesta-24-horas/16132364.shtml","RTVE"),"RTVE")</x:f>
        <x:v>RTVE</x:v>
      </x:c>
      <x:c r="N590" s="4" t="str">
        <x:v>https://efe.com/economia/2024-06-03/caravanas-agricultores-frontera-jornada-protestas/
https://cadenaser.com/aragon/2024/06/04/normalidad-en-el-trafico-fronterizo-tras-la-protesta-agricola-radio-jaca-ser-pirineos/
https://www.rtve.es/noticias/20240604/agricultores-levantan-bloqueos-fronterizos-tras-protesta-24-horas/16132364.shtml
https://efe.com/economia/2024-06-04/agricultores-levantan-bloqueo-ap-7-pasos-fronterizos/
https://www.europapress.es/epagro/noticia-restablecidos-cinco-cortes-agricultores-frontera-catalana-francia-20240604103500.html
https://www.reuters.com/world/europe/spanish-french-farmers-block-border-days-before-eu-election-2024-06-03/
https://www.noticiasdenavarra.com/economia/2024/06/03/baserritarras-vuelven-protestas-cortaran-hoy-8310975.html
https://www.europapress.es/euskadi/noticia-recupera-normalidad-carreteras-guipuzcoanas-protesta-agricultores-franceses-20240604214954.html
https://www.irekia.euskadi.eus/amp/es/news/93937-afecciones-trafico-este-lunes-biriatou-por-una-nueva-concentracion-tractores
https://www.euskadi.eus/gobierno-vasco/-/noticia/2024/el-gobierno-vasco-recomienda-paciencia-y-conductores-que-se-dirigen-francia/</x:v>
      </x:c>
      <x:c r="O590" s="4" t="str">
        <x:v>Second full-register audit source access, 26 October 2026
https://www.euskadi.eus/gobierno-vasco/-/noticia/2024/el-gobierno-vasco-recomienda-paciencia-y-conductores-que-se-dirigen-francia/: full text (fresh retrieval)
https://www.europapress.es/euskadi/noticia-recupera-normalidad-carreteras-guipuzcoanas-protesta-agricultores-franceses-20240604214954.html: full text (fresh retrieval)
https://cadenaser.com/aragon/2024/06/04/normalidad-en-el-trafico-fronterizo-tras-la-protesta-agricola-radio-jaca-ser-pirineos/: full text (fresh retrieval)
https://efe.com/economia/2024-06-03/caravanas-agricultores-frontera-jornada-protestas/: full text (fresh retrieval)
https://www.irekia.euskadi.eus/amp/es/news/93937-afecciones-trafico-este-lunes-biriatou-por-una-nueva-concentracion-tractores: full text (fresh retrieval) — Advance notice says toward Euskadi; observed June 4 report and actual toll operation take precedence for the retained France-bound phase.
Earlier URLs not separately inspected in this second assessment:
https://www.rtve.es/noticias/20240604/agricultores-levantan-bloqueos-fronterizos-tras-protesta-24-horas/16132364.shtml
https://efe.com/economia/2024-06-04/agricultores-levantan-bloqueo-ap-7-pasos-fronterizos/
https://www.europapress.es/epagro/noticia-restablecidos-cinco-cortes-agricultores-frontera-catalana-francia-20240604103500.html
https://www.reuters.com/world/europe/spanish-french-farmers-block-border-days-before-eu-election-2024-06-03/
https://www.noticiasdenavarra.com/economia/2024/06/03/baserritarras-vuelven-protestas-cortaran-hoy-8310975.html
Prior audit access record
Full-register audit source access (evidence cutoff 25 October 2026)
https://efe.com/economia/2024-06-03/caravanas-agricultores-frontera-jornada-protestas/: full text
https://www.rtve.es/noticias/20240604/agricultores-levantan-bloqueos-fronterizos-tras-protesta-24-horas/16132364.shtml: full text
https://cadenaser.com/aragon/2024/06/04/normalidad-en-el-trafico-fronterizo-tras-la-protesta-agricola-radio-jaca-ser-pirineos/: full text
https://www.europapress.es/euskadi/noticia-recupera-normalidad-carreteras-guipuzcoanas-protesta-agricultores-franceses-20240604214954.html: full text
https://www.euskadi.eus/gobierno-vasco/-/noticia/2024/el-gobierno-vasco-recomienda-paciencia-y-conductores-que-se-dirigen-francia/: search extract — Substantive full indexed body; direct open failed Unicode decoding.
https://www.irekia.euskadi.eus/amp/es/news/93937-afecciones-trafico-este-lunes-biriatou-por-una-nueva-concentracion-tractores: full text
https://efe.com/economia/2024-06-04/agricultores-levantan-bloqueo-ap-7-pasos-fronterizos/: full text
Earlier source URLs not separately listed in this audit’s retrieval log (historical access notes below are not fresh verification):
https://www.europapress.es/epagro/noticia-restablecidos-cinco-cortes-agricultores-frontera-catalana-francia-20240604103500.html
https://www.reuters.com/world/europe/spanish-french-farmers-block-border-days-before-eu-election-2024-06-03/
https://www.noticiasdenavarra.com/economia/2024/06/03/baserritarras-vuelven-protestas-cortaran-hoy-8310975.html
Earlier recorded access
Source 1: full article
Source 2: full article
Source 3: full article</x:v>
      </x:c>
      <x:c r="P590" s="20" t="n">
        <x:v>1</x:v>
      </x:c>
      <x:c r="Q590" s="4" t="str">
        <x:v>Europe</x:v>
      </x:c>
      <x:c r="R590" s="4" t="str">
        <x:v>Included</x:v>
      </x:c>
    </x:row>
    <x:row r="591" ht="354" hidden="0" customHeight="1">
      <x:c r="A591" s="16" t="str">
        <x:v>R6-AES-001</x:v>
      </x:c>
      <x:c r="B591" s="4" t="str">
        <x:v>Somaliland COVID land-border closure order March 2020</x:v>
      </x:c>
      <x:c r="C591" s="4" t="str">
        <x:v>Somaliland (de facto polity); Ethiopia; Djibouti; Somalia</x:v>
      </x:c>
      <x:c r="D591" s="4" t="str">
        <x:v>Land frontiers with Ethiopia and Djibouti and the explicitly disputed/de facto boundary with Somalia</x:v>
      </x:c>
      <x:c r="E591" s="4" t="str">
        <x:v>Regional land travel
Direction: Regional entry and exit; June statement expressly describes both.
Exceptions: Essential food, fuel, water, medicines and health goods.</x:v>
      </x:c>
      <x:c r="F591" s="4" t="str">
        <x:v>R6-AES-001-R1 — Announced window
Somaliland authorities’ initial land movement order at Ethiopia/Djibouti frontiers and de facto boundary with Somalia
Start: 2020-03-26 at 18:00.
Scheduled endpoint: 2020-04-16 at 18:00.
Ordered window: 21 calendar-day difference; actual end not established.
Later endpoint-only evidence: the National COVID-19 Committee formally lifted regional trans-border land and sea travel restrictions from 2020-06-30. Negative test certificates or quarantine conditions remained. The intervening renewal chain and actual reopening at each gate are unverified.</x:v>
      </x:c>
      <x:c r="G591" s="4" t="str">
        <x:v>Health and biosecurity / Human disease control
Reported reason
The National COVID-19 Committee attributed the measures to preventing and controlling coronavirus transmission.</x:v>
      </x:c>
      <x:c r="H591" s="4" t="str">
        <x:v>The initial scheduled term ran from March 26 at 18:00 to April 16 at 18:00, 2020; April 16 is not an observed reopening. A June 25 committee statement expressly lifted regional land and sea travel restrictions effective June 30. This was formal permission with health conditions, not proof of uniform operation or uninterrupted closure from March 26. The Somalia boundary remains a disputed/de facto boundary; no sovereign-recognition claim is made.</x:v>
      </x:c>
      <x:c r="I591" s="4" t="str">
        <x:v>Second full-register audit, 26 October 2026: additional source-audited corrections incorporated. See the phase, scope and qualification columns for the accepted findings.</x:v>
      </x:c>
      <x:c r="J591" s="18" t="d">
        <x:v>2026-10-26T00:00:00.000Z</x:v>
      </x:c>
      <x:c r="K591" s="21" t="str">
        <x:f>IFERROR(HYPERLINK("https://www.somalilandcurrent.com/somaliland-government-announces-the-closure-of-territorial-borders/","Somaliland Current"),"Somaliland Current")</x:f>
        <x:v>Somaliland Current</x:v>
      </x:c>
      <x:c r="L591" s="21" t="str">
        <x:f>IFERROR(HYPERLINK("https://somalilandstandard.com/re-assessment-of-national-emergency-measures-introduced-to-combat-and-prevent-the-spread-of-the-covid-19-pandemic-in-somaliland/","Somaliland Standard"),"Somaliland Standard")</x:f>
        <x:v>Somaliland Standard</x:v>
      </x:c>
      <x:c r="M591" s="21" t="str">
        <x:f>IFERROR(HYPERLINK("https://www.somtribune.net/2020/03/25/somaliland-closes-borders-with-ethiopia-somalia-djibouti-relieves-most-civil-servants-of-active-duty/","SomTribune"),"SomTribune")</x:f>
        <x:v>SomTribune</x:v>
      </x:c>
      <x:c r="N591" s="4" t="str">
        <x:v>https://www.somalilandcurrent.com/somaliland-government-announces-the-closure-of-territorial-borders/
https://somalilandstandard.com/re-assessment-of-national-emergency-measures-introduced-to-combat-and-prevent-the-spread-of-the-covid-19-pandemic-in-somaliland/
https://www.somtribune.net/2020/03/25/somaliland-closes-borders-with-ethiopia-somalia-djibouti-relieves-most-civil-servants-of-active-duty/</x:v>
      </x:c>
      <x:c r="O591" s="4" t="str">
        <x:v>Second full-register audit source access, 26 October 2026
https://www.somalilandcurrent.com/somaliland-government-announces-the-closure-of-territorial-borders/: full text (fresh retrieval)
https://somalilandstandard.com/re-assessment-of-national-emergency-measures-introduced-to-combat-and-prevent-the-spread-of-the-covid-19-pandemic-in-somaliland/: full text (fresh retrieval)
Earlier URLs not separately inspected in this second assessment:
https://www.somtribune.net/2020/03/25/somaliland-closes-borders-with-ethiopia-somalia-djibouti-relieves-most-civil-servants-of-active-duty/
Prior audit access record
Full-register audit source access (evidence cutoff 25 October 2026)
https://www.somalilandcurrent.com/somaliland-government-announces-the-closure-of-territorial-borders/: full text — Does not establish all-crossing continuity.
https://somalilandstandard.com/re-assessment-of-national-emergency-measures-introduced-to-combat-and-prevent-the-spread-of-the-covid-19-pandemic-in-somaliland/: full text — Does not establish all-crossing continuity.
Earlier source URLs not separately listed in this audit’s retrieval log (historical access notes below are not fresh verification):
https://www.somtribune.net/2020/03/25/somaliland-closes-borders-with-ethiopia-somalia-djibouti-relieves-most-civil-servants-of-active-duty/
Earlier recorded access
Source 1: full
Source 2: full
Source 3: indexed excerpt</x:v>
      </x:c>
      <x:c r="P591" s="20" t="n">
        <x:v>1</x:v>
      </x:c>
      <x:c r="Q591" s="4" t="str">
        <x:v>Horn of Africa</x:v>
      </x:c>
      <x:c r="R591" s="4" t="str">
        <x:v>Included</x:v>
      </x:c>
    </x:row>
    <x:row r="592" ht="366" hidden="0" customHeight="1">
      <x:c r="A592" s="16" t="str">
        <x:v>R6-ME-001</x:v>
      </x:c>
      <x:c r="B592" s="4" t="str">
        <x:v>Taba Israeli-citizen outbound security prohibition April 2017</x:v>
      </x:c>
      <x:c r="C592" s="4" t="str">
        <x:v>Israel; Egypt</x:v>
      </x:c>
      <x:c r="D592" s="4" t="str">
        <x:v>Taba / Menachem Begin crossing</x:v>
      </x:c>
      <x:c r="E592" s="4" t="str">
        <x:v>Israeli citizens seeking to leave for Sinai
Direction: Israel to Egypt for Israeli citizens
Exceptions: Israeli returnees; foreign travellers according to extension report.</x:v>
      </x:c>
      <x:c r="F592" s="4" t="str">
        <x:v>R6-ME-001-D1 — Formal policy
Israeli-citizen outbound travel through Taba to Sinai under the April 2017 security prohibition.
Start: 2017-04-10.
Policy endpoint: 2017-04-21.
Formal policy: 11 calendar-day difference; operational continuity not established</x:v>
      </x:c>
      <x:c r="G592" s="4" t="str">
        <x:v>Security / Armed attacks and terrorism
Attributed official justification
Applies to: Recorded episode; exact overlap not separately established
The recorded rationale and claim assessment support the selected subcategories. All applicable broad categories are retained together; no primary rationale is imposed.</x:v>
      </x:c>
      <x:c r="H592" s="4" t="str">
        <x:v>R6-ME-001-D1: Formal policy dates only. Israeli returnees and foreign travellers were allowed. First actual outbound passage is not independently observed, and headline duration counts are not substituted for date arithmetic.</x:v>
      </x:c>
      <x:c r="I592" s="4" t="str">
        <x:v>Second full-register audit, 26 October 2026: qualified. April 10–21 Israeli outbound prohibition is supported, with foreigners and Israeli returnees outside its scope.</x:v>
      </x:c>
      <x:c r="J592" s="18" t="d">
        <x:v>2026-10-26T00:00:00.000Z</x:v>
      </x:c>
      <x:c r="K592" s="21" t="str">
        <x:f>IFERROR(HYPERLINK("https://www.timesofisrael.com/expecting-is-attack-israel-closes-taba-crossing-into-egypt/amp/","The Times of Israel"),"The Times of Israel")</x:f>
        <x:v>The Times of Israel</x:v>
      </x:c>
      <x:c r="L592" s="21" t="str">
        <x:f>IFERROR(HYPERLINK("https://www.timesofisrael.com/taba-crossing-into-egypt-to-remain-closed-indefinitely/","The Times of Israel"),"The Times of Israel")</x:f>
        <x:v>The Times of Israel</x:v>
      </x:c>
      <x:c r="M592" s="21" t="str">
        <x:f>IFERROR(HYPERLINK("https://www.timesofisrael.com/israel-reopens-border-crossing-into-egypt-after-11-day-closure/amp/","The Times of Israel"),"The Times of Israel")</x:f>
        <x:v>The Times of Israel</x:v>
      </x:c>
      <x:c r="N592" s="4" t="str">
        <x:v>https://www.timesofisrael.com/expecting-is-attack-israel-closes-taba-crossing-into-egypt/amp/
https://www.timesofisrael.com/taba-crossing-into-egypt-to-remain-closed-indefinitely/
https://www.timesofisrael.com/israel-reopens-border-crossing-into-egypt-after-11-day-closure/amp/
https://www.egypttoday.com/Article/1/4147/Israel-opens-Taba-border-crossing-after-12-day-closure</x:v>
      </x:c>
      <x:c r="O592" s="4" t="str">
        <x:v>Second full-register audit source access, 26 October 2026
https://www.timesofisrael.com/israel-reopens-border-crossing-into-egypt-after-11-day-closure/amp/: full text (fresh retrieval)
https://www.timesofisrael.com/taba-crossing-into-egypt-to-remain-closed-indefinitely/: full text (fresh retrieval)
Earlier URLs not separately inspected in this second assessment:
https://www.timesofisrael.com/expecting-is-attack-israel-closes-taba-crossing-into-egypt/amp/
https://www.egypttoday.com/Article/1/4147/Israel-opens-Taba-border-crossing-after-12-day-closure
Prior audit access record
Full-register audit source access (evidence cutoff 25 October 2026)
https://www.timesofisrael.com/expecting-is-attack-israel-closes-taba-crossing-into-egypt/amp/: full text
https://www.timesofisrael.com/israel-reopens-border-crossing-into-egypt-after-11-day-closure/amp/: full text
Earlier source URLs not separately listed in this audit’s retrieval log (historical access notes below are not fresh verification):
https://www.timesofisrael.com/taba-crossing-into-egypt-to-remain-closed-indefinitely/
https://www.egypttoday.com/Article/1/4147/Israel-opens-Taba-border-crossing-after-12-day-closure
Earlier recorded access
Source 1: full article
Source 2: full article
Source 3: full article</x:v>
      </x:c>
      <x:c r="P592" s="20" t="n">
        <x:v>1</x:v>
      </x:c>
      <x:c r="Q592" s="4" t="str">
        <x:v>Middle East</x:v>
      </x:c>
      <x:c r="R592" s="4" t="str">
        <x:v>Included</x:v>
      </x:c>
    </x:row>
    <x:row r="593" ht="409" hidden="0" customHeight="1">
      <x:c r="A593" s="16" t="str">
        <x:v>R6-ME-004</x:v>
      </x:c>
      <x:c r="B593" s="4" t="str">
        <x:v>Saudi selective passenger land-entry prohibition from Kuwait and UAE March 2020</x:v>
      </x:c>
      <x:c r="C593" s="4" t="str">
        <x:v>Saudi Arabia; Kuwait; United Arab Emirates</x:v>
      </x:c>
      <x:c r="D593" s="4" t="str">
        <x:v>Saudi land ports with Kuwait and UAE; Bahrain component already ME038</x:v>
      </x:c>
      <x:c r="E593" s="4" t="str">
        <x:v>Passenger land entry, including Saudi citizens and residents
Direction: Into Saudi Arabia
Exceptions: Commercial trucks subject to health measures; approved humanitarian/social cases; later citizens with family/domestic staff.</x:v>
      </x:c>
      <x:c r="F593" s="4" t="str">
        <x:v>R6-ME-004-D1 — Formal policy
Saudi restriction on ordinary citizen/family return without prior authorisation through Kuwait/UAE land ports
Start: 2020-03-07.
Policy endpoint: 2020-07-23.
Formal policy: 138 calendar-day difference; operational continuity not established</x:v>
      </x:c>
      <x:c r="G593"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93" s="4" t="str">
        <x:v>R6-ME-004-D1: Formal selected-category phase, not all passenger entry or complete sealing. Approved humanitarian/social cases occurred earlier and trucks were exempt. Earlier immediate rule for other entrants, Bahrain's separate record and erroneous Oman geography are not merged.</x:v>
      </x:c>
      <x:c r="I593" s="4" t="str">
        <x:v>Second full-register audit, 26 October 2026: qualified. The selected Saudi citizen/family return policy is supported from March 7 to July 23; preserve freight and earlier approval exceptions.</x:v>
      </x:c>
      <x:c r="J593" s="18" t="d">
        <x:v>2026-10-26T00:00:00.000Z</x:v>
      </x:c>
      <x:c r="K593" s="21" t="str">
        <x:f>IFERROR(HYPERLINK("https://e.gov.kw/sites/kgoenglish/Pages/ApplicationPages/NewsDetail.aspx?nid=285040","Kuwait Government Online"),"Kuwait Government Online")</x:f>
        <x:v>Kuwait Government Online</x:v>
      </x:c>
      <x:c r="L593" s="21" t="str">
        <x:f>IFERROR(HYPERLINK("https://www.arabnews.com/saudi-arabia/saudi-citizens-allowed-to-enter-kingdom-by-land-from-uae-bahrain-and-kuwait-1708951","Arab News"),"Arab News")</x:f>
        <x:v>Arab News</x:v>
      </x:c>
      <x:c r="M593" s="21" t="str">
        <x:f>IFERROR(HYPERLINK("https://saudigazette.com.sa/article/595865/SAUDI-ARABIA/Saudi-Arabia-opens-land-entry-points-with-Kuwait-and-Bahrain-for-return-of-citizens","Saudi Gazette"),"Saudi Gazette")</x:f>
        <x:v>Saudi Gazette</x:v>
      </x:c>
      <x:c r="N593" s="4" t="str">
        <x:v>https://e.gov.kw/sites/kgoenglish/Pages/ApplicationPages/NewsDetail.aspx?nid=285040
https://www.arabnews.com/saudi-arabia/saudi-citizens-allowed-to-enter-kingdom-by-land-from-uae-bahrain-and-kuwait-1708951
https://saudigazette.com.sa/article/595865/SAUDI-ARABIA/Saudi-Arabia-opens-land-entry-points-with-Kuwait-and-Bahrain-for-return-of-citizens
https://www.arabtimesonline.com/news/saudi-arabia-restricts-entry-into-country/
https://www.arabnews.com/saudi-arabia/saudi-arabia-limits-entry-by-land-from-uae-kuwait-bahrain-amid-coronavirus-threat-1637971
https://www.bahrainmirror.com/en/news/57290.html</x:v>
      </x:c>
      <x:c r="O593" s="4" t="str">
        <x:v>Second full-register audit source access, 26 October 2026
https://www.arabnews.com/saudi-arabia/saudi-arabia-limits-entry-by-land-from-uae-kuwait-bahrain-amid-coronavirus-threat-1637971: full text (fresh retrieval)
https://www.arabnews.com/saudi-arabia/saudi-citizens-allowed-to-enter-kingdom-by-land-from-uae-bahrain-and-kuwait-1708951: full text (fresh retrieval)
Earlier URLs not separately inspected in this second assessment:
https://e.gov.kw/sites/kgoenglish/Pages/ApplicationPages/NewsDetail.aspx?nid=285040
https://saudigazette.com.sa/article/595865/SAUDI-ARABIA/Saudi-Arabia-opens-land-entry-points-with-Kuwait-and-Bahrain-for-return-of-citizens
https://www.arabtimesonline.com/news/saudi-arabia-restricts-entry-into-country/
https://www.bahrainmirror.com/en/news/57290.html
Prior audit access record
Full-register audit source access (evidence cutoff 25 October 2026)
https://www.arabnews.com/saudi-arabia/saudi-arabia-limits-entry-by-land-from-uae-kuwait-bahrain-amid-coronavirus-threat-1637971: full text
https://www.arabnews.com/saudi-arabia/saudi-citizens-allowed-to-enter-kingdom-by-land-from-uae-bahrain-and-kuwait-1708951: full text
Earlier source URLs not separately listed in this audit’s retrieval log (historical access notes below are not fresh verification):
https://e.gov.kw/sites/kgoenglish/Pages/ApplicationPages/NewsDetail.aspx?nid=285040
https://saudigazette.com.sa/article/595865/SAUDI-ARABIA/Saudi-Arabia-opens-land-entry-points-with-Kuwait-and-Bahrain-for-return-of-citizens
https://www.arabtimesonline.com/news/saudi-arabia-restricts-entry-into-country/
https://www.bahrainmirror.com/en/news/57290.html
Earlier recorded access
Source 1: full official news page
Source 2: full article
Source 3: substantive indexed article</x:v>
      </x:c>
      <x:c r="P593" s="20" t="n">
        <x:v>1</x:v>
      </x:c>
      <x:c r="Q593" s="4" t="str">
        <x:v>Middle East</x:v>
      </x:c>
      <x:c r="R593" s="4" t="str">
        <x:v>Included</x:v>
      </x:c>
    </x:row>
    <x:row r="594" ht="409" hidden="0" customHeight="1">
      <x:c r="A594" s="16" t="str">
        <x:v>R6-ME-002</x:v>
      </x:c>
      <x:c r="B594" s="4" t="str">
        <x:v>Taba prohibits Israeli outbound travel for COVID prevention, March 2020–March 2021</x:v>
      </x:c>
      <x:c r="C594" s="4" t="str">
        <x:v>Israel; Egypt</x:v>
      </x:c>
      <x:c r="D594" s="4" t="str">
        <x:v>Taba/Begin crossing
Israeli departures through Taba/Begin crossing to Egypt; earlier foreign-entry prohibition is a separate precursor</x:v>
      </x:c>
      <x:c r="E594" s="4" t="str">
        <x:v>Israeli citizens seeking to leave for Sinai; March 2021 permission restored a limited vaccinated/recovered pedestrian category
Direction: Israel to Egypt for Israeli citizens
Exceptions: Israeli entry was allowed under the 2020 arrangement; that is outside this outbound category. Later inbound restrictions and returnee windows had separate dates. Full earlier outbound exemption practice remains unresolved.</x:v>
      </x:c>
      <x:c r="F594" s="4" t="str">
        <x:v>R6-ME-002-D1 — Observed operation
Ordinary Israeli-citizen outbound pedestrian travel through Taba to Egypt
Start: 2020-03-18.
Observed scoped reopening: 2021-03-30.
377 calendar-day difference; scoped endpoint only</x:v>
      </x:c>
      <x:c r="G594" s="4" t="str">
        <x:v>Health and biosecurity / Human disease control
Attributed official justification
Applies to: Recorded episode; exact overlap not separately established
The recorded rationale and claim assessment support the selected subcategories. All applicable broad categories are retained together; no primary rationale is imposed.</x:v>
      </x:c>
      <x:c r="H594" s="4" t="str">
        <x:v>R6-ME-002-D1: No claim about inbound returnees or all exemptions; full renewal/exemption chronology remains incomplete. March 21 regulatory/logistical account is not first passage. Endpoint is quota-limited vaccinated/recovered pedestrians with tests, not vehicles or unrestricted travel.</x:v>
      </x:c>
      <x:c r="I594" s="4" t="str">
        <x:v>Second full-register audit, 26 October 2026: qualified. The March 18, 2020 outbound order and March 30, 2021 limited reopening are supported; no all-passenger reopening is implied.</x:v>
      </x:c>
      <x:c r="J594" s="18" t="d">
        <x:v>2026-10-26T00:00:00.000Z</x:v>
      </x:c>
      <x:c r="K594" s="21" t="str">
        <x:f>IFERROR(HYPERLINK("https://al-ain.com/article/1584544109","Al-Ain News"),"Al-Ain News")</x:f>
        <x:v>Al-Ain News</x:v>
      </x:c>
      <x:c r="L594" s="21" t="str">
        <x:f>IFERROR(HYPERLINK("https://www.timesofisrael.com/israels-border-crossing-to-egypt-reopens-for-first-time-since-covid-19-outbreak/amp/","The Times of Israel"),"The Times of Israel")</x:f>
        <x:v>The Times of Israel</x:v>
      </x:c>
      <x:c r="M594" s="21" t="str">
        <x:f>IFERROR(HYPERLINK("https://www.jpost.com/breaking-news/knesset-approves-new-regulations-for-airport-cancels-entry-quotas-662640","Jerusalem Post"),"Jerusalem Post")</x:f>
        <x:v>Jerusalem Post</x:v>
      </x:c>
      <x:c r="N594" s="4" t="str">
        <x:v>https://al-ain.com/article/1584544109
https://www.timesofisrael.com/israels-border-crossing-to-egypt-reopens-for-first-time-since-covid-19-outbreak/amp/
https://www.jpost.com/breaking-news/knesset-approves-new-regulations-for-airport-cancels-entry-quotas-662640
https://0404.co.il/article/558040
https://www.globes.co.il/news/article.aspx?did=1001338957
https://www.jns.org/israel-news/taba-crossing-to-sinai-reopens-after-year-of-covid-19-closure
https://www.timesofisrael.com/passover-in-sinai-government-to-formulate-tourism-plan-within-a-week/
https://www.timesofisrael.com/israel-closes-borders-to-all-foreigners-amid-coronavirus-outbreak/amp/</x:v>
      </x:c>
      <x:c r="O594" s="4" t="str">
        <x:v>Second full-register audit source access, 26 October 2026
https://0404.co.il/article/558040: full text (fresh retrieval)
https://www.timesofisrael.com/israels-border-crossing-to-egypt-reopens-for-first-time-since-covid-19-outbreak/amp/: full text (fresh retrieval)
https://al-ain.com/article/1584544109: full text (fresh retrieval)
https://www.jns.org/israel-news/taba-crossing-to-sinai-reopens-after-year-of-covid-19-closure: full text (fresh retrieval)
Earlier URLs not separately inspected in this second assessment:
https://www.jpost.com/breaking-news/knesset-approves-new-regulations-for-airport-cancels-entry-quotas-662640
https://www.globes.co.il/news/article.aspx?did=1001338957
https://www.timesofisrael.com/passover-in-sinai-government-to-formulate-tourism-plan-within-a-week/
https://www.timesofisrael.com/israel-closes-borders-to-all-foreigners-amid-coronavirus-outbreak/amp/
Prior audit access record
Full-register audit source access (evidence cutoff 25 October 2026)
https://0404.co.il/article/558040: full text
https://www.timesofisrael.com/israels-border-crossing-to-egypt-reopens-for-first-time-since-covid-19-outbreak/amp/: full text
https://www.globes.co.il/news/article.aspx?did=1001338957: full text
https://www.jns.org/israel-news/taba-crossing-to-sinai-reopens-after-year-of-covid-19-closure: full text
Earlier source URLs not separately listed in this audit’s retrieval log (historical access notes below are not fresh verification):
https://al-ain.com/article/1584544109
https://www.jpost.com/breaking-news/knesset-approves-new-regulations-for-airport-cancels-entry-quotas-662640
https://www.timesofisrael.com/passover-in-sinai-government-to-formulate-tourism-plan-within-a-week/
https://www.timesofisrael.com/israel-closes-borders-to-all-foreigners-amid-coronavirus-outbreak/amp/
Earlier recorded access
Source 1: full article
Source 2: full article
Source 3: substantive indexed article</x:v>
      </x:c>
      <x:c r="P594" s="20" t="n">
        <x:v>1</x:v>
      </x:c>
      <x:c r="Q594" s="4" t="str">
        <x:v>Middle East</x:v>
      </x:c>
      <x:c r="R594" s="4" t="str">
        <x:v>Included</x:v>
      </x:c>
    </x:row>
    <x:row r="595" ht="409" hidden="0" customHeight="1">
      <x:c r="A595" s="16" t="str">
        <x:v>R6-ME-003</x:v>
      </x:c>
      <x:c r="B595" s="4" t="str">
        <x:v>Kuwait February 2021 foreign land-entry prohibition and later vaccinated permission</x:v>
      </x:c>
      <x:c r="C595" s="4" t="str">
        <x:v>Kuwait; Saudi Arabia; Iraq</x:v>
      </x:c>
      <x:c r="D595" s="4" t="str">
        <x:v>Kuwaiti international land ports; maritime portion excluded</x:v>
      </x:c>
      <x:c r="E595" s="4" t="str">
        <x:v>Foreign passengers entering by land
Direction: Into Kuwait; later permission also addresses departures and returns
Exceptions: Citizen returns with close family/domestic helpers; shipping and neutral-zone workers.</x:v>
      </x:c>
      <x:c r="F595" s="4" t="str">
        <x:v>R6-ME-003-R1 — Announced window
Kuwait land entry by non-exempt foreign travellers under initial Cabinet term
Start: 2021-02-24.
Scheduled endpoint: 2021-03-20.
Ordered window: 24 calendar-day difference; actual end not established
R6-ME-003-C7P1 — Formal policy
Endpoint-only legal evidence of Kuwait land-border permission for accredited fully vaccinated travellers
Start: unknown.
Policy endpoint: 2021-08-01.
Formal policy: dated evidence; numeric duration withheld; see qualification</x:v>
      </x:c>
      <x:c r="G595"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95" s="4" t="str">
        <x:v>R6-ME-003-R1: March 20 is scheduled expiry, not reopening. Citizenship and vaccinated-entry later phases are not merged; initial broader foreign restriction may predate this land order.
R6-ME-003-C7P1: Land component only. Missing onset and intervening foreign-entry rules remain unknown; no February 24–August 1 continuous closure or witnessed August 1 land traffic is inferred. Other residency, documentary and health conditions may apply.</x:v>
      </x:c>
      <x:c r="I595" s="4" t="str">
        <x:v>Second full-register audit, 26 October 2026: qualified. Initial February 24–March 20 ordered term and August 1 vaccinated legal permission remain distinct; searches did not establish a continuous same-scope land interval.</x:v>
      </x:c>
      <x:c r="J595" s="18" t="d">
        <x:v>2026-10-26T00:00:00.000Z</x:v>
      </x:c>
      <x:c r="K595" s="21" t="str">
        <x:f>IFERROR(HYPERLINK("https://kuwaittimes.com/cabinet-imposes-new-curbs-but-no-lockdown-or-curfew/","Kuwait Times"),"Kuwait Times")</x:f>
        <x:v>Kuwait Times</x:v>
      </x:c>
      <x:c r="L595" s="21" t="str">
        <x:f>IFERROR(HYPERLINK("https://saudigazette.com.sa/article/603762/World/Mena/Kuwait-to-close-sea-land-borders-halt-dine-services-for-over-3-weeks","Saudi Gazette"),"Saudi Gazette")</x:f>
        <x:v>Saudi Gazette</x:v>
      </x:c>
      <x:c r="M595" s="21" t="str">
        <x:f>IFERROR(HYPERLINK("https://kuwaittimes.com/uploads/imported_images/pdf/2021/jun/29/kt.pdf","Kuwait Times"),"Kuwait Times")</x:f>
        <x:v>Kuwait Times</x:v>
      </x:c>
      <x:c r="N595" s="4" t="str">
        <x:v>https://kuwaittimes.com/cabinet-imposes-new-curbs-but-no-lockdown-or-curfew/
https://saudigazette.com.sa/article/603762/World/Mena/Kuwait-to-close-sea-land-borders-halt-dine-services-for-over-3-weeks
https://lawskw.com/section/%D8%AA%D8%B9%D9%84%D9%8A%D9%85%D8%A7%D8%AA-%D8%AC%D9%85%D8%B1%D9%83%D9%8A%D8%A9-%D8%B1%D9%82%D9%85-70-%D9%84%D8%B3%D9%86%D8%A9-2021-%D8%A8%D8%B4%D8%A3%D9%86-%D8%A7%D9%84%D8%A5%D8%AC%D8%B1%D8%A7%D8%A1%D8%A7%D8%AA-%D8%A7%D9%84%D8%AE%D8%A7%D8%B5%D8%A9-%D8%A8%D8%A7%D9%84%D9%85%D8%B3%D8%A7%D9%81%D8%B1%D9%8A%D9%86-%D8%A7%D9%84%D9%85%D8%BA%D8%A7%D8%AF%D8%B1%D9%8A%D9%86-%D9%88%D8%A7%D9%84%D8%B9%D8%A7%D8%A6%D8%AF%D9%8A%D9%86-%D9%84%D9%84%D8%A8%D9%84%D8%A7%D8%AF-%D8%B9%D9%86-%D8%B7%D8%B1%D9%8A%D9%82-%D8%A7%D9%84%D9%85%D9%86%D8%A7%D9%81%D8%B0-%D8%A7%D9%84%D8%AD%D8%AF%D9%88%D8%AF%D9%8A%D8%A9-%D8%A7%D9%84%D8%A8%D8%B1%D9%8A%D8%A9-%D9%88%D8%A7%D9%84%D8%A8%D8%AD%D8%B1%D9%8A%D8%A9
https://kuwaittimes.com/uploads/imported_images/pdf/2021/jun/29/kt.pdf
https://www.moi.gov.kw/main/News/Index/79410
https://lawskw.com/section/تعليمات-جمركية-رقم-70-لسنة-2021-بشأن-الإجراءات-الخاصة-بالمسافرين-المغادرين-والعائدين-للبلاد-عن-طريق-المنافذ-الحدودية-البرية-والبحرية</x:v>
      </x:c>
      <x:c r="O595" s="4" t="str">
        <x:v>Second full-register audit source access, 26 October 2026
https://kuwaittimes.com/cabinet-imposes-new-curbs-but-no-lockdown-or-curfew/: full text (fresh retrieval)
https://saudigazette.com.sa/article/603762/World/Mena/Kuwait-to-close-sea-land-borders-halt-dine-services-for-over-3-weeks: full text (fresh retrieval)
https://lawskw.com/section/تعليمات-جمركية-رقم-70-لسنة-2021-بشأن-الإجراءات-الخاصة-بالمسافرين-المغادرين-والعائدين-للبلاد-عن-طريق-المنافذ-الحدودية-البرية-والبحرية: full text (fresh retrieval) — Legal text reproduction; no observed August 1 traffic.
Earlier URLs not separately inspected in this second assessment:
https://lawskw.com/section/%D8%AA%D8%B9%D9%84%D9%8A%D9%85%D8%A7%D8%AA-%D8%AC%D9%85%D8%B1%D9%83%D9%8A%D8%A9-%D8%B1%D9%82%D9%85-70-%D9%84%D8%B3%D9%86%D8%A9-2021-%D8%A8%D8%B4%D8%A3%D9%86-%D8%A7%D9%84%D8%A5%D8%AC%D8%B1%D8%A7%D8%A1%D8%A7%D8%AA-%D8%A7%D9%84%D8%AE%D8%A7%D8%B5%D8%A9-%D8%A8%D8%A7%D9%84%D9%85%D8%B3%D8%A7%D9%81%D8%B1%D9%8A%D9%86-%D8%A7%D9%84%D9%85%D8%BA%D8%A7%D8%AF%D8%B1%D9%8A%D9%86-%D9%88%D8%A7%D9%84%D8%B9%D8%A7%D8%A6%D8%AF%D9%8A%D9%86-%D9%84%D9%84%D8%A8%D9%84%D8%A7%D8%AF-%D8%B9%D9%86-%D8%B7%D8%B1%D9%8A%D9%82-%D8%A7%D9%84%D9%85%D9%86%D8%A7%D9%81%D8%B0-%D8%A7%D9%84%D8%AD%D8%AF%D9%88%D8%AF%D9%8A%D8%A9-%D8%A7%D9%84%D8%A8%D8%B1%D9%8A%D8%A9-%D9%88%D8%A7%D9%84%D8%A8%D8%AD%D8%B1%D9%8A%D8%A9
https://kuwaittimes.com/uploads/imported_images/pdf/2021/jun/29/kt.pdf
https://www.moi.gov.kw/main/News/Index/79410
Prior audit access record
Full-register audit source access (evidence cutoff 25 October 2026)
https://saudigazette.com.sa/article/603762/World/Mena/Kuwait-to-close-sea-land-borders-halt-dine-services-for-over-3-weeks: full text
https://lawskw.com/section/%D8%AA%D8%B9%D9%84%D9%8A%D9%85%D8%A7%D8%AA-%D8%AC%D9%85%D8%B1%D9%83%D9%8A%D8%A9-%D8%B1%D9%82%D9%85-70-%D9%84%D8%B3%D9%86%D8%A9-2021-%D8%A8%D8%B4%D8%A3%D9%86-%D8%A7%D9%84%D8%A5%D8%AC%D8%B1%D8%A7%D8%A1%D8%A7%D8%AA-%D8%A7%D9%84%D8%AE%D8%A7%D8%B5%D8%A9-%D8%A8%D8%A7%D9%84%D9%85%D8%B3%D8%A7%D9%81%D8%B1%D9%8A%D9%86-%D8%A7%D9%84%D9%85%D8%BA%D8%A7%D8%AF%D8%B1%D9%8A%D9%86-%D9%88%D8%A7%D9%84%D8%B9%D8%A7%D8%A6%D8%AF%D9%8A%D9%86-%D9%84%D9%84%D8%A8%D9%84%D8%A7%D8%AF-%D8%B9%D9%86-%D8%B7%D8%B1%D9%8A%D9%82-%D8%A7%D9%84%D9%85%D9%86%D8%A7%D9%81%D8%B0-%D8%A7%D9%84%D8%AD%D8%AF%D9%88%D8%AF%D9%8A%D8%A9-%D8%A7%D9%84%D8%A8%D8%B1%D9%8A%D8%A9-%D9%88%D8%A7%D9%84%D8%A8%D8%AD%D8%B1%D9%8A%D8%A9: full text
https://www.moi.gov.kw/main/News/Index/79410: full text
Earlier source URLs not separately listed in this audit’s retrieval log (historical access notes below are not fresh verification):
https://kuwaittimes.com/cabinet-imposes-new-curbs-but-no-lockdown-or-curfew/
https://kuwaittimes.com/uploads/imported_images/pdf/2021/jun/29/kt.pdf
https://lawskw.com/section/تعليمات-جمركية-رقم-70-لسنة-2021-بشأن-الإجراءات-الخاصة-بالمسافرين-المغادرين-والعائدين-للبلاد-عن-طريق-المنافذ-الحدودية-البرية-والبحرية
Earlier recorded access
Source 1: full
Source 2: indexed excerpt
Source 3: full PDF text</x:v>
      </x:c>
      <x:c r="P595" s="20" t="n">
        <x:v>2</x:v>
      </x:c>
      <x:c r="Q595" s="4" t="str">
        <x:v>Middle East</x:v>
      </x:c>
      <x:c r="R595" s="4" t="str">
        <x:v>Included</x:v>
      </x:c>
    </x:row>
    <x:row r="596" ht="378" hidden="0" customHeight="1">
      <x:c r="A596" s="16" t="str">
        <x:v>R6-AWN-005</x:v>
      </x:c>
      <x:c r="B596" s="4" t="str">
        <x:v>Ras Jedir January 2018 armed-conflict interruption and Tunisian outbound closure</x:v>
      </x:c>
      <x:c r="C596" s="4" t="str">
        <x:v>Tunisia; Libya</x:v>
      </x:c>
      <x:c r="D596" s="4" t="str">
        <x:v>Ras Jedir
Ras Jedir crossing</x:v>
      </x:c>
      <x:c r="E596" s="4" t="str">
        <x:v>Outbound travellers toward Libya; broader transit disrupted.
Direction: Explicit Tunisian outbound prohibition; Libyan-side disruption.
Exceptions: Tunisians returning from Libya admitted; some Libyan arrivals also reported.</x:v>
      </x:c>
      <x:c r="F596" s="4" t="str">
        <x:v>R6-AWN-005-D1 — Observed operation
Tunisian outbound departures toward Libya at Ras Jedir
Start: 2018-01-05.
Observed scoped reopening: 2018-01-06 to 2018-01-07.
1–2 calendar-day difference; scoped endpoint only
Strict duration qualification: the contemporary Webdo/TAP account explicitly describes more than 24 hours of closure. This supports &gt;24-hour eligibility for the recorded outbound interruption, without resolving its exact endpoint or hourly total.</x:v>
      </x:c>
      <x:c r="G596" s="4" t="str">
        <x:v>Security / Armed conflict and military confrontation
Analytical interpretation of reported context
Applies to: Recorded episode; exact overlap not separately established
The recorded armed contest concerned control of the crossing, supporting a contextual contested-authority subtype alongside conflict.
Power and regime politics / Contested governing authority
Analytical interpretation of reported context
Applies to: Recorded episode; exact overlap not separately established
The recorded armed contest concerned control of the crossing, supporting a contextual contested-authority subtype alongside conflict.</x:v>
      </x:c>
      <x:c r="H596" s="4" t="str">
        <x:v>R6-AWN-005-D1: Mosaïque reports the Tunisian outbound prohibition on January 5 while allowing Tunisian returnees. Libya Herald reports reopening on January 6 afternoon without specifying direction; Webdo/TAP reports restored activity on January 7 after more than 24 hours. Preserve January 6–7 as the outbound reopening bound. The explicit duration report supports &gt;24 hours, but not an exact hourly total or universal two-way closure. TAP republications are one reporting lineage; the previously reported admission of some Libyan arrivals has not been independently re-established in this second audit.</x:v>
      </x:c>
      <x:c r="I596" s="4" t="str">
        <x:v>Second full-register audit, 26 October 2026: additional source-audited corrections incorporated. See the phase, scope and qualification columns for the accepted findings.</x:v>
      </x:c>
      <x:c r="J596" s="18" t="d">
        <x:v>2026-10-26T00:00:00.000Z</x:v>
      </x:c>
      <x:c r="K596" s="21" t="str">
        <x:f>IFERROR(HYPERLINK("https://www.mosaiquefm.net/fr/actualite-regional-tunisie/265768/un-groupe-arme-prend-d-assaut-le-poste-frontalier-de-ras-jedir-libye","Mosaïque FM"),"Mosaïque FM")</x:f>
        <x:v>Mosaïque FM</x:v>
      </x:c>
      <x:c r="L596" s="21" t="str">
        <x:f>IFERROR(HYPERLINK("https://radioalgerie.dz/news/fr/article/20180107/130473.html","Radio Algérienne"),"Radio Algérienne")</x:f>
        <x:v>Radio Algérienne</x:v>
      </x:c>
      <x:c r="M596" s="21" t="str">
        <x:f>IFERROR(HYPERLINK("https://www.webdo.tn/fr/actualite/national/retour-a-normale-poste-frontalier-de-ras-jedir/156723/","Webdo"),"Webdo")</x:f>
        <x:v>Webdo</x:v>
      </x:c>
      <x:c r="N596" s="4" t="str">
        <x:v>https://www.mosaiquefm.net/fr/actualite-regional-tunisie/265768/un-groupe-arme-prend-d-assaut-le-poste-frontalier-de-ras-jedir-libye
https://radioalgerie.dz/news/fr/article/20180107/130473.html
https://www.webdo.tn/fr/actualite/national/retour-a-normale-poste-frontalier-de-ras-jedir/156723/
https://libyaherald.com/2018/01/ceasefire-declared-in-ras-jedir-area</x:v>
      </x:c>
      <x:c r="O596" s="4" t="str">
        <x:v>Second full-register audit source access, 26 October 2026
https://www.mosaiquefm.net/fr/actualite-regional-tunisie/265768/un-groupe-arme-prend-d-assaut-le-poste-frontalier-de-ras-jedir-libye: search extract (fresh retrieval) — Direct page timeout; substantive indexed correspondent report inspected.
https://www.webdo.tn/fr/actualite/national/retour-a-normale-poste-frontalier-de-ras-jedir/156723/: full text (fresh retrieval)
https://libyaherald.com/2018/01/ceasefire-declared-in-ras-jedir-area: search extract (fresh retrieval) — Direct retrieval later rate-limited; indexed article body inspected. Update label January 8, dateline January 6.
Earlier URLs not separately inspected in this second assessment:
https://radioalgerie.dz/news/fr/article/20180107/130473.html
Prior audit access record
Full-register audit source access (evidence cutoff 25 October 2026)
https://www.mosaiquefm.net/fr/actualite-regional-tunisie/265768/un-groupe-arme-prend-d-assaut-le-poste-frontalier-de-ras-jedir-libye: search extract — Direct and mobile bodies failed.
https://libyaherald.com/2018/01/ceasefire-declared-in-ras-jedir-area: full text
https://www.webdo.tn/fr/actualite/national/retour-a-normale-poste-frontalier-de-ras-jedir/156723/: full text
Earlier source URLs not separately listed in this audit’s retrieval log (historical access notes below are not fresh verification):
https://radioalgerie.dz/news/fr/article/20180107/130473.html
Earlier recorded access
Source 1: search extract; two direct-open timeouts
Source 2: opened full text
Source 3: opened full text</x:v>
      </x:c>
      <x:c r="P596" s="20" t="n">
        <x:v>1</x:v>
      </x:c>
      <x:c r="Q596" s="4" t="str">
        <x:v>North Africa</x:v>
      </x:c>
      <x:c r="R596" s="4" t="str">
        <x:v>Included</x:v>
      </x:c>
    </x:row>
    <x:row r="597" ht="409" hidden="0" customHeight="1">
      <x:c r="A597" s="16" t="str">
        <x:v>R6-SC-006</x:v>
      </x:c>
      <x:c r="B597" s="4" t="str">
        <x:v>India suspends Kartarpur corridor pilgrimage for COVID-19</x:v>
      </x:c>
      <x:c r="C597" s="4" t="str">
        <x:v>India; Pakistan</x:v>
      </x:c>
      <x:c r="D597" s="4" t="str">
        <x:v>Dera Baba Nanak–Kartarpur corridor
Kartarpur visa-free pilgrimage corridor</x:v>
      </x:c>
      <x:c r="E597" s="4" t="str">
        <x:v>Pilgrims travelling from India through Kartarpur corridor
Direction: Pilgrim journeys India to Pakistan and return
Exceptions: Other pilgrimage routes and Pakistani domestic access to shrine are outside this record.</x:v>
      </x:c>
      <x:c r="F597" s="4" t="str">
        <x:v>R6-SC-006-D1 — Observed operation
Kartarpur visa-free pilgrimage corridor; Pilgrims travelling from India through Kartarpur corridor; Pilgrim journeys India to Pakistan and return
Start: 2020-03-16.
Observed scoped reopening: 2021-11-17.
611 calendar-day difference; scoped endpoint only</x:v>
      </x:c>
      <x:c r="G597"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597" s="4" t="str">
        <x:v>R6-SC-006-D1: Exact interval concerns India-side pilgrimage suspension, not a claim that both governments continuously closed every movement. Newspaper June-year wording differs from Pakistan’s official 2020 statement, so no bilateral reopening chronology inferred. Other pilgrimage routes and Pakistani domestic access to shrine are outside this record.</x:v>
      </x:c>
      <x:c r="I597" s="4" t="str">
        <x:v>Second full-register audit, 26 October 2026: qualified. Primary Indian orders and observed pilgrims corroborate the 16 March 2020–17 November 2021 India-side suspension. Pakistan’s June 2020 permission is correctly separate.</x:v>
      </x:c>
      <x:c r="J597" s="18" t="d">
        <x:v>2026-10-26T00:00:00.000Z</x:v>
      </x:c>
      <x:c r="K597" s="21" t="str">
        <x:f>IFERROR(HYPERLINK("https://www.pib.gov.in/PressReleasePage.aspx?PRID=1609253&amp;lang=2&amp;reg=48","India Press Information Bureau"),"India Press Information Bureau")</x:f>
        <x:v>India Press Information Bureau</x:v>
      </x:c>
      <x:c r="L597" s="21" t="str">
        <x:f>IFERROR(HYPERLINK("https://www.pib.gov.in/Pressreleaseshare.aspx?PRID=1772262&amp;lang=2&amp;reg=48","India Press Information Bureau"),"India Press Information Bureau")</x:f>
        <x:v>India Press Information Bureau</x:v>
      </x:c>
      <x:c r="M597" s="21" t="str">
        <x:f>IFERROR(HYPERLINK("https://indianexpress.com/article/cities/amritsar/28-sikh-pilgrims-arrive-in-pakistan-kartarpur-corridor-on-1st-day-of-reopening-7627912/","Indian Express"),"Indian Express")</x:f>
        <x:v>Indian Express</x:v>
      </x:c>
      <x:c r="N597" s="4" t="str">
        <x:v>https://www.pib.gov.in/PressReleasePage.aspx?PRID=1609253&amp;lang=2&amp;reg=48
https://www.pib.gov.in/Pressreleaseshare.aspx?PRID=1772262&amp;lang=2&amp;reg=48
https://indianexpress.com/article/cities/amritsar/28-sikh-pilgrims-arrive-in-pakistan-kartarpur-corridor-on-1st-day-of-reopening-7627912/
https://pid.gov.pk/site/press_detail/18359
https://mofa.gov.pk/press-releases/first-anniversary-of-the-opening-of-kartarpur-corridor</x:v>
      </x:c>
      <x:c r="O597" s="4" t="str">
        <x:v>Second full-register audit source access, 26 October 2026
https://www.pib.gov.in/PressReleasePage.aspx?PRID=1609253&amp;lang=2&amp;reg=48: full text (fresh retrieval)
https://www.pib.gov.in/Pressreleaseshare.aspx?PRID=1772262&amp;lang=2&amp;reg=48: full text (fresh retrieval)
https://indianexpress.com/article/cities/amritsar/28-sikh-pilgrims-arrive-in-pakistan-kartarpur-corridor-on-1st-day-of-reopening-7627912/: full text (fresh retrieval) — Its June-year wording conflicts with Pakistan official statement.
https://pid.gov.pk/site/press_detail/18359: full text (fresh retrieval)
Earlier URLs not separately inspected in this second assessment:
https://mofa.gov.pk/press-releases/first-anniversary-of-the-opening-of-kartarpur-corridor
Prior audit access record
Full-register audit source access (evidence cutoff 25 October 2026)
https://www.pib.gov.in/PressReleasePage.aspx?PRID=1609253&amp;lang=2&amp;reg=48: full text — Bounded to identified time and traffic scope.
https://www.pib.gov.in/Pressreleaseshare.aspx?PRID=1772262&amp;lang=2&amp;reg=48: full text — Bounded to identified time and traffic scope.
https://indianexpress.com/article/cities/amritsar/28-sikh-pilgrims-arrive-in-pakistan-kartarpur-corridor-on-1st-day-of-reopening-7627912/: full text — Bounded to identified time and traffic scope.
https://pid.gov.pk/site/press_detail/18359: full text — Bounded to identified time and traffic scope.
Earlier source URLs not separately listed in this audit’s retrieval log (historical access notes below are not fresh verification):
https://mofa.gov.pk/press-releases/first-anniversary-of-the-opening-of-kartarpur-corridor
Earlier recorded access
Source 1: full page
Source 2: full page
Source 3: full page</x:v>
      </x:c>
      <x:c r="P597" s="20" t="n">
        <x:v>1</x:v>
      </x:c>
      <x:c r="Q597" s="4" t="str">
        <x:v>South Asia</x:v>
      </x:c>
      <x:c r="R597" s="4" t="str">
        <x:v>Included</x:v>
      </x:c>
    </x:row>
    <x:row r="598" ht="366" hidden="0" customHeight="1">
      <x:c r="A598" s="16" t="str">
        <x:v>R6-SC-005</x:v>
      </x:c>
      <x:c r="B598" s="4" t="str">
        <x:v>Kharlachi closure during September 2024 Kurram tribal clashes</x:v>
      </x:c>
      <x:c r="C598" s="4" t="str">
        <x:v>Pakistan; Afghanistan</x:v>
      </x:c>
      <x:c r="D598" s="4" t="str">
        <x:v>Kharlachi
Kharlachi international road crossing, Kurram</x:v>
      </x:c>
      <x:c r="E598" s="4" t="str">
        <x:v>Road trade and vehicles at Kharlachi
Direction: Both directions for vehicles
Exceptions: Not established; no inference of frontier-wide Pakistan–Afghanistan closure.</x:v>
      </x:c>
      <x:c r="F598" s="4" t="str">
        <x:v>R6-SC-005-D1 — Observed operation
Vehicle passage at Kharlachi during the September clash-related suspension
Start: 2024-09-21, preferred reported onset; conflicting account retained below.
Observed scoped reopening: 2024-10-01.
10 calendar-day difference between preferred dates; reported as about nine days; strictly greater than 24 hours.</x:v>
      </x:c>
      <x:c r="G598"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598" s="4" t="str">
        <x:v>R6-SC-005-D1: Contemporary TNN, The News and Pajhwok report 21 September as the closure date. This is preferred to APP’s internally inconsistent 9 September date alongside its nine-day duration. The News and Geo share a reporter; overlapping accounts are not counted as wholly independent. Reported nine-day wording is approximate and not a measured elapsed duration. The 1 October vehicle reopening is supported. Scope is Kharlachi, not the whole Pakistan–Afghanistan frontier; regional shortages are not attributed solely to this post.</x:v>
      </x:c>
      <x:c r="I598" s="4" t="str">
        <x:v>Second full-register audit, 26 October 2026: additional source-audited corrections incorporated. See the phase, scope and qualification columns for the accepted findings.</x:v>
      </x:c>
      <x:c r="J598" s="18" t="d">
        <x:v>2026-10-26T00:00:00.000Z</x:v>
      </x:c>
      <x:c r="K598" s="21" t="str">
        <x:f>IFERROR(HYPERLINK("https://www.app.com.pk/domestic/kharlachi-border-reopens-after-nine-days-closure/","Associated Press of Pakistan"),"Associated Press of Pakistan")</x:f>
        <x:v>Associated Press of Pakistan</x:v>
      </x:c>
      <x:c r="L598" s="21" t="str">
        <x:f>IFERROR(HYPERLINK("https://www.geo.tv/latest/566788-pak-afghan-kharlachi-border-reopens-as-clashes-between-parachinar-tribes-stop","Geo News"),"Geo News")</x:f>
        <x:v>Geo News</x:v>
      </x:c>
      <x:c r="M598" s="21" t="str">
        <x:f>IFERROR(HYPERLINK("https://www.thenews.com.pk/print/1235871-pak-afghan-kharlachi-border-point-reopens-for-trade","The News International"),"The News International")</x:f>
        <x:v>The News International</x:v>
      </x:c>
      <x:c r="N598" s="4" t="str">
        <x:v>https://www.app.com.pk/domestic/kharlachi-border-reopens-after-nine-days-closure/
https://www.geo.tv/latest/566788-pak-afghan-kharlachi-border-reopens-as-clashes-between-parachinar-tribes-stop
https://www.thenews.com.pk/print/1235871-pak-afghan-kharlachi-border-point-reopens-for-trade
https://pajhwok.com/2024/10/02/kharlachi-crossing-reopens-for-af-pak-trade/
https://tnnenglish.com/pak-afghan-kharlachi-border-reopens-after-nine-day-closure-due-to-tribal-clashes</x:v>
      </x:c>
      <x:c r="O598" s="4" t="str">
        <x:v>Second full-register audit source access, 26 October 2026
https://www.app.com.pk/domestic/kharlachi-border-reopens-after-nine-days-closure/: full text (fresh retrieval)
https://tnnenglish.com/pak-afghan-kharlachi-border-reopens-after-nine-day-closure-due-to-tribal-clashes: full text (fresh retrieval)
https://www.thenews.com.pk/print/1235871-pak-afghan-kharlachi-border-point-reopens-for-trade: full text (fresh retrieval) — Same reporter as Geo.
https://pajhwok.com/2024/10/02/kharlachi-crossing-reopens-for-af-pak-trade/: full text (fresh retrieval) — Similar official chronology; independence not assumed.
Earlier URLs not separately inspected in this second assessment:
https://www.geo.tv/latest/566788-pak-afghan-kharlachi-border-reopens-as-clashes-between-parachinar-tribes-stop
Prior audit access record
Full-register audit source access (evidence cutoff 25 October 2026)
https://www.app.com.pk/domestic/kharlachi-border-reopens-after-nine-days-closure/: full text
https://www.geo.tv/latest/566788-pak-afghan-kharlachi-border-reopens-as-clashes-between-parachinar-tribes-stop: full text
https://pajhwok.com/2024/10/02/kharlachi-crossing-reopens-for-af-pak-trade/: full text
https://www.thenews.com.pk/print/1235871-pak-afghan-kharlachi-border-point-reopens-for-trade: search extract — Indexed article; same reporter as Geo
Earlier recorded access
Source 1: full page
Source 2: full page
Source 3: full page</x:v>
      </x:c>
      <x:c r="P598" s="20" t="n">
        <x:v>1</x:v>
      </x:c>
      <x:c r="Q598" s="4" t="str">
        <x:v>South Asia</x:v>
      </x:c>
      <x:c r="R598" s="4" t="str">
        <x:v>Included</x:v>
      </x:c>
    </x:row>
    <x:row r="599" ht="294" hidden="0" customHeight="1">
      <x:c r="A599" s="16" t="str">
        <x:v>R6-AES-002</x:v>
      </x:c>
      <x:c r="B599" s="4" t="str">
        <x:v>Vioolsdrift staff protest closes cargo crossing May 2020</x:v>
      </x:c>
      <x:c r="C599" s="4" t="str">
        <x:v>South Africa; Namibia</x:v>
      </x:c>
      <x:c r="D599" s="4" t="str">
        <x:v>Vioolsdrift; Noordoewer
Vioolsdrift–Noordoewer cargo crossing</x:v>
      </x:c>
      <x:c r="E599" s="4" t="str">
        <x:v>Cross-border cargo
Direction: Both directions reportedly queued.
Exceptions: Alternative route via Ariamsvlei remained available.</x:v>
      </x:c>
      <x:c r="F599" s="4" t="str">
        <x:v>R6-AES-002-D1 — Observed operation
Vioolsdrift cargo interruption on 13 May 2020.
Start: 2020-05-13.
Observed scoped reopening: 2020-05-13.
Same-day episode; no whole-day duration inferred</x:v>
      </x:c>
      <x:c r="G599" s="4" t="str">
        <x:v>Policy and socioeconomic demands / Jobs, services and livelihoods
Reported reason
Applies to: May 13 staff work stoppage
Clearing-agent and police reporting attributes intentional staff action to lack of water for drinking, sanitation and handwashing; not a state border-policy rationale.</x:v>
      </x:c>
      <x:c r="H599" s="4" t="str">
        <x:v>Beginning approximately noon May 13; reopening by 22:00. New Era's secondary rendering says Tuesday evening, contrary to its TimesLive source and the Namibian Sun police account of a Wednesday closure; prefer those direct accounts. No unrestricted passenger travel claim.
R6-AES-002-D1: Episode on May 13, not a whole-day closure; approximately noon to by 22:00 per direct accounts. New Era's TimesLive-derived Tuesday-evening wording conflicts with the original and Wednesday police account; it is not independent onset evidence. Concurrent passenger COVID restrictions remain separate.</x:v>
      </x:c>
      <x:c r="I599" s="4" t="str">
        <x:v>Second full-register audit, 26 October 2026: qualified. Fresh newspaper text confirms a May 13 cargo stoppage of approximately ten hours; retain the same-day interval.</x:v>
      </x:c>
      <x:c r="J599" s="18" t="d">
        <x:v>2026-10-26T00:00:00.000Z</x:v>
      </x:c>
      <x:c r="K599" s="21" t="str">
        <x:f>IFERROR(HYPERLINK("https://www.timeslive.co.za/news/south-africa/2020-05-13-officials-close-sa-namibia-border-post-over-lack-of-water/","TimesLIVE"),"TimesLIVE")</x:f>
        <x:v>TimesLIVE</x:v>
      </x:c>
      <x:c r="L599" s="21" t="str">
        <x:f>IFERROR(HYPERLINK("https://fliphtml5.com/jxto/gpgi","Namibian Sun / Network Media Hub"),"Namibian Sun / Network Media Hub")</x:f>
        <x:v>Namibian Sun / Network Media Hub</x:v>
      </x:c>
      <x:c r="M599" s="21" t="str">
        <x:f>IFERROR(HYPERLINK("https://neweralive.na/vioolsdrift-border-post-reopens/","New Era"),"New Era")</x:f>
        <x:v>New Era</x:v>
      </x:c>
      <x:c r="N599" s="4" t="str">
        <x:v>https://www.timeslive.co.za/news/south-africa/2020-05-13-officials-close-sa-namibia-border-post-over-lack-of-water/
https://fliphtml5.com/jxto/gpgi
https://neweralive.na/vioolsdrift-border-post-reopens/
https://namibian21.rssing.com/chan-44586264/article24629.html</x:v>
      </x:c>
      <x:c r="O599" s="4" t="str">
        <x:v>Second full-register audit source access, 26 October 2026
https://www.timeslive.co.za/news/south-africa/2020-05-13-officials-close-sa-namibia-border-post-over-lack-of-water/: full text (fresh retrieval)
https://fliphtml5.com/jxto/gpgi: full text (fresh retrieval)
https://neweralive.na/vioolsdrift-border-post-reopens/: inaccessible (fresh retrieval) — 403; not fresh verification.
Earlier URLs not separately inspected in this second assessment:
https://namibian21.rssing.com/chan-44586264/article24629.html
Prior audit access record
Full-register audit source access (evidence cutoff 25 October 2026)
https://www.timeslive.co.za/news/south-africa/2020-05-13-officials-close-sa-namibia-border-post-over-lack-of-water/: full text
https://fliphtml5.com/jxto/gpgi: full text
https://neweralive.na/vioolsdrift-border-post-reopens/: inaccessible — 403; exact-title search did not recover body.
https://namibian21.rssing.com/chan-44586264/article24629.html: search extract — Not independent corroboration.
Earlier recorded access
Source 1: full text
Source 2: full text
Source 3: indexed extract</x:v>
      </x:c>
      <x:c r="P599" s="20" t="n">
        <x:v>1</x:v>
      </x:c>
      <x:c r="Q599" s="4" t="str">
        <x:v>Southern and Central Africa</x:v>
      </x:c>
      <x:c r="R599" s="4" t="str">
        <x:v>Included</x:v>
      </x:c>
    </x:row>
    <x:row r="600" ht="342" hidden="0" customHeight="1">
      <x:c r="A600" s="16" t="str">
        <x:v>R6-AES-004</x:v>
      </x:c>
      <x:c r="B600" s="4" t="str">
        <x:v>South African Beitbridge cargo admission suspension for COVID disinfection July 2020</x:v>
      </x:c>
      <x:c r="C600" s="4" t="str">
        <x:v>South Africa; Zimbabwe</x:v>
      </x:c>
      <x:c r="D600" s="4" t="str">
        <x:v>Beitbridge
South African customs admission at Beitbridge</x:v>
      </x:c>
      <x:c r="E600" s="4" t="str">
        <x:v>New commercial trucks from both sides
Direction: Both directions for new cargo admission.
Exceptions: Trucks already inside could be processed out; wider passenger restrictions remained.</x:v>
      </x:c>
      <x:c r="F600" s="4" t="str">
        <x:v>R6-AES-004-D1 — Observed operation
Admission of new cargo trucks to the South African customs yard at Beitbridge
Start: 2020-07-07 to 2020-07-08.
Observed scoped reopening: 2020-07-10.
2–3 calendar-day difference; scoped endpoint only</x:v>
      </x:c>
      <x:c r="G600"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600" s="4" t="str">
        <x:v>R6-AES-004-D1: Onset remains bounded because report-date wording conflicts. Only new customs-yard cargo admissions were suspended; vehicles already inside could be processed. Calendar bounds are not exact hours; the reports share a reporter/publisher lineage.</x:v>
      </x:c>
      <x:c r="I600" s="4" t="str">
        <x:v>Second full-register audit, 26 October 2026: qualified. July 2020 reports support a new-cargo-admission suspension at Beitbridge, actual July 10 clearance, and the retained July 7–8 onset ambiguity.</x:v>
      </x:c>
      <x:c r="J600" s="18" t="d">
        <x:v>2026-10-26T00:00:00.000Z</x:v>
      </x:c>
      <x:c r="K600" s="21" t="str">
        <x:f>IFERROR(HYPERLINK("https://satrucker.co.za/sars-beitbridge-temporarily-closed-over-a-positive-covid-19-case/amp/","SA Trucker"),"SA Trucker")</x:f>
        <x:v>SA Trucker</x:v>
      </x:c>
      <x:c r="L600" s="21" t="str">
        <x:f>IFERROR(HYPERLINK("https://www.heraldonline.co.zw/zimbabwe-sa-border-re-opens/","Chronicle / Herald Online"),"Chronicle / Herald Online")</x:f>
        <x:v>Chronicle / Herald Online</x:v>
      </x:c>
      <x:c r="M600" s="21" t="str">
        <x:f>IFERROR(HYPERLINK("https://www.heraldonline.co.zw/sa-to-reopen-border-post-within-24-hours/","Herald Online"),"Herald Online")</x:f>
        <x:v>Herald Online</x:v>
      </x:c>
      <x:c r="N600" s="4" t="str">
        <x:v>https://satrucker.co.za/sars-beitbridge-temporarily-closed-over-a-positive-covid-19-case/amp/
https://www.heraldonline.co.zw/zimbabwe-sa-border-re-opens/
https://www.heraldonline.co.zw/sa-to-reopen-border-post-within-24-hours/
https://www.heraldonline.co.zw/covid-19-sa-closes-border-after-customs-officer-tests-postive/</x:v>
      </x:c>
      <x:c r="O600" s="4" t="str">
        <x:v>Second full-register audit source access, 26 October 2026
https://www.heraldonline.co.zw/zimbabwe-sa-border-re-opens/: full text (fresh retrieval) — Same reporter and publisher family as closure reports.
https://www.heraldonline.co.zw/sa-to-reopen-border-post-within-24-hours/: full text (fresh retrieval)
https://www.heraldonline.co.zw/covid-19-sa-closes-border-after-customs-officer-tests-postive/: full text (fresh retrieval)
Earlier URLs not separately inspected in this second assessment:
https://satrucker.co.za/sars-beitbridge-temporarily-closed-over-a-positive-covid-19-case/amp/
Prior audit access record
Full-register audit source access (evidence cutoff 25 October 2026)
https://satrucker.co.za/sars-beitbridge-temporarily-closed-over-a-positive-covid-19-case/amp/: full text — See specific claim qualifications.
https://www.heraldonline.co.zw/covid-19-sa-closes-border-after-customs-officer-tests-postive/: full text — See specific claim qualifications.
https://www.heraldonline.co.zw/sa-to-reopen-border-post-within-24-hours/: full text — See specific claim qualifications.
https://www.heraldonline.co.zw/zimbabwe-sa-border-re-opens/: full text — See specific claim qualifications.
Earlier recorded access
Source 1: full text opened
Source 2: full text opened
Source 3: substantive indexed text; chronology checked against later full report</x:v>
      </x:c>
      <x:c r="P600" s="20" t="n">
        <x:v>1</x:v>
      </x:c>
      <x:c r="Q600" s="4" t="str">
        <x:v>Southern and Central Africa</x:v>
      </x:c>
      <x:c r="R600" s="4" t="str">
        <x:v>Included</x:v>
      </x:c>
    </x:row>
    <x:row r="601" ht="409" hidden="0" customHeight="1">
      <x:c r="A601" s="16" t="str">
        <x:v>R6-AES-003</x:v>
      </x:c>
      <x:c r="B601" s="4" t="str">
        <x:v>Zimbabwe renewed land-passenger COVID restriction January 2021</x:v>
      </x:c>
      <x:c r="C601" s="4" t="str">
        <x:v>Zimbabwe; South Africa; Botswana; Zambia; Mozambique</x:v>
      </x:c>
      <x:c r="D601" s="4" t="str">
        <x:v>Victoria Falls; Kazungula
Zimbabwe land ports; subsequent limited relaxation at Victoria Falls and Kazungula</x:v>
      </x:c>
      <x:c r="E601" s="4" t="str">
        <x:v>Ordinary land-passenger travel
Direction: General travel in both directions restricted; stated exceptions qualify.
Exceptions: Cargo, returning citizens and departing foreigners reported exempt; July relaxation for fully vaccinated travellers at two posts.</x:v>
      </x:c>
      <x:c r="F601" s="4" t="str">
        <x:v>R6-AES-003-R1 — Formal policy
Zimbabwe nonessential tourist admission restriction at Victoria Falls and Kazungula, ending only for fully vaccinated tourists
Start: 2021-01-02.
Policy endpoint: 2021-07-27 to 2021-07-30.
Formal policy: 206–209 calendar-day difference; operational continuity not established</x:v>
      </x:c>
      <x:c r="G601" s="4" t="str">
        <x:v>Health and biosecurity / Human disease control
Reported reason
Applies to: Recorded episode; exact overlap not separately established
The recorded rationale and claim assessment support the selected subcategories. All applicable broad categories are retained together; no primary rationale is imposed.</x:v>
      </x:c>
      <x:c r="H601" s="4" t="str">
        <x:v>R6-AES-003-R1: Formal onset derives from January 2 immediate land-entry instruction. July 27 approval to July 30 destination-sector report bounds the relaxation; no clock time or independently observed first passenger is established. Only fully vaccinated tourist admission at Victoria Falls and Kazungula is ended; other categories and ports remain outside this endpoint.</x:v>
      </x:c>
      <x:c r="I601" s="4" t="str">
        <x:v>Second full-register audit, 26 October 2026: qualified. Fresh ministerial text and July 2021 reporting support the January 2 immediate restriction and July 27–30 vaccinated-tourist relaxation at the two named ports.</x:v>
      </x:c>
      <x:c r="J601" s="18" t="d">
        <x:v>2026-10-26T00:00:00.000Z</x:v>
      </x:c>
      <x:c r="K601" s="21" t="str">
        <x:f>IFERROR(HYPERLINK("https://www.techzim.co.zw/2021/01/full-text-vice-president-announces-additional-lockdown-measures/","Techzim"),"Techzim")</x:f>
        <x:v>Techzim</x:v>
      </x:c>
      <x:c r="L601" s="21" t="str">
        <x:f>IFERROR(HYPERLINK("https://www.zimlive.com/zimbabwe-re-opens-victoria-falls-land-borders-to-fully-vaccinated-tourists/","ZimLive"),"ZimLive")</x:f>
        <x:v>ZimLive</x:v>
      </x:c>
      <x:c r="M601" s="21" t="str">
        <x:f>IFERROR(HYPERLINK("https://wearevictoriafalls.com/kazangula-and-victoria-falls-border-posts-reopen-to-vaccinated-travellers","We Are Victoria Falls"),"We Are Victoria Falls")</x:f>
        <x:v>We Are Victoria Falls</x:v>
      </x:c>
      <x:c r="N601" s="4" t="str">
        <x:v>https://www.techzim.co.zw/2021/01/full-text-vice-president-announces-additional-lockdown-measures/
https://www.zimlive.com/zimbabwe-re-opens-victoria-falls-land-borders-to-fully-vaccinated-tourists/
https://wearevictoriafalls.com/kazangula-and-victoria-falls-border-posts-reopen-to-vaccinated-travellers
https://www.heraldonline.co.zw/health-authorities-tighten-border-control/
https://www.click2houston.com/news/world/2021/01/03/zimbabwe-returns-to-restrictions-amid-rise-in-virus-cases/</x:v>
      </x:c>
      <x:c r="O601" s="4" t="str">
        <x:v>Second full-register audit source access, 26 October 2026
https://www.techzim.co.zw/2021/01/full-text-vice-president-announces-additional-lockdown-measures/: full text (fresh retrieval)
https://www.zimlive.com/zimbabwe-re-opens-victoria-falls-land-borders-to-fully-vaccinated-tourists/: full text (fresh retrieval)
https://wearevictoriafalls.com/kazangula-and-victoria-falls-border-posts-reopen-to-vaccinated-travellers: search extract (fresh retrieval) — Direct retrieval 429; substantial dated indexed account.
Earlier URLs not separately inspected in this second assessment:
https://www.heraldonline.co.zw/health-authorities-tighten-border-control/
https://www.click2houston.com/news/world/2021/01/03/zimbabwe-returns-to-restrictions-amid-rise-in-virus-cases/
Prior audit access record
Full-register audit source access (evidence cutoff 25 October 2026)
https://www.techzim.co.zw/2021/01/full-text-vice-president-announces-additional-lockdown-measures/: full text — Claim scope as stated
https://www.zimlive.com/zimbabwe-re-opens-victoria-falls-land-borders-to-fully-vaccinated-tourists/: full text — Claim scope as stated
https://wearevictoriafalls.com/kazangula-and-victoria-falls-border-posts-reopen-to-vaccinated-travellers: search extract — Direct page unavailable or article only substantively recovered via index.
Earlier source URLs not separately listed in this audit’s retrieval log (historical access notes below are not fresh verification):
https://www.heraldonline.co.zw/health-authorities-tighten-border-control/
https://www.click2houston.com/news/world/2021/01/03/zimbabwe-returns-to-restrictions-amid-rise-in-virus-cases/
Earlier recorded access
Source 1: full
Source 2: full
Source 3: indexed excerpt; full</x:v>
      </x:c>
      <x:c r="P601" s="20" t="n">
        <x:v>1</x:v>
      </x:c>
      <x:c r="Q601" s="4" t="str">
        <x:v>Southern and Central Africa</x:v>
      </x:c>
      <x:c r="R601" s="4" t="str">
        <x:v>Included</x:v>
      </x:c>
    </x:row>
    <x:row r="602" ht="162" hidden="0" customHeight="1">
      <x:c r="A602" s="16" t="str">
        <x:v>R6-AES-005</x:v>
      </x:c>
      <x:c r="B602" s="4" t="str">
        <x:v>DRC Musosa–Kaputa retaliatory frontier closure August 2025</x:v>
      </x:c>
      <x:c r="C602" s="4" t="str">
        <x:v>Democratic Republic of the Congo; Zambia</x:v>
      </x:c>
      <x:c r="D602" s="4" t="str">
        <x:v>Musosa; Kaputa
Musosa frontier sector in Moba territory facing Kaputa</x:v>
      </x:c>
      <x:c r="E602" s="4" t="str">
        <x:v>Local cross-border movement; categories not separately enumerated
Direction: Closure imposed on the Congolese side; directional exemptions unknown.</x:v>
      </x:c>
      <x:c r="F602" s="4" t="str">
        <x:v>R6-AES-005-D1 — Observed operation
Musosa official crossing between DR Congo and Zambia.
Start: 2025-08-27.
Observed scoped reopening: 2025-09-03.
7 calendar-day difference; scoped endpoint only</x:v>
      </x:c>
      <x:c r="G602" s="4" t="str">
        <x:v>Security / Unspecified security
Analytical interpretation of reported context
Applies to: Recorded episode; exact overlap not separately established
The reported demand to release detained soldiers supports an attributed coercive-pressure interpretation as well as the existing security classification.
Interstate disputes and pressure / Sanctions and coercive pressure
Analytical interpretation of reported context
Applies to: Recorded episode; exact overlap not separately established
The reported demand to release detained soldiers supports an attributed coercive-pressure interpretation as well as the existing security classification.</x:v>
      </x:c>
      <x:c r="H602" s="4" t="str">
        <x:v>R6-AES-005-D1: The report’s headline says eight days, while its stated closure and reopening dates differ by seven calendar days. Informal paths are outside this scope; one reporting lineage. The publisher’s counting method is not established.</x:v>
      </x:c>
      <x:c r="I602" s="4" t="str">
        <x:v>Second full-register audit, 26 October 2026: qualified. Full fresh Radio Okapi text supports the August 27–September 3 Musosa interval and the existing counting qualification.</x:v>
      </x:c>
      <x:c r="J602" s="18" t="d">
        <x:v>2026-10-26T00:00:00.000Z</x:v>
      </x:c>
      <x:c r="K602" s="21" t="str">
        <x:f>IFERROR(HYPERLINK("https://www.radiookapi.net/2025/09/05/actualite/societe/reouverture-de-la-frontiere-rdc-zambie-au-village-musosa-apres-8-jours","Radio Okapi"),"Radio Okapi")</x:f>
        <x:v>Radio Okapi</x:v>
      </x:c>
      <x:c r="L602" s="21"/>
      <x:c r="M602" s="21"/>
      <x:c r="N602" s="4" t="str">
        <x:v>https://www.radiookapi.net/2025/09/05/actualite/societe/reouverture-de-la-frontiere-rdc-zambie-au-village-musosa-apres-8-jours</x:v>
      </x:c>
      <x:c r="O602" s="4" t="str">
        <x:v>Second full-register audit source access, 26 October 2026
https://www.radiookapi.net/2025/09/05/actualite/societe/reouverture-de-la-frontiere-rdc-zambie-au-village-musosa-apres-8-jours: full text (fresh retrieval)
Prior audit access record
Full-register audit source access (evidence cutoff 25 October 2026)
https://www.radiookapi.net/2025/09/05/actualite/societe/reouverture-de-la-frontiere-rdc-zambie-au-village-musosa-apres-8-jours: search extract — Initial full open exposed opening passage; repeat body retrieval timed out; full substantive indexed account inspected.
Earlier recorded access
Source 1: full text</x:v>
      </x:c>
      <x:c r="P602" s="20" t="n">
        <x:v>1</x:v>
      </x:c>
      <x:c r="Q602" s="4" t="str">
        <x:v>Southern and Central Africa</x:v>
      </x:c>
      <x:c r="R602" s="4" t="str">
        <x:v>Included</x:v>
      </x:c>
    </x:row>
    <x:row r="603" ht="409" hidden="0" customHeight="1">
      <x:c r="A603" s="16" t="str">
        <x:v>R6-AWN-001</x:v>
      </x:c>
      <x:c r="B603" s="4" t="str">
        <x:v>Banki–Amchidé inherited security closure and May 2019 formal commercial reopening</x:v>
      </x:c>
      <x:c r="C603" s="4" t="str">
        <x:v>Nigeria; Cameroon</x:v>
      </x:c>
      <x:c r="D603" s="4" t="str">
        <x:v>Banki–Amchidé
Banki–Amchidé commercial crossing and approach corridor</x:v>
      </x:c>
      <x:c r="E603" s="4" t="str">
        <x:v>Cross-border commercial movement.
Direction: Bilateral commercial corridor; authority-specific directions unresolved.
Exceptions: Earlier exceptional or humanitarian passage not reconstructed.</x:v>
      </x:c>
      <x:c r="F603" s="4" t="str">
        <x:v>R6-AWN-001-R1 — Formal policy
Formal Banki–Amchidé commercial crossing closure
Start: 2014-01-01 to 2014-12-31.
Policy endpoint: 2019-05-15.
Formal policy: 1596–1960 calendar-day difference; operational continuity not established</x:v>
      </x:c>
      <x:c r="G603" s="4" t="str">
        <x:v>Security / Armed attacks and terrorism
Security / Armed conflict and military confrontation
Reported reasons
Officials and later research attribute the crossing closure to Boko Haram attacks and the surrounding armed conflict. The 2019 authorities linked reopening to improved security and restoration of cross-border trade.</x:v>
      </x:c>
      <x:c r="H603" s="4" t="str">
        <x:v>R6-AWN-001-R1: Onset uses the expressly reported year, not back-calculation from five years. May endpoint is the official commercial reopening ceremony; no exhaustive actual-passage record. Maiduguri–Banki road reopening in 2018 is an internal road phase.</x:v>
      </x:c>
      <x:c r="I603" s="4" t="str">
        <x:v>Second full-register audit, 26 October 2026: additional source-audited corrections incorporated. See the phase, scope and qualification columns for the accepted findings.</x:v>
      </x:c>
      <x:c r="J603" s="18" t="d">
        <x:v>2026-10-26T00:00:00.000Z</x:v>
      </x:c>
      <x:c r="K603" s="21" t="str">
        <x:f>IFERROR(HYPERLINK("https://www.aa.com.tr/fr/afrique/cameroun-nig%C3%A9ria-r%C3%A9ouverture-de-laxe-amchid%C3%A9-banki-/1480065","Anadolu Agency"),"Anadolu Agency")</x:f>
        <x:v>Anadolu Agency</x:v>
      </x:c>
      <x:c r="L603" s="21" t="str">
        <x:f>IFERROR(HYPERLINK("https://issafrica.org/fr/iss-today/concilier-economie-et-securite-a-la-frontiere-nigeria-cameroun","Institute for Security Studies"),"Institute for Security Studies")</x:f>
        <x:v>Institute for Security Studies</x:v>
      </x:c>
      <x:c r="M603" s="21" t="str">
        <x:f>IFERROR(HYPERLINK("https://www.businessincameroon.com/cooperation/1512-6771-road-traffic-between-cameroon-and-nigeria-reopened-after-several-months-of-interruption-dye-to-boko-haram","Business in Cameroon"),"Business in Cameroon")</x:f>
        <x:v>Business in Cameroon</x:v>
      </x:c>
      <x:c r="N603" s="4" t="str">
        <x:v>https://www.aa.com.tr/fr/afrique/cameroun-nig%C3%A9ria-r%C3%A9ouverture-de-laxe-amchid%C3%A9-banki-/1480065
https://issafrica.org/fr/iss-today/concilier-economie-et-securite-a-la-frontiere-nigeria-cameroun
https://www.businessincameroon.com/cooperation/1512-6771-road-traffic-between-cameroon-and-nigeria-reopened-after-several-months-of-interruption-dye-to-boko-haram
https://actucameroun.com/2019/05/16/cameroun-nigeria-la-frontiere-amchide-banki-rouverte-au-trafic/
https://issafrica.org/iss-today/balancing-economics-and-security-on-the-nigeria-cameroon-border
https://www.businessincameroon.com/index.php/transport/1705-9138-cameroon-nigeria-border-in-the-town-of-amchide-officially-reopened-on-may-15-5-years-after-boko-haram-caused-closing</x:v>
      </x:c>
      <x:c r="O603" s="4" t="str">
        <x:v>Second full-register audit source access, 26 October 2026
https://www.aa.com.tr/fr/afrique/cameroun-nig%C3%A9ria-r%C3%A9ouverture-de-laxe-amchid%C3%A9-banki-/1480065: full text (fresh retrieval)
https://issafrica.org/iss-today/balancing-economics-and-security-on-the-nigeria-cameroon-border: full text (fresh retrieval)
https://www.businessincameroon.com/cooperation/1512-6771-road-traffic-between-cameroon-and-nigeria-reopened-after-several-months-of-interruption-dye-to-boko-haram: search extract (fresh retrieval) — Full indexed article; direct request returned 403.
Earlier URLs not separately inspected in this second assessment:
https://issafrica.org/fr/iss-today/concilier-economie-et-securite-a-la-frontiere-nigeria-cameroun
https://actucameroun.com/2019/05/16/cameroun-nigeria-la-frontiere-amchide-banki-rouverte-au-trafic/
https://www.businessincameroon.com/index.php/transport/1705-9138-cameroon-nigeria-border-in-the-town-of-amchide-officially-reopened-on-may-15-5-years-after-boko-haram-caused-closing
Prior audit access record
Full-register audit source access (evidence cutoff 25 October 2026)
https://www.aa.com.tr/fr/afrique/cameroun-nig%C3%A9ria-r%C3%A9ouverture-de-laxe-amchid%C3%A9-banki-/1480065: full text
https://issafrica.org/iss-today/balancing-economics-and-security-on-the-nigeria-cameroon-border: full text
https://www.businessincameroon.com/index.php/transport/1705-9138-cameroon-nigeria-border-in-the-town-of-amchide-officially-reopened-on-may-15-5-years-after-boko-haram-caused-closing: inaccessible — 403 response.
Earlier source URLs not separately listed in this audit’s retrieval log (historical access notes below are not fresh verification):
https://issafrica.org/fr/iss-today/concilier-economie-et-securite-a-la-frontiere-nigeria-cameroun
https://www.businessincameroon.com/cooperation/1512-6771-road-traffic-between-cameroon-and-nigeria-reopened-after-several-months-of-interruption-dye-to-boko-haram
https://actucameroun.com/2019/05/16/cameroun-nigeria-la-frontiere-amchide-banki-rouverte-au-trafic/
Earlier recorded access
Source 1: full; full text
Source 2: full; full text
Source 3: indexed excerpt; indexed extract</x:v>
      </x:c>
      <x:c r="P603" s="20" t="n">
        <x:v>1</x:v>
      </x:c>
      <x:c r="Q603" s="4" t="str">
        <x:v>West Africa and Sahel</x:v>
      </x:c>
      <x:c r="R603" s="4" t="str">
        <x:v>Included</x:v>
      </x:c>
    </x:row>
    <x:row r="604" ht="409" hidden="0" customHeight="1">
      <x:c r="A604" s="16" t="str">
        <x:v>R6-AWN-004</x:v>
      </x:c>
      <x:c r="B604" s="4" t="str">
        <x:v>Mauritania–Mali bilateral COVID passenger restriction from March 24 2020</x:v>
      </x:c>
      <x:c r="C604" s="4" t="str">
        <x:v>Mauritania; Mali</x:v>
      </x:c>
      <x:c r="D604" s="4" t="str">
        <x:v>Gogui Zemal; Douinkara / Fassala-Nere; Other frontier posts
Mauritania–Mali land frontier</x:v>
      </x:c>
      <x:c r="E604" s="4" t="str">
        <x:v>Cross-border travellers.
Direction: Bilateral person movement restriction.
Exceptions: Goods trucks; later exceptional entry arrangements not fully reconstructed.</x:v>
      </x:c>
      <x:c r="F604" s="4" t="str">
        <x:v>R6-AWN-004-FU1 — Formal policy
Bilateral Mauritania–Mali COVID passenger restriction
Start: 2020-03-24.
Last directly confirmed in the initial order: 2020-03-24.
Exact first relaxation remains unknown. By 2022-06-20, Malian and Mauritanian nationals could cross using ordinary pre-COVID passport or identity-card formalities, according to the Malian embassy. Special-authorization entry had existed earlier. This is a scoped ended-by bound, not an exact first reopening or a statement about all foreign nationals.</x:v>
      </x:c>
      <x:c r="G604" s="4" t="str">
        <x:v>Health and biosecurity / Human disease control
Reported reason
The two presidents agreed the passenger restriction to reduce cross-border spread of COVID-19, expressly excluding goods trucks.</x:v>
      </x:c>
      <x:c r="H604" s="4" t="str">
        <x:v>The March 24, 2020 joint closure order is directly verified and exempts goods trucks. Special-authorisation passenger entry existed before June 2022, but its commencement is unresolved. The June 20, 2022 removal of special authorisation is a later documented access stage for Malian/Mauritanian nationals; it supplies an upper bound for that cohort, not the original closure’s exact endpoint. Continuous enforcement and treatment of other nationalities remain unverified.</x:v>
      </x:c>
      <x:c r="I604" s="4" t="str">
        <x:v>Second full-register audit, 26 October 2026: additional source-audited corrections incorporated. See the phase, scope and qualification columns for the accepted findings.</x:v>
      </x:c>
      <x:c r="J604" s="18" t="d">
        <x:v>2026-10-26T00:00:00.000Z</x:v>
      </x:c>
      <x:c r="K604" s="21" t="str">
        <x:f>IFERROR(HYPERLINK("https://oldfr.ami.mr/Depeche-52989.html","oldfr.ami.mr"),"oldfr.ami.mr")</x:f>
        <x:v>oldfr.ami.mr</x:v>
      </x:c>
      <x:c r="L604" s="21" t="str">
        <x:f>IFERROR(HYPERLINK("https://ami.mr/fr/Depeche-52989.html","AMI"),"AMI")</x:f>
        <x:v>AMI</x:v>
      </x:c>
      <x:c r="M604" s="21" t="str">
        <x:f>IFERROR(HYPERLINK("https://dtm.iom.int/sites/g/files/tmzbdl1461/files/reports/Dashboard%20COVID%20MRC_Decembre_2021_FINAL.pdf","IOM"),"IOM")</x:f>
        <x:v>IOM</x:v>
      </x:c>
      <x:c r="N604" s="4" t="str">
        <x:v>https://oldfr.ami.mr/Depeche-52989.html
https://ami.mr/fr/Depeche-52989.html
https://dtm.iom.int/sites/g/files/tmzbdl1461/files/reports/Dashboard%20COVID%20MRC_Decembre_2021_FINAL.pdf
https://cridem.org/C_Info.php?article=757483
https://maliactu.net/consolidation-des-liens-entre-le-mali-et-la-mauritanie/
https://aqlame.com/node/32496
https://www.cridem.org/imprimable.php?article=733826
https://sgg-mali.ml/JO/2020/mali-jo-2020-20.pdf
https://www.cridem.org/C_Info.php?article=734154
https://fr.saharamedias.net/fermeture-de-la-frontiere-mauritano-malienne/</x:v>
      </x:c>
      <x:c r="O604" s="4" t="str">
        <x:v>Second full-register audit source access, 26 October 2026
https://ami.mr/fr/Depeche-52989.html: full text (fresh retrieval)
https://cridem.org/C_Info.php?article=757483: full text (fresh retrieval)
https://www.cridem.org/imprimable.php?article=733826: full text (fresh retrieval)
https://dtm.iom.int/sites/g/files/tmzbdl1461/files/reports/Dashboard%20COVID%20MRC_Decembre_2021_FINAL.pdf: inaccessible (fresh retrieval) — Fresh access returned 403.
Earlier URLs not separately inspected in this second assessment:
https://oldfr.ami.mr/Depeche-52989.html
https://maliactu.net/consolidation-des-liens-entre-le-mali-et-la-mauritanie/
https://aqlame.com/node/32496
https://sgg-mali.ml/JO/2020/mali-jo-2020-20.pdf
https://www.cridem.org/C_Info.php?article=734154
https://fr.saharamedias.net/fermeture-de-la-frontiere-mauritano-malienne/
Prior audit access record
Full-register audit source access (evidence cutoff 25 October 2026)
https://ami.mr/fr/Depeche-52989.html: full text — Does not establish all-crossing continuity.
https://cridem.org/C_Info.php?article=757483: full text — Does not establish all-crossing continuity.
https://dtm.iom.int/sites/g/files/tmzbdl1461/files/reports/Dashboard%20COVID%20MRC_Decembre_2021_FINAL.pdf: search extract — Indexed substantive passage only.
Earlier source URLs not separately listed in this audit’s retrieval log (historical access notes below are not fresh verification):
https://oldfr.ami.mr/Depeche-52989.html
https://maliactu.net/consolidation-des-liens-entre-le-mali-et-la-mauritanie/
https://aqlame.com/node/32496
https://www.cridem.org/imprimable.php?article=733826
https://sgg-mali.ml/JO/2020/mali-jo-2020-20.pdf
https://www.cridem.org/C_Info.php?article=734154
https://fr.saharamedias.net/fermeture-de-la-frontiere-mauritano-malienne/
Earlier recorded access
Source 1: access detail is retained in the source catalogue.
Source 2: full; failed
Source 3: failed</x:v>
      </x:c>
      <x:c r="P604" s="20" t="n">
        <x:v>1</x:v>
      </x:c>
      <x:c r="Q604" s="4" t="str">
        <x:v>West Africa and Sahel</x:v>
      </x:c>
      <x:c r="R604" s="4" t="str">
        <x:v>Included</x:v>
      </x:c>
    </x:row>
    <x:row r="605" ht="409" hidden="0" customHeight="1">
      <x:c r="A605" s="16" t="str">
        <x:v>R6-AWN-003</x:v>
      </x:c>
      <x:c r="B605" s="4" t="str">
        <x:v>Guinea national COVID land-passenger closure ordered March 2020</x:v>
      </x:c>
      <x:c r="C605" s="4" t="str">
        <x:v>Guinea; Guinea-Bissau; Senegal; Mali; Côte d’Ivoire; Liberia; Sierra Leone</x:v>
      </x:c>
      <x:c r="D605" s="4" t="str">
        <x:v>Guinean side of all international land frontiers</x:v>
      </x:c>
      <x:c r="E605" s="4" t="str">
        <x:v>Land travellers entering or leaving Guinea.
Direction: Entry and exit.
Exceptions: Freight; one driver and up to two assistants, subject to monitoring.</x:v>
      </x:c>
      <x:c r="F605" s="4" t="str">
        <x:v>R6-AWN-003-R1 — Announced window
Initial 30-day strengthened Guinea land-passenger order
Start: 2020-03-27.
Scheduled endpoint: 2020-04-26.
Ordered window: 30 calendar-day difference; actual end not established
Later confirmation: on 2020-07-16, a national transport-union leader described the land-passenger prohibition as still in force, while freight remained permitted. July aviation reopening does not supply a land endpoint. The sustained formal restriction exceeds 24 hours; exact reopening remains unknown.</x:v>
      </x:c>
      <x:c r="G605" s="4" t="str">
        <x:v>Health and biosecurity / Human disease control
Reported reason
The presidency and joint ministry notice attributed the passenger measure to controlling the spread of COVID-19; monitored freight crews remained excepted.</x:v>
      </x:c>
      <x:c r="H605" s="4" t="str">
        <x:v>R6-AWN-003-R1: The initial 30-day ordered term ended on a calculated scheduled boundary of April 26, not an observed reopening. A July 16 interview confirms that the land-passenger prohibition remained in force after the initial term; the intervening renewal instruments and every-post enforcement have not been reconstructed. The March 21 Health Ministry wording concerns air/sea closure and expanded land surveillance, so it does not replace the March 27 land-order onset. July 17 aviation permission and the separate September 2020/2021 political closures are not used as an exact COVID land endpoint.</x:v>
      </x:c>
      <x:c r="I605" s="4" t="str">
        <x:v>Second full-register audit, 26 October 2026: additional source-audited corrections incorporated. See the phase, scope and qualification columns for the accepted findings.</x:v>
      </x:c>
      <x:c r="J605" s="18" t="d">
        <x:v>2026-10-26T00:00:00.000Z</x:v>
      </x:c>
      <x:c r="K605" s="21" t="str">
        <x:f>IFERROR(HYPERLINK("https://www.africaguinee.com/guinee-alpha-conde-decrete-l-etat-d-urgence/","Africa Guinee"),"Africa Guinee")</x:f>
        <x:v>Africa Guinee</x:v>
      </x:c>
      <x:c r="L605" s="21" t="str">
        <x:f>IFERROR(HYPERLINK("https://guineelive.com/2020/03/30/fermeture-des-frontieres-terrestres-le-gouvernement-decrete-30-jours-covid-19/","GuineeLive"),"GuineeLive")</x:f>
        <x:v>GuineeLive</x:v>
      </x:c>
      <x:c r="M605" s="21" t="str">
        <x:f>IFERROR(HYPERLINK("https://www.guinee360.com/15/07/2020/exclusif-guinee-letat-durgence-proroge-de-30-jours-et-la-reouverture-des-frontieres-a-partir-de/","Guinee360"),"Guinee360")</x:f>
        <x:v>Guinee360</x:v>
      </x:c>
      <x:c r="N605" s="4" t="str">
        <x:v>https://www.africaguinee.com/guinee-alpha-conde-decrete-l-etat-d-urgence/
https://guineelive.com/2020/03/30/fermeture-des-frontieres-terrestres-le-gouvernement-decrete-30-jours-covid-19/
https://www.guinee360.com/15/07/2020/exclusif-guinee-letat-durgence-proroge-de-30-jours-et-la-reouverture-des-frontieres-a-partir-de/
https://www.ugp-passp-ms.org.gn/2022/04/26/plan-de-mobilisation-des-parties-prenantes-pmpp-du-projet/
https://assembleenationale.gov.gn/archive.assemblee/www.assemblee.gov.gn/l20200001an-portant-autorisation-de-prorogation-de-letat-durgence-sanitaire-en-republique-de-guinee.html
https://mosaiqueguinee.com/2020/07/etat-durgence-les-transporteurs-terrestres-plaident-pour-la-reouverture-des-frontieres/
https://french.people.com.cn/Afrique/n3/2020/0320/c96852-9670358.html
https://french.xinhuanet.com/afrique/2020-03/27/c_138921995.htm
https://mediaguinee.com/2020/03/coronavirus-quiconque-facilite-la-communication-dune-maladie-contagieuse-sexpose-a-des-poursuites-judiciaires-gouvernement/
https://afrique.le360.ma/guinee/politique/2020/07/16/31172-guinee-conakry-rouvre-ses-frontieres-aeriennes-partir-de-vendredi-31172/
https://guineenews.org/2021/09/13/guinee-la-junte-annonce-la-reouverture-graduelle-des-frontieres-terrestres/</x:v>
      </x:c>
      <x:c r="O605" s="4" t="str">
        <x:v>Second full-register audit source access, 26 October 2026
https://www.africaguinee.com/guinee-alpha-conde-decrete-l-etat-d-urgence/: full text (fresh retrieval)
https://guineelive.com/2020/03/30/fermeture-des-frontieres-terrestres-le-gouvernement-decrete-30-jours-covid-19/: full text (fresh retrieval)
https://mosaiqueguinee.com/2020/07/etat-durgence-les-transporteurs-terrestres-plaident-pour-la-reouverture-des-frontieres/: search extract (fresh retrieval) — Full indexed article; direct request returned 403. Date normalized from yesterday Wednesday July 15.
https://www.guinee360.com/15/07/2020/exclusif-guinee-letat-durgence-proroge-de-30-jours-et-la-reouverture-des-frontieres-a-partir-de/: full text (fresh retrieval)
https://guineenews.org/2021/09/13/guinee-la-junte-annonce-la-reouverture-graduelle-des-frontieres-terrestres/: full text (fresh retrieval) — Not an exact COVID-policy endpoint.
Earlier URLs not separately inspected in this second assessment:
https://www.ugp-passp-ms.org.gn/2022/04/26/plan-de-mobilisation-des-parties-prenantes-pmpp-du-projet/
https://assembleenationale.gov.gn/archive.assemblee/www.assemblee.gov.gn/l20200001an-portant-autorisation-de-prorogation-de-letat-durgence-sanitaire-en-republique-de-guinee.html
https://french.people.com.cn/Afrique/n3/2020/0320/c96852-9670358.html
https://french.xinhuanet.com/afrique/2020-03/27/c_138921995.htm
https://mediaguinee.com/2020/03/coronavirus-quiconque-facilite-la-communication-dune-maladie-contagieuse-sexpose-a-des-poursuites-judiciaires-gouvernement/
https://afrique.le360.ma/guinee/politique/2020/07/16/31172-guinee-conakry-rouvre-ses-frontieres-aeriennes-partir-de-vendredi-31172/
Prior audit access record
Full-register audit source access (evidence cutoff 25 October 2026)
https://www.africaguinee.com/guinee-alpha-conde-decrete-l-etat-d-urgence/: full text — Does not establish all-crossing continuity.
https://guineelive.com/2020/03/30/fermeture-des-frontieres-terrestres-le-gouvernement-decrete-30-jours-covid-19/: full text — Does not establish all-crossing continuity.
https://afrique.le360.ma/guinee/politique/2020/07/16/31172-guinee-conakry-rouvre-ses-frontieres-aeriennes-partir-de-vendredi-31172/: search extract — Indexed substantive passage only.
https://guineenews.org/2021/09/13/guinee-la-junte-annonce-la-reouverture-graduelle-des-frontieres-terrestres/: search extract — Indexed substantive passage only.
Earlier source URLs not separately listed in this audit’s retrieval log (historical access notes below are not fresh verification):
https://www.guinee360.com/15/07/2020/exclusif-guinee-letat-durgence-proroge-de-30-jours-et-la-reouverture-des-frontieres-a-partir-de/
https://www.ugp-passp-ms.org.gn/2022/04/26/plan-de-mobilisation-des-parties-prenantes-pmpp-du-projet/
https://assembleenationale.gov.gn/archive.assemblee/www.assemblee.gov.gn/l20200001an-portant-autorisation-de-prorogation-de-letat-durgence-sanitaire-en-republique-de-guinee.html
https://mosaiqueguinee.com/2020/07/etat-durgence-les-transporteurs-terrestres-plaident-pour-la-reouverture-des-frontieres/
https://french.people.com.cn/Afrique/n3/2020/0320/c96852-9670358.html
https://french.xinhuanet.com/afrique/2020-03/27/c_138921995.htm
https://mediaguinee.com/2020/03/coronavirus-quiconque-facilite-la-communication-dune-maladie-contagieuse-sexpose-a-des-poursuites-judiciaires-gouvernement/
Earlier recorded access
Source 1: full
Source 2: full
Source 3: indexed excerpt; full</x:v>
      </x:c>
      <x:c r="P605" s="20" t="n">
        <x:v>1</x:v>
      </x:c>
      <x:c r="Q605" s="4" t="str">
        <x:v>West Africa and Sahel</x:v>
      </x:c>
      <x:c r="R605" s="4" t="str">
        <x:v>Included</x:v>
      </x:c>
    </x:row>
    <x:row r="606" ht="409" hidden="0" customHeight="1">
      <x:c r="A606" s="16" t="str">
        <x:v>R6-AWN-002</x:v>
      </x:c>
      <x:c r="B606" s="4" t="str">
        <x:v>Fotokol–Gambaru inherited security closure with limited goods reopening in 2016</x:v>
      </x:c>
      <x:c r="C606" s="4" t="str">
        <x:v>Cameroon; Nigeria</x:v>
      </x:c>
      <x:c r="D606" s="4" t="str">
        <x:v>Fotokol–Gambaru / El Beïd bridge
El Beïd bridge at Fotokol–Gambaru</x:v>
      </x:c>
      <x:c r="E606" s="4" t="str">
        <x:v>Ordinary cross-border trade; loaded freight vehicles.
Direction: Goods transferred both ways under the partial regime.
Exceptions: Late 2016: goods transferred on foot, bicycles or carts on Mondays, Wednesdays and Saturdays; no loaded trucks.</x:v>
      </x:c>
      <x:c r="F606" s="4" t="str">
        <x:v>R6-AWN-002-C7P1 — Observed operation
Limited Fotokol–Gambaru passage of goods and people by December12,2016
Start: unknown.
Observed scoped reopening: by 2016-12-12; earliest bound unknown.
dated evidence; numeric duration withheld; see qualification</x:v>
      </x:c>
      <x:c r="G606" s="4" t="str">
        <x:v>Security / Armed attacks and terrorism
Reported reason
Applies to: Recorded episode; exact overlap not separately established
The recorded rationale and claim assessment support the selected subcategories. All applicable broad categories are retained together; no primary rationale is imposed.
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x:v>
      </x:c>
      <x:c r="H606" s="4" t="str">
        <x:v>R6-AWN-002-C7P1: Endpoint upper bound only; original onset and first reopening day are unknown. Separate reporting describes restricted trading days and cargo transshipment, so no full loaded-truck or all-traffic reopening is inferred. Later2017/2021 milestones are not merged.
chronology: Fresh full reprints recover specific three-days-per-week goods-only scope and later truck permission, but exact originals are still undated. Do not derive a continuous closure or a January–June restriction from an opening account. Retain unresolved chronology and no new phase.
duration: Fresh full reprints recover specific three-days-per-week goods-only scope and later truck permission, but exact originals are still undated. Do not derive a continuous closure or a January–June restriction from an opening account. Retain unresolved chronology and no new phase.
onset: No exact original closure day was recovered.
continuity: Limited2016 movement and later2017/2021 milestones cannot be a single uninterrupted closure.</x:v>
      </x:c>
      <x:c r="I606" s="4" t="str">
        <x:v>Second full-register audit, 26 October 2026: qualified. Late-2016 partial trade restoration is corroborated. The precise inherited onset and first reopening remain unknown, and later broad reopening dates cannot erase limited earlier passage.</x:v>
      </x:c>
      <x:c r="J606" s="18" t="d">
        <x:v>2026-10-26T00:00:00.000Z</x:v>
      </x:c>
      <x:c r="K606" s="21" t="str">
        <x:f>IFERROR(HYPERLINK("https://www.businessincameroon.com/cooperation/1512-6771-road-traffic-between-cameroon-and-nigeria-reopened-after-several-months-of-interruption-dye-to-boko-haram","Business in Cameroon"),"Business in Cameroon")</x:f>
        <x:v>Business in Cameroon</x:v>
      </x:c>
      <x:c r="L606" s="21" t="str">
        <x:f>IFERROR(HYPERLINK("https://cameroun24.net/article/36368-Fronti_C3_A8re_Cameroun__E2_80_93_Nigeria__3A_Fotokol_revit.html?lang=fr&amp;pr=50261","Cameroun24 / Cameroon Tribune"),"Cameroun24 / Cameroon Tribune")</x:f>
        <x:v>Cameroun24 / Cameroon Tribune</x:v>
      </x:c>
      <x:c r="M606" s="21" t="str">
        <x:f>IFERROR(HYPERLINK("https://cameroun24.net/article-amp/37589-cameroun-fermeture-de-la-frontiere-avec-le-nigeria-a-fotokol-apres-une-attaque-islamiste-a-gambaru.html","Cameroun24 / Xinhua"),"Cameroun24 / Xinhua")</x:f>
        <x:v>Cameroun24 / Xinhua</x:v>
      </x:c>
      <x:c r="N606" s="4" t="str">
        <x:v>https://www.businessincameroon.com/cooperation/1512-6771-road-traffic-between-cameroon-and-nigeria-reopened-after-several-months-of-interruption-dye-to-boko-haram
https://cameroun24.net/article/36368-Fronti_C3_A8re_Cameroun__E2_80_93_Nigeria__3A_Fotokol_revit.html?lang=fr&amp;pr=50261
https://cameroun24.net/article-amp/37589-cameroun-fermeture-de-la-frontiere-avec-le-nigeria-a-fotokol-apres-une-attaque-islamiste-a-gambaru.html
https://crisisgroup-staging.sbx.so/fr/brf/africa/cameroon/b133-extreme-nord-du-cameroun-le-casse-tete-de-la-reconstruction-en-periode-de-conflit
https://issafrica.org/fr/iss-today/concilier-economie-et-securite-a-la-frontiere-nigeria-cameroun
https://issafrica.org/iss-today/balancing-economics-and-security-on-the-nigeria-cameroon-border</x:v>
      </x:c>
      <x:c r="O606" s="4" t="str">
        <x:v>Second full-register audit source access, 26 October 2026
https://www.businessincameroon.com/cooperation/1512-6771-road-traffic-between-cameroon-and-nigeria-reopened-after-several-months-of-interruption-dye-to-boko-haram: search extract (fresh retrieval) — Direct opening returned 403; substantial indexed text only.
https://cameroun24.net/article/36368-Fronti_C3_A8re_Cameroun__E2_80_93_Nigeria__3A_Fotokol_revit.html?lang=fr&amp;pr=50261: full text (fresh retrieval) — Original publication date absent; body references 17 December 2016 ceremony.
https://issafrica.org/iss-today/balancing-economics-and-security-on-the-nigeria-cameroon-border: full text (fresh retrieval) — Cannot replace contemporary limited 2016 trade evidence.
Earlier URLs not separately inspected in this second assessment:
https://cameroun24.net/article-amp/37589-cameroun-fermeture-de-la-frontiere-avec-le-nigeria-a-fotokol-apres-une-attaque-islamiste-a-gambaru.html
https://crisisgroup-staging.sbx.so/fr/brf/africa/cameroon/b133-extreme-nord-du-cameroun-le-casse-tete-de-la-reconstruction-en-periode-de-conflit
https://issafrica.org/fr/iss-today/concilier-economie-et-securite-a-la-frontiere-nigeria-cameroun
Prior audit access record
Full-register audit source access (evidence cutoff 25 October 2026)
https://www.businessincameroon.com/cooperation/1512-6771-road-traffic-between-cameroon-and-nigeria-reopened-after-several-months-of-interruption-dye-to-boko-haram: search extract — Direct retrieval returned 403; indexed article text inspected. Geographic wording spans nearby routes; relative timing is not an exact first day.
https://cameroun24.net/article/36368-Fronti_C3_A8re_Cameroun__E2_80_93_Nigeria__3A_Fotokol_revit.html?lang=fr&amp;pr=50261: full text — Full reprint is undated; mentions a December 17, 2016 ceremony. Do not treat current page age as original publication date.
https://cameroun24.net/article-amp/37589-cameroun-fermeture-de-la-frontiere-avec-le-nigeria-a-fotokol-apres-une-attaque-islamiste-a-gambaru.html: full text — Undated reprint cannot resolve the chronological sequence precisely; not an independent second copy of Xinhua.
https://issafrica.org/iss-today/balancing-economics-and-security-on-the-nigeria-cameroon-border: full text — Its 2021 reopening milestone cannot erase documented earlier partial trade.
Earlier source URLs not separately listed in this audit’s retrieval log (historical access notes below are not fresh verification):
https://crisisgroup-staging.sbx.so/fr/brf/africa/cameroon/b133-extreme-nord-du-cameroun-le-casse-tete-de-la-reconstruction-en-periode-de-conflit
https://issafrica.org/fr/iss-today/concilier-economie-et-securite-a-la-frontiere-nigeria-cameroun
Earlier recorded access
Source 1: search extract; direct open 403
Source 2: full
Source 3: full</x:v>
      </x:c>
      <x:c r="P606" s="20" t="n">
        <x:v>1</x:v>
      </x:c>
      <x:c r="Q606" s="4" t="str">
        <x:v>West Africa and Sahel</x:v>
      </x:c>
      <x:c r="R606" s="4" t="str">
        <x:v>Included</x:v>
      </x:c>
    </x:row>
    <x:row r="607" ht="409" hidden="0" customHeight="1">
      <x:c r="A607" s="16" t="str">
        <x:v>R7-EUAM-002</x:v>
      </x:c>
      <x:c r="B607" s="4" t="str">
        <x:v>Posadas–Encarnación mototaxi vehicle blockade, June 13, 2017</x:v>
      </x:c>
      <x:c r="C607" s="4" t="str">
        <x:v>Argentina; Paraguay</x:v>
      </x:c>
      <x:c r="D607" s="4" t="str">
        <x:v>San Roque González de Santa Cruz / Posadas–Encarnación
Paraguayan bridgehead of San Roque González de Santa Cruz international bridge</x:v>
      </x:c>
      <x:c r="E607" s="4" t="str">
        <x:v>Vehicles using the international bridge.
Direction: Vehicle passage at Paraguayan bridgehead obstructed; directional detail incomplete.
Exceptions: Pedestrian passage and exceptional vehicles not established.</x:v>
      </x:c>
      <x:c r="F607" s="4" t="str">
        <x:v>R7-EUAM-002-D1 — Observed operation
Posadas mototaxi episode on Tuesday 13 June 2017; Monday is not joined into a continuous period.
Start: 2017-06-13.
Observed scoped reopening: 2017-06-13.
Same-day episode; no whole-day duration inferred</x:v>
      </x:c>
      <x:c r="G607" s="4" t="str">
        <x:v>Trade and protectionism / Trade and transport protests
Reported participant reason
Mototaxi drivers opposed stricter Argentine controls on carrying passengers and sought the return of seized motorcycles. The checks followed a fatal collision; that safety context is distinct from the protesters’ stated reason for obstructing the bridge.</x:v>
      </x:c>
      <x:c r="H607" s="4" t="str">
        <x:v>R7-EUAM-002-D1: Shown as an episode occurring on this date, not a whole-day closure. Clock times vary and source independence is not fully established. Monday’s earlier action is not merged into Tuesday.</x:v>
      </x:c>
      <x:c r="I607" s="4" t="str">
        <x:v>Second full-register audit, 26 October 2026: additional source-audited corrections incorporated. See the phase, scope and qualification columns for the accepted findings.</x:v>
      </x:c>
      <x:c r="J607" s="18" t="d">
        <x:v>2026-10-26T00:00:00.000Z</x:v>
      </x:c>
      <x:c r="K607" s="21" t="str">
        <x:f>IFERROR(HYPERLINK("https://misionesonline.net/2017/06/13/se-levanto-corte-puente-posadas-encarnacion-realizaban-los-mototaxistas-paraguayos-protestaban-controles-del-lado-argentino/","MisionesOnline"),"MisionesOnline")</x:f>
        <x:v>MisionesOnline</x:v>
      </x:c>
      <x:c r="L607" s="21" t="str">
        <x:f>IFERROR(HYPERLINK("https://www.primeraedicion.com.ar/nota/248830/por-segundo-dia-mototaxistas-cortaron-el-puente-posadas-encarnacion/","Primera Edición"),"Primera Edición")</x:f>
        <x:v>Primera Edición</x:v>
      </x:c>
      <x:c r="M607" s="21" t="str">
        <x:f>IFERROR(HYPERLINK("https://www.elterritorio.com.ar/noticias/2017/06/13/533703-habilitaron-el-transito-en-el-puente-internacional-san-roque-gonzalez","elterritorio.com.ar"),"elterritorio.com.ar")</x:f>
        <x:v>elterritorio.com.ar</x:v>
      </x:c>
      <x:c r="N607" s="4" t="str">
        <x:v>https://misionesonline.net/2017/06/13/se-levanto-corte-puente-posadas-encarnacion-realizaban-los-mototaxistas-paraguayos-protestaban-controles-del-lado-argentino/
https://www.primeraedicion.com.ar/nota/248830/por-segundo-dia-mototaxistas-cortaron-el-puente-posadas-encarnacion/
https://www.elterritorio.com.ar/noticias/2017/06/13/533703-habilitaron-el-transito-en-el-puente-internacional-san-roque-gonzalez
https://misionesonline.net/2017/06/15/normal-circulacion-largas-filas-vehiculos-puente-internacional-posadas-encarnacion/</x:v>
      </x:c>
      <x:c r="O607" s="4" t="str">
        <x:v>Second full-register audit source access, 26 October 2026
https://misionesonline.net/2017/06/13/se-levanto-corte-puente-posadas-encarnacion-realizaban-los-mototaxistas-paraguayos-protestaban-controles-del-lado-argentino/: full text (fresh retrieval)
https://www.primeraedicion.com.ar/nota/248830/por-segundo-dia-mototaxistas-cortaron-el-puente-posadas-encarnacion/: full text (fresh retrieval)
https://www.elterritorio.com.ar/noticias/2017/06/13/533703-habilitaron-el-transito-en-el-puente-internacional-san-roque-gonzalez: full text (fresh retrieval) — Reported 20:30 end follows displayed 20:23 publication time; no exact clock adopted.
Earlier URLs not separately inspected in this second assessment:
https://misionesonline.net/2017/06/15/normal-circulacion-largas-filas-vehiculos-puente-internacional-posadas-encarnacion/
Prior audit access record
Full-register audit source access (evidence cutoff 25 October 2026)
https://misionesonline.net/2017/06/13/se-levanto-corte-puente-posadas-encarnacion-realizaban-los-mototaxistas-paraguayos-protestaban-controles-del-lado-argentino/: full text
https://www.primeraedicion.com.ar/nota/248830/por-segundo-dia-mototaxistas-cortaron-el-puente-posadas-encarnacion/: full text
https://www.elterritorio.com.ar/noticias/2017/06/13/533703-habilitaron-el-transito-en-el-puente-internacional-san-roque-gonzalez: full text — Approximate 18:00–20:30 differs from other account and publication clock
Earlier source URLs not separately listed in this audit’s retrieval log (historical access notes below are not fresh verification):
https://misionesonline.net/2017/06/15/normal-circulacion-largas-filas-vehiculos-puente-internacional-posadas-encarnacion/
Earlier recorded access
Source 1: full article opened
Source 2: full article opened
Source 3: access detail is retained in the source catalogue.</x:v>
      </x:c>
      <x:c r="P607" s="20" t="n">
        <x:v>1</x:v>
      </x:c>
      <x:c r="Q607" s="4" t="str">
        <x:v>Americas</x:v>
      </x:c>
      <x:c r="R607" s="4" t="str">
        <x:v>Included</x:v>
      </x:c>
    </x:row>
    <x:row r="608" ht="409" hidden="0" customHeight="1">
      <x:c r="A608" s="16" t="str">
        <x:v>R7-EUAM-003</x:v>
      </x:c>
      <x:c r="B608" s="4" t="str">
        <x:v>Bermejo–Aguas Blancas bridge blockade over Argentine import rules, April 5, 2019</x:v>
      </x:c>
      <x:c r="C608" s="4" t="str">
        <x:v>Bolivia; Argentina</x:v>
      </x:c>
      <x:c r="D608" s="4" t="str">
        <x:v>Bermejo–Aguas Blancas international bridge
International road bridge between Bermejo and Aguas Blancas</x:v>
      </x:c>
      <x:c r="E608" s="4" t="str">
        <x:v>Road vehicles across the bridge.
Direction: Entry and exit traffic affected.
Exceptions: Pedestrian and emergency passage not established.</x:v>
      </x:c>
      <x:c r="F608" s="4" t="str">
        <x:v>R7-EUAM-003-D1 — Observed operation
Initial April 5 vehicle bridge blockade at Bermejo–Aguas Blancas to the negotiated late-afternoon pause
Start: 2019-04-05.
Observed scoped reopening: 2019-04-05.
Same-day episode; no whole-day duration inferred</x:v>
      </x:c>
      <x:c r="G608" s="4" t="str">
        <x:v>Trade and protectionism / Trade and transport protests; Policy and socioeconomic demands / Jobs, services and livelihoods
Reported participant reason
Frontier porters and traders protested Argentina’s revised simplified import regime and its effects on their work and income. The negotiated pause did not establish final settlement of the dispute.</x:v>
      </x:c>
      <x:c r="H608" s="4" t="str">
        <x:v>R7-EUAM-003-D1: Sub-day segment only, not final settlement or exact uninterrupted hours. Pedestrian/emergency scope is unknown. Fides/El Pais republications share lineage; separate Chalanas high-water outage is excluded.</x:v>
      </x:c>
      <x:c r="I608" s="4" t="str">
        <x:v>Second full-register audit, 26 October 2026: additional source-audited corrections incorporated. See the phase, scope and qualification columns for the accepted findings.</x:v>
      </x:c>
      <x:c r="J608" s="18" t="d">
        <x:v>2026-10-26T00:00:00.000Z</x:v>
      </x:c>
      <x:c r="K608" s="21" t="str">
        <x:f>IFERROR(HYPERLINK("https://elpais.bo/tarija/20190405_bagayeros-bloquean-ingreso-a-bermejo.html","El País Tarija"),"El País Tarija")</x:f>
        <x:v>El País Tarija</x:v>
      </x:c>
      <x:c r="L608" s="21" t="str">
        <x:f>IFERROR(HYPERLINK("https://www.noticiasfides.com/nacional/sociedad/bagayeros-bloquearon-puente-internacional-en-localidad-fronteriza-en-bermejo-y-carretera-exigen-fuentes-de-empleo-si-las-autoridades-no-resuelven-conflicto-de-internacion-de-productos-de-contrabando-396465","Agencia de Noticias Fides"),"Agencia de Noticias Fides")</x:f>
        <x:v>Agencia de Noticias Fides</x:v>
      </x:c>
      <x:c r="M608" s="21" t="str">
        <x:f>IFERROR(HYPERLINK("https://fmalba.com.ar/internacionales-bagayeros-levantan-bloqueo-en-bermejo-e-ingresan-a-cuarto-intermedio/","FM Alba"),"FM Alba")</x:f>
        <x:v>FM Alba</x:v>
      </x:c>
      <x:c r="N608" s="4" t="str">
        <x:v>https://elpais.bo/tarija/20190405_bagayeros-bloquean-ingreso-a-bermejo.html
https://www.noticiasfides.com/nacional/sociedad/bagayeros-bloquearon-puente-internacional-en-localidad-fronteriza-en-bermejo-y-carretera-exigen-fuentes-de-empleo-si-las-autoridades-no-resuelven-conflicto-de-internacion-de-productos-de-contrabando-396465
https://fmalba.com.ar/internacionales-bagayeros-levantan-bloqueo-en-bermejo-e-ingresan-a-cuarto-intermedio/
https://fmalba.com.ar/oran-bagayeros-bloquean-el-paso-internacional-en-aguas-blancas-y-puerto-chalanas-en-bermejo/</x:v>
      </x:c>
      <x:c r="O608" s="4" t="str">
        <x:v>Second full-register audit source access, 26 October 2026
https://elpais.bo/tarija/20190405_bagayeros-bloquean-ingreso-a-bermejo.html: full text (fresh retrieval)
https://fmalba.com.ar/internacionales-bagayeros-levantan-bloqueo-en-bermejo-e-ingresan-a-cuarto-intermedio/: full text (fresh retrieval) — Uses El País/Fides reporting; not fully independent lineage.
Earlier URLs not separately inspected in this second assessment:
https://www.noticiasfides.com/nacional/sociedad/bagayeros-bloquearon-puente-internacional-en-localidad-fronteriza-en-bermejo-y-carretera-exigen-fuentes-de-empleo-si-las-autoridades-no-resuelven-conflicto-de-internacion-de-productos-de-contrabando-396465
https://fmalba.com.ar/oran-bagayeros-bloquean-el-paso-internacional-en-aguas-blancas-y-puerto-chalanas-en-bermejo/
Prior audit access record
Full-register audit source access (evidence cutoff 25 October 2026)
https://elpais.bo/tarija/20190405_bagayeros-bloquean-ingreso-a-bermejo.html: full text
https://www.noticiasfides.com/nacional/sociedad/bagayeros-bloquearon-puente-internacional-en-localidad-fronteriza-en-bermejo-y-carretera-exigen-fuentes-de-empleo-si-las-autoridades-no-resuelven-conflicto-de-internacion-de-productos-de-contrabando-396465: full text — Shares Fides/El País reporting lineage
https://fmalba.com.ar/internacionales-bagayeros-levantan-bloqueo-en-bermejo-e-ingresan-a-cuarto-intermedio/: full text — Not a final dispute settlement; shared reporting lineage
Earlier source URLs not separately listed in this audit’s retrieval log (historical access notes below are not fresh verification):
https://fmalba.com.ar/oran-bagayeros-bloquean-el-paso-internacional-en-aguas-blancas-y-puerto-chalanas-en-bermejo/
Earlier recorded access
Source 1: full article opened
Source 2: full article opened
Source 3: full article opened</x:v>
      </x:c>
      <x:c r="P608" s="20" t="n">
        <x:v>1</x:v>
      </x:c>
      <x:c r="Q608" s="4" t="str">
        <x:v>Americas</x:v>
      </x:c>
      <x:c r="R608" s="4" t="str">
        <x:v>Included</x:v>
      </x:c>
    </x:row>
    <x:row r="609" ht="409" hidden="0" customHeight="1">
      <x:c r="A609" s="16" t="str">
        <x:v>R7-EUAM-001</x:v>
      </x:c>
      <x:c r="B609" s="4" t="str">
        <x:v>Kulata–Promachonas Greek farmers’ brief vehicle blockade, January 31, 2017</x:v>
      </x:c>
      <x:c r="C609" s="4" t="str">
        <x:v>Bulgaria; Greece</x:v>
      </x:c>
      <x:c r="D609" s="4" t="str">
        <x:v>Kulata–Promachonas
Greek approach to Kulata–Promachonas road crossing</x:v>
      </x:c>
      <x:c r="E609" s="4" t="str">
        <x:v>Road vehicles, including lorries and cars.
Direction: Road movement affected; trucks reported passing both directions after clearance.
Exceptions: Other frontier crossings remained available; pedestrian scope unknown.</x:v>
      </x:c>
      <x:c r="F609" s="4" t="str">
        <x:v>R7-EUAM-001-D1 — Observed operation
Kulata episode on 31 January 2017.
Start: 2017-01-31.
Observed scoped reopening: 2017-01-31.
Same-day episode; no whole-day duration inferred</x:v>
      </x:c>
      <x:c r="G609" s="4" t="str">
        <x:v>Policy and socioeconomic demands / Jobs, services and livelihoods
Reported reason
Applies to: January 31, 2017 blockade
Reporting explicitly identifies opposition to tax and social-security contribution reforms and demands for higher agricultural subsidies.</x:v>
      </x:c>
      <x:c r="H609" s="4" t="str">
        <x:v>R7-EUAM-001-D1: Shown as an episode occurring on this date, not a whole-day closure. Minute-level accounts differ; official reopening statement available via attributed mirror, original retrieval failed.</x:v>
      </x:c>
      <x:c r="I609" s="4" t="str">
        <x:v>Second full-register audit, 26 October 2026: qualified. Fresh ministry-attributed and broadcaster reports confirm the brief January 31 Kulata–Promachonas episode, same-day restoration and livelihood demands; no timing change is warranted.</x:v>
      </x:c>
      <x:c r="J609" s="18" t="d">
        <x:v>2026-10-26T00:00:00.000Z</x:v>
      </x:c>
      <x:c r="K609" s="21" t="str">
        <x:f>IFERROR(HYPERLINK("https://presscenters.com/News/97925/vuzstanoveno-e-normalnoto-preminavane-prez-gkpp-kulata--promahon","PressCenters.com"),"PressCenters.com")</x:f>
        <x:v>PressCenters.com</x:v>
      </x:c>
      <x:c r="L609" s="21" t="str">
        <x:f>IFERROR(HYPERLINK("https://dariknews.bg/novini/bylgariia/gryckite-fermeri-blokiraha-za-chas-granicata-ni-pri-promahon-2000285","DarikNews"),"DarikNews")</x:f>
        <x:v>DarikNews</x:v>
      </x:c>
      <x:c r="M609" s="21" t="str">
        <x:f>IFERROR(HYPERLINK("https://nova.bg/news/view/2017/01/31/172528/гръцките-фермери-блокираха-за-кратко-границата-с-българия-видеоснимки/","NOVA"),"NOVA")</x:f>
        <x:v>NOVA</x:v>
      </x:c>
      <x:c r="N609" s="4" t="str">
        <x:v>https://presscenters.com/News/97925/vuzstanoveno-e-normalnoto-preminavane-prez-gkpp-kulata--promahon
https://dariknews.bg/novini/bylgariia/gryckite-fermeri-blokiraha-za-chas-granicata-ni-pri-promahon-2000285
https://nova.bg/news/view/2017/01/31/172528/гръцките-фермери-блокираха-за-кратко-границата-с-българия-видеоснимки/
https://sofiaglobe.com/2017/01/31/bulgaria-advises-motorists-to-avoid-kulata-border-checkpoint-after-hour-long-blockade-by-greek-farmers/
https://sofiaglobe.com/2017/01/28/greek-farmers-block-border-checkpoint-with-bulgaria/
https://bntnews.bg/news/protest-by-greek-farmers-blocked-kulata-border-crossing-for-an-hour-1314554news.html
https://old-news.bnr.bg/en/post/100790504/traffic-of-motor-vehicles-via-kulata-promachon-resumes-update</x:v>
      </x:c>
      <x:c r="O609" s="4" t="str">
        <x:v>Second full-register audit source access, 26 October 2026
https://presscenters.com/News/97925/vuzstanoveno-e-normalnoto-preminavane-prez-gkpp-kulata--promahon: full text (fresh retrieval) — Attributed mirror; original ministry page not freshly retrieved.
https://sofiaglobe.com/2017/01/31/bulgaria-advises-motorists-to-avoid-kulata-border-checkpoint-after-hour-long-blockade-by-greek-farmers/: full text (fresh retrieval)
https://bntnews.bg/news/protest-by-greek-farmers-blocked-kulata-border-crossing-for-an-hour-1314554news.html: full text (fresh retrieval)
Earlier URLs not separately inspected in this second assessment:
https://dariknews.bg/novini/bylgariia/gryckite-fermeri-blokiraha-za-chas-granicata-ni-pri-promahon-2000285
https://nova.bg/news/view/2017/01/31/172528/гръцките-фермери-блокираха-за-кратко-границата-с-българия-видеоснимки/
https://sofiaglobe.com/2017/01/28/greek-farmers-block-border-checkpoint-with-bulgaria/
https://old-news.bnr.bg/en/post/100790504/traffic-of-motor-vehicles-via-kulata-promachon-resumes-update
Prior audit access record
Full-register audit source access (evidence cutoff 25 October 2026)
https://presscenters.com/News/97925/vuzstanoveno-e-normalnoto-preminavane-prez-gkpp-kulata--promahon: full text — Attributed mirror; original ministry URL not independently recovered.
https://dariknews.bg/novini/bylgariia/gryckite-fermeri-blokiraha-za-chas-granicata-ni-pri-promahon-2000285: full text
https://sofiaglobe.com/2017/01/31/bulgaria-advises-motorists-to-avoid-kulata-border-checkpoint-after-hour-long-blockade-by-greek-farmers/: full text
https://bntnews.bg/news/protest-by-greek-farmers-blocked-kulata-border-crossing-for-an-hour-1314554news.html: full text
https://old-news.bnr.bg/en/post/100790504/traffic-of-motor-vehicles-via-kulata-promachon-resumes-update: inaccessible — 502; independent operational reports recovered.
Earlier source URLs not separately listed in this audit’s retrieval log (historical access notes below are not fresh verification):
https://nova.bg/news/view/2017/01/31/172528/гръцките-фермери-блокираха-за-кратко-границата-с-българия-видеоснимки/
https://sofiaglobe.com/2017/01/28/greek-farmers-block-border-checkpoint-with-bulgaria/
Earlier recorded access
Source 1: full mirror article opened; original click failed
Source 2: full article opened
Source 3: full article opened</x:v>
      </x:c>
      <x:c r="P609" s="20" t="n">
        <x:v>1</x:v>
      </x:c>
      <x:c r="Q609" s="4" t="str">
        <x:v>Europe</x:v>
      </x:c>
      <x:c r="R609" s="4" t="str">
        <x:v>Included</x:v>
      </x:c>
    </x:row>
    <x:row r="610" ht="409" hidden="0" customHeight="1">
      <x:c r="A610" s="16" t="str">
        <x:v>R7-PV-001</x:v>
      </x:c>
      <x:c r="B610" s="4" t="str">
        <x:v>Gallabat–Metema May 2022 closure after border killings and local truck obstruction</x:v>
      </x:c>
      <x:c r="C610" s="4" t="str">
        <x:v>Sudan; Ethiopia</x:v>
      </x:c>
      <x:c r="D610" s="4" t="str">
        <x:v>Gallabat–Metema
Gallabat–Metema road crossing</x:v>
      </x:c>
      <x:c r="E610" s="4" t="str">
        <x:v>People and goods through the formal post; agricultural workers and commerce specifically discussed in reopening agreement.
Direction: Crossing movement reported stopped; individual direction-specific exceptions unknown
Exceptions: Not established</x:v>
      </x:c>
      <x:c r="F610" s="4" t="str">
        <x:v>R7-PV-001-R1 — Observed operation
Reported state closure at Gallabat–Metema in Dabanga’s second-day account
Start: 2022-05-21.
Last confirmed: 2022-05-22. Reopening is not established.
confirmed through 2022-05-22; at least 1 calendar-day difference; reopening unknown
Later, separate evidence: reopening was formally authorised on 2022-07-17 after another closure. A named Metema dry-port administrator reports services resumed on 2022-07-21. This is later goods/service access evidence, not the first reopening after the May episode or an all-passenger endpoint.</x:v>
      </x:c>
      <x:c r="G610" s="4" t="str">
        <x:v>Security / Crime and law enforcement
Security / Armed attacks and terrorism
Analytical interpretation of reported context
Accounts link the closure to killings and kidnappings attributed to Ethiopian armed groups and residents’ demands for stronger security. They do not establish one comprehensive official motive for every reported action.</x:v>
      </x:c>
      <x:c r="H610" s="4" t="str">
        <x:v>R7-PV-001-R1: Dabanga’s second-day account supports a reported state closure on May 21–22, while Sudan Tribune reports a May 21 agreement to reopen. An agreement does not establish implementation; this disagreement remains unresolved. The May 20 civilian truck obstruction is a separate antecedent. July 17 reopening permission and July 21 dry-port services followed another closure and provide later scoped access evidence, not the first reopening after May or proof of a continuous May–July spell.</x:v>
      </x:c>
      <x:c r="I610" s="4" t="str">
        <x:v>Second full-register audit, 26 October 2026: additional source-audited corrections incorporated. See the phase, scope and qualification columns for the accepted findings.</x:v>
      </x:c>
      <x:c r="J610" s="18" t="d">
        <x:v>2026-10-26T00:00:00.000Z</x:v>
      </x:c>
      <x:c r="K610" s="21" t="str">
        <x:f>IFERROR(HYPERLINK("https://www.dabangasudan.org/en/all-news/article/sudan-ethiopia-border-crossing-between-galabat-and-metema-remains-closed-after-shifta-killings","Radio Dabanga"),"Radio Dabanga")</x:f>
        <x:v>Radio Dabanga</x:v>
      </x:c>
      <x:c r="L610" s="21" t="str">
        <x:f>IFERROR(HYPERLINK("https://sudantribune.net/article/259059","Sudan Tribune"),"Sudan Tribune")</x:f>
        <x:v>Sudan Tribune</x:v>
      </x:c>
      <x:c r="M610" s="21" t="str">
        <x:f>IFERROR(HYPERLINK("https://sudantribune.net/article/259012","Sudan Tribune"),"Sudan Tribune")</x:f>
        <x:v>Sudan Tribune</x:v>
      </x:c>
      <x:c r="N610" s="4" t="str">
        <x:v>https://www.dabangasudan.org/en/all-news/article/sudan-ethiopia-border-crossing-between-galabat-and-metema-remains-closed-after-shifta-killings
https://sudantribune.net/article/259059
https://sudantribune.net/article/259012
https://sudantribune.com/article/261620
https://zehabesha.com/sudan-ethiopia-border-crossing-between-galabat-and-metema-remains-closed-after-shifta-killings/
https://www.dabangasudan.org/en/all-news/article/sudan-timeline-april-june-2022-popular-resistance-to-junta-escalates-banditry-and-intercommunal-strife-in-darfur-and-across-sudan-as-15-million-face-hunger
https://www.radiotamazuj.org/en/news/article/sudan-reopens-border-crossing-with-ethiopia
https://ethiopanorama.com/?p=171640</x:v>
      </x:c>
      <x:c r="O610" s="4" t="str">
        <x:v>Second full-register audit source access, 26 October 2026
https://www.dabangasudan.org/en/all-news/article/sudan-ethiopia-border-crossing-between-galabat-and-metema-remains-closed-after-shifta-killings: full text (fresh retrieval)
https://sudantribune.net/article/259059: full text (fresh retrieval)
https://sudantribune.net/article/259012: full text (fresh retrieval)
https://ethiopanorama.com/?p=171640: full text (fresh retrieval)
Earlier URLs not separately inspected in this second assessment:
https://sudantribune.com/article/261620
https://zehabesha.com/sudan-ethiopia-border-crossing-between-galabat-and-metema-remains-closed-after-shifta-killings/
https://www.dabangasudan.org/en/all-news/article/sudan-timeline-april-june-2022-popular-resistance-to-junta-escalates-banditry-and-intercommunal-strife-in-darfur-and-across-sudan-as-15-million-face-hunger
https://www.radiotamazuj.org/en/news/article/sudan-reopens-border-crossing-with-ethiopia
Prior audit access record
Full-register audit source access (evidence cutoff 25 October 2026)
https://www.dabangasudan.org/en/all-news/article/sudan-ethiopia-border-crossing-between-galabat-and-metema-remains-closed-after-shifta-killings: full text
https://sudantribune.net/article/259059: full text
https://sudantribune.net/article/259012: full text
https://www.radiotamazuj.org/en/news/article/sudan-reopens-border-crossing-with-ethiopia: full text
https://ethiopanorama.com/?p=171640: full text
Earlier source URLs not separately listed in this audit’s retrieval log (historical access notes below are not fresh verification):
https://sudantribune.com/article/261620
https://zehabesha.com/sudan-ethiopia-border-crossing-between-galabat-and-metema-remains-closed-after-shifta-killings/
https://www.dabangasudan.org/en/all-news/article/sudan-timeline-april-june-2022-popular-resistance-to-junta-escalates-banditry-and-intercommunal-strife-in-darfur-and-across-sudan-as-15-million-face-hunger
Earlier recorded access
Source 1: full
Source 2: full
Source 3: full</x:v>
      </x:c>
      <x:c r="P610" s="20" t="n">
        <x:v>1</x:v>
      </x:c>
      <x:c r="Q610" s="4" t="str">
        <x:v>Horn of Africa</x:v>
      </x:c>
      <x:c r="R610" s="4" t="str">
        <x:v>Included</x:v>
      </x:c>
    </x:row>
    <x:row r="611" ht="342" hidden="0" customHeight="1">
      <x:c r="A611" s="16" t="str">
        <x:v>R7-AF-001</x:v>
      </x:c>
      <x:c r="B611" s="4" t="str">
        <x:v>Angola Luvo electoral border and market closure August–September 2017</x:v>
      </x:c>
      <x:c r="C611" s="4" t="str">
        <x:v>Angola; Democratic Republic of the Congo</x:v>
      </x:c>
      <x:c r="D611" s="4" t="str">
        <x:v>Luvo/Luvu
Luvo/Luvu border post and associated cross-border market, Zaire province</x:v>
      </x:c>
      <x:c r="E611" s="4" t="str">
        <x:v>Market traders and goods; wider passenger/freight categories incompletely enumerated.
Direction: Congolese traders entering Angola were observed when passage resumed; closure-direction exceptions unknown.</x:v>
      </x:c>
      <x:c r="F611" s="4" t="str">
        <x:v>R7-AF-001-D1 — Observed operation
Congolese traders' ordinary access through Luvo/Luvu to the associated Angolan market
Start: 2017-08-01 to 2017-08-31.
Observed scoped reopening: 2017-09-02.
2–32 calendar-day difference; scoped endpoint only</x:v>
      </x:c>
      <x:c r="G611" s="4" t="str">
        <x:v>Electoral politics / Election administration and security
Reported reason
Applies to: Recorded episode; exact overlap not separately established
The recorded rationale and claim assessment support the selected subcategories. All applicable broad categories are retained together; no primary rationale is imposed.</x:v>
      </x:c>
      <x:c r="H611" s="4" t="str">
        <x:v>R7-AF-001-D1: Onset remains month precision; twenty-day retrospective wording is not used to invent a start. The endpoint is observed trader access, not every category/direction. Independence of repeated retrospective duration claims is unknown and exceptions are not reconstructed.</x:v>
      </x:c>
      <x:c r="I611" s="4" t="str">
        <x:v>Second full-register audit, 26 October 2026: qualified. Reporter-observed trader passage supports September 2 reopening; twenty-day retrospective wording does not establish an exact onset.</x:v>
      </x:c>
      <x:c r="J611" s="18" t="d">
        <x:v>2026-10-26T00:00:00.000Z</x:v>
      </x:c>
      <x:c r="K611" s="21" t="str">
        <x:f>IFERROR(HYPERLINK("https://www.novojornal.co.ao/internacional/detalhe/fronteira-e-mercado-transfronteirico-do-luvo-reabrem-depois-de-20-dias-encerrados-por-causa-das-eleicoes-14125.html","Novo Jornal"),"Novo Jornal")</x:f>
        <x:v>Novo Jornal</x:v>
      </x:c>
      <x:c r="L611" s="21" t="str">
        <x:f>IFERROR(HYPERLINK("https://valoreconomico.co.ao/artigo/fuga-ao-fisco-domina-comercio","Valor Económico"),"Valor Económico")</x:f>
        <x:v>Valor Económico</x:v>
      </x:c>
      <x:c r="M611" s="21" t="str">
        <x:f>IFERROR(HYPERLINK("https://novojornal.co.ao/internacional/detalhe/fronteira-e-mercado-transfronteirico-do-luvo-reabrem-depois-de-20-dias-encerrados-por-causa-das-eleicoes-14125.html","novojornal.co.ao"),"novojornal.co.ao")</x:f>
        <x:v>novojornal.co.ao</x:v>
      </x:c>
      <x:c r="N611" s="4" t="str">
        <x:v>https://www.novojornal.co.ao/internacional/detalhe/fronteira-e-mercado-transfronteirico-do-luvo-reabrem-depois-de-20-dias-encerrados-por-causa-das-eleicoes-14125.html
https://valoreconomico.co.ao/artigo/fuga-ao-fisco-domina-comercio
https://novojornal.co.ao/internacional/detalhe/fronteira-e-mercado-transfronteirico-do-luvo-reabrem-depois-de-20-dias-encerrados-por-causa-das-eleicoes-14125.html</x:v>
      </x:c>
      <x:c r="O611" s="4" t="str">
        <x:v>Second full-register audit source access, 26 October 2026
https://www.novojornal.co.ao/internacional/detalhe/fronteira-e-mercado-transfronteirico-do-luvo-reabrem-depois-de-20-dias-encerrados-por-causa-das-eleicoes-14125.html: full text (fresh retrieval)
Earlier URLs not separately inspected in this second assessment:
https://valoreconomico.co.ao/artigo/fuga-ao-fisco-domina-comercio
https://novojornal.co.ao/internacional/detalhe/fronteira-e-mercado-transfronteirico-do-luvo-reabrem-depois-de-20-dias-encerrados-por-causa-das-eleicoes-14125.html
Prior audit access record
Full-register audit source access (evidence cutoff 25 October 2026)
https://www.novojornal.co.ao/internacional/detalhe/fronteira-e-mercado-transfronteirico-do-luvo-reabrem-depois-de-20-dias-encerrados-por-causa-das-eleicoes-14125.html: full text
https://valoreconomico.co.ao/artigo/fuga-ao-fisco-domina-comercio: full text
Earlier source URLs not separately listed in this audit’s retrieval log (historical access notes below are not fresh verification):
https://novojornal.co.ao/internacional/detalhe/fronteira-e-mercado-transfronteirico-do-luvo-reabrem-depois-de-20-dias-encerrados-por-causa-das-eleicoes-14125.html
Earlier recorded access
Source 1: full relevant page
Source 2: full relevant page
Source 3: access detail is retained in the source catalogue.</x:v>
      </x:c>
      <x:c r="P611" s="20" t="n">
        <x:v>1</x:v>
      </x:c>
      <x:c r="Q611" s="4" t="str">
        <x:v>Southern and Central Africa</x:v>
      </x:c>
      <x:c r="R611" s="4" t="str">
        <x:v>Included</x:v>
      </x:c>
    </x:row>
    <x:row r="612" ht="409" hidden="0" customHeight="1">
      <x:c r="A612" s="16" t="str">
        <x:v>R8-AF-001</x:v>
      </x:c>
      <x:c r="B612" s="4" t="str">
        <x:v>Armed obstruction of Tigrayan civilian exit to Sudan, 2020–2021</x:v>
      </x:c>
      <x:c r="C612" s="4" t="str">
        <x:v>Ethiopia; Sudan</x:v>
      </x:c>
      <x:c r="D612" s="4" t="str">
        <x:v>Dima / Hamdayet; Tekeze River border
Western Tigray exit routes to Sudan, including Dima–Hamdayet river crossings</x:v>
      </x:c>
      <x:c r="E612" s="4" t="str">
        <x:v>Tigrayan civilians seeking refuge in Sudan
Direction: Exit from Ethiopia into Sudan.</x:v>
      </x:c>
      <x:c r="F612" s="4" t="str">
        <x:v>R8-AF-001-R1 — Intermittent regime
Repeated selective armed obstruction of Tigrayan civilian exit routes toward Sudan, including Dima–Hamdayet
Start: 2020-11-01 to 2020-11-30.
Last dated obstruction identified: 2021-04-19, a Humera interception on an exit route reported retrospectively by HRW/Amnesty. OCHA separately reports blocking as of 2021-03-22. Reopening is not established.
Intermittent pattern; total closed days and continuous closure duration unknown.</x:v>
      </x:c>
      <x:c r="G612" s="4" t="str">
        <x:v>Uncoded / Unresolved rationale
Not assigned
Applies to: Not assigned
No additional motive inferred</x:v>
      </x:c>
      <x:c r="H612" s="4" t="str">
        <x:v>R8-AF-001-R1: Repeated obstruction is linked as an intermittent pattern, not a continuous or route-complete seal. Successful crossings, changing actors and witness/access limitations remain. The HRW/Amnesty movement section describes civilians fleeing Division being redirected by Amhara Special Forces at Humera on April 19, 2021, based on a May interview. This is a later dated obstruction, not an extension of every route’s closure. August 2021 checkpoint imagery alone is not treated as evidence of refusal. No shared rationale code is assigned across actors; the report’s tentative interpretation of federal forces’ purpose remains contextual. Neither the final dated account nor later successful refugee passage proves a general cessation.</x:v>
      </x:c>
      <x:c r="I612" s="4" t="str">
        <x:v>Second full-register audit, 26 October 2026: additional source-audited corrections incorporated. See the phase, scope and qualification columns for the accepted findings.</x:v>
      </x:c>
      <x:c r="J612" s="18" t="d">
        <x:v>2026-10-26T00:00:00.000Z</x:v>
      </x:c>
      <x:c r="K612" s="21" t="str">
        <x:f>IFERROR(HYPERLINK("https://www.hrw.org/report/2022/04/06/we-will-erase-you-land/crimes-against-humanity-and-ethnic-cleansing-ethiopias","Human Rights Watch"),"Human Rights Watch")</x:f>
        <x:v>Human Rights Watch</x:v>
      </x:c>
      <x:c r="L612" s="21" t="str">
        <x:f>IFERROR(HYPERLINK("https://www.euronews.com/2020/12/03/ethiopian-forces-blocking-refugees-from-embattled-tigray-region-from-entering-sudan","Euronews / AP"),"Euronews / AP")</x:f>
        <x:v>Euronews / AP</x:v>
      </x:c>
      <x:c r="M612" s="21" t="str">
        <x:f>IFERROR(HYPERLINK("https://www.ecoi.net/en/file/local/2047658/Situation%2BReport%2B-%2BEthiopia%2B-%2BTigray%2BRegion%2BHumanitarian%2BUpdate%2B-%2B22%2BMar%2B2021.pdf","UN OCHA / ecoi.net"),"UN OCHA / ecoi.net")</x:f>
        <x:v>UN OCHA / ecoi.net</x:v>
      </x:c>
      <x:c r="N612" s="4" t="str">
        <x:v>https://www.hrw.org/report/2022/04/06/we-will-erase-you-land/crimes-against-humanity-and-ethnic-cleansing-ethiopias
https://www.euronews.com/2020/12/03/ethiopian-forces-blocking-refugees-from-embattled-tigray-region-from-entering-sudan
https://www.ecoi.net/en/file/local/2047658/Situation%2BReport%2B-%2BEthiopia%2B-%2BTigray%2BRegion%2BHumanitarian%2BUpdate%2B-%2B22%2BMar%2B2021.pdf
https://www.unicef.org/sudan/stories/thousands-flee-tigray-region-sudan
https://www.citinewsroom.com/2020/11/tigray-crisis-ethiopian-soldiers-accused-of-blocking-border-with-sudan/
https://www.hrw.org/news/2026/04/22/ethiopia-persecution-of-tigrayans-unrelenting</x:v>
      </x:c>
      <x:c r="O612" s="4" t="str">
        <x:v>Second full-register audit source access, 26 October 2026
https://www.hrw.org/report/2022/04/06/we-will-erase-you-land/crimes-against-humanity-and-ethnic-cleansing-ethiopias: full text (fresh retrieval) — Witness accounts and access limitations; no general endpoint.
https://www.euronews.com/2020/12/03/ethiopian-forces-blocking-refugees-from-embattled-tigray-region-from-entering-sudan: full text (fresh retrieval)
https://www.ecoi.net/en/file/local/2047658/Situation%2BReport%2B-%2BEthiopia%2B-%2BTigray%2BRegion%2BHumanitarian%2BUpdate%2B-%2B22%2BMar%2B2021.pdf: full text (fresh retrieval)
Earlier URLs not separately inspected in this second assessment:
https://www.unicef.org/sudan/stories/thousands-flee-tigray-region-sudan
https://www.citinewsroom.com/2020/11/tigray-crisis-ethiopian-soldiers-accused-of-blocking-border-with-sudan/
https://www.hrw.org/news/2026/04/22/ethiopia-persecution-of-tigrayans-unrelenting
Prior audit access record
Full-register audit source access (evidence cutoff 25 October 2026)
https://www.hrw.org/report/2022/04/06/we-will-erase-you-land/crimes-against-humanity-and-ethnic-cleansing-ethiopias: full text
https://www.euronews.com/2020/12/03/ethiopian-forces-blocking-refugees-from-embattled-tigray-region-from-entering-sudan: full text
https://www.ecoi.net/en/file/local/2047658/Situation%2BReport%2B-%2BEthiopia%2B-%2BTigray%2BRegion%2BHumanitarian%2BUpdate%2B-%2B22%2BMar%2B2021.pdf: full text
https://www.hrw.org/news/2026/04/22/ethiopia-persecution-of-tigrayans-unrelenting: full text — Not a matched border-endpoint observation.
Earlier source URLs not separately listed in this audit’s retrieval log (historical access notes below are not fresh verification):
https://www.unicef.org/sudan/stories/thousands-flee-tigray-region-sudan
https://www.citinewsroom.com/2020/11/tigray-crisis-ethiopian-soldiers-accused-of-blocking-border-with-sudan/
Earlier recorded access
Source 1: indexed excerpt; full; full text
Source 2: full; full text
Source 3: full; full text</x:v>
      </x:c>
      <x:c r="P612" s="20" t="n">
        <x:v>1</x:v>
      </x:c>
      <x:c r="Q612" s="4" t="str">
        <x:v>Horn of Africa</x:v>
      </x:c>
      <x:c r="R612" s="4" t="str">
        <x:v>Included</x:v>
      </x:c>
    </x:row>
    <x:row r="613" ht="378" hidden="0" customHeight="1">
      <x:c r="A613" s="16" t="str">
        <x:v>R8-AF-002</x:v>
      </x:c>
      <x:c r="B613" s="4" t="str">
        <x:v>Gallabat–Metema protest blockade after trader kidnappings, January 2021</x:v>
      </x:c>
      <x:c r="C613" s="4" t="str">
        <x:v>Ethiopia; Sudan</x:v>
      </x:c>
      <x:c r="D613" s="4" t="str">
        <x:v>Gallabat / Metema / Basunda
Gallabat–Metema cross-border road at Basunda</x:v>
      </x:c>
      <x:c r="E613" s="4" t="str">
        <x:v>Cross-border road traffic and trade
Direction: Not separately established; see scope/evidence</x:v>
      </x:c>
      <x:c r="F613" s="4" t="str">
        <x:v>R8-AF-002-D1 — Observed operation
Gallabat–Metema road/crossing and market blockage during the kidnapping protest
Start: 2021-01-30 to 2021-01-31.
Last confirmed: 2021-02-01. Reopening is not established.
confirmed through 2021-02-01; at least 1 calendar-day difference; reopening unknown
Later access bound: ordinary people and goods movement at Gallabat–Metema had resumed by 2022-03-02 following a separate closure. This bounds the earlier protest interruption without identifying its first reopening or implying continuous closure.</x:v>
      </x:c>
      <x:c r="G613" s="4" t="str">
        <x:v>Security / Crime and law enforcement
Reported reason
Residents blocked the crossing and market to demand action over abducted Sudanese traders and repeated militia attacks. Contemporary sources disagree on whether two or three traders were abducted.</x:v>
      </x:c>
      <x:c r="H613" s="4" t="str">
        <x:v>R8-AF-002-D1: January 30–31 onset bounds preserve conflicting contemporary accounts; February 1 is the last observation of this protest, not its reopening. The original Al Jazeera and Arabic Dabanga accounts were freshly inspected. Conflicting abductee numbers and directional completeness remain qualified.
Sudan Tribune explicitly reports later ordinary people and goods resumption on March 2, 2022. This is a later access bound after other closure episodes, not the endpoint of one continuous January 2021–March 2022 spell.</x:v>
      </x:c>
      <x:c r="I613" s="4" t="str">
        <x:v>Second full-register audit, 26 October 2026: additional source-audited corrections incorporated. See the phase, scope and qualification columns for the accepted findings.</x:v>
      </x:c>
      <x:c r="J613" s="18" t="d">
        <x:v>2026-10-26T00:00:00.000Z</x:v>
      </x:c>
      <x:c r="K613" s="21" t="str">
        <x:f>IFERROR(HYPERLINK("https://www.aljazeera.net/politics/2021/1/31/السودان-إثيوبيا-التوتر-الحدود","Al Jazeera Arabic"),"Al Jazeera Arabic")</x:f>
        <x:v>Al Jazeera Arabic</x:v>
      </x:c>
      <x:c r="L613" s="21" t="str">
        <x:f>IFERROR(HYPERLINK("https://al-ain.com/article/closure-main-crossing-between-sudan-ethiopia","Al Ain"),"Al Ain")</x:f>
        <x:v>Al Ain</x:v>
      </x:c>
      <x:c r="M613" s="21" t="str">
        <x:f>IFERROR(HYPERLINK("https://www.dabangasudan.org/ar/all-news/article/اختطاف-3-تجار-يغلق-سوق-القلابات","Radio Dabanga Arabic"),"Radio Dabanga Arabic")</x:f>
        <x:v>Radio Dabanga Arabic</x:v>
      </x:c>
      <x:c r="N613" s="4" t="str">
        <x:v>https://www.aljazeera.net/politics/2021/1/31/السودان-إثيوبيا-التوتر-الحدود
https://al-ain.com/article/closure-main-crossing-between-sudan-ethiopia
https://www.dabangasudan.org/ar/all-news/article/اختطاف-3-تجار-يغلق-سوق-القلابات
https://www.middleeastmonitor.com/20210201-demonstrators-close-crossing-between-sudan-ethiopia/
https://sudantribune.com/article/255972</x:v>
      </x:c>
      <x:c r="O613" s="4" t="str">
        <x:v>Second full-register audit source access, 26 October 2026
https://www.aljazeera.net/politics/2021/1/31/السودان-إثيوبيا-التوتر-الحدود: full text (fresh retrieval)
https://www.dabangasudan.org/ar/all-news/article/اختطاف-3-تجار-يغلق-سوق-القلابات: full text (fresh retrieval)
https://sudantribune.com/article/255972: full text (fresh retrieval)
Earlier URLs not separately inspected in this second assessment:
https://al-ain.com/article/closure-main-crossing-between-sudan-ethiopia
https://www.middleeastmonitor.com/20210201-demonstrators-close-crossing-between-sudan-ethiopia/
Prior audit access record
Full-register audit source access (evidence cutoff 25 October 2026)
https://al-ain.com/article/closure-main-crossing-between-sudan-ethiopia: full text
https://www.aljazeera.net/politics/2021/1/31/السودان-إثيوبيا-التوتر-الحدود: full text
https://www.dabangasudan.org/ar/all-news/article/اختطاف-3-تجار-يغلق-سوق-القلابات: full text
https://sudantribune.com/article/255972: full text
Earlier source URLs not separately listed in this audit’s retrieval log (historical access notes below are not fresh verification):
https://www.middleeastmonitor.com/20210201-demonstrators-close-crossing-between-sudan-ethiopia/
Earlier recorded access
Source 1: full page
Source 2: full page
Source 3: full page</x:v>
      </x:c>
      <x:c r="P613" s="20" t="n">
        <x:v>1</x:v>
      </x:c>
      <x:c r="Q613" s="4" t="str">
        <x:v>Horn of Africa</x:v>
      </x:c>
      <x:c r="R613" s="4" t="str">
        <x:v>Included</x:v>
      </x:c>
    </x:row>
    <x:row r="614" ht="390" hidden="0" customHeight="1">
      <x:c r="A614" s="16" t="str">
        <x:v>R8-AS-001</x:v>
      </x:c>
      <x:c r="B614" s="4" t="str">
        <x:v>Rishtan–Kaytpas inherited closure partially lifted in September 2017</x:v>
      </x:c>
      <x:c r="C614" s="4" t="str">
        <x:v>Kyrgyzstan; Uzbekistan</x:v>
      </x:c>
      <x:c r="D614" s="4" t="str">
        <x:v>Rishtan / Rishton–Kaytpas / Kайтпас
Rishtan–Kaytpas checkpoint; partial restoration for Kyrgyz and Uzbek citizens</x:v>
      </x:c>
      <x:c r="E614" s="4" t="str">
        <x:v>People, vehicles and goods in the 2013 closure statement; 2017 restoration explicitly concerns Kyrgyz and Uzbek citizens.
Direction: Citizen crossing between Uzbekistan and Kyrgyzstan in both directions.
Exceptions: 2017 citizen passage limited to 07:00–19:00; freight and third-country eligibility not established.</x:v>
      </x:c>
      <x:c r="F614" s="4" t="str">
        <x:v>R8-AS-001-FU1 — Observed operation
Rishtan–Kaytpas crossing after intermediate opening and reclosure; excludes Apkan as a separate gate
Start: unknown.
Last confirmed: 2017-09-19. Reopening is not established.
confirmed through 2017-09-19; reopening unknown
Later scoped access bound: Kyrgyz and Uzbek citizens were reportedly permitted through Rishtan–Kaytpas from 2017-09-25, 07:00–19:00. Apkan and the full Sokh route remain separate; no continuous September 19–25 duration is inferred.</x:v>
      </x:c>
      <x:c r="G614" s="4" t="str">
        <x:v>Security / Armed conflict and military confrontation
Analytical interpretation of reported context
Applies to: Recorded episode; exact overlap not separately established
The recorded rationale and claim assessment support the selected subcategories. All applicable broad categories are retained together; no primary rationale is imposed.</x:v>
      </x:c>
      <x:c r="H614" s="4" t="str">
        <x:v>R8-AS-001-FU1: September 19 reporting confirms renewed closure after an intermediate opening. Exact reclosure onset and uninterrupted enforcement are unknown. A September 27 report states that Rishtan–Kaytpas resumed passage for Kyrgyz and Uzbek citizens from September 25, 2017, between 07:00 and 19:00. This is a qualified later-access bound for that citizen cohort, not an exact first-traveller observation or a continuous September 19–25 closure duration. Apkan remained closed; the complete Sokh–Rishtan route, freight and third-country eligibility are not established. Do not carry the 2013 closure uninterrupted to 2017.</x:v>
      </x:c>
      <x:c r="I614" s="4" t="str">
        <x:v>Second full-register audit, 26 October 2026: qualified. Fresh Uzbek-language reporting confirms the intermediate opening and reclosure, followed by limited citizen restoration from 25 September 2017. The whole Sokh route remained blocked at Apkan.</x:v>
      </x:c>
      <x:c r="J614" s="18" t="d">
        <x:v>2026-10-26T00:00:00.000Z</x:v>
      </x:c>
      <x:c r="K614" s="21" t="str">
        <x:f>IFERROR(HYPERLINK("https://www.ozodlik.org/a/sokh-rishton-chegara-fargona-botken/28744649.html","RFE/RL Ozodlik"),"RFE/RL Ozodlik")</x:f>
        <x:v>RFE/RL Ozodlik</x:v>
      </x:c>
      <x:c r="L614" s="21" t="str">
        <x:f>IFERROR(HYPERLINK("https://www.azattyqasia.org/a/24819372.html","RFE/RL Azattyq"),"RFE/RL Azattyq")</x:f>
        <x:v>RFE/RL Azattyq</x:v>
      </x:c>
      <x:c r="M614" s="21" t="str">
        <x:f>IFERROR(HYPERLINK("https://www.ozodlik.org/a/rishton-sox-sux-sokh-cegara-vodil/28760623.html","RFE/RL Ozodlik"),"RFE/RL Ozodlik")</x:f>
        <x:v>RFE/RL Ozodlik</x:v>
      </x:c>
      <x:c r="N614" s="4" t="str">
        <x:v>https://www.ozodlik.org/a/sokh-rishton-chegara-fargona-botken/28744649.html
https://www.azattyqasia.org/a/24819372.html
https://www.ozodlik.org/a/rishton-sox-sux-sokh-cegara-vodil/28760623.html
https://www.azattyk.org/a/kyrgyz-uzbek-border-stations-are-opened/31181768.html
https://for.kg/news-695129-en.html
https://kun.uz/en/news/2021/04/02/road-connecting-rishtan-and-sokh-opened</x:v>
      </x:c>
      <x:c r="O614" s="4" t="str">
        <x:v>Second full-register audit source access, 26 October 2026
https://www.ozodlik.org/a/sokh-rishton-chegara-fargona-botken/28744649.html: full text (fresh retrieval)
https://www.ozodlik.org/a/rishton-sox-sux-sokh-cegara-vodil/28760623.html: full text (fresh retrieval) — Not a first-traveller timestamp.
Earlier URLs not separately inspected in this second assessment:
https://www.azattyqasia.org/a/24819372.html
https://www.azattyk.org/a/kyrgyz-uzbek-border-stations-are-opened/31181768.html
https://for.kg/news-695129-en.html
https://kun.uz/en/news/2021/04/02/road-connecting-rishtan-and-sokh-opened
Prior audit access record
Full-register audit source access (evidence cutoff 25 October 2026)
https://www.ozodlik.org/a/sokh-rishton-chegara-fargona-botken/28744649.html: full text — Attributed local official; onset unknown
https://www.ozodlik.org/a/rishton-sox-sux-sokh-cegara-vodil/28760623.html: full text — Reported operation/permission, not first-traveller log
Earlier source URLs not separately listed in this audit’s retrieval log (historical access notes below are not fresh verification):
https://www.azattyqasia.org/a/24819372.html
https://www.azattyk.org/a/kyrgyz-uzbek-border-stations-are-opened/31181768.html
https://for.kg/news-695129-en.html
https://kun.uz/en/news/2021/04/02/road-connecting-rishtan-and-sokh-opened
Earlier recorded access
Source 1: full
Source 2: full
Source 3: full</x:v>
      </x:c>
      <x:c r="P614" s="20" t="n">
        <x:v>1</x:v>
      </x:c>
      <x:c r="Q614" s="4" t="str">
        <x:v>Central Asia and Caucasus</x:v>
      </x:c>
      <x:c r="R614" s="4" t="str">
        <x:v>Included</x:v>
      </x:c>
    </x:row>
    <x:row r="615" ht="390" hidden="0" customHeight="1">
      <x:c r="A615" s="16" t="str">
        <x:v>R10-WA-001</x:v>
      </x:c>
      <x:c r="B615" s="4" t="str">
        <x:v>Gbalamuya temporary closure during disputed deportation handover</x:v>
      </x:c>
      <x:c r="C615" s="4" t="str">
        <x:v>Guinea; Sierra Leone</x:v>
      </x:c>
      <x:c r="D615" s="4" t="str">
        <x:v>Gbalamuya, Kambia District, Sierra Leone–Guinea frontier
Named international land crossing</x:v>
      </x:c>
      <x:c r="E615" s="4" t="str">
        <x:v>Deported people presumed Sierra Leonean; broader categories affected by crossing closure not individually established
Direction: Documented refusal Guinea to Sierra Leone; full closure direction not separately established
Exceptions: Not established</x:v>
      </x:c>
      <x:c r="F615" s="4" t="str">
        <x:v>R10-WA-001-D1 — Observed operation
Reported temporary Gbalamuya crossing suspension during the deportation-handover standoff
Start: 2024-12-11.
Observed scoped reopening: 2024-12-11 to 2024-12-13.
0–2 calendar-day difference; scoped endpoint only</x:v>
      </x:c>
      <x:c r="G615" s="4" t="str">
        <x:v>Migration / Admission and document disputes
Reported reason
Applies to: Recorded episode; exact overlap not separately established
The recorded rationale and claim assessment support the selected subcategories. All applicable broad categories are retained together; no primary rationale is imposed.</x:v>
      </x:c>
      <x:c r="H615" s="4" t="str">
        <x:v>R10-WA-001-D1: Zero-to-two calendar-day boundary range, not precise hours. Tuesday references describe tensions/arrival rather than overriding the explicit Wednesday closure notice. One police-notice lineage; full direction/category coverage is unknown and Guinea disputes the notification account.</x:v>
      </x:c>
      <x:c r="I615" s="4" t="str">
        <x:v>Second full-register audit, 26 October 2026: qualified. Fresh inspection supports December 11 closure and reopening by December 13. Specific police-notice wording outweighs compressed Tuesday introductions; no precise hourly duration established.</x:v>
      </x:c>
      <x:c r="J615" s="18" t="d">
        <x:v>2026-10-26T00:00:00.000Z</x:v>
      </x:c>
      <x:c r="K615" s="21" t="str">
        <x:f>IFERROR(HYPERLINK("https://sierraloaded.sl/news/police-deportation-sierra-leoneans-guinea/","Sierraloaded"),"Sierraloaded")</x:f>
        <x:v>Sierraloaded</x:v>
      </x:c>
      <x:c r="L615" s="21" t="str">
        <x:f>IFERROR(HYPERLINK("https://www.guinee360.com/13/12/2024/rapatriement-des-etrangers-la-guinee-et-la-sierra-leone-frolent-un-incident-diplomatique/","Guinee360"),"Guinee360")</x:f>
        <x:v>Guinee360</x:v>
      </x:c>
      <x:c r="M615" s="21" t="str">
        <x:f>IFERROR(HYPERLINK("https://www.africaguinee.com/expulsion-detrangers-freetown-fulmine-face-a-la-methode-employee-par-conakry/","Africa Guinee"),"Africa Guinee")</x:f>
        <x:v>Africa Guinee</x:v>
      </x:c>
      <x:c r="N615" s="4" t="str">
        <x:v>https://sierraloaded.sl/news/police-deportation-sierra-leoneans-guinea/
https://www.guinee360.com/13/12/2024/rapatriement-des-etrangers-la-guinee-et-la-sierra-leone-frolent-un-incident-diplomatique/
https://www.africaguinee.com/expulsion-detrangers-freetown-fulmine-face-a-la-methode-employee-par-conakry/
https://guineenews.org/2024/12/14/expulsion-des-leonais-des-guineens-en-sierra-leone-ont-peur-des-represailles-julien-yombouno-2/
https://awokonewspapersl.com/disruption-at-guinea-sierra-leone-border-following-unlawful-deportations/</x:v>
      </x:c>
      <x:c r="O615" s="4" t="str">
        <x:v>Second full-register audit source access, 26 October 2026
https://sierraloaded.sl/news/police-deportation-sierra-leoneans-guinea/: full text (fresh retrieval)
https://www.guinee360.com/13/12/2024/rapatriement-des-etrangers-la-guinee-et-la-sierra-leone-frolent-un-incident-diplomatique/: full text (fresh retrieval)
https://www.africaguinee.com/expulsion-detrangers-freetown-fulmine-face-a-la-methode-employee-par-conakry/: full text (fresh retrieval)
https://guineenews.org/2024/12/14/expulsion-des-leonais-des-guineens-en-sierra-leone-ont-peur-des-represailles-julien-yombouno-2/: full text (fresh retrieval)
Earlier URLs not separately inspected in this second assessment:
https://awokonewspapersl.com/disruption-at-guinea-sierra-leone-border-following-unlawful-deportations/
Prior audit access record
Full-register audit source access (evidence cutoff 25 October 2026)
https://sierraloaded.sl/news/police-deportation-sierra-leoneans-guinea/: full text
https://www.guinee360.com/13/12/2024/rapatriement-des-etrangers-la-guinee-et-la-sierra-leone-frolent-un-incident-diplomatique/: full text
https://www.africaguinee.com/expulsion-detrangers-freetown-fulmine-face-a-la-methode-employee-par-conakry/: full text
https://guineenews.org/2024/12/14/expulsion-des-leonais-des-guineens-en-sierra-leone-ont-peur-des-represailles-julien-yombouno-2/: full text
https://awokonewspapersl.com/disruption-at-guinea-sierra-leone-border-following-unlawful-deportations/: inaccessible
Earlier recorded access
Source 1: full text
Source 2: full text
Source 3: full page</x:v>
      </x:c>
      <x:c r="P615" s="20" t="n">
        <x:v>1</x:v>
      </x:c>
      <x:c r="Q615" s="4" t="str">
        <x:v>West Africa and Sahel</x:v>
      </x:c>
      <x:c r="R615" s="4" t="str">
        <x:v>Included</x:v>
      </x:c>
    </x:row>
    <x:row r="616" ht="409" hidden="0" customHeight="1">
      <x:c r="A616" s="16" t="str">
        <x:v>R10-EU-001</x:v>
      </x:c>
      <x:c r="B616" s="4" t="str">
        <x:v>Sweden conditional COVID admission prohibition at Øresund, late2021–early2022 phase</x:v>
      </x:c>
      <x:c r="C616" s="4" t="str">
        <x:v>Denmark; Sweden</x:v>
      </x:c>
      <x:c r="D616" s="4" t="str">
        <x:v>Øresund / Öresundsbron; Lernacken road control; rail legal route scope
Denmark-to-Sweden Øresund international road/rail link; route component of wider EEA entry policy</x:v>
      </x:c>
      <x:c r="E616" s="4" t="str">
        <x:v>Foreign passengers lacking required health evidence or status exemption; goods transport personnel exempt
Direction: Denmark to Sweden
Exceptions: Swedish citizens outside foreign-national rule; residents, freight/transport staff and other status exemptions. Later phase exempts under18s and permits vaccination/recovery/72hourtest certificates. Earlier exact exception list preserved in frozen legal-reference record.</x:v>
      </x:c>
      <x:c r="F616" s="4" t="str">
        <x:v>R10-EU-001-D1 — Formal policy
Selected Swedish negative-test-only 48-hour admission phase for non-exempt EEA/Nordic arrivals, including Oresund
Start: 2021-12-28.
Policy endpoint: 2022-01-21.
Formal policy: 24 calendar-day difference; operational continuity not established</x:v>
      </x:c>
      <x:c r="G616" s="4" t="str">
        <x:v>Health and biosecurity / Human disease control
Attributed official justification
Applies to: Recorded episode; exact overlap not separately established
The recorded rationale and claim assessment support the selected subcategories. All applicable broad categories are retained together; no primary rationale is imposed.</x:v>
      </x:c>
      <x:c r="H616" s="4" t="str">
        <x:v>Selected conditional-admission phase from December 28, 2021 to January 21, 2022, not a total closure or duration through February 9 repeal. Citizens, residents, transport and other exemptions remained. Original exception details and actual enforcement are not fully re-inspected. The map criteria exclude testing-only measures from country outlines, while qualifying land records retain ordinary inclusion criteria; the UK outline decision does not imply exclusion of this Swedish land record.</x:v>
      </x:c>
      <x:c r="I616" s="4" t="str">
        <x:v>Second full-register audit, 26 October 2026: qualified. Sweden’s selected 48-hour-test-only admission phase ends January 21, 2022, not the later broader repeal; the current formal interval remains appropriate.</x:v>
      </x:c>
      <x:c r="J616" s="18" t="d">
        <x:v>2026-10-26T00:00:00.000Z</x:v>
      </x:c>
      <x:c r="K616" s="21" t="str">
        <x:f>IFERROR(HYPERLINK("https://www.svenskforfattningssamling.se/sites/default/files/sfs/2021-12/SFS2021-1311.pdf","Swedish Code of Statutes"),"Swedish Code of Statutes")</x:f>
        <x:v>Swedish Code of Statutes</x:v>
      </x:c>
      <x:c r="L616" s="21" t="str">
        <x:f>IFERROR(HYPERLINK("https://rkrattsbaser.gov.se/sfst?bet=2020%3A1258","Swedish Government legal database"),"Swedish Government legal database")</x:f>
        <x:v>Swedish Government legal database</x:v>
      </x:c>
      <x:c r="M616" s="21" t="str">
        <x:f>IFERROR(HYPERLINK("https://www.government.se/articles/2022/01/several-new-measures-against-covid-19-introduced-in-january-2022/","Swedish Government"),"Swedish Government")</x:f>
        <x:v>Swedish Government</x:v>
      </x:c>
      <x:c r="N616" s="4" t="str">
        <x:v>https://www.svenskforfattningssamling.se/sites/default/files/sfs/2021-12/SFS2021-1311.pdf
https://rkrattsbaser.gov.se/sfst?bet=2020%3A1258
https://www.government.se/articles/2022/01/several-new-measures-against-covid-19-introduced-in-january-2022/
https://www.newsoresund.se/koer-vid-inresa-till-sverige-trots-att-97-procent-av-passagerarna-over-oresundsbron-har-korrekta-handlingar/
https://www.sverigesradio.se/artikel/600-har-fatt-vanda-vid-gransen-manga-som-inte-vet-vad-som-kravs
https://www.swedenabroad.se/en/embassies/ukraine-kyiv/about-us/camera-surveillance-at-the-embassy/news/new-entry-rules-to-sweden-as-of-28-december-2021/
https://www.swedenabroad.se/en/embassies/albania-tirana/current/news/amendments-to-the-entry-ban-for-people-who-travel-to-sweden/
https://www.swedenabroad.se/en/embassies/china-shanghai/news/changes-in-the-entry-ban-from-21-january-2022/
https://rkrattsbaser.gov.se/sfsr?page=31&amp;post_id=814&amp;sort=desc</x:v>
      </x:c>
      <x:c r="O616" s="4" t="str">
        <x:v>Second full-register audit source access, 26 October 2026
https://www.swedenabroad.se/en/embassies/china-shanghai/news/changes-in-the-entry-ban-from-21-january-2022/: full text (fresh retrieval)
https://www.swedenabroad.se/en/embassies/ukraine-kyiv/about-us/camera-surveillance-at-the-embassy/news/new-entry-rules-to-sweden-as-of-28-december-2021/: search extract (fresh retrieval) — Direct old path returned 404; indexed embassy text available.
https://rkrattsbaser.gov.se/sfsr?page=31&amp;post_id=814&amp;sort=desc: search extract (fresh retrieval)
https://www.government.se/articles/2022/01/several-new-measures-against-covid-19-introduced-in-january-2022/: full text (previously retrieved text re-examined)
Earlier URLs not separately inspected in this second assessment:
https://www.svenskforfattningssamling.se/sites/default/files/sfs/2021-12/SFS2021-1311.pdf
https://rkrattsbaser.gov.se/sfst?bet=2020%3A1258
https://www.newsoresund.se/koer-vid-inresa-till-sverige-trots-att-97-procent-av-passagerarna-over-oresundsbron-har-korrekta-handlingar/
https://www.sverigesradio.se/artikel/600-har-fatt-vanda-vid-gransen-manga-som-inte-vet-vad-som-kravs
https://www.swedenabroad.se/en/embassies/albania-tirana/current/news/amendments-to-the-entry-ban-for-people-who-travel-to-sweden/
Prior audit access record
Full-register audit source access (evidence cutoff 25 October 2026)
https://www.swedenabroad.se/en/embassies/ukraine-kyiv/about-us/camera-surveillance-at-the-embassy/news/new-entry-rules-to-sweden-as-of-28-december-2021/: full text
https://www.government.se/articles/2022/01/several-new-measures-against-covid-19-introduced-in-january-2022/: full text
https://www.swedenabroad.se/en/embassies/china-shanghai/news/changes-in-the-entry-ban-from-21-january-2022/: search extract
Earlier source URLs not separately listed in this audit’s retrieval log (historical access notes below are not fresh verification):
https://www.svenskforfattningssamling.se/sites/default/files/sfs/2021-12/SFS2021-1311.pdf
https://rkrattsbaser.gov.se/sfst?bet=2020%3A1258
https://www.newsoresund.se/koer-vid-inresa-till-sverige-trots-att-97-procent-av-passagerarna-over-oresundsbron-har-korrekta-handlingar/
https://www.sverigesradio.se/artikel/600-har-fatt-vanda-vid-gransen-manga-som-inte-vet-vad-som-kravs
https://www.swedenabroad.se/en/embassies/albania-tirana/current/news/amendments-to-the-entry-ban-for-people-who-travel-to-sweden/
Earlier recorded access
Source 1: full PDF by blinded worker; root and peer direct retries failed
Source 2: full page
Source 3: full page</x:v>
      </x:c>
      <x:c r="P616" s="20" t="n">
        <x:v>1</x:v>
      </x:c>
      <x:c r="Q616" s="4" t="str">
        <x:v>Europe</x:v>
      </x:c>
      <x:c r="R616" s="4" t="str">
        <x:v>Included</x:v>
      </x:c>
    </x:row>
    <x:row r="617" ht="270" hidden="0" customHeight="1">
      <x:c r="A617" s="16" t="str">
        <x:v>R11-AS-001</x:v>
      </x:c>
      <x:c r="B617" s="4" t="str">
        <x:v>Poipet fish-vendor blockade of international Friendship Bridge</x:v>
      </x:c>
      <x:c r="C617" s="4" t="str">
        <x:v>Cambodia; Thailand</x:v>
      </x:c>
      <x:c r="D617" s="4" t="str">
        <x:v>Poipet–Klong Luek (Aranyaprathet), Friendship Bridge
Friendship Bridge, Cambodian side of Poipet–Klong Luek/Aranyaprathet international land crossing</x:v>
      </x:c>
      <x:c r="E617" s="4" t="str">
        <x:v>Vehicle passage, particularly Cambodia-bound cargo; pedestrian extent unestablished.
Direction: Vehicle movement across bridge; documented queue on Thai approach.
Exceptions: Not established.</x:v>
      </x:c>
      <x:c r="F617" s="4" t="str">
        <x:v>R11-AS-001-D1 — Observed operation
Poipet fish-vendor episode on 23 February 2017.
Start: 2017-02-23.
Observed scoped reopening: 2017-02-23.
Same-day episode; no whole-day duration inferred</x:v>
      </x:c>
      <x:c r="G617" s="4" t="str">
        <x:v>Trade and protectionism / Trade and transport protests
Reported reason
Applies to: Recorded episode; exact overlap not separately established
The recorded rationale and claim assessment support the selected subcategories. All applicable broad categories are retained together; no primary rationale is imposed.</x:v>
      </x:c>
      <x:c r="H617" s="4" t="str">
        <x:v>R11-AS-001-D1: Shown as an episode occurring on this date, not a whole-day closure. CambodiaDaily and Matichon agree on day and vehicle blockade but differ on end time12:15 versus12:30, charge units/amounts and negotiation outcome. English/Khmer CambodiaDaily editions are one lineage; Thai report offers distinct named-side accounts, not assumed fully independent observation. No exact-hour duration. CambodiaDaily reports an agreement to reduce the charge before dispersal; Matichon reports Thai officials withheld negotiations until passage resumed. Neither resolution account is treated as settled.</x:v>
      </x:c>
      <x:c r="I617" s="4" t="str">
        <x:v>Second full-register audit, 26 October 2026: qualified. English and Thai originals support the fish-vendor bridge blockade on 23 February 2017. Current text correctly retains disagreement about charge units, negotiations and the reopening clock.</x:v>
      </x:c>
      <x:c r="J617" s="18" t="d">
        <x:v>2026-10-26T00:00:00.000Z</x:v>
      </x:c>
      <x:c r="K617" s="21" t="str">
        <x:f>IFERROR(HYPERLINK("https://english.cambodiadaily.com/2017/02/24/wall-of-fresh-fish-blocks-poipet-border/","The Cambodia Daily"),"The Cambodia Daily")</x:f>
        <x:v>The Cambodia Daily</x:v>
      </x:c>
      <x:c r="L617" s="21" t="str">
        <x:f>IFERROR(HYPERLINK("https://www.matichon.co.th/region/news_473852","Matichon"),"Matichon")</x:f>
        <x:v>Matichon</x:v>
      </x:c>
      <x:c r="M617" s="21" t="str">
        <x:f>IFERROR(HYPERLINK("https://www.cambodiadaily.com/2017/02/24/09/37/36650/","The Cambodia Daily Khmer"),"The Cambodia Daily Khmer")</x:f>
        <x:v>The Cambodia Daily Khmer</x:v>
      </x:c>
      <x:c r="N617" s="4" t="str">
        <x:v>https://english.cambodiadaily.com/2017/02/24/wall-of-fresh-fish-blocks-poipet-border/
https://www.matichon.co.th/region/news_473852
https://www.cambodiadaily.com/2017/02/24/09/37/36650/</x:v>
      </x:c>
      <x:c r="O617" s="4" t="str">
        <x:v>Second full-register audit source access, 26 October 2026
https://english.cambodiadaily.com/2017/02/24/wall-of-fresh-fish-blocks-poipet-border/: full text (fresh retrieval)
https://www.matichon.co.th/region/news_473852: full text (fresh retrieval)
Earlier URLs not separately inspected in this second assessment:
https://www.cambodiadaily.com/2017/02/24/09/37/36650/
Prior audit access record
Full-register audit source access (evidence cutoff 25 October 2026)
https://english.cambodiadaily.com/2017/02/24/wall-of-fresh-fish-blocks-poipet-border/: full text
https://www.matichon.co.th/region/news_473852: full text — Thai text inspected; fee and resolution details conflict with Cambodia Daily. Not assumed wholly independent observation.
https://www.cambodiadaily.com/2017/02/24/09/37/36650/: full text — Translation is not independent corroboration.
Earlier recorded access
Source 1: full relevant article text
Source 2: full relevant article text
Source 3: full relevant article text</x:v>
      </x:c>
      <x:c r="P617" s="20" t="n">
        <x:v>1</x:v>
      </x:c>
      <x:c r="Q617" s="4" t="str">
        <x:v>East and Southeast Asia and Oceania</x:v>
      </x:c>
      <x:c r="R617" s="4" t="str">
        <x:v>Included</x:v>
      </x:c>
    </x:row>
    <x:row r="618" ht="150" hidden="0" customHeight="1">
      <x:c r="A618" s="16" t="str">
        <x:v>R11-AS-002</x:v>
      </x:c>
      <x:c r="B618" s="4" t="str">
        <x:v>Poipet vegetable-vendor blockade over private shipping documentation fees</x:v>
      </x:c>
      <x:c r="C618" s="4" t="str">
        <x:v>Cambodia; Thailand</x:v>
      </x:c>
      <x:c r="D618" s="4" t="str">
        <x:v>Poipet–Klong Luek (Aranyaprathet), Friendship Bridge
Friendship Bridge, Cambodian side of Poipet–Klong Luek/Aranyaprathet international land crossing</x:v>
      </x:c>
      <x:c r="E618" s="4" t="str">
        <x:v>Vehicle passage, particularly Cambodia-bound cargo; pedestrian extent unestablished.
Direction: Vehicle movement across bridge; documented queue on Thai approach.
Exceptions: Not established.</x:v>
      </x:c>
      <x:c r="F618" s="4" t="str">
        <x:v>R11-AS-002-D1 — Observed operation
Poipet vegetable-vendor episode on 29 March 2017, to dispersal; subsequent traffic speed is not measured.
Start: 2017-03-29.
Observed scoped reopening: 2017-03-29.
Same-day episode; no whole-day duration inferred</x:v>
      </x:c>
      <x:c r="G618" s="4" t="str">
        <x:v>Trade and protectionism / Trade and transport protests
Reported reason
Applies to: Recorded episode; exact overlap not separately established
The recorded rationale and claim assessment support the selected subcategories. All applicable broad categories are retained together; no primary rationale is imposed.</x:v>
      </x:c>
      <x:c r="H618" s="4" t="str">
        <x:v>R11-AS-002-D1: Shown as an episode occurring on this date, not a whole-day closure. Single opened reporting lineage. Alleged customs tax rise was denied by named customs chief; report attributes increased charges to private shipping employees. Do not encode a government tax increase or state border closure. Dissolution reported10am; uniform traffic normalization not observed.</x:v>
      </x:c>
      <x:c r="I618" s="4" t="str">
        <x:v>Second full-register audit, 26 October 2026: qualified. The original Nation article supports a one-morning protest over private shipping-documentation charges, rather than an established government tax rise.</x:v>
      </x:c>
      <x:c r="J618" s="18" t="d">
        <x:v>2026-10-26T00:00:00.000Z</x:v>
      </x:c>
      <x:c r="K618" s="21" t="str">
        <x:f>IFERROR(HYPERLINK("https://www.nationthailand.com/in-focus/30310668","The Nation"),"The Nation")</x:f>
        <x:v>The Nation</x:v>
      </x:c>
      <x:c r="L618" s="21"/>
      <x:c r="M618" s="21"/>
      <x:c r="N618" s="4" t="str">
        <x:v>https://www.nationthailand.com/in-focus/30310668</x:v>
      </x:c>
      <x:c r="O618" s="4" t="str">
        <x:v>Second full-register audit source access, 26 October 2026
https://www.nationthailand.com/in-focus/30310668: full text (fresh retrieval) — Single reporting lineage; no measured traffic-normalization time.
Prior audit access record
Full-register audit source access (evidence cutoff 25 October 2026)
https://www.nationthailand.com/in-focus/30310668: full text — Single reporting lineage; reported negotiation resolution does not prove durable fee policy or full traffic normalization.
Earlier recorded access
Source 1: full relevant article text</x:v>
      </x:c>
      <x:c r="P618" s="20" t="n">
        <x:v>1</x:v>
      </x:c>
      <x:c r="Q618" s="4" t="str">
        <x:v>East and Southeast Asia and Oceania</x:v>
      </x:c>
      <x:c r="R618" s="4" t="str">
        <x:v>Included</x:v>
      </x:c>
    </x:row>
    <x:row r="619" ht="409" hidden="0" customHeight="1">
      <x:c r="A619" s="16" t="str">
        <x:v>R11-AM-001</x:v>
      </x:c>
      <x:c r="B619" s="4" t="str">
        <x:v>La Hachadura–Pedro de Alvarado truckers blockade, May 2019</x:v>
      </x:c>
      <x:c r="C619" s="4" t="str">
        <x:v>El Salvador; Guatemala</x:v>
      </x:c>
      <x:c r="D619" s="4" t="str">
        <x:v>La Hachadura–Pedro de Alvarado / Puente Arce</x:v>
      </x:c>
      <x:c r="E619" s="4" t="str">
        <x:v>Cross-border freight; pedestrian and all-lane coverage unestablished.
Direction: Guatemala-to-El Salvador freight expressly affected.
Exceptions: Unestablished.</x:v>
      </x:c>
      <x:c r="F619" s="4" t="str">
        <x:v>R11-AM-001-FU1 — Observed operation
La Hachadura–Pedro de Alvarado freight crossing
Start: 2019-05-07.
Last confirmed obstruction onset: 2019-05-07 night.
Later freight processing confirmed by 2019-05-19 at La Hachadura; exact first blockade clearance remains disputed. This later bound does not imply continuous closure until May 19.
dated evidence; numeric duration withheld; see qualification</x:v>
      </x:c>
      <x:c r="G619" s="4" t="str">
        <x:v>Trade and protectionism / Trade and transport protests
Reported reason
Applies to: May 7 La Hachadura trucker blockade
Drivers obstructed the crossing in protest at customs delays following the DUCA system’s introduction. The earlier administrative delays are distinct from their deliberate blockade.</x:v>
      </x:c>
      <x:c r="H619" s="4" t="str">
        <x:v>R11-AM-001-FU1: Drivers deliberately obstructed La Hachadura on May 7 night after customs-system delays. The more-than-24-hour wait reported before the blockade is not the blockade’s duration. May 8 official clearance claims, limited reported truck passage and a conflicting trucker obstruction notice remain unreconciled. May 9 reduced queues name La Hachadura, but detailed first-truck testimony concerns Las Chinamas and is not transferred.
A May 20 report quotes the DGA confirming commercial-vehicle processing at La Hachadura during the preceding weekend, including Sunday May 19. This supplies an unequivocal later freight-processing bound, not the first reopening date or evidence of a continuous May 7–19 closure. Numerical throughput totals in that report are internally inconsistent and are not adopted. Exact direction-specific continuity, pedestrians and all-lane operation remain unresolved.</x:v>
      </x:c>
      <x:c r="I619" s="4" t="str">
        <x:v>Second full-register audit, 26 October 2026: additional source-audited corrections incorporated. See the phase, scope and qualification columns for the accepted findings.</x:v>
      </x:c>
      <x:c r="J619" s="18" t="d">
        <x:v>2026-10-26T00:00:00.000Z</x:v>
      </x:c>
      <x:c r="K619" s="21" t="str">
        <x:f>IFERROR(HYPERLINK("https://diario.elmundo.sv/economia/reportan-250000-en-perdidas-por-caida-de-sistema-en-aduanas","Diario El Mundo"),"Diario El Mundo")</x:f>
        <x:v>Diario El Mundo</x:v>
      </x:c>
      <x:c r="L619" s="21" t="str">
        <x:f>IFERROR(HYPERLINK("https://www.laprensagrafica.com/amp/elsalvador/Se-normaliza-el-paso-de-camiones-en-la-frontera-20190509-0558.html","La Prensa Grafica"),"La Prensa Grafica")</x:f>
        <x:v>La Prensa Grafica</x:v>
      </x:c>
      <x:c r="M619" s="21" t="str">
        <x:f>IFERROR(HYPERLINK("https://www.laprensagrafica.com/elsalvador/Se-normaliza-el-paso-de-camiones-en-la-frontera-20190509-0558.html","La Prensa Grafica"),"La Prensa Grafica")</x:f>
        <x:v>La Prensa Grafica</x:v>
      </x:c>
      <x:c r="N619" s="4" t="str">
        <x:v>https://diario.elmundo.sv/economia/reportan-250000-en-perdidas-por-caida-de-sistema-en-aduanas
https://www.laprensagrafica.com/amp/elsalvador/Se-normaliza-el-paso-de-camiones-en-la-frontera-20190509-0558.html
https://www.laprensagrafica.com/elsalvador/Se-normaliza-el-paso-de-camiones-en-la-frontera-20190509-0558.html
https://www.eleconomista.net/actualidad/Habilitan-frontera-entre-Guatemala-y-El-Salvador-para-transporte-sin-carga-20190528-0014.html
https://diario.elmundo.sv/economia/fisco-no-recibio-200-millones-por-fallas-en-la-duca
https://diario.elmundo.sv/econom%C3%ADa/direccion-general-de-aduanas-niega-fallas-en-la-hachadura</x:v>
      </x:c>
      <x:c r="O619" s="4" t="str">
        <x:v>Second full-register audit source access, 26 October 2026
https://diario.elmundo.sv/economia/reportan-250000-en-perdidas-por-caida-de-sistema-en-aduanas: full text (fresh retrieval) — May 8 official clearance and trucker continuing-obstruction accounts conflict.
https://www.laprensagrafica.com/amp/elsalvador/Se-normaliza-el-paso-de-camiones-en-la-frontera-20190509-0558.html: search extract (fresh retrieval) — Direct 404; indexed substantive article only. Cannot transfer Las Chinamas exact passage to La Hachadura.
https://diario.elmundo.sv/econom%C3%ADa/direccion-general-de-aduanas-niega-fallas-en-la-hachadura: full text (fresh retrieval)
Earlier URLs not separately inspected in this second assessment:
https://www.laprensagrafica.com/elsalvador/Se-normaliza-el-paso-de-camiones-en-la-frontera-20190509-0558.html
https://www.eleconomista.net/actualidad/Habilitan-frontera-entre-Guatemala-y-El-Salvador-para-transporte-sin-carga-20190528-0014.html
https://diario.elmundo.sv/economia/fisco-no-recibio-200-millones-por-fallas-en-la-duca
Prior audit access record
Full-register audit source access (evidence cutoff 25 October 2026)
https://diario.elmundo.sv/economia/reportan-250000-en-perdidas-por-caida-de-sistema-en-aduanas: search extract — Full article opened; indexed continuation inspected.
https://www.laprensagrafica.com/amp/elsalvador/Se-normaliza-el-paso-de-camiones-en-la-frontera-20190509-0558.html: search extract — Direct 404; indexed substantive article only. Cannot transfer Las Chinamas exact passage to La Hachadura.
Earlier source URLs not separately listed in this audit’s retrieval log (historical access notes below are not fresh verification):
https://www.laprensagrafica.com/elsalvador/Se-normaliza-el-paso-de-camiones-en-la-frontera-20190509-0558.html
https://www.eleconomista.net/actualidad/Habilitan-frontera-entre-Guatemala-y-El-Salvador-para-transporte-sin-carga-20190528-0014.html
https://diario.elmundo.sv/economia/fisco-no-recibio-200-millones-por-fallas-en-la-duca
Earlier recorded access
Source 1: full; full text
Source 2: indexed excerpt; failed; indexed extract
Source 3: failed; unavailable</x:v>
      </x:c>
      <x:c r="P619" s="20" t="n">
        <x:v>1</x:v>
      </x:c>
      <x:c r="Q619" s="4" t="str">
        <x:v>Americas</x:v>
      </x:c>
      <x:c r="R619" s="4" t="str">
        <x:v>Included</x:v>
      </x:c>
    </x:row>
    <x:row r="620" ht="162" hidden="0" customHeight="1">
      <x:c r="A620" s="16" t="str">
        <x:v>R11-AM-002</x:v>
      </x:c>
      <x:c r="B620" s="4" t="str">
        <x:v>El Jobo / Las Chinamas–Valle Nuevo truckers blockade, May 2019</x:v>
      </x:c>
      <x:c r="C620" s="4" t="str">
        <x:v>El Salvador; Guatemala</x:v>
      </x:c>
      <x:c r="D620" s="4" t="str">
        <x:v>Las Chinamas–Valle Nuevo / El Jobo bridge</x:v>
      </x:c>
      <x:c r="E620" s="4" t="str">
        <x:v>Cross-border freight; pedestrian and all-lane coverage unestablished.
Direction: Guatemala-to-El Salvador freight expressly affected.
Exceptions: Unestablished.</x:v>
      </x:c>
      <x:c r="F620" s="4" t="str">
        <x:v>R11-AM-002-D1 — Observed operation
Initial Guatemala-to-El Salvador freight blockage at El Jobo/Las Chinamas–Valle Nuevo, to first demonstrated renewed truck access
Start: 2019-05-08.
Observed scoped reopening: 2019-05-08 to 2019-05-09.
0–1 calendar-day difference; scoped endpoint only</x:v>
      </x:c>
      <x:c r="G620" s="4" t="str">
        <x:v>Trade and protectionism / Trade and transport protests
Reported reason
Applies to: May 8 El Jobo bridge blockade
Truckers demanded the exit documents needed to leave Guatemala and enter El Salvador lawfully during the DUCA customs disruption.</x:v>
      </x:c>
      <x:c r="H620" s="4" t="str">
        <x:v>R11-AM-002-D1: Zero-to-one calendar-day boundary range, not precise clearing time or continuous final normalisation. The later truck observation establishes access by May 9, not that blockage lasted until then. Other lanes/pedestrians and La Hachadura's separate episode are excluded.</x:v>
      </x:c>
      <x:c r="I620" s="4" t="str">
        <x:v>Second full-register audit, 26 October 2026: additional source-audited corrections incorporated. See the phase, scope and qualification columns for the accepted findings.</x:v>
      </x:c>
      <x:c r="J620" s="18" t="d">
        <x:v>2026-10-26T00:00:00.000Z</x:v>
      </x:c>
      <x:c r="K620" s="21" t="str">
        <x:f>IFERROR(HYPERLINK("https://www.laprensagrafica.com/amp/elsalvador/Se-normaliza-el-paso-de-camiones-en-la-frontera-20190509-0558.html","La Prensa Gráfica"),"La Prensa Gráfica")</x:f>
        <x:v>La Prensa Gráfica</x:v>
      </x:c>
      <x:c r="L620" s="21"/>
      <x:c r="M620" s="21"/>
      <x:c r="N620" s="4" t="str">
        <x:v>https://www.laprensagrafica.com/amp/elsalvador/Se-normaliza-el-paso-de-camiones-en-la-frontera-20190509-0558.html</x:v>
      </x:c>
      <x:c r="O620" s="4" t="str">
        <x:v>Second full-register audit source access, 26 October 2026
https://www.laprensagrafica.com/amp/elsalvador/Se-normaliza-el-paso-de-camiones-en-la-frontera-20190509-0558.html: search extract (fresh retrieval) — Direct URL returns 404; indexed article body inspected.
Prior audit access record
Full-register audit source access (evidence cutoff 25 October 2026)
https://www.laprensagrafica.com/amp/elsalvador/Se-normaliza-el-paso-de-camiones-en-la-frontera-20190509-0558.html: search extract — Direct URL returns 404; indexed article body inspected.
Earlier recorded access
Source 1: indexed extract</x:v>
      </x:c>
      <x:c r="P620" s="20" t="n">
        <x:v>1</x:v>
      </x:c>
      <x:c r="Q620" s="4" t="str">
        <x:v>Americas</x:v>
      </x:c>
      <x:c r="R620" s="4" t="str">
        <x:v>Included</x:v>
      </x:c>
    </x:row>
    <x:row r="621" ht="186" hidden="0" customHeight="1">
      <x:c r="A621" s="16" t="str">
        <x:v>R12-AS-001</x:v>
      </x:c>
      <x:c r="B621" s="4" t="str">
        <x:v>Ban Khao Din Cambodian trader blockade of international bridge</x:v>
      </x:c>
      <x:c r="C621" s="4" t="str">
        <x:v>Cambodia; Thailand</x:v>
      </x:c>
      <x:c r="D621" s="4" t="str">
        <x:v>Ban Khao Din, Khlong Hat district, Sa Kaeo / Sampov Loun, Battambang
Cambodian side of friendship bridge at Ban Khao Din–Sampov Loun crossing</x:v>
      </x:c>
      <x:c r="E621" s="4" t="str">
        <x:v>Trader passage across bridge; exact vehicle and passenger categories not established.
Direction: Cambodian-side bridge obstruction affecting traders heading to Thai market.
Exceptions: Not established; Thai side expressly denied closing its own checkpoint.</x:v>
      </x:c>
      <x:c r="F621" s="4" t="str">
        <x:v>R12-AS-001-D1 — Observed operation
Ban Khao Din episode on 15 October 2017.
Start: 2017-10-15.
Observed scoped reopening: 2017-10-15.
Same-day episode; no whole-day duration inferred</x:v>
      </x:c>
      <x:c r="G621" s="4" t="str">
        <x:v>Trade and protectionism / Trade and transport protests
Reported reason
Applies to: Recorded episode; exact overlap not separately established
The recorded rationale and claim assessment support the selected subcategories. All applicable broad categories are retained together; no primary rationale is imposed.</x:v>
      </x:c>
      <x:c r="H621" s="4" t="str">
        <x:v>R12-AS-001-D1: Shown as an episode occurring on this date, not a whole-day closure. Reports agree on date and10:00normal trader crossing, differ on06:00versus06:30onset. Similar named accounts form a shared lineage. No exact-hour duration or universal Thai gate closure inferred. Requests forwarded does not establish permanent import-rule change.</x:v>
      </x:c>
      <x:c r="I621" s="4" t="str">
        <x:v>Second full-register audit, 26 October 2026: qualified. Fresh Thai Matichon reporting supports Cambodian-side bridge obstruction on 15 October 2017, with traders crossing normally by 10:00. The Thai authority expressly denies closing its own gate.</x:v>
      </x:c>
      <x:c r="J621" s="18" t="d">
        <x:v>2026-10-26T00:00:00.000Z</x:v>
      </x:c>
      <x:c r="K621" s="21" t="str">
        <x:f>IFERROR(HYPERLINK("https://www.matichon.co.th/region/news_696820","Matichon"),"Matichon")</x:f>
        <x:v>Matichon</x:v>
      </x:c>
      <x:c r="L621" s="21" t="str">
        <x:f>IFERROR(HYPERLINK("https://www.thairath.co.th/news/local/central/1099302","Thairath"),"Thairath")</x:f>
        <x:v>Thairath</x:v>
      </x:c>
      <x:c r="M621" s="21"/>
      <x:c r="N621" s="4" t="str">
        <x:v>https://www.matichon.co.th/region/news_696820
https://www.thairath.co.th/news/local/central/1099302</x:v>
      </x:c>
      <x:c r="O621" s="4" t="str">
        <x:v>Second full-register audit source access, 26 October 2026
https://www.matichon.co.th/region/news_696820: full text (fresh retrieval)
https://www.thairath.co.th/news/local/central/1099302: inaccessible (fresh retrieval) — 403; no fresh body inspection.
Prior audit access record
Full-register audit source access (evidence cutoff 25 October 2026)
https://www.matichon.co.th/region/news_696820: full text — Thai text inspected; named negotiations may be shared across outlets.
https://www.thairath.co.th/news/local/central/1099302: inaccessible — 403; exact-URL and Thai event searches failed to recover relevant indexed body.
Earlier recorded access
Source 1: full relevant article text
Source 2: full relevant article text</x:v>
      </x:c>
      <x:c r="P621" s="20" t="n">
        <x:v>1</x:v>
      </x:c>
      <x:c r="Q621" s="4" t="str">
        <x:v>East and Southeast Asia and Oceania</x:v>
      </x:c>
      <x:c r="R621" s="4" t="str">
        <x:v>Included</x:v>
      </x:c>
    </x:row>
    <x:row r="622" ht="409" hidden="0" customHeight="1">
      <x:c r="A622" s="16" t="str">
        <x:v>R12-AS-002</x:v>
      </x:c>
      <x:c r="B622" s="4" t="str">
        <x:v>Cambodia closes informal Thailand frontier routes during migrant-worker crackdown</x:v>
      </x:c>
      <x:c r="C622" s="4" t="str">
        <x:v>Cambodia; Thailand</x:v>
      </x:c>
      <x:c r="D622" s="4" t="str">
        <x:v>Multiple informal routes; RFA names Tumnup Dach with unresolved locality description
Informal land crossings on Cambodia–Thailand frontier; reported in Banteay Meanchey and Battambang, not every official international gate</x:v>
      </x:c>
      <x:c r="E622" s="4" t="str">
        <x:v>Informal-route users including daily workers and market traders; some outbound local trips explicitly barred.
Direction: Documented outbound restrictions from Cambodia; full direction-by-route implementation not known.
Exceptions: Returnees permitted; July4 instructions supported lawful worker passage. No universal official-gate prohibition inferred.</x:v>
      </x:c>
      <x:c r="F622" s="4" t="str">
        <x:v>R12-AS-002-REV1 — Formal policy
Reported Banteay Meanchey restriction at 43 unofficial crossings
Start: 2017-07-01.
Last confirmed: 2017-07-03. Reopening is not established.
Formal policy: confirmed through 2017-07-03; at least 2 calendar-day difference; reopening unknown</x:v>
      </x:c>
      <x:c r="G622" s="4" t="str">
        <x:v>Migration / Exit control
Reported reason
Applies to: Cambodian informal-route restriction, July 2017
Named Cambodian officials expressly say the restriction prevents workers departing irregularly for Thailand; migrant return to Cambodia remains permitted.
Security / Smuggling and illicit trafficking
Reported reason
Applies to: July 2017 informal-route closure; precise overlap by route unresolved
VOA's named border official also cites preventing untaxed goods crossing; this is an attributed purpose, not a finding of individual criminal conduct.
Trade and protectionism / Customs and transport rules
Reported reason
Applies to: July 2017 informal-route closure; precise overlap by route unresolved
VOA's official account explicitly links restriction to tax-evading imports and loss of state revenue.</x:v>
      </x:c>
      <x:c r="H622" s="4" t="str">
        <x:v>R12-AS-002-REV1: Indexed official-attributed account. Route names unavailable; RFA indicates implementation variation. Does not include international gates, returnees or Battambang. July 3 is confirmation, not lifting.</x:v>
      </x:c>
      <x:c r="I622" s="4" t="str">
        <x:v>Second full-register audit, 26 October 2026: qualified. The Banteay Meanchey informal-route restriction is supported; the existing qualification correctly rejects RFA's overbroad all-checkpoints lead and preserves returns and lawful official-gate travel.</x:v>
      </x:c>
      <x:c r="J622" s="18" t="d">
        <x:v>2026-10-26T00:00:00.000Z</x:v>
      </x:c>
      <x:c r="K622" s="21" t="str">
        <x:f>IFERROR(HYPERLINK("https://m.phnompenhpost.com/national/unofficial-crossings-thailand-closed","Phnom Penh Post"),"Phnom Penh Post")</x:f>
        <x:v>Phnom Penh Post</x:v>
      </x:c>
      <x:c r="L622" s="21" t="str">
        <x:f>IFERROR(HYPERLINK("https://www.rfa.org/english/news/cambodia/border-07032017131400.html","Radio Free Asia"),"Radio Free Asia")</x:f>
        <x:v>Radio Free Asia</x:v>
      </x:c>
      <x:c r="M622" s="21" t="str">
        <x:f>IFERROR(HYPERLINK("https://khmer.voanews.com/a/after-Thai-crackdown-interior-ministry-calls-for-assistance-of-repatriated-migrant-workers/3929813.html","VOA Khmer"),"VOA Khmer")</x:f>
        <x:v>VOA Khmer</x:v>
      </x:c>
      <x:c r="N622" s="4" t="str">
        <x:v>https://m.phnompenhpost.com/national/unofficial-crossings-thailand-closed
https://www.rfa.org/english/news/cambodia/border-07032017131400.html
https://khmer.voanews.com/a/after-Thai-crackdown-interior-ministry-calls-for-assistance-of-repatriated-migrant-workers/3929813.html
https://english.cambodiadaily.com/2017/07/12/migrant-workers-overwhelm-passport-center/
https://khmer.voanews.com/a/cambodia-announced-campaign-to-close-all-illegal-border-crosses-after-thailand-implement--new-regulations-on-illegal-labors/3927900.html
https://sahrika20.rssing.com/chan-51953285/all_p34.html</x:v>
      </x:c>
      <x:c r="O622" s="4" t="str">
        <x:v>Second full-register audit source access, 26 October 2026
https://www.rfa.org/english/news/cambodia/border-07032017131400.html: full text (fresh retrieval) — Scope and source lineage qualifications are described in claim checks.
https://m.phnompenhpost.com/national/unofficial-crossings-thailand-closed: search extract (previously retrieved text re-examined) — Scope and source lineage qualifications are described in claim checks.
https://khmer.voanews.com/a/cambodia-announced-campaign-to-close-all-illegal-border-crosses-after-thailand-implement--new-regulations-on-illegal-labors/3927900.html: full text (fresh retrieval) — Scope and source lineage qualifications are described in claim checks.
https://khmer.voanews.com/a/after-Thai-crackdown-interior-ministry-calls-for-assistance-of-repatriated-migrant-workers/3929813.html: full text (previously retrieved text re-examined) — Scope and source lineage qualifications are described in claim checks.
Earlier URLs not separately inspected in this second assessment:
https://english.cambodiadaily.com/2017/07/12/migrant-workers-overwhelm-passport-center/
https://sahrika20.rssing.com/chan-51953285/all_p34.html
Prior audit access record
Full-register audit source access (evidence cutoff 25 October 2026)
https://m.phnompenhpost.com/national/unofficial-crossings-thailand-closed: search extract — Direct URL inaccessible; substantive indexed article inspected.
https://www.rfa.org/english/news/cambodia/border-07032017131400.html: full text — See specific claim qualifications.
https://khmer.voanews.com/a/after-Thai-crackdown-interior-ministry-calls-for-assistance-of-repatriated-migrant-workers/3929813.html: full text — See specific claim qualifications.
Earlier source URLs not separately listed in this audit’s retrieval log (historical access notes below are not fresh verification):
https://english.cambodiadaily.com/2017/07/12/migrant-workers-overwhelm-passport-center/
https://khmer.voanews.com/a/cambodia-announced-campaign-to-close-all-illegal-border-crosses-after-thailand-implement--new-regulations-on-illegal-labors/3927900.html
https://sahrika20.rssing.com/chan-51953285/all_p34.html
Earlier recorded access
Source 1: indexed excerpt; failed
Source 2: indexed excerpt; full; full text
Source 3: full</x:v>
      </x:c>
      <x:c r="P622" s="20" t="n">
        <x:v>1</x:v>
      </x:c>
      <x:c r="Q622" s="4" t="str">
        <x:v>East and Southeast Asia and Oceania</x:v>
      </x:c>
      <x:c r="R622" s="4" t="str">
        <x:v>Included</x:v>
      </x:c>
    </x:row>
    <x:row r="623" ht="409" hidden="0" customHeight="1">
      <x:c r="A623" s="16" t="str">
        <x:v>R12-AM-001</x:v>
      </x:c>
      <x:c r="B623" s="4" t="str">
        <x:v>Venezuela election closure at Santa Elena–Pacaraima, May 2018</x:v>
      </x:c>
      <x:c r="C623" s="4" t="str">
        <x:v>Venezuela; Brazil</x:v>
      </x:c>
      <x:c r="D623" s="4" t="str">
        <x:v>Santa Elena de Uairén–Pacaraima
Santa Elena–Pacaraima crossing</x:v>
      </x:c>
      <x:c r="E623" s="4" t="str">
        <x:v>Vehicles and pedestrians at the official Santa Elena–Pacaraima crossing; informal routes remained usable.
Direction: Official crossing movement between Venezuela and Brazil; full nationwide or all-crossing scope not established.
Exceptions: Informal crossing routes reportedly continued; lawful exemptions not established.</x:v>
      </x:c>
      <x:c r="F623" s="4" t="str">
        <x:v>R12-AM-001-D1 — Observed operation
Ordinary vehicle passage at Santa Elena–Pacaraima during Venezuela's election closure
Start: 2018-05-18 to 2018-05-19.
Observed scoped reopening: 2018-05-21.
2–3 calendar-day difference; scoped endpoint only
R12-AM-001-R2P1 — Observed operation
Pedestrian passage at the official Santa Elena–Pacaraima crossing
Start: 2018-05-19, reported after approximately 10:00 local time; earlier pedestrian access that morning is explicitly reported.
Reported reopening: 2018-05-21 morning, when people and vehicles were authorized to pass.
Two-calendar-day difference; &gt;24-hour episode supported, but no exact continuous hourly duration. Informal routes are excluded.</x:v>
      </x:c>
      <x:c r="G623" s="4" t="str">
        <x:v>Electoral politics / Election administration and security
Reported reason
Applies to: Official crossing restrictions during the May 20 presidential election
Venezuelan diplomatic and military representatives describe the closure as part of election security and territorial control.
Security / Public order and immediate safety
Reported reason
Applies to: The same election-related official-crossing restrictions
Officials state a security purpose; the two rationale codes describe overlapping justifications, not distinct closure durations.</x:v>
      </x:c>
      <x:c r="H623" s="4" t="str">
        <x:v>R12-AM-001-D1: Preserve the May 18–19 vehicle-onset range from differing contemporary reports. No exact first vehicle passage or all-frontier closure is inferred.
R12-AM-001-R2P1: The May 19 G1-derived account separately records pedestrian access during the morning and rejection after approximately 10:00, including travellers unable to return to Venezuela. The May 21 report quotes Roraima’s international affairs secretary confirming restored people and vehicle passage that morning. These G1-derived publications share a reporting lineage. The reported official reopening clock is not independently observed first passage.
Both phases concern official-crossing access and overlap; do not add their durations. Informal routes remained usable. Brazil’s rejected closure request is not contrary evidence to this Venezuelan-side restriction.</x:v>
      </x:c>
      <x:c r="I623" s="4" t="str">
        <x:v>Second full-register audit, 26 October 2026: additional source-audited corrections incorporated. See the phase, scope and qualification columns for the accepted findings.</x:v>
      </x:c>
      <x:c r="J623" s="18" t="d">
        <x:v>2026-10-26T00:00:00.000Z</x:v>
      </x:c>
      <x:c r="K623" s="21" t="str">
        <x:f>IFERROR(HYPERLINK("https://exame.com/mundo/venezuela-fecha-fronteira-com-o-brasil-na-vespera-da-eleicao/","Exame"),"Exame")</x:f>
        <x:v>Exame</x:v>
      </x:c>
      <x:c r="L623" s="21" t="str">
        <x:f>IFERROR(HYPERLINK("https://www.folhabv.com.br/cotidiano/fronteira-sera-reaberta-na-segunda/","Folha BV"),"Folha BV")</x:f>
        <x:v>Folha BV</x:v>
      </x:c>
      <x:c r="M623" s="21" t="str">
        <x:f>IFERROR(HYPERLINK("https://portalamazonia.com/internacional/venezuela-reabre-fronteira-com-o-brasil-em-roraima/","Portal Amazônia"),"Portal Amazônia")</x:f>
        <x:v>Portal Amazônia</x:v>
      </x:c>
      <x:c r="N623" s="4" t="str">
        <x:v>https://exame.com/mundo/venezuela-fecha-fronteira-com-o-brasil-na-vespera-da-eleicao/
https://www.folhabv.com.br/cotidiano/fronteira-sera-reaberta-na-segunda/
https://portalamazonia.com/internacional/venezuela-reabre-fronteira-com-o-brasil-em-roraima/
https://exame.com/brasil/agu-diz-que-governo-nao-vai-fechar-fronteira-com-a-venezuela/
https://www.alcinopolisnews.com.br/com-fronteira-fechada-venezuelanos-usam-rotas-clandestinas-para-comprar-mantimentos-no-brasil/
https://noticias.uol.com.br/ultimas-noticias/afp/2016/12/20/venezuela-reabre-fronteira-com-brasil.htm
https://amp.dw.com/en/venezuela-maduro-closes-border-with-brazil-as-self-imposed-blockade-tightens/a-47623234
https://data.unhcr.org/fr/documents/download/70509
https://correiodaamazonia.com/venezuela-fecha-fronteira-com-o-brasil-as-vesperas-das-eleicoes-presidenciais/</x:v>
      </x:c>
      <x:c r="O623" s="4" t="str">
        <x:v>Second full-register audit source access, 26 October 2026
https://exame.com/mundo/venezuela-fecha-fronteira-com-o-brasil-na-vespera-da-eleicao/: full text (previously retrieved text re-examined)
https://www.folhabv.com.br/cotidiano/fronteira-sera-reaberta-na-segunda/: full text (previously retrieved text re-examined)
https://portalamazonia.com/internacional/venezuela-reabre-fronteira-com-o-brasil-em-roraima/: full text (fresh retrieval) — G1-derived republication, not independent of G1.
https://correiodaamazonia.com/venezuela-fecha-fronteira-com-o-brasil-as-vesperas-das-eleicoes-presidenciais/: search extract (fresh retrieval) — Direct open failed in raw 069; substantive indexed text inspected. G1-derived republication, shared lineage with Portal Amazônia.
Earlier URLs not separately inspected in this second assessment:
https://exame.com/brasil/agu-diz-que-governo-nao-vai-fechar-fronteira-com-a-venezuela/
https://www.alcinopolisnews.com.br/com-fronteira-fechada-venezuelanos-usam-rotas-clandestinas-para-comprar-mantimentos-no-brasil/
https://noticias.uol.com.br/ultimas-noticias/afp/2016/12/20/venezuela-reabre-fronteira-com-brasil.htm
https://amp.dw.com/en/venezuela-maduro-closes-border-with-brazil-as-self-imposed-blockade-tightens/a-47623234
https://data.unhcr.org/fr/documents/download/70509
Prior audit access record
Full-register audit source access (evidence cutoff 25 October 2026)
https://exame.com/mundo/venezuela-fecha-fronteira-com-o-brasil-na-vespera-da-eleicao/: full text
https://www.folhabv.com.br/cotidiano/fronteira-sera-reaberta-na-segunda/: full text
https://portalamazonia.com/internacional/venezuela-reabre-fronteira-com-o-brasil-em-roraima/: full text — G1-derived republication, not independent of G1.
Earlier source URLs not separately listed in this audit’s retrieval log (historical access notes below are not fresh verification):
https://exame.com/brasil/agu-diz-que-governo-nao-vai-fechar-fronteira-com-a-venezuela/
https://www.alcinopolisnews.com.br/com-fronteira-fechada-venezuelanos-usam-rotas-clandestinas-para-comprar-mantimentos-no-brasil/
https://noticias.uol.com.br/ultimas-noticias/afp/2016/12/20/venezuela-reabre-fronteira-com-brasil.htm
https://amp.dw.com/en/venezuela-maduro-closes-border-with-brazil-as-self-imposed-blockade-tightens/a-47623234
https://data.unhcr.org/fr/documents/download/70509
Earlier recorded access
Source 1: full relevant article body opened
Source 2: full relevant article body opened
Source 3: full relevant article body opened</x:v>
      </x:c>
      <x:c r="P623" s="20" t="n">
        <x:v>2</x:v>
      </x:c>
      <x:c r="Q623" s="4" t="str">
        <x:v>Americas</x:v>
      </x:c>
      <x:c r="R623" s="4" t="str">
        <x:v>Included</x:v>
      </x:c>
    </x:row>
    <x:row r="624" ht="409" hidden="0" customHeight="1">
      <x:c r="A624" s="16" t="str">
        <x:v>R12-BL-001</x:v>
      </x:c>
      <x:c r="B624" s="4" t="str">
        <x:v>Zambia prohibits South African livestock and meat imports through Kazungula</x:v>
      </x:c>
      <x:c r="C624" s="4" t="str">
        <x:v>Botswana; Zambia</x:v>
      </x:c>
      <x:c r="D624" s="4" t="str">
        <x:v>Kazungula international river-ferry frontier; source also names Livingstone and Chirundu
Zambian admission prohibition on South African-origin livestock and meat, with Kazungula checkpoint explicitly named; one national policy also reported at other Zambian checkpoints</x:v>
      </x:c>
      <x:c r="E624" s="4" t="str">
        <x:v>South African-origin livestock and meat products; named Kazungula enforcement concerns transit via Botswana, not a ban on Botswana-origin cargo.
Direction: Botswana to Zambia, affecting South African-origin livestock and meat products in transit
Exceptions: Not established.</x:v>
      </x:c>
      <x:c r="F624" s="4" t="str">
        <x:v>R12-BL-001-FU1 — Observed operation
Kazungula checkpoint enforcing Zambian prohibition of South African livestock and meat products
Start: unknown.
Last confirmed: 2019-01-22. Reopening is not established.
dated evidence; numeric duration withheld; see qualification</x:v>
      </x:c>
      <x:c r="G624" s="4" t="str">
        <x:v>Health and biosecurity / Animal and plant disease control
Reported reason
Applies to: Recorded episode; exact overlap not separately established
Animal disease control now fits the broadened Health and biosecurity heading. No human-health risk or protectionist purpose is inferred.</x:v>
      </x:c>
      <x:c r="H624" s="4" t="str">
        <x:v>R12-BL-001-FU1: Dated implementation confirmation, not original onset. National January ban and later policies are not precise Kazungula start/end; cargo-category restriction only, not general border closure.
duration: Fresh full local and USDA sources support a January 22 Kazungula enforcement observation. Exact start/end remain unknown; reject 2018 listeria and May 2019 general livestock-policy lifting as automatic endpoints.
Current onset finding: The January22 veterinary interview confirms enforcement then but gives no first Kazungula enforcement date.</x:v>
      </x:c>
      <x:c r="I624" s="4" t="str">
        <x:v>Second full-register audit, 26 October 2026: qualified. The January 22, 2019 veterinary interview confirms Kazungula enforcement against South African-origin meat and livestock. Searches still do not supply an exact same-scope start or lifting; unrelated later bans are not endpoints.</x:v>
      </x:c>
      <x:c r="J624" s="18" t="d">
        <x:v>2026-10-26T00:00:00.000Z</x:v>
      </x:c>
      <x:c r="K624" s="21" t="str">
        <x:f>IFERROR(HYPERLINK("https://www.lusakatimes.com/2019/01/22/zambia-bans-the-importation-of-meat-products-from-south-africa/","Lusaka Times / National Agricultural Information Services"),"Lusaka Times / National Agricultural Information Services")</x:f>
        <x:v>Lusaka Times / National Agricultural Information Services</x:v>
      </x:c>
      <x:c r="L624" s="21" t="str">
        <x:f>IFERROR(HYPERLINK("https://www.gov.za/news/media-statements/agriculture-forestry-and-fisheries-releases-joint-statement-foot-and-mouth","South African Department of Agriculture, Forestry and Fisheries"),"South African Department of Agriculture, Forestry and Fisheries")</x:f>
        <x:v>South African Department of Agriculture, Forestry and Fisheries</x:v>
      </x:c>
      <x:c r="M624" s="21" t="str">
        <x:f>IFERROR(HYPERLINK("https://www.harvestfm.co.ls/article?h=Countries-neighbouring-South-Africa-ban-the-importation-of-red-meat-because-of-foodandmouth-diseas&amp;id=10754","Harvest FM"),"Harvest FM")</x:f>
        <x:v>Harvest FM</x:v>
      </x:c>
      <x:c r="N624" s="4" t="str">
        <x:v>https://www.lusakatimes.com/2019/01/22/zambia-bans-the-importation-of-meat-products-from-south-africa/
https://www.gov.za/news/media-statements/agriculture-forestry-and-fisheries-releases-joint-statement-foot-and-mouth
https://www.harvestfm.co.ls/article?h=Countries-neighbouring-South-Africa-ban-the-importation-of-red-meat-because-of-foodandmouth-diseas&amp;id=10754
https://www.gov.za/news/media-statements/agriculture-forestry-and-fisheries-gives-update-foot-and-mouth-disease-28-may
https://zambianbusinesstimes.com/government-u-turns-again-lifts-ban-on-import-of-livestock/
https://www.newsghana.com.gh/jan-13-major-zambia-media-outlets/
https://www.zambianews.net/news/279225206/zambia-partially-lifts-suspension-on-livestock-imports-from-south-africa
https://www.news24.com/sas-neighbours-slap-import-bans-over-foot-and-mouth-disease-20190114
https://apps.fas.usda.gov/newgainapi/api/report/downloadreportbyfilename?filename=FMD+Outbreak+Leads+to+Bans+on+Imports+of+Red+Meat+from+South+Africa_Pretoria_South+Africa+-+Republic+of_3-12-2019.pdf
https://meetingofmindsuk.uk/realreads/zambian-cross-border-traders-affected-by-covid-19-restrictions/
https://knowledgehub.southernafricatrust.org/site/assets/files/2095/the_impact_of_the_covid-19_pandemic_on_women_informal_cross_border_traders_in_zambia.pdf
https://www.zambiamonitor.com/govt-suspends-livestock-imports-from-south-africa-over-outbreak-of-foot-and-mouth-disease/
https://www.channelafrica.co.za/channelafrica/news/zambia-partially-lifts-ban-on-sa-livestock-imports/</x:v>
      </x:c>
      <x:c r="O624" s="4" t="str">
        <x:v>Second full-register audit source access, 26 October 2026
https://www.lusakatimes.com/2019/01/22/zambia-bans-the-importation-of-meat-products-from-south-africa/: full text (fresh retrieval) — Scope and source lineage qualifications are described in claim checks.
https://www.gov.za/news/media-statements/agriculture-forestry-and-fisheries-gives-update-foot-and-mouth-disease-28-may: full text (previously retrieved text re-examined) — Scope and source lineage qualifications are described in claim checks.
https://zambianbusinesstimes.com/government-u-turns-again-lifts-ban-on-import-of-livestock/: search extract (previously retrieved text re-examined) — Scope and source lineage qualifications are described in claim checks.
Earlier URLs not separately inspected in this second assessment:
https://www.gov.za/news/media-statements/agriculture-forestry-and-fisheries-releases-joint-statement-foot-and-mouth
https://www.harvestfm.co.ls/article?h=Countries-neighbouring-South-Africa-ban-the-importation-of-red-meat-because-of-foodandmouth-diseas&amp;id=10754
https://www.newsghana.com.gh/jan-13-major-zambia-media-outlets/
https://www.zambianews.net/news/279225206/zambia-partially-lifts-suspension-on-livestock-imports-from-south-africa
https://www.news24.com/sas-neighbours-slap-import-bans-over-foot-and-mouth-disease-20190114
https://apps.fas.usda.gov/newgainapi/api/report/downloadreportbyfilename?filename=FMD+Outbreak+Leads+to+Bans+on+Imports+of+Red+Meat+from+South+Africa_Pretoria_South+Africa+-+Republic+of_3-12-2019.pdf
https://meetingofmindsuk.uk/realreads/zambian-cross-border-traders-affected-by-covid-19-restrictions/
https://knowledgehub.southernafricatrust.org/site/assets/files/2095/the_impact_of_the_covid-19_pandemic_on_women_informal_cross_border_traders_in_zambia.pdf
https://www.zambiamonitor.com/govt-suspends-livestock-imports-from-south-africa-over-outbreak-of-foot-and-mouth-disease/
https://www.channelafrica.co.za/channelafrica/news/zambia-partially-lifts-ban-on-sa-livestock-imports/
Prior audit access record
Full-register audit source access (evidence cutoff 25 October 2026)
https://www.lusakatimes.com/2019/01/22/zambia-bans-the-importation-of-meat-products-from-south-africa/: full text — See specific claim qualifications.
https://www.gov.za/news/media-statements/agriculture-forestry-and-fisheries-gives-update-foot-and-mouth-disease-28-may: full text — See specific claim qualifications.
https://zambianbusinesstimes.com/government-u-turns-again-lifts-ban-on-import-of-livestock/: search extract — See specific claim qualifications.
https://www.zambiamonitor.com/govt-suspends-livestock-imports-from-south-africa-over-outbreak-of-foot-and-mouth-disease/: full text — See specific claim qualifications.
https://www.channelafrica.co.za/channelafrica/news/zambia-partially-lifts-ban-on-sa-livestock-imports/: search extract — See specific claim qualifications.
Earlier source URLs not separately listed in this audit’s retrieval log (historical access notes below are not fresh verification):
https://www.gov.za/news/media-statements/agriculture-forestry-and-fisheries-releases-joint-statement-foot-and-mouth
https://www.harvestfm.co.ls/article?h=Countries-neighbouring-South-Africa-ban-the-importation-of-red-meat-because-of-foodandmouth-diseas&amp;id=10754
https://www.newsghana.com.gh/jan-13-major-zambia-media-outlets/
https://www.zambianews.net/news/279225206/zambia-partially-lifts-suspension-on-livestock-imports-from-south-africa
https://www.news24.com/sas-neighbours-slap-import-bans-over-foot-and-mouth-disease-20190114
https://apps.fas.usda.gov/newgainapi/api/report/downloadreportbyfilename?filename=FMD+Outbreak+Leads+to+Bans+on+Imports+of+Red+Meat+from+South+Africa_Pretoria_South+Africa+-+Republic+of_3-12-2019.pdf
https://meetingofmindsuk.uk/realreads/zambian-cross-border-traders-affected-by-covid-19-restrictions/
https://knowledgehub.southernafricatrust.org/site/assets/files/2095/the_impact_of_the_covid-19_pandemic_on_women_informal_cross_border_traders_in_zambia.pdf
Earlier recorded access
Source 1: full; full text
Source 2: indexed excerpt; full
Source 3: indexed excerpt</x:v>
      </x:c>
      <x:c r="P624" s="20" t="n">
        <x:v>1</x:v>
      </x:c>
      <x:c r="Q624" s="4" t="str">
        <x:v>Southern and Central Africa</x:v>
      </x:c>
      <x:c r="R624" s="4" t="str">
        <x:v>Included</x:v>
      </x:c>
    </x:row>
    <x:row r="625" ht="409" hidden="0" customHeight="1">
      <x:c r="A625" s="16" t="str">
        <x:v>R13-ME-001</x:v>
      </x:c>
      <x:c r="B625" s="4" t="str">
        <x:v>King Fahd Causeway precautionary vehicle suspension, first April 7 2026 phase</x:v>
      </x:c>
      <x:c r="C625" s="4" t="str">
        <x:v>Bahrain; Saudi Arabia</x:v>
      </x:c>
      <x:c r="D625" s="4" t="str">
        <x:v>King Fahd Causeway / جسر الملك فهد
Vehicle movement across the international King Fahd Causeway road link</x:v>
      </x:c>
      <x:c r="E625" s="4" t="str">
        <x:v>Vehicles; passenger/freight exemptions and detailed categories not established.
Direction: Vehicle movement across the link; direction-specific implementation not separately verified.
Exceptions: Not established.</x:v>
      </x:c>
      <x:c r="F625" s="4" t="str">
        <x:v>R13-ME-001-D1 — Observed operation
King Fahd Causeway first phase on 7 April 2026; reports share an authority announcement lineage.
Start: 2026-04-07.
Observed scoped reopening: 2026-04-07.
Same-day episode; no whole-day duration inferred</x:v>
      </x:c>
      <x:c r="G625"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625" s="4" t="str">
        <x:v>R13-ME-001-D1: Shown as an episode occurring on this date, not a whole-day closure. Reported morning closure and same-day reopening. Morning versus afternoon reopening language differs between reports. All decisive operation claims ultimately rely on the causeway authority; no primary X post successfully opened. Later renewed suspension is a separate linked phase.</x:v>
      </x:c>
      <x:c r="I625" s="4" t="str">
        <x:v>Second full-register audit, 26 October 2026: qualified. English and Arabic contemporary reporting confirm several-hour precautionary suspension and same-day reopening on April 7, distinct from the renewed later spell.</x:v>
      </x:c>
      <x:c r="J625" s="18" t="d">
        <x:v>2026-10-26T00:00:00.000Z</x:v>
      </x:c>
      <x:c r="K625" s="21" t="str">
        <x:f>IFERROR(HYPERLINK("https://www.aa.com.tr/en/middle-east/saudi-arabia-suspends-traffic-on-king-fahd-causeway-to-bahrain/3895647","Anadolu Agency"),"Anadolu Agency")</x:f>
        <x:v>Anadolu Agency</x:v>
      </x:c>
      <x:c r="L625" s="21" t="str">
        <x:f>IFERROR(HYPERLINK("https://www.aa.com.tr/ar/الدول-العربية/استئناف-الحركة-على-جسر-الملك-فهد-بين-السعودية-والبحرين/3895717","Anadolu Agency"),"Anadolu Agency")</x:f>
        <x:v>Anadolu Agency</x:v>
      </x:c>
      <x:c r="M625" s="21" t="str">
        <x:f>IFERROR(HYPERLINK("https://whatsonsaudiarabia.com/2026/04/the-king-fahd-causeway-has-reopened/","What's On Saudi Arabia"),"What's On Saudi Arabia")</x:f>
        <x:v>What's On Saudi Arabia</x:v>
      </x:c>
      <x:c r="N625" s="4" t="str">
        <x:v>https://www.aa.com.tr/en/middle-east/saudi-arabia-suspends-traffic-on-king-fahd-causeway-to-bahrain/3895647
https://www.aa.com.tr/ar/الدول-العربية/استئناف-الحركة-على-جسر-الملك-فهد-بين-السعودية-والبحرين/3895717
https://whatsonsaudiarabia.com/2026/04/the-king-fahd-causeway-has-reopened/
https://gulfnews.com/world/gulf/saudi/bridge-connecting-saudi-arabia-bahrain-temporarily-closed-authorities-1.500498556
https://english.news.cn/20260408/9539b992fafb4ad48f9f7c60c62f704d/c.html
https://m.aa.com.tr/en/middle-east/saudi-arabia-suspends-traffic-on-king-fahd-causeway-to-bahrain/3895647
https://gulfnews.com/world/gulf/saudi/king-fahd-causeway-closed-amid-heightened-security-alerts-1.500499405
https://www.ndtvprofit.com/world/us-israel-iran-war-ceasefire-live-news-updates-trump-araghchi-talks-pakistan-middle-east-tensions-gulf-news-11325972?pfrom=home-business_trending</x:v>
      </x:c>
      <x:c r="O625" s="4" t="str">
        <x:v>Second full-register audit source access, 26 October 2026
https://www.aa.com.tr/en/middle-east/saudi-arabia-suspends-traffic-on-king-fahd-causeway-to-bahrain/3895647: full text (fresh retrieval)
https://www.aa.com.tr/ar/الدول-العربية/استئناف-الحركة-على-جسر-الملك-فهد-بين-السعودية-والبحرين/3895717: full text (fresh retrieval)
Earlier URLs not separately inspected in this second assessment:
https://whatsonsaudiarabia.com/2026/04/the-king-fahd-causeway-has-reopened/
https://gulfnews.com/world/gulf/saudi/bridge-connecting-saudi-arabia-bahrain-temporarily-closed-authorities-1.500498556
https://english.news.cn/20260408/9539b992fafb4ad48f9f7c60c62f704d/c.html
https://m.aa.com.tr/en/middle-east/saudi-arabia-suspends-traffic-on-king-fahd-causeway-to-bahrain/3895647
https://gulfnews.com/world/gulf/saudi/king-fahd-causeway-closed-amid-heightened-security-alerts-1.500499405
https://www.ndtvprofit.com/world/us-israel-iran-war-ceasefire-live-news-updates-trump-araghchi-talks-pakistan-middle-east-tensions-gulf-news-11325972?pfrom=home-business_trending
Prior audit access record
Full-register audit source access (evidence cutoff 25 October 2026)
https://www.aa.com.tr/en/middle-east/saudi-arabia-suspends-traffic-on-king-fahd-causeway-to-bahrain/3895647: full text
https://www.aa.com.tr/ar/الدول-العربية/استئناف-الحركة-على-جسر-الملك-فهد-بين-السعودية-والبحرين/3895717: full text
Earlier source URLs not separately listed in this audit’s retrieval log (historical access notes below are not fresh verification):
https://whatsonsaudiarabia.com/2026/04/the-king-fahd-causeway-has-reopened/
https://gulfnews.com/world/gulf/saudi/bridge-connecting-saudi-arabia-bahrain-temporarily-closed-authorities-1.500498556
https://english.news.cn/20260408/9539b992fafb4ad48f9f7c60c62f704d/c.html
https://m.aa.com.tr/en/middle-east/saudi-arabia-suspends-traffic-on-king-fahd-causeway-to-bahrain/3895647
https://gulfnews.com/world/gulf/saudi/king-fahd-causeway-closed-amid-heightened-security-alerts-1.500499405
https://www.ndtvprofit.com/world/us-israel-iran-war-ceasefire-live-news-updates-trump-araghchi-talks-pakistan-middle-east-tensions-gulf-news-11325972?pfrom=home-business_trending
Earlier recorded access
Source 1: relevant article body opened and inspected
Source 2: full text
Source 3: relevant article body opened and inspected</x:v>
      </x:c>
      <x:c r="P625" s="20" t="n">
        <x:v>1</x:v>
      </x:c>
      <x:c r="Q625" s="4" t="str">
        <x:v>Middle East</x:v>
      </x:c>
      <x:c r="R625" s="4" t="str">
        <x:v>Included</x:v>
      </x:c>
    </x:row>
    <x:row r="626" ht="409" hidden="0" customHeight="1">
      <x:c r="A626" s="16" t="str">
        <x:v>R13-ME-002</x:v>
      </x:c>
      <x:c r="B626" s="4" t="str">
        <x:v>King Fahd Causeway renewed precautionary vehicle suspension, April 7–8 2026</x:v>
      </x:c>
      <x:c r="C626" s="4" t="str">
        <x:v>Bahrain; Saudi Arabia</x:v>
      </x:c>
      <x:c r="D626" s="4" t="str">
        <x:v>King Fahd Causeway / جسر الملك فهد
Vehicle movement across the international King Fahd Causeway road link</x:v>
      </x:c>
      <x:c r="E626" s="4" t="str">
        <x:v>Vehicles; passenger/freight exemptions and detailed categories not established.
Direction: Vehicle movement across the link; direction-specific implementation not separately verified.
Exceptions: Not established.</x:v>
      </x:c>
      <x:c r="F626" s="4" t="str">
        <x:v>R13-ME-002-D1 — Observed operation
Renewed precautionary vehicle suspension on King Fahd Causeway in the April 7–8 phase
Start: 2026-04-07.
Observed scoped reopening: 2026-04-08.
1 calendar-day difference; scoped endpoint only</x:v>
      </x:c>
      <x:c r="G626" s="4" t="str">
        <x:v>Security / Armed conflict and military confrontation
Reported reason
Applies to: Recorded episode; exact overlap not separately established
The recorded rationale and claim assessment support the selected subcategories. All applicable broad categories are retained together; no primary rationale is imposed.
Security / Public order and immediate safety
Reported reason
Applies to: Recorded episode; exact overlap not separately established
The recorded rationale and claim assessment support the selected subcategories. All applicable broad categories are retained together; no primary rationale is imposed.</x:v>
      </x:c>
      <x:c r="H626" s="4" t="str">
        <x:v>R13-ME-002-D1: Attributed authority/operational reporting, not independent observation of every direction. Exact hours and exemptions are unknown; April 8 wire publication is not onset. Direct authority post returned 403, and the liveblog entry has no established AP credit. Earlier phase is not merged. Overlap with the first phase on the calendar date April 7 does not mean continuous closure: the intervening reported resumption and explicit renewed suspension distinguish the two spells.</x:v>
      </x:c>
      <x:c r="I626" s="4" t="str">
        <x:v>Second full-register audit, 26 October 2026: qualified. The April 7 renewed suspension and April 8 authority-reported resumption are supported. Both-direction resumption is attributed reporting, not independently measured throughput.</x:v>
      </x:c>
      <x:c r="J626" s="18" t="d">
        <x:v>2026-10-26T00:00:00.000Z</x:v>
      </x:c>
      <x:c r="K626" s="21" t="str">
        <x:f>IFERROR(HYPERLINK("https://english.news.cn/20260408/9539b992fafb4ad48f9f7c60c62f704d/c.html","Xinhua"),"Xinhua")</x:f>
        <x:v>Xinhua</x:v>
      </x:c>
      <x:c r="L626" s="21" t="str">
        <x:f>IFERROR(HYPERLINK("https://www.shorouknews.com/news/view.aspx?cdate=07042026&amp;id=ce4cffdf-a7cb-4077-904d-e4a1866f0b0d","Shorouk"),"Shorouk")</x:f>
        <x:v>Shorouk</x:v>
      </x:c>
      <x:c r="M626" s="21" t="str">
        <x:f>IFERROR(HYPERLINK("https://www.ndtvprofit.com/world/us-israel-iran-war-ceasefire-live-news-updates-trump-araghchi-talks-pakistan-middle-east-tensions-gulf-news-11325972?pfrom=home-business_trending","NDTV Profit"),"NDTV Profit")</x:f>
        <x:v>NDTV Profit</x:v>
      </x:c>
      <x:c r="N626" s="4" t="str">
        <x:v>https://english.news.cn/20260408/9539b992fafb4ad48f9f7c60c62f704d/c.html
https://www.shorouknews.com/news/view.aspx?cdate=07042026&amp;id=ce4cffdf-a7cb-4077-904d-e4a1866f0b0d
https://www.ndtvprofit.com/world/us-israel-iran-war-ceasefire-live-news-updates-trump-araghchi-talks-pakistan-middle-east-tensions-gulf-news-11325972?pfrom=home-business_trending
https://www.aa.com.tr/ar/الدول-العربية/استئناف-الحركة-على-جسر-الملك-فهد-بين-السعودية-والبحرين/3895717
https://m.aa.com.tr/en/middle-east/saudi-arabia-suspends-traffic-on-king-fahd-causeway-to-bahrain/3895647
https://gulfnews.com/world/gulf/saudi/king-fahd-causeway-closed-amid-heightened-security-alerts-1.500499405
https://jehat.net/?act=artc&amp;id=135111</x:v>
      </x:c>
      <x:c r="O626" s="4" t="str">
        <x:v>Second full-register audit source access, 26 October 2026
https://english.news.cn/20260408/9539b992fafb4ad48f9f7c60c62f704d/c.html: full text (fresh retrieval)
https://gulfnews.com/world/gulf/saudi/king-fahd-causeway-closed-amid-heightened-security-alerts-1.500499405: full text (fresh retrieval)
https://jehat.net/?act=artc&amp;id=135111: full text (fresh retrieval) — Authority-attributed account; publication clock is not first vehicle time.
Earlier URLs not separately inspected in this second assessment:
https://www.shorouknews.com/news/view.aspx?cdate=07042026&amp;id=ce4cffdf-a7cb-4077-904d-e4a1866f0b0d
https://www.ndtvprofit.com/world/us-israel-iran-war-ceasefire-live-news-updates-trump-araghchi-talks-pakistan-middle-east-tensions-gulf-news-11325972?pfrom=home-business_trending
https://www.aa.com.tr/ar/الدول-العربية/استئناف-الحركة-على-جسر-الملك-فهد-بين-السعودية-والبحرين/3895717
https://m.aa.com.tr/en/middle-east/saudi-arabia-suspends-traffic-on-king-fahd-causeway-to-bahrain/3895647
Prior audit access record
Full-register audit source access (evidence cutoff 25 October 2026)
https://english.news.cn/20260408/9539b992fafb4ad48f9f7c60c62f704d/c.html: full text
https://www.shorouknews.com/news/view.aspx?cdate=07042026&amp;id=ce4cffdf-a7cb-4077-904d-e4a1866f0b0d: full text
https://jehat.net/?act=artc&amp;id=135111: full text — Publication time is not the first vehicle time; same authority lineage.
Earlier source URLs not separately listed in this audit’s retrieval log (historical access notes below are not fresh verification):
https://www.ndtvprofit.com/world/us-israel-iran-war-ceasefire-live-news-updates-trump-araghchi-talks-pakistan-middle-east-tensions-gulf-news-11325972?pfrom=home-business_trending
https://www.aa.com.tr/ar/الدول-العربية/استئناف-الحركة-على-جسر-الملك-فهد-بين-السعودية-والبحرين/3895717
https://m.aa.com.tr/en/middle-east/saudi-arabia-suspends-traffic-on-king-fahd-causeway-to-bahrain/3895647
https://gulfnews.com/world/gulf/saudi/king-fahd-causeway-closed-amid-heightened-security-alerts-1.500499405
Earlier recorded access
Source 1: full text
Source 2: relevant article body opened and inspected
Source 3: full text</x:v>
      </x:c>
      <x:c r="P626" s="20" t="n">
        <x:v>1</x:v>
      </x:c>
      <x:c r="Q626" s="4" t="str">
        <x:v>Middle East</x:v>
      </x:c>
      <x:c r="R626" s="4" t="str">
        <x:v>Included</x:v>
      </x:c>
    </x:row>
    <x:row r="627" ht="186" hidden="0" customHeight="1">
      <x:c r="A627" s="16" t="str">
        <x:v>R13-AS-001</x:v>
      </x:c>
      <x:c r="B627" s="4" t="str">
        <x:v>Ban Khao Din–Sampov Loun January2017 trader blockade of international crossing</x:v>
      </x:c>
      <x:c r="C627" s="4" t="str">
        <x:v>Cambodia; Thailand</x:v>
      </x:c>
      <x:c r="D627" s="4" t="str">
        <x:v>Ban Khao Din, Khlong Hat, Sa Kaeo / Sampov Loun, Battambang
Ban Khao Din–Sampov Loun international bridge/crossing obstructed by Cambodian vendors</x:v>
      </x:c>
      <x:c r="E627" s="4" t="str">
        <x:v>People and goods attempting passage at the bridge/crossing; precise traffic counts unverified.
Direction: Obstruction of cross-border movement; vendors sought access from Cambodia to collect goods in Thailand.
Exceptions: No blockade exemptions established. Ordinary Thai and Cambodian gate opening is reported before the obstruction.</x:v>
      </x:c>
      <x:c r="F627" s="4" t="str">
        <x:v>R13-AS-001-D1 — Observed operation
Ban Khao Din episode on 5 January 2017.
Start: 2017-01-05.
Observed scoped reopening: 2017-01-05.
Same-day episode; no whole-day duration inferred</x:v>
      </x:c>
      <x:c r="G627" s="4" t="str">
        <x:v>Trade and protectionism / Trade and transport protests
Reported reason
Applies to: Recorded episode; exact overlap not separately established
The recorded rationale and claim assessment support the selected subcategories. All applicable broad categories are retained together; no primary rationale is imposed.</x:v>
      </x:c>
      <x:c r="H627" s="4" t="str">
        <x:v>R13-AS-001-D1: Shown as an episode occurring on this date, not a whole-day closure. Accounts share named sources and are not treated as independent confirmations. Crowd estimates differ and are omitted. Around06:00 onset and around08:00 dispersal are reported clock times, not a measured duration. Temporary trading accommodation is not proof of a lasting hours policy.</x:v>
      </x:c>
      <x:c r="I627" s="4" t="str">
        <x:v>Second full-register audit, 26 October 2026: qualified. The two Thai originals support the 5 January 2017 blockade after normal gate opening, with Matichon explicitly reporting dispersal around 08:00 and a temporary 05:30 trader concession.</x:v>
      </x:c>
      <x:c r="J627" s="18" t="d">
        <x:v>2026-10-26T00:00:00.000Z</x:v>
      </x:c>
      <x:c r="K627" s="21" t="str">
        <x:f>IFERROR(HYPERLINK("https://www.matichon.co.th/local/news_417140","Matichon"),"Matichon")</x:f>
        <x:v>Matichon</x:v>
      </x:c>
      <x:c r="L627" s="21" t="str">
        <x:f>IFERROR(HYPERLINK("https://mgronline.com/local/detail/9600000001277","MGR Online"),"MGR Online")</x:f>
        <x:v>MGR Online</x:v>
      </x:c>
      <x:c r="M627" s="21"/>
      <x:c r="N627" s="4" t="str">
        <x:v>https://www.matichon.co.th/local/news_417140
https://mgronline.com/local/detail/9600000001277</x:v>
      </x:c>
      <x:c r="O627" s="4" t="str">
        <x:v>Second full-register audit source access, 26 October 2026
https://www.matichon.co.th/local/news_417140: full text (fresh retrieval)
https://mgronline.com/local/detail/9600000001277: full text (fresh retrieval) — Shares named informants with Matichon; crowd estimates differ.
Prior audit access record
Full-register audit source access (evidence cutoff 25 October 2026)
https://www.matichon.co.th/local/news_417140: full text — Thai text inspected; crowd estimates omitted.
https://mgronline.com/local/detail/9600000001277: full text — Shared accounts with Matichon are not independent confirmations of all clock details.
Earlier recorded access
Source 1: full relevant article text
Source 2: full relevant article text</x:v>
      </x:c>
      <x:c r="P627" s="20" t="n">
        <x:v>1</x:v>
      </x:c>
      <x:c r="Q627" s="4" t="str">
        <x:v>East and Southeast Asia and Oceania</x:v>
      </x:c>
      <x:c r="R627" s="4" t="str">
        <x:v>Included</x:v>
      </x:c>
    </x:row>
    <x:row r="628" ht="409" hidden="0" customHeight="1">
      <x:c r="A628" s="16" t="str">
        <x:v>R14-AM-001</x:v>
      </x:c>
      <x:c r="B628" s="4" t="str">
        <x:v>Pacaraima anti-migrant protest blockade of international crossing, August 2018</x:v>
      </x:c>
      <x:c r="C628" s="4" t="str">
        <x:v>Brazil; Venezuela</x:v>
      </x:c>
      <x:c r="D628" s="4" t="str">
        <x:v>Pacaraima–Santa Elena de Uairén; BR174
Deliberate protest blockade at named international crossing/BR174; selective and intermittent movement not quantified.</x:v>
      </x:c>
      <x:c r="E628" s="4" t="str">
        <x:v>Venezuelan migrants targeted; effects on goods and other nationalities unresolved.
Direction: Anti-migrant obstruction; detailed direction contested between expulsion accounts and parliamentary wording about preventing return.
Exceptions: Venezuelans fleeing Brazil crossed during the episode; cannot infer total two-way closure.</x:v>
      </x:c>
      <x:c r="F628" s="4" t="str">
        <x:v>R14-AM-001-FU1 — Observed operation
BR-174 international crossing approach at Pacaraima–Santa Elena
Start: 2018-08-18.
Scoped endpoint: 2018-08-18 to 2018-08-19.
Last confirmed observation: 2018-08-18.
dated evidence; numeric duration withheld; see qualification</x:v>
      </x:c>
      <x:c r="G628" s="4" t="str">
        <x:v>Migration / Entry and asylum control
Analytical interpretation of reported context
Applies to: Recorded episode; exact overlap not separately established
This is a non-state demand to exclude migrants. The alleged robbery is a disputed trigger, not a separately established crime-control purpose.</x:v>
      </x:c>
      <x:c r="H628" s="4" t="str">
        <x:v>R14-AM-001-FU1: Obstruction occurred August 18 and was cleared by Sunday morning August 19. Preserve these event bounds, but withhold numeric duration: direction and affected movement category remain disputed and some migrants crossed during the violence. The bounds are not proof of continuous total or category-specific denial.
duration: The dated road-obstruction account and normal-by reporting narrow the episode window to August 18–19. Direction, affected category and continuity remain unresolved, so no 0–1-day duration statistic is admissible.
Current continuity finding: Existing August 18–19 bound remains. A reception-post reopening with exact hours is a different operational object and does not resolve BR174 blockade timing or direction.</x:v>
      </x:c>
      <x:c r="I628" s="4" t="str">
        <x:v>Second full-register audit, 26 October 2026: source checks completed; readability or formatting changes incorporated. No additional substantive factual correction is counted for this record.</x:v>
      </x:c>
      <x:c r="J628" s="18" t="d">
        <x:v>2026-10-26T00:00:00.000Z</x:v>
      </x:c>
      <x:c r="K628" s="21" t="str">
        <x:f>IFERROR(HYPERLINK("https://www2.camara.leg.br/atividade-legislativa/comissoes/comissoes-permanentes/cdhm/noticias/cdhm-pede-informacoes-ao-ministerio-da-defesa-sobre-a-situacao-dos-venezuelanos-em-pacaraima","Brazilian Chamber of Deputies CDHM"),"Brazilian Chamber of Deputies CDHM")</x:f>
        <x:v>Brazilian Chamber of Deputies CDHM</x:v>
      </x:c>
      <x:c r="L628" s="21" t="str">
        <x:f>IFERROR(HYPERLINK("https://www.eluniverso.com/noticias/2018/08/20/nota/6915368/disminuye-flujo-venezolanos-hacia-brasil-tras-tension-frontera/","El Universo / AFP"),"El Universo / AFP")</x:f>
        <x:v>El Universo / AFP</x:v>
      </x:c>
      <x:c r="M628" s="21" t="str">
        <x:f>IFERROR(HYPERLINK("https://noticias.uol.com.br/ultimas-noticias/agencia-estado/2018/08/19/1200-venezuelanos-deixam-o-brasil-apos-tumulto-em-roraima.htm","UOL"),"UOL")</x:f>
        <x:v>UOL</x:v>
      </x:c>
      <x:c r="N628" s="4" t="str">
        <x:v>https://www2.camara.leg.br/atividade-legislativa/comissoes/comissoes-permanentes/cdhm/noticias/cdhm-pede-informacoes-ao-ministerio-da-defesa-sobre-a-situacao-dos-venezuelanos-em-pacaraima
https://www.eluniverso.com/noticias/2018/08/20/nota/6915368/disminuye-flujo-venezolanos-hacia-brasil-tras-tension-frontera/
https://noticias.uol.com.br/ultimas-noticias/agencia-estado/2018/08/19/1200-venezuelanos-deixam-o-brasil-apos-tumulto-em-roraima.htm
https://racismoambiental.net.br/2018/08/18/venezuelanos-sao-atacados-e-tem-seus-bens-queimados-em-pacaraima-rr/
https://exame.com/brasil/1-200-venezuelanos-deixam-o-brasil-apos-tumulto-em-roraima/
https://www.terra.com.br/noticias/brasil/moradores-de-pacaraima-expulsam-imigrantes-venezuelanos%2Cb21d8438498a77f41f1f0dc96553115fxmdg8n2f.html
https://www.terra.com.br/noticias/brasil/moradores-de-pacaraima-expulsam-imigrantes-venezuelanos,b21d8438498a77f41f1f0dc96553115fxmdg8n2f.html
https://www.stabroeknews.com/2018/08/19/news/regional/brazilian-border-town-residents-drive-out-venezuelan-immigrants/
https://www.unhcr.org/news/briefing-notes/unhcr-welcomes-reopening-brazil-venezuela-border-after-brief-closure
https://ompv.eceme.eb.mil.br/areas-tematicas/movimentos-migratorios-e-seguranca-na-faixa-de-fronteira/artigos/algumas-reflexoes-sobre-a-situacao-na-fronteira-brasil-venezuela-e-os-episodios-de-seu-fechamento</x:v>
      </x:c>
      <x:c r="O628" s="4" t="str">
        <x:v>Second full-register audit source access, 26 October 2026
https://www2.camara.leg.br/atividade-legislativa/comissoes/comissoes-permanentes/cdhm/noticias/cdhm-pede-informacoes-ao-ministerio-da-defesa-sobre-a-situacao-dos-venezuelanos-em-pacaraima: full text (previously retrieved text re-examined)
https://www.eluniverso.com/noticias/2018/08/20/nota/6915368/disminuye-flujo-venezolanos-hacia-brasil-tras-tension-frontera/: full text (fresh retrieval)
https://exame.com/brasil/1-200-venezuelanos-deixam-o-brasil-apos-tumulto-em-roraima/: full text (previously retrieved text re-examined)
Earlier URLs not separately inspected in this second assessment:
https://noticias.uol.com.br/ultimas-noticias/agencia-estado/2018/08/19/1200-venezuelanos-deixam-o-brasil-apos-tumulto-em-roraima.htm
https://racismoambiental.net.br/2018/08/18/venezuelanos-sao-atacados-e-tem-seus-bens-queimados-em-pacaraima-rr/
https://www.terra.com.br/noticias/brasil/moradores-de-pacaraima-expulsam-imigrantes-venezuelanos%2Cb21d8438498a77f41f1f0dc96553115fxmdg8n2f.html
https://www.terra.com.br/noticias/brasil/moradores-de-pacaraima-expulsam-imigrantes-venezuelanos,b21d8438498a77f41f1f0dc96553115fxmdg8n2f.html
https://www.stabroeknews.com/2018/08/19/news/regional/brazilian-border-town-residents-drive-out-venezuelan-immigrants/
https://www.unhcr.org/news/briefing-notes/unhcr-welcomes-reopening-brazil-venezuela-border-after-brief-closure
https://ompv.eceme.eb.mil.br/areas-tematicas/movimentos-migratorios-e-seguranca-na-faixa-de-fronteira/artigos/algumas-reflexoes-sobre-a-situacao-na-fronteira-brasil-venezuela-e-os-episodios-de-seu-fechamento
Prior audit access record
Full-register audit source access (evidence cutoff 25 October 2026)
https://www2.camara.leg.br/atividade-legislativa/comissoes/comissoes-permanentes/cdhm/noticias/cdhm-pede-informacoes-ao-ministerio-da-defesa-sobre-a-situacao-dos-venezuelanos-em-pacaraima: full text
https://www.eluniverso.com/noticias/2018/08/20/nota/6915368/disminuye-flujo-venezolanos-hacia-brasil-tras-tension-frontera/: full text
https://exame.com/brasil/1-200-venezuelanos-deixam-o-brasil-apos-tumulto-em-roraima/: full text
Earlier source URLs not separately listed in this audit’s retrieval log (historical access notes below are not fresh verification):
https://noticias.uol.com.br/ultimas-noticias/agencia-estado/2018/08/19/1200-venezuelanos-deixam-o-brasil-apos-tumulto-em-roraima.htm
https://racismoambiental.net.br/2018/08/18/venezuelanos-sao-atacados-e-tem-seus-bens-queimados-em-pacaraima-rr/
https://www.terra.com.br/noticias/brasil/moradores-de-pacaraima-expulsam-imigrantes-venezuelanos%2Cb21d8438498a77f41f1f0dc96553115fxmdg8n2f.html
https://www.terra.com.br/noticias/brasil/moradores-de-pacaraima-expulsam-imigrantes-venezuelanos,b21d8438498a77f41f1f0dc96553115fxmdg8n2f.html
https://www.stabroeknews.com/2018/08/19/news/regional/brazilian-border-town-residents-drive-out-venezuelan-immigrants/
https://www.unhcr.org/news/briefing-notes/unhcr-welcomes-reopening-brazil-venezuela-border-after-brief-closure
https://ompv.eceme.eb.mil.br/areas-tematicas/movimentos-migratorios-e-seguranca-na-faixa-de-fronteira/artigos/algumas-reflexoes-sobre-a-situacao-na-fronteira-brasil-venezuela-e-os-episodios-de-seu-fechamento
Earlier recorded access
Source 1: full; full text
Source 2: full text
Source 3: indexed excerpt</x:v>
      </x:c>
      <x:c r="P628" s="20" t="n">
        <x:v>1</x:v>
      </x:c>
      <x:c r="Q628" s="4" t="str">
        <x:v>Americas</x:v>
      </x:c>
      <x:c r="R628" s="4" t="str">
        <x:v>Included</x:v>
      </x:c>
    </x:row>
    <x:row r="629" ht="366" hidden="0" customHeight="1">
      <x:c r="A629" s="16" t="str">
        <x:v>R14-AM-002</x:v>
      </x:c>
      <x:c r="B629" s="4" t="str">
        <x:v>Amatal deliberate vehicle-access blockade on San Cristóbal frontier route, November 2019</x:v>
      </x:c>
      <x:c r="C629" s="4" t="str">
        <x:v>Guatemala; El Salvador</x:v>
      </x:c>
      <x:c r="D629" s="4" t="str">
        <x:v>Amatal bridge, km165.5, route to San Cristóbal crossing
Specified vehicular approach to San Cristóbal frontier; cross-border vehicles prevented from reaching customs. Not an assertion that every access route or border admission category closed.</x:v>
      </x:c>
      <x:c r="E629" s="4" t="str">
        <x:v>Cargo and other vehicles on named approach; perishable goods and Salvadoran traders affected.
Direction: Vehicles using Guatemalan approach to/from San Cristóbal; complete direction-specific admission scope unresolved.
Exceptions: Pedestrians permitted; alternate routes advised. Customs legal operations not shown suspended.</x:v>
      </x:c>
      <x:c r="F629" s="4" t="str">
        <x:v>R14-AM-002-D1 — Observed operation
Vehicle access on the deliberately obstructed Amatal approach to San Cristobal customs
Start: 2019-11-04.
Observed scoped reopening: 2019-11-08, reported at 10:40 local time by police.
4 calendar-day difference; scoped endpoint only</x:v>
      </x:c>
      <x:c r="G629" s="4" t="str">
        <x:v>Policy and socioeconomic demands / Jobs, services and livelihoods
Reported reason
Applies to: Amatal vehicle-access blockade, November 4–8, 2019
Residents demanded reconstruction of the poor road; this supports the public-services/livelihood demand code. It is the protesters' stated demand, not a government closure rationale.</x:v>
      </x:c>
      <x:c r="H629" s="4" t="str">
        <x:v>R14-AM-002-D1: Road-access interval, not closure of customs legal operations or all frontier routes. Pedestrians and alternatives remained. Rendered publication hours and distance descriptions differ; neither changes the explicit calendar dates, and no exact clock duration is claimed. Later AmCham concern may be stale, not a demonstrated renewed blockage. The reopening article explicitly attributes 10:40 local clearance to police; its displayed publication time is earlier and therefore is not treated as the event time. The onset clock remains unknown.</x:v>
      </x:c>
      <x:c r="I629" s="4" t="str">
        <x:v>Second full-register audit, 26 October 2026: additional source-audited corrections incorporated. See the phase, scope and qualification columns for the accepted findings.</x:v>
      </x:c>
      <x:c r="J629" s="18" t="d">
        <x:v>2026-10-26T00:00:00.000Z</x:v>
      </x:c>
      <x:c r="K629" s="21" t="str">
        <x:f>IFERROR(HYPERLINK("https://diario.elmundo.sv/Nacionales/bloqueo-en-carretera-a-frontera-san-cristobal-llega-a-su-cuarto-dia","Diario El Mundo"),"Diario El Mundo")</x:f>
        <x:v>Diario El Mundo</x:v>
      </x:c>
      <x:c r="L629" s="21" t="str">
        <x:f>IFERROR(HYPERLINK("https://www.prensalibre.com/ciudades/jutiapa/por-cuarto-dia-consecutivo-pobladores-bloquean-el-paso-hacia-la-frontera-con-el-salvador/","Prensa Libre"),"Prensa Libre")</x:f>
        <x:v>Prensa Libre</x:v>
      </x:c>
      <x:c r="M629" s="21" t="str">
        <x:f>IFERROR(HYPERLINK("https://diario.elmundo.sv/Nacionales/habilitan-paso-vehicular-en-carretera-a-frontera-san-cristobal","Diario El Mundo"),"Diario El Mundo")</x:f>
        <x:v>Diario El Mundo</x:v>
      </x:c>
      <x:c r="N629" s="4" t="str">
        <x:v>https://diario.elmundo.sv/Nacionales/bloqueo-en-carretera-a-frontera-san-cristobal-llega-a-su-cuarto-dia
https://www.prensalibre.com/ciudades/jutiapa/por-cuarto-dia-consecutivo-pobladores-bloquean-el-paso-hacia-la-frontera-con-el-salvador/
https://diario.elmundo.sv/Nacionales/habilitan-paso-vehicular-en-carretera-a-frontera-san-cristobal
https://emisorasunidas.com/2019/11/08/amcham-bloqueo-frontera-guatemala-el-salvador/</x:v>
      </x:c>
      <x:c r="O629" s="4" t="str">
        <x:v>Second full-register audit source access, 26 October 2026
https://diario.elmundo.sv/Nacionales/bloqueo-en-carretera-a-frontera-san-cristobal-llega-a-su-cuarto-dia: full text (previously retrieved text re-examined)
https://diario.elmundo.sv/Nacionales/habilitan-paso-vehicular-en-carretera-a-frontera-san-cristobal: full text (fresh retrieval)
Earlier URLs not separately inspected in this second assessment:
https://www.prensalibre.com/ciudades/jutiapa/por-cuarto-dia-consecutivo-pobladores-bloquean-el-paso-hacia-la-frontera-con-el-salvador/
https://emisorasunidas.com/2019/11/08/amcham-bloqueo-frontera-guatemala-el-salvador/
Prior audit access record
Full-register audit source access (evidence cutoff 25 October 2026)
https://diario.elmundo.sv/Nacionales/bloqueo-en-carretera-a-frontera-san-cristobal-llega-a-su-cuarto-dia: full text
https://diario.elmundo.sv/Nacionales/habilitan-paso-vehicular-en-carretera-a-frontera-san-cristobal: full text
Earlier source URLs not separately listed in this audit’s retrieval log (historical access notes below are not fresh verification):
https://www.prensalibre.com/ciudades/jutiapa/por-cuarto-dia-consecutivo-pobladores-bloquean-el-paso-hacia-la-frontera-con-el-salvador/
https://emisorasunidas.com/2019/11/08/amcham-bloqueo-frontera-guatemala-el-salvador/
Earlier recorded access
Source 1: full text
Source 2: full text
Source 3: full text</x:v>
      </x:c>
      <x:c r="P629" s="20" t="n">
        <x:v>1</x:v>
      </x:c>
      <x:c r="Q629" s="4" t="str">
        <x:v>Americas</x:v>
      </x:c>
      <x:c r="R629" s="4" t="str">
        <x:v>Included</x:v>
      </x:c>
    </x:row>
    <x:row r="630" ht="354" hidden="0" customHeight="1">
      <x:c r="A630" s="16" t="str">
        <x:v>R14-BL-001</x:v>
      </x:c>
      <x:c r="B630" s="4" t="str">
        <x:v>Rodolfo Robles selective physical gate blockade during migrant caravan, October 2018</x:v>
      </x:c>
      <x:c r="C630" s="4" t="str">
        <x:v>Guatemala; Mexico</x:v>
      </x:c>
      <x:c r="D630" s="4" t="str">
        <x:v>Rodolfo Robles bridge; Tecún Umán–Ciudad Hidalgo
Rodolfo Robles bridge entry into Mexico for caravan participants; no bilateral frontier-wide prohibition.</x:v>
      </x:c>
      <x:c r="E630" s="4" t="str">
        <x:v>Caravan participants seeking entry without migration documents; selected applicants admitted. Later vehicle restriction separately described but its onset/end unknown.
Direction: Guatemala into Mexico
Exceptions: Morning asylum applicants admitted; children and adults admitted in groups after afternoon closure. River crossings occurred. No all-person prohibition asserted.</x:v>
      </x:c>
      <x:c r="F630" s="4" t="str">
        <x:v>R14-BL-001-D1 — Observed operation
Initial afternoon physical gate stoppage at Rodolfo Robles for caravan participants, to resumed selected-group admission
Start: 2018-10-19, approximately 13:30 local time.
Observed scoped reopening: 2018-10-19.
Same-day episode; no whole-day duration inferred</x:v>
      </x:c>
      <x:c r="G630" s="4" t="str">
        <x:v>Migration / Entry and asylum control
Reported reason
Applies to: Initial October 19 gate stoppage and controlled admission
Mexican officials sought entry through individual migration or asylum procedures; contemporary reporting distinguishes this control from the morning admissions and subsequent selected groups.</x:v>
      </x:c>
      <x:c r="H630" s="4" t="str">
        <x:v>R14-BL-001-D1: Only the initial sub-day stoppage to partial admissions, not final unrestricted opening or a twenty-day all-person closure. Morning asylum admissions/official denial precede the confrontation; river crossings and later pedestrian/vehicle phases remain separate. Exact uninterrupted hours are unknown.</x:v>
      </x:c>
      <x:c r="I630" s="4" t="str">
        <x:v>Second full-register audit, 26 October 2026: additional source-audited corrections incorporated. See the phase, scope and qualification columns for the accepted findings.</x:v>
      </x:c>
      <x:c r="J630" s="18" t="d">
        <x:v>2026-10-26T00:00:00.000Z</x:v>
      </x:c>
      <x:c r="K630" s="21" t="str">
        <x:f>IFERROR(HYPERLINK("https://www.jornada.com.mx/2018/10/20/politica/002n1pol","La Jornada"),"La Jornada")</x:f>
        <x:v>La Jornada</x:v>
      </x:c>
      <x:c r="L630" s="21" t="str">
        <x:f>IFERROR(HYPERLINK("https://www.globalmedia.mx/articles/Ingresan-los-primeros-100-hondure-os-a-M%C3%A9xico","GlobalMedia"),"GlobalMedia")</x:f>
        <x:v>GlobalMedia</x:v>
      </x:c>
      <x:c r="M630" s="21" t="str">
        <x:f>IFERROR(HYPERLINK("https://www.cuartopoder.mx/chiapas/reabren-paso-en-puente-internacional/264681","Cuarto Poder"),"Cuarto Poder")</x:f>
        <x:v>Cuarto Poder</x:v>
      </x:c>
      <x:c r="N630" s="4" t="str">
        <x:v>https://www.jornada.com.mx/2018/10/20/politica/002n1pol
https://www.globalmedia.mx/articles/Ingresan-los-primeros-100-hondure-os-a-M%C3%A9xico
https://www.cuartopoder.mx/chiapas/reabren-paso-en-puente-internacional/264681
https://www.publinews.gt/gt/noticias/2018/10/19/dramaticas-imagenes-la-llegada-emigrantes-hondurenos-mexico.html</x:v>
      </x:c>
      <x:c r="O630" s="4" t="str">
        <x:v>Second full-register audit source access, 26 October 2026
https://www.jornada.com.mx/2018/10/20/politica/002n1pol: full text (fresh retrieval)
https://www.globalmedia.mx/articles/Ingresan-los-primeros-100-hondure-os-a-M%C3%A9xico: full text (fresh retrieval)
https://www.cuartopoder.mx/chiapas/reabren-paso-en-puente-internacional/264681: full text (fresh retrieval)
Earlier URLs not separately inspected in this second assessment:
https://www.publinews.gt/gt/noticias/2018/10/19/dramaticas-imagenes-la-llegada-emigrantes-hondurenos-mexico.html
Prior audit access record
Full-register audit source access (evidence cutoff 25 October 2026)
https://www.jornada.com.mx/2018/10/20/politica/002n1pol: full text
https://www.globalmedia.mx/articles/Ingresan-los-primeros-100-hondure-os-a-M%C3%A9xico: full text
https://www.cuartopoder.mx/chiapas/reabren-paso-en-puente-internacional/264681: full text
Earlier source URLs not separately listed in this audit’s retrieval log (historical access notes below are not fresh verification):
https://www.publinews.gt/gt/noticias/2018/10/19/dramaticas-imagenes-la-llegada-emigrantes-hondurenos-mexico.html
Earlier recorded access
Source 1: relevant returned article body opened and inspected
Source 2: relevant returned article body opened and inspected
Source 3: relevant returned article body opened and inspected</x:v>
      </x:c>
      <x:c r="P630" s="20" t="n">
        <x:v>1</x:v>
      </x:c>
      <x:c r="Q630" s="4" t="str">
        <x:v>Americas</x:v>
      </x:c>
      <x:c r="R630" s="4" t="str">
        <x:v>Included</x:v>
      </x:c>
    </x:row>
    <x:row r="631" ht="409" hidden="0" customHeight="1">
      <x:c r="A631" s="16" t="str">
        <x:v>R15-AN-001</x:v>
      </x:c>
      <x:c r="B631" s="4" t="str">
        <x:v>Togolese-authority temporary Ghana frontier closure near Mango during 2017 unrest</x:v>
      </x:c>
      <x:c r="C631" s="4" t="str">
        <x:v>Togo; Ghana</x:v>
      </x:c>
      <x:c r="D631" s="4" t="str">
        <x:v>Mango vicinity opposite Chereponi; individual official post not named
Northern Ghana–Togo frontier near Mango; not a national or Aflao-wide closure</x:v>
      </x:c>
      <x:c r="E631" s="4" t="str">
        <x:v>Reported frontier users in Mango vicinity; goods, nationality and vehicle categories unspecified
Direction: Not separately established for the closure; refugee flight was Togo into Ghana
Exceptions: Not established; refugees and women used unofficial paths, so not a universal physical seal</x:v>
      </x:c>
      <x:c r="F631" s="4" t="str">
        <x:v>R15-AN-001-NP1 — Observed operation
Northern Togo–Ghana frontier near Mango/Chereponi
Start: unknown.
Observed scoped reopening: 2017-11-12.
dated evidence; numeric duration withheld; see qualification</x:v>
      </x:c>
      <x:c r="G631" s="4" t="str">
        <x:v>Uncoded / Unresolved rationale
Not assigned
Applies to: Not assigned
No additional motive inferred</x:v>
      </x:c>
      <x:c r="H631" s="4" t="str">
        <x:v>R15-AN-001-NP1: November 12, 2017 is a relative-date normalization of the reported Sunday reopening. The Togo Actualite reprint and Le Monde archive independently establish the same November 17 publication date and matching author/title; the original Le Monde article body was not separately retrieved. The record concerns the northern frontier near Mango/Chereponi, not Aflao or the entire national border.
Original closure onset, named gate, affected categories and official closure motive remain unresolved. Unrest and refugee flight supply context only. Informal crossings reported by TV5Monde do not establish official gate access or a complete physical seal. No earlier continuous interval or numeric duration is calculated.</x:v>
      </x:c>
      <x:c r="I631" s="4" t="str">
        <x:v>Second full-register audit, 26 October 2026: qualified. Fresh source comparison supports the northern Mango-area reopening normalized to November 12, 2017. No defensible onset or official closure motive was found.</x:v>
      </x:c>
      <x:c r="J631" s="18" t="d">
        <x:v>2026-10-26T00:00:00.000Z</x:v>
      </x:c>
      <x:c r="K631" s="21" t="str">
        <x:f>IFERROR(HYPERLINK("https://togoactualite.com/togolais-fuient-ghana-repression-regime-de-faure-gnassingbe/","Togo Actualité"),"Togo Actualité")</x:f>
        <x:v>Togo Actualité</x:v>
      </x:c>
      <x:c r="L631" s="21" t="str">
        <x:f>IFERROR(HYPERLINK("https://www.lemonde.fr/archives-du-monde/17-11-2017/2/","Le Monde"),"Le Monde")</x:f>
        <x:v>Le Monde</x:v>
      </x:c>
      <x:c r="M631" s="21" t="str">
        <x:f>IFERROR(HYPERLINK("https://www.republiquetogolaise.tg/politique/0108-890-libre-circulation-des-biens-et-des-personnes-le-ghana-et-le-togo-montrent-la-voie-dans-l-espace-cedeao","Togo official portal"),"Togo official portal")</x:f>
        <x:v>Togo official portal</x:v>
      </x:c>
      <x:c r="N631" s="4" t="str">
        <x:v>https://togoactualite.com/togolais-fuient-ghana-repression-regime-de-faure-gnassingbe/
https://www.lemonde.fr/archives-du-monde/17-11-2017/2/
https://www.republiquetogolaise.tg/politique/0108-890-libre-circulation-des-biens-et-des-personnes-le-ghana-et-le-togo-montrent-la-voie-dans-l-espace-cedeao
https://information.tv5monde.com/afrique/reportage-au-ghana-chereponi-le-village-des-exiles-de-la-crise-togolaise-27727
https://archive.presidence.gouv.tg/2017/08/08/togo-ghana-lintegration-en-marche/
https://www.modernghana.com/news/797827/ghanaians-cautioned-against-travelling-to-togo-on-friday.html
https://www.unhcr.org/au/news/briefing-notes/over-500-togolese-seek-refuge-ghana-unhcr
https://www.unhcr.org/fr/actualites/briefing-notes/plus-de-500-togolais-trouvent-refuge-au-ghana-hcr</x:v>
      </x:c>
      <x:c r="O631" s="4" t="str">
        <x:v>Second full-register audit source access, 26 October 2026
https://togoactualite.com/togolais-fuient-ghana-repression-regime-de-faure-gnassingbe/: full text (fresh retrieval)
https://www.lemonde.fr/archives-du-monde/17-11-2017/2/: full text (fresh retrieval) — Archive metadata, not original article body.
https://information.tv5monde.com/afrique/reportage-au-ghana-chereponi-le-village-des-exiles-de-la-crise-togolaise-27727: full text (fresh retrieval)
https://www.unhcr.org/fr/actualites/briefing-notes/plus-de-500-togolais-trouvent-refuge-au-ghana-hcr: inaccessible (fresh retrieval) — Fresh French page returned HTTP 429; indexed lead concerns refugees, not dated gate closure.
Earlier URLs not separately inspected in this second assessment:
https://www.republiquetogolaise.tg/politique/0108-890-libre-circulation-des-biens-et-des-personnes-le-ghana-et-le-togo-montrent-la-voie-dans-l-espace-cedeao
https://archive.presidence.gouv.tg/2017/08/08/togo-ghana-lintegration-en-marche/
https://www.modernghana.com/news/797827/ghanaians-cautioned-against-travelling-to-togo-on-friday.html
https://www.unhcr.org/au/news/briefing-notes/over-500-togolese-seek-refuge-ghana-unhcr
Prior audit access record
Full-register audit source access (evidence cutoff 25 October 2026)
https://togoactualite.com/togolais-fuient-ghana-repression-regime-de-faure-gnassingbe/: full text
https://www.lemonde.fr/archives-du-monde/17-11-2017/2/: full text
https://www.republiquetogolaise.tg/politique/0108-890-libre-circulation-des-biens-et-des-personnes-le-ghana-et-le-togo-montrent-la-voie-dans-l-espace-cedeao: full text
https://information.tv5monde.com/afrique/reportage-au-ghana-chereponi-le-village-des-exiles-de-la-crise-togolaise-27727: full text
https://archive.presidence.gouv.tg/2017/08/08/togo-ghana-lintegration-en-marche/: full text
https://www.modernghana.com/news/797827/ghanaians-cautioned-against-travelling-to-togo-on-friday.html: full text
https://www.unhcr.org/au/news/briefing-notes/over-500-togolese-seek-refuge-ghana-unhcr: inaccessible
Earlier recorded access
Source 1: full
Source 2: full
Source 3: indexed excerpt</x:v>
      </x:c>
      <x:c r="P631" s="20" t="n">
        <x:v>1</x:v>
      </x:c>
      <x:c r="Q631" s="4" t="str">
        <x:v>West Africa</x:v>
      </x:c>
      <x:c r="R631" s="4" t="str">
        <x:v>Included</x:v>
      </x:c>
    </x:row>
    <x:row r="632" ht="330" hidden="0" customHeight="1">
      <x:c r="A632" s="16" t="str">
        <x:v>R15-AS-001</x:v>
      </x:c>
      <x:c r="B632" s="4" t="str">
        <x:v>Beitbridge inbound commercial cargo blockade during duty protest, June–July 2018</x:v>
      </x:c>
      <x:c r="C632" s="4" t="str">
        <x:v>Zimbabwe; South Africa</x:v>
      </x:c>
      <x:c r="D632" s="4" t="str">
        <x:v>Beitbridge
Inbound commercial cargo entering the Beitbridge border area from South Africa toward Zimbabwe</x:v>
      </x:c>
      <x:c r="E632" s="4" t="str">
        <x:v>Commercial cargo vehicles entering from South Africa; report does not establish total prohibition of all persons or vehicles.
Direction: South Africa to Zimbabwe</x:v>
      </x:c>
      <x:c r="F632" s="4" t="str">
        <x:v>R15-AS-001-NP1 — Observed operation
Beitbridge inbound commercial cargo protest obstruction
Start: 2018-06-30.
Last confirmed: 2018-06-30. Reopening is not established.
dated evidence; numeric duration withheld; see qualification</x:v>
      </x:c>
      <x:c r="G632" s="4" t="str">
        <x:v>Trade and protectionism / Trade and transport protests
Reported reason
Applies to: Recorded episode; exact overlap not separately established
The recorded rationale and claim assessment support the selected subcategories. All applicable broad categories are retained together; no primary rationale is imposed.</x:v>
      </x:c>
      <x:c r="H632" s="4" t="str">
        <x:v>R15-AS-001-NP1: The report describes mixed chaos from 09:00 on Saturday to 03:00 on Sunday. Those times and midnight vehicle clearance do not isolate removal of the deliberate cargo obstruction. Retain dated occurrence on 30 June; reopening and continuous duration remain unknown.
end/continuity: June 30–July 1 evidence envelope added; exact blockade ending remains unresolved.
duration: June 30–July 1 evidence envelope added; exact blockade ending remains unresolved.</x:v>
      </x:c>
      <x:c r="I632" s="4" t="str">
        <x:v>Second full-register audit, 26 October 2026: qualified. The Beitbridge account supports deliberate obstruction of inbound commercial vehicles on June 30, 2018, but its broader congestion clock does not establish an exact blockade duration.</x:v>
      </x:c>
      <x:c r="J632" s="18" t="d">
        <x:v>2026-10-26T00:00:00.000Z</x:v>
      </x:c>
      <x:c r="K632" s="21" t="str">
        <x:f>IFERROR(HYPERLINK("https://www.heraldonline.co.zw/just-in-chaos-at-beitbridge-as-zimra-enforces-duty-compliance/","The Herald"),"The Herald")</x:f>
        <x:v>The Herald</x:v>
      </x:c>
      <x:c r="L632" s="21" t="str">
        <x:f>IFERROR(HYPERLINK("https://www.newsdzezimbabwe.co.uk/2018/07/chaos-reigns-in-beitbridge.html","NewsdzeZimbabwe"),"NewsdzeZimbabwe")</x:f>
        <x:v>NewsdzeZimbabwe</x:v>
      </x:c>
      <x:c r="M632" s="21" t="str">
        <x:f>IFERROR(HYPERLINK("https://au-pida.org/events/wp-content/uploads/2024/11/One-Stop-Border-Post-OSBP-Status-Report.pdf","AU-PIDA"),"AU-PIDA")</x:f>
        <x:v>AU-PIDA</x:v>
      </x:c>
      <x:c r="N632" s="4" t="str">
        <x:v>https://www.heraldonline.co.zw/just-in-chaos-at-beitbridge-as-zimra-enforces-duty-compliance/
https://www.newsdzezimbabwe.co.uk/2018/07/chaos-reigns-in-beitbridge.html
https://au-pida.org/events/wp-content/uploads/2024/11/One-Stop-Border-Post-OSBP-Status-Report.pdf</x:v>
      </x:c>
      <x:c r="O632" s="4" t="str">
        <x:v>Second full-register audit source access, 26 October 2026
https://www.newsdzezimbabwe.co.uk/2018/07/chaos-reigns-in-beitbridge.html: full text (fresh retrieval) — Single reporting origin; queue delay and deliberate blockade are not interchangeable.
Earlier URLs not separately inspected in this second assessment:
https://www.heraldonline.co.zw/just-in-chaos-at-beitbridge-as-zimra-enforces-duty-compliance/
https://au-pida.org/events/wp-content/uploads/2024/11/One-Stop-Border-Post-OSBP-Status-Report.pdf
Prior audit access record
Full-register audit source access (evidence cutoff 25 October 2026)
https://www.heraldonline.co.zw/just-in-chaos-at-beitbridge-as-zimra-enforces-duty-compliance/: full text — See specific claim qualifications.
https://www.newsdzezimbabwe.co.uk/2018/07/chaos-reigns-in-beitbridge.html: full text — See specific claim qualifications.
Earlier source URLs not separately listed in this audit’s retrieval log (historical access notes below are not fresh verification):
https://au-pida.org/events/wp-content/uploads/2024/11/One-Stop-Border-Post-OSBP-Status-Report.pdf
Earlier recorded access
Source 1: full; full text
Source 2: full; full text
Source 3: unavailable</x:v>
      </x:c>
      <x:c r="P632" s="20" t="n">
        <x:v>1</x:v>
      </x:c>
      <x:c r="Q632" s="4" t="str">
        <x:v>Southern Africa</x:v>
      </x:c>
      <x:c r="R632" s="4" t="str">
        <x:v>Included</x:v>
      </x:c>
    </x:row>
    <x:row r="633" ht="409" hidden="0" customHeight="1">
      <x:c r="A633" s="16" t="str">
        <x:v>R15-AM-001</x:v>
      </x:c>
      <x:c r="B633" s="4" t="str">
        <x:v>Pino Hachado and Icalma reported closure during Chilean customs strike, May 2017</x:v>
      </x:c>
      <x:c r="C633" s="4" t="str">
        <x:v>Argentina; Chile</x:v>
      </x:c>
      <x:c r="D633" s="4" t="str">
        <x:v>Pino Hachado; Icalma
Named international land crossings Pino Hachado and Icalma; not the whole Argentina–Chile frontier</x:v>
      </x:c>
      <x:c r="E633" s="4" t="str">
        <x:v>Pino Hachado motorists reported turned back; Icalma described unavailable. Full nationality, passenger/freight and directional categories not established.
Direction: Motorists on Argentine approach at Pino Hachado were reportedly told to return. Bilateral scope and Icalma direction unresolved.
Exceptions: ANFACH stated exceptional emergency shifts continued nationally. Customs reported priority cargo contingency; local exemptions at these two posts not established.</x:v>
      </x:c>
      <x:c r="F633" s="4" t="str">
        <x:v>R15-AM-001-FU1 — Observed operation
Pino Hachado customs passage; not regional roads or Samoré
Start: unknown.
Last confirmed refusal: 2017-05-24.
Later operation observed by 2017-06-08 at midday, following a separate snow-related interruption; exact first post-strike reopening is not established.
No continuous duration inferred between these observations.</x:v>
      </x:c>
      <x:c r="G633" s="4" t="str">
        <x:v>Policy and socioeconomic demands / Jobs, services and livelihoods
Reported reason
Applies to: Chilean customs strike underlying reported May 24 local interruptions
ANFACH cited unfulfilled worker career-reclassification/staffing commitments. This supports the labour and livelihood demand code; trade disruption alone does not establish a protectionist purpose.</x:v>
      </x:c>
      <x:c r="H633" s="4" t="str">
        <x:v>R15-AM-001-FU1: Motorist refusal was reported for May 24 at Pino Hachado. May 25 accounts conflict: one describes full strike participation at Pino Hachado and Icalma, while a road-authority report describes regional crossings as open. Road availability is not a matched observation of customs processing. The June 8 account explicitly says the Pino Hachado complex resumed operating at midday after snow clearance; this establishes later operation, not its first post-strike reopening or continuous closure since May 24. Icalma requires separate evidence. National emergency shifts were reported, but local priority-cargo exemptions have not been independently verified.</x:v>
      </x:c>
      <x:c r="I633" s="4" t="str">
        <x:v>Second full-register audit, 26 October 2026: additional source-audited corrections incorporated. See the phase, scope and qualification columns for the accepted findings.</x:v>
      </x:c>
      <x:c r="J633" s="18" t="d">
        <x:v>2026-10-26T00:00:00.000Z</x:v>
      </x:c>
      <x:c r="K633" s="21" t="str">
        <x:f>IFERROR(HYPERLINK("https://www.lmneuquen.com/paro-la-aduana-chile-complica-cruzar-la-cordillera-n552063","LM Neuquen"),"LM Neuquen")</x:f>
        <x:v>LM Neuquen</x:v>
      </x:c>
      <x:c r="L633" s="21" t="str">
        <x:f>IFERROR(HYPERLINK("https://www.rionegro.com.ar/pasos-internacionales-abiertos-pero-continua-el-paro-en-aduanas-de-chile-BM2860399/","Rio Negro"),"Rio Negro")</x:f>
        <x:v>Rio Negro</x:v>
      </x:c>
      <x:c r="M633" s="21" t="str">
        <x:f>IFERROR(HYPERLINK("https://www.diarioandino.com.ar/noticias/2017/05/24/207065-medida-de-fuerza-de-la-aduana-chilena-genera-demoras-de-hasta-4-horas-en-el-paso-samore","DiarioAndino"),"DiarioAndino")</x:f>
        <x:v>DiarioAndino</x:v>
      </x:c>
      <x:c r="N633" s="4" t="str">
        <x:v>https://www.lmneuquen.com/paro-la-aduana-chile-complica-cruzar-la-cordillera-n552063
https://www.rionegro.com.ar/pasos-internacionales-abiertos-pero-continua-el-paro-en-aduanas-de-chile-BM2860399/
https://www.diarioandino.com.ar/noticias/2017/05/24/207065-medida-de-fuerza-de-la-aduana-chilena-genera-demoras-de-hasta-4-horas-en-el-paso-samore
https://www.diarioandino.com.ar/noticias/2017/05/25/207078-continua-el-paro-de-actividades-en-las-aduanas-chilenas
https://www.lmneuquen.com/complicaciones-los-pasos-fronterizos-un-paro-la-aduana-chilena-n552013
https://www.rionegro.com.ar/demoras-y-pasos-cerrados-por-paro-de-aduaneros-de-chile-IM2853912/
https://www.24horas.cl/nacional/paro-de-aduanas-se-mantiene-tras-arranque-con-mas-del-90-de-adhesion-2394570
https://www.latercera.com/noticia/paro-aduana-sigue-plan-contingencia-asegurar-transito-mercancias-personas/
https://www.seatrade-maritime.com/ports-logistics/customs-strike-ends-in-chile
https://www.diarioeldia.cl/noticias/2017/06/02/41066-deponen-paro-nacional-de-aduanas-tras-10-dias-de-movilizacion
https://www.24horas.cl/nacional/funcionarios-de-aduana-anuncia-fin-al-paro-indefinido-para-negociar-con-el-gobierno-2404176
https://www.lmneuquen.com/abren-el-paso-pino-hachado-despejar-la-ruta-n553613</x:v>
      </x:c>
      <x:c r="O633" s="4" t="str">
        <x:v>Second full-register audit source access, 26 October 2026
https://www.lmneuquen.com/paro-la-aduana-chile-complica-cruzar-la-cordillera-n552063: full text (fresh retrieval)
https://www.rionegro.com.ar/pasos-internacionales-abiertos-pero-continua-el-paro-en-aduanas-de-chile-BM2860399/: full text (fresh retrieval)
https://www.diarioandino.com.ar/noticias/2017/05/25/207078-continua-el-paro-de-actividades-en-las-aduanas-chilenas: full text (fresh retrieval)
https://www.24horas.cl/nacional/paro-de-aduanas-se-mantiene-tras-arranque-con-mas-del-90-de-adhesion-2394570: full text (fresh retrieval)
https://www.lmneuquen.com/abren-el-paso-pino-hachado-despejar-la-ruta-n553613: full text (fresh retrieval)
Earlier URLs not separately inspected in this second assessment:
https://www.diarioandino.com.ar/noticias/2017/05/24/207065-medida-de-fuerza-de-la-aduana-chilena-genera-demoras-de-hasta-4-horas-en-el-paso-samore
https://www.lmneuquen.com/complicaciones-los-pasos-fronterizos-un-paro-la-aduana-chilena-n552013
https://www.rionegro.com.ar/demoras-y-pasos-cerrados-por-paro-de-aduaneros-de-chile-IM2853912/
https://www.latercera.com/noticia/paro-aduana-sigue-plan-contingencia-asegurar-transito-mercancias-personas/
https://www.seatrade-maritime.com/ports-logistics/customs-strike-ends-in-chile
https://www.diarioeldia.cl/noticias/2017/06/02/41066-deponen-paro-nacional-de-aduanas-tras-10-dias-de-movilizacion
https://www.24horas.cl/nacional/funcionarios-de-aduana-anuncia-fin-al-paro-indefinido-para-negociar-con-el-gobierno-2404176
Prior audit access record
Full-register audit source access (evidence cutoff 25 October 2026)
https://www.lmneuquen.com/paro-la-aduana-chile-complica-cruzar-la-cordillera-n552063: full text
https://www.rionegro.com.ar/pasos-internacionales-abiertos-pero-continua-el-paro-en-aduanas-de-chile-BM2860399/: full text
https://www.diarioandino.com.ar/noticias/2017/05/25/207078-continua-el-paro-de-actividades-en-las-aduanas-chilenas: full text
Earlier source URLs not separately listed in this audit’s retrieval log (historical access notes below are not fresh verification):
https://www.diarioandino.com.ar/noticias/2017/05/24/207065-medida-de-fuerza-de-la-aduana-chilena-genera-demoras-de-hasta-4-horas-en-el-paso-samore
https://www.lmneuquen.com/complicaciones-los-pasos-fronterizos-un-paro-la-aduana-chilena-n552013
https://www.rionegro.com.ar/demoras-y-pasos-cerrados-por-paro-de-aduaneros-de-chile-IM2853912/
https://www.24horas.cl/nacional/paro-de-aduanas-se-mantiene-tras-arranque-con-mas-del-90-de-adhesion-2394570
https://www.latercera.com/noticia/paro-aduana-sigue-plan-contingencia-asegurar-transito-mercancias-personas/
https://www.seatrade-maritime.com/ports-logistics/customs-strike-ends-in-chile
https://www.diarioeldia.cl/noticias/2017/06/02/41066-deponen-paro-nacional-de-aduanas-tras-10-dias-de-movilizacion
https://www.24horas.cl/nacional/funcionarios-de-aduana-anuncia-fin-al-paro-indefinido-para-negociar-con-el-gobierno-2404176
Earlier recorded access
Source 1: indexed excerpt; full; full text
Source 2: full; full text
Source 3: full</x:v>
      </x:c>
      <x:c r="P633" s="20" t="n">
        <x:v>1</x:v>
      </x:c>
      <x:c r="Q633" s="4" t="str">
        <x:v>Americas</x:v>
      </x:c>
      <x:c r="R633" s="4" t="str">
        <x:v>Included</x:v>
      </x:c>
    </x:row>
    <x:row r="634" ht="409" hidden="0" customHeight="1">
      <x:c r="A634" s="16" t="str">
        <x:v>R15-SM-001</x:v>
      </x:c>
      <x:c r="B634" s="4" t="str">
        <x:v>Petrapole–Benapole customs-pass strike and freight interruption, late January 2018</x:v>
      </x:c>
      <x:c r="C634" s="4" t="str">
        <x:v>Bangladesh; India</x:v>
      </x:c>
      <x:c r="D634" s="4" t="str">
        <x:v>Petrapole–Benapole
Freight through Petrapole–Benapole; directional onset differs. No passenger or whole-frontier prohibition established.</x:v>
      </x:c>
      <x:c r="E634" s="4" t="str">
        <x:v>Cross-border cargo trucks and trade; citizenship categories not established.
Direction: India to Bangladesh, later Bangladesh to India; not one identical two-way start
Exceptions: Port-internal loading/unloading continued; passenger status not established.</x:v>
      </x:c>
      <x:c r="F634" s="4" t="str">
        <x:v>R15-SM-001-D1 — Observed operation
India-to-Bangladesh freight at Petrapole–Benapole during the late-January customs-pass dispute
Start: 2018-01-24 to 2018-01-25.
Observed scoped reopening: 2018-01-29 to 2018-01-30.
4–6 calendar-day difference; scoped endpoint only</x:v>
      </x:c>
      <x:c r="G634" s="4" t="str">
        <x:v>Trade and protectionism / Trade and transport protests
Reported reason
Applies to: Recorded episode; exact overlap not separately established
The recorded rationale and claim assessment support the selected subcategories. All applicable broad categories are retained together; no primary rationale is imposed.</x:v>
      </x:c>
      <x:c r="H634" s="4" t="str">
        <x:v>R15-SM-001-D1: Only the earlier India-to-Bangladesh flow; reverse-direction interruption began January 29 and must not share this start. Internal handling continued, passenger restriction is not established and January 8 is separate. No exact hours or uniform two-way spell.</x:v>
      </x:c>
      <x:c r="I634" s="4" t="str">
        <x:v>Second full-register audit, 26 October 2026: qualified. Fresh English and Bengali articles support the current late-January freight bounds and differing direction-specific onset. Original reports distinguish first resumed activity on 29 January from full activity on 30 January.</x:v>
      </x:c>
      <x:c r="J634" s="18" t="d">
        <x:v>2026-10-26T00:00:00.000Z</x:v>
      </x:c>
      <x:c r="K634" s="21" t="str">
        <x:f>IFERROR(HYPERLINK("https://www.dhakatribune.com/bangladesh/nation/136789/import-export-thru-benapole-port-halted-for-4-days","Dhaka Tribune"),"Dhaka Tribune")</x:f>
        <x:v>Dhaka Tribune</x:v>
      </x:c>
      <x:c r="L634" s="21" t="str">
        <x:f>IFERROR(HYPERLINK("https://rtvonline.com/country/32631","RTV Online"),"RTV Online")</x:f>
        <x:v>RTV Online</x:v>
      </x:c>
      <x:c r="M634" s="21" t="str">
        <x:f>IFERROR(HYPERLINK("https://today.thefinancialexpress.com.bd/first-page/six-day-halt-at-benapole-port-causes-tk-600m-revenue-loss-1517421362?date=01-02-2018","The Financial Express"),"The Financial Express")</x:f>
        <x:v>The Financial Express</x:v>
      </x:c>
      <x:c r="N634" s="4" t="str">
        <x:v>https://www.dhakatribune.com/bangladesh/nation/136789/import-export-thru-benapole-port-halted-for-4-days
https://www.ittefaq.com.bd/456068/%E0%A6%AC%E0%A7%87%E0%A6%A8%E0%A6%BE%E0%A6%AA%E0%A7%8B%E0%A6%B2%E0%A7%87-%E0%A7%AB-%E0%A6%A6%E0%A6%BF%E0%A6%A8-%E0%A6%A7%E0%A6%B0%E0%A7%87-%E0%A6%86%E0%A6%AE%E0%A6%A6%E0%A6%BE%E0%A6%A8%E0%A6%BF-%E0%A6%B0%E0%A6%AB%E0%A6%A4%E0%A6%BE%E0%A6%A8%E0%A6%BF-%E0%A6%AC%E0%A6%A8%E0%A7%8D%E0%A6%A7-%E0%A6%85%E0%A6%A8%E0%A7%9C
https://rtvonline.com/country/32631
https://today.thefinancialexpress.com.bd/first-page/six-day-halt-at-benapole-port-causes-tk-600m-revenue-loss-1517421362?date=01-02-2018
https://www.thedailystar.net/backpage/deadlock-ends-benapole-1527526
https://m.dailyinqilab.com/article/115083/%E0%A7%AC-%E0%A6%A6%E0%A6%BF%E0%A6%A8-%E0%A6%AA%E0%A6%B0-%E0%A6%B8%E0%A6%9A%E0%A6%B2-%E0%A6%AC%E0%A7%87%E0%A6%A8%E0%A6%BE%E0%A6%AA%E0%A7%8B%E0%A6%B2-%E0%A6%AA%E0%A7%87%E0%A6%9F%E0%A7%8D%E0%A6%B0%E0%A6%BE%E0%A6%AA%E0%A7%8B%E0%A6%B2-%E0%A6%AC%E0%A6%A8%E0%A7%8D%E0%A6%A6%E0%A6%B0
https://www.ittefaq.com.bd/456068/বেনাপোলে-৫-দিন-ধরে-আমদানি-রফতানি-বন্ধ-অনড়</x:v>
      </x:c>
      <x:c r="O634" s="4" t="str">
        <x:v>Second full-register audit source access, 26 October 2026
https://www.dhakatribune.com/bangladesh/nation/136789/import-export-thru-benapole-port-halted-for-4-days: full text (fresh retrieval)
https://www.ittefaq.com.bd/456068/বেনাপোলে-৫-দিন-ধরে-আমদানি-রফতানি-বন্ধ-অনড়: full text (fresh retrieval)
https://rtvonline.com/country/32631: full text (fresh retrieval) — Publication date absent from extracted page; event weekdays anchored by explicit January 25 and contemporary articles.
https://www.thedailystar.net/backpage/deadlock-ends-benapole-1527526: full text (fresh retrieval) — First activity clock differs from RTV; publication/update dates differ.
Earlier URLs not separately inspected in this second assessment:
https://www.ittefaq.com.bd/456068/%E0%A6%AC%E0%A7%87%E0%A6%A8%E0%A6%BE%E0%A6%AA%E0%A7%8B%E0%A6%B2%E0%A7%87-%E0%A7%AB-%E0%A6%A6%E0%A6%BF%E0%A6%A8-%E0%A6%A7%E0%A6%B0%E0%A7%87-%E0%A6%86%E0%A6%AE%E0%A6%A6%E0%A6%BE%E0%A6%A8%E0%A6%BF-%E0%A6%B0%E0%A6%AB%E0%A6%A4%E0%A6%BE%E0%A6%A8%E0%A6%BF-%E0%A6%AC%E0%A6%A8%E0%A7%8D%E0%A6%A7-%E0%A6%85%E0%A6%A8%E0%A7%9C
https://today.thefinancialexpress.com.bd/first-page/six-day-halt-at-benapole-port-causes-tk-600m-revenue-loss-1517421362?date=01-02-2018
https://m.dailyinqilab.com/article/115083/%E0%A7%AC-%E0%A6%A6%E0%A6%BF%E0%A6%A8-%E0%A6%AA%E0%A6%B0-%E0%A6%B8%E0%A6%9A%E0%A6%B2-%E0%A6%AC%E0%A7%87%E0%A6%A8%E0%A6%BE%E0%A6%AA%E0%A7%8B%E0%A6%B2-%E0%A6%AA%E0%A7%87%E0%A6%9F%E0%A7%8D%E0%A6%B0%E0%A6%BE%E0%A6%AA%E0%A7%8B%E0%A6%B2-%E0%A6%AC%E0%A6%A8%E0%A7%8D%E0%A6%A6%E0%A6%B0
Prior audit access record
Full-register audit source access (evidence cutoff 25 October 2026)
https://www.dhakatribune.com/bangladesh/nation/136789/import-export-thru-benapole-port-halted-for-4-days: full text
https://www.ittefaq.com.bd/456068/বেনাপোলে-৫-দিন-ধরে-আমদানি-রফতানি-বন্ধ-অনড়: full text
https://rtvonline.com/country/32631: full text
https://today.thefinancialexpress.com.bd/first-page/six-day-halt-at-benapole-port-causes-tk-600m-revenue-loss-1517421362?date=01-02-2018: search extract — Retrospective customs report
https://www.thedailystar.net/backpage/deadlock-ends-benapole-1527526: full text
Earlier source URLs not separately listed in this audit’s retrieval log (historical access notes below are not fresh verification):
https://www.ittefaq.com.bd/456068/%E0%A6%AC%E0%A7%87%E0%A6%A8%E0%A6%BE%E0%A6%AA%E0%A7%8B%E0%A6%B2%E0%A7%87-%E0%A7%AB-%E0%A6%A6%E0%A6%BF%E0%A6%A8-%E0%A6%A7%E0%A6%B0%E0%A7%87-%E0%A6%86%E0%A6%AE%E0%A6%A6%E0%A6%BE%E0%A6%A8%E0%A6%BF-%E0%A6%B0%E0%A6%AB%E0%A6%A4%E0%A6%BE%E0%A6%A8%E0%A6%BF-%E0%A6%AC%E0%A6%A8%E0%A7%8D%E0%A6%A7-%E0%A6%85%E0%A6%A8%E0%A7%9C
https://m.dailyinqilab.com/article/115083/%E0%A7%AC-%E0%A6%A6%E0%A6%BF%E0%A6%A8-%E0%A6%AA%E0%A6%B0-%E0%A6%B8%E0%A6%9A%E0%A6%B2-%E0%A6%AC%E0%A7%87%E0%A6%A8%E0%A6%BE%E0%A6%AA%E0%A7%8B%E0%A6%B2-%E0%A6%AA%E0%A7%87%E0%A6%9F%E0%A7%8D%E0%A6%B0%E0%A6%BE%E0%A6%AA%E0%A7%8B%E0%A6%B2-%E0%A6%AC%E0%A6%A8%E0%A7%8D%E0%A6%A6%E0%A6%B0
Earlier recorded access
Source 1: full text
Source 2: full; full text
Source 3: full; full text</x:v>
      </x:c>
      <x:c r="P634" s="20" t="n">
        <x:v>1</x:v>
      </x:c>
      <x:c r="Q634" s="4" t="str">
        <x:v>South Asia, Central Asia and Caucasus</x:v>
      </x:c>
      <x:c r="R634" s="4" t="str">
        <x:v>Included</x:v>
      </x:c>
    </x:row>
    <x:row r="635" ht="210" hidden="0" customHeight="1">
      <x:c r="A635" s="16" t="str">
        <x:v>R15-SM-002</x:v>
      </x:c>
      <x:c r="B635" s="4" t="str">
        <x:v>Petrapole–Benapole freight strike over truck and handling demands, June 2018</x:v>
      </x:c>
      <x:c r="C635" s="4" t="str">
        <x:v>Bangladesh; India</x:v>
      </x:c>
      <x:c r="D635" s="4" t="str">
        <x:v>Petrapole–Benapole
Freight trade through Petrapole–Benapole; no passenger suspension established.</x:v>
      </x:c>
      <x:c r="E635" s="4" t="str">
        <x:v>Commercial cargo traffic through the named land port.
Direction: Cross-border freight between India and Bangladesh; report does not disaggregate each direction
Exceptions: Passenger and category-specific exemptions not established.</x:v>
      </x:c>
      <x:c r="F635" s="4" t="str">
        <x:v>R15-SM-002-D1 — Observed operation
Petrapole–Benapole trade interruption until actual trade resumed the following morning.
Start: 2018-06-26.
Observed scoped reopening: 2018-06-27.
1 calendar-day difference; scoped endpoint only</x:v>
      </x:c>
      <x:c r="G635" s="4" t="str">
        <x:v>Trade and protectionism / Trade and transport protests
Reported reason
Applies to: Recorded episode; exact overlap not separately established
The recorded rationale and claim assessment support the selected subcategories. All applicable broad categories are retained together; no primary rationale is imposed.</x:v>
      </x:c>
      <x:c r="H635" s="4" t="str">
        <x:v>R15-SM-002-D1: One calendar-date difference, not exactly 24 elapsed hours. Dhaka Tribune reports actual resumption on Wednesday morning; the fresh Sangbad Pratidin report says Wednesday midday. Both agree on June 27, later than withdrawal of the strike on June 26 evening.</x:v>
      </x:c>
      <x:c r="I635" s="4" t="str">
        <x:v>Second full-register audit, 26 October 2026: qualified. Both originals support the 26–27 June 2018 freight interruption; they disagree on morning versus midday trade resumption, while both place it after the evening strike withdrawal.</x:v>
      </x:c>
      <x:c r="J635" s="18" t="d">
        <x:v>2026-10-26T00:00:00.000Z</x:v>
      </x:c>
      <x:c r="K635" s="21" t="str">
        <x:f>IFERROR(HYPERLINK("https://www.dhakatribune.com/business/commerce/149023/petrapole-committee-withdraws-strike","dhakatribune.com"),"dhakatribune.com")</x:f>
        <x:v>dhakatribune.com</x:v>
      </x:c>
      <x:c r="L635" s="21" t="str">
        <x:f>IFERROR(HYPERLINK("https://www.sangbadpratidin.in/bengal/after-the-24-hour-strike-petrapole-benapole-border-reopen/pid/150091/","sangbadpratidin.in"),"sangbadpratidin.in")</x:f>
        <x:v>sangbadpratidin.in</x:v>
      </x:c>
      <x:c r="M635" s="21"/>
      <x:c r="N635" s="4" t="str">
        <x:v>https://www.dhakatribune.com/business/commerce/149023/petrapole-committee-withdraws-strike
https://www.sangbadpratidin.in/bengal/after-the-24-hour-strike-petrapole-benapole-border-reopen/pid/150091/</x:v>
      </x:c>
      <x:c r="O635" s="4" t="str">
        <x:v>Second full-register audit source access, 26 October 2026
https://www.dhakatribune.com/business/commerce/149023/petrapole-committee-withdraws-strike: full text (fresh retrieval)
https://www.sangbadpratidin.in/bengal/after-the-24-hour-strike-petrapole-benapole-border-reopen/pid/150091/: full text (fresh retrieval) — Midday conflicts with Dhaka Tribune morning account.
Prior audit access record
Full-register audit source access (evidence cutoff 25 October 2026)
https://www.dhakatribune.com/business/commerce/149023/petrapole-committee-withdraws-strike: full text
https://www.sangbadpratidin.in/bengal/after-the-24-hour-strike-petrapole-benapole-border-reopen/pid/150091/: full text — Clock differs from Dhaka Tribune
Earlier recorded access
Source 1: full
Source 2: full</x:v>
      </x:c>
      <x:c r="P635" s="20" t="n">
        <x:v>1</x:v>
      </x:c>
      <x:c r="Q635" s="4" t="str">
        <x:v>South Asia, Central Asia and Caucasus</x:v>
      </x:c>
      <x:c r="R635" s="4" t="str">
        <x:v>Included</x:v>
      </x:c>
    </x:row>
    <x:row r="636" ht="409" hidden="0" customHeight="1">
      <x:c r="A636" s="16" t="str">
        <x:v>R15-SM-003</x:v>
      </x:c>
      <x:c r="B636" s="4" t="str">
        <x:v>Hili zero-line truck blockades with an intervening opening, July 2018</x:v>
      </x:c>
      <x:c r="C636" s="4" t="str">
        <x:v>Bangladesh; India</x:v>
      </x:c>
      <x:c r="D636" s="4" t="str">
        <x:v>Hili land port zero-line road
Incoming cargo trucks from India into Bangladesh at Hili; no all-person or whole-frontier closure claimed.</x:v>
      </x:c>
      <x:c r="E636" s="4" t="str">
        <x:v>Incoming goods-laden trucks; stranded drivers and rice cargo provide context.
Direction: India into Bangladesh
Exceptions: Ten cargo trucks entered July3 before renewed blockade. Passenger restrictions not established.</x:v>
      </x:c>
      <x:c r="F636" s="4" t="str">
        <x:v>R15-SM-003-D1 — Observed operation
Renewed India-to-Bangladesh incoming cargo blockade at Hili from July 3
Start: 2018-07-03.
Observed scoped reopening: 2018-07-05.
2 calendar-day difference; scoped endpoint only</x:v>
      </x:c>
      <x:c r="G636" s="4" t="str">
        <x:v>Trade and protectionism / Trade and transport protests
Reported reason
Applies to: Recorded episode; exact overlap not separately established
The recorded rationale and claim assessment support the selected subcategories. All applicable broad categories are retained together; no primary rationale is imposed.</x:v>
      </x:c>
      <x:c r="H636" s="4" t="str">
        <x:v>R15-SM-003-D1: Excludes the July 2 initial action, which was lifted. Not an uninterrupted July 2–5 period or a passenger closure; calendar boundaries do not claim two full 24-hour days. Informant independence across reports is not assumed.</x:v>
      </x:c>
      <x:c r="I636" s="4" t="str">
        <x:v>Second full-register audit, 26 October 2026: qualified. Original Bengali reports directly support the renewed 3–5 July 2018 Hili truck blockade, including ten arrivals before renewal and the earlier lifted action. No continuous 2–5 July closure should be inferred.</x:v>
      </x:c>
      <x:c r="J636" s="18" t="d">
        <x:v>2026-10-26T00:00:00.000Z</x:v>
      </x:c>
      <x:c r="K636" s="21" t="str">
        <x:f>IFERROR(HYPERLINK("https://www.thedailystar.net/backpage/hili-land-port-indian-drivers-block-road-unloading-183-trucks-1599019","thedailystar.net"),"thedailystar.net")</x:f>
        <x:v>thedailystar.net</x:v>
      </x:c>
      <x:c r="L636" s="21" t="str">
        <x:f>IFERROR(HYPERLINK("https://www.thedailystar.net/historical/country?archive=2014-02-07&amp;page=927","thedailystar.net"),"thedailystar.net")</x:f>
        <x:v>thedailystar.net</x:v>
      </x:c>
      <x:c r="M636" s="21" t="str">
        <x:f>IFERROR(HYPERLINK("https://www.banglatribune.com/amp/country/339063/ভারতীয়-ট্রাক-চালক-ও-হেলপারদের-বাধায়-হিলিতে","banglatribune.com"),"banglatribune.com")</x:f>
        <x:v>banglatribune.com</x:v>
      </x:c>
      <x:c r="N636" s="4" t="str">
        <x:v>https://www.banglatribune.com/amp/country/339063/%E0%A6%AD%E0%A6%BE%E0%A6%B0%E0%A6%A4%E0%A7%80%E0%A7%9F-%E0%A6%9F%E0%A7%8D%E0%A6%B0%E0%A6%BE%E0%A6%95-%E0%A6%9A%E0%A6%BE%E0%A6%B2%E0%A6%95-%E0%A6%93-%E0%A6%B9%E0%A7%87%E0%A6%B2%E0%A6%AA%E0%A6%BE%E0%A6%B0%E0%A6%A6%E0%A7%87%E0%A6%B0-%E0%A6%AC%E0%A6%BE%E0%A6%A7%E0%A6%BE%E0%A7%9F-%E0%A6%B9%E0%A6%BF%E0%A6%B2%E0%A6%BF%E0%A6%A4%E0%A7%87
https://www.banglatribune.com/amp/country/339875/%E0%A6%B9%E0%A6%BF%E0%A6%B2%E0%A6%BF%E0%A6%A4%E0%A7%87-%E0%A6%86%E0%A6%AE%E0%A6%A6%E0%A6%BE%E0%A6%A8%E0%A6%BF-%E0%A6%B0%E0%A6%AB%E0%A6%A4%E0%A6%BE%E0%A6%A8%E0%A6%BF-%E0%A6%95%E0%A6%BE%E0%A6%B0%E0%A7%8D%E0%A6%AF%E0%A6%95%E0%A7%8D%E0%A6%B0%E0%A6%AE-%E0%A6%AB%E0%A7%87%E0%A6%B0-%E0%A6%B6%E0%A7%81%E0%A6%B0%E0%A7%81
https://www.itvbd.com/country/32955/%E0%A6%B9%E0%A6%BF%E0%A6%B2%E0%A6%BF-%E0%A6%B8%E0%A7%8D%E0%A6%A5%E0%A6%B2%E0%A6%AC%E0%A6%A8%E0%A7%8D%E0%A6%A6%E0%A6%B0%E0%A7%87-%E0%A6%86%E0%A7%9C%E0%A6%BE%E0%A6%87%E0%A6%B6-%E0%A6%9A%E0%A6%BE%E0%A6%B2%E0%A6%AC%E0%A6%BE%E0%A6%B9%E0%A7%80-%E0%A6%9F%E0%A7%8D%E0%A6%B0%E0%A6%BE%E0%A6%95-%E0%A6%86%E0%A6%9F%E0%A6%95%E0%A6%BE
https://www.itvbd.com/amp/economy/33129/%E0%A6%B9%E0%A6%BF%E0%A6%B2%E0%A6%BF-%E0%A6%B8%E0%A7%8D%E0%A6%A5%E0%A6%B2%E0%A6%AC%E0%A6%A8%E0%A7%8D%E0%A6%A6%E0%A6%B0%E0%A7%87-%E0%A6%86%E0%A6%AE%E0%A6%A6%E0%A6%BE%E0%A6%A8%E0%A6%BF-%E0%A6%B6%E0%A7%81%E0%A6%B0%E0%A7%81-%E0%A6%B9%E0%A6%93%E0%A7%9F%E0%A6%BE%E0%A7%9F-%E0%A6%AA%E0%A7%87%E0%A6%81%E0%A7%9F%E0%A6%BE%E0%A6%9C%E0%A7%87%E0%A6%B0-%E0%A6%A6%E0%A6%BE%E0%A6%AE
https://www.banglatribune.com/country/rangpur/338729/%E0%A6%85%E0%A6%AC%E0%A6%B0%E0%A7%8B%E0%A6%A7%E0%A7%87%E0%A6%B0-%E0%A6%95%E0%A6%BE%E0%A6%B0%E0%A6%A3%E0%A7%87-%E0%A6%B9%E0%A6%BF%E0%A6%B2%E0%A6%BF-%E0%A6%B8%E0%A7%8D%E0%A6%A5%E0%A6%B2%E0%A6%AC%E0%A6%A8%E0%A7%8D%E0%A6%A6%E0%A6%B0-%E0%A6%A6%E0%A6%BF%E0%A7%9F%E0%A7%87-%E0%A6%86%E0%A6%AE%E0%A6%A6%E0%A6%BE%E0%A6%A8%E0%A6%BF-%E0%A6%B0%E0%A6%AB%E0%A6%A4%E0%A6%BE%E0%A6%A8%E0%A6%BF
https://www.thedailystar.net/backpage/hili-land-port-indian-drivers-block-road-unloading-183-trucks-1599019
https://www.thedailystar.net/historical/country?archive=2014-02-07&amp;page=927
https://www.banglatribune.com/amp/country/339063/ভারতীয়-ট্রাক-চালক-ও-হেলপারদের-বাধায়-হিলিতে
https://www.banglatribune.com/amp/country/339875/হিলিতে-আমদানি-রফতানি-কার্যক্রম-ফের-শুরু</x:v>
      </x:c>
      <x:c r="O636" s="4" t="str">
        <x:v>Second full-register audit source access, 26 October 2026
https://www.banglatribune.com/amp/country/339063/ভারতীয়-ট্রাক-চালক-ও-হেলপারদের-বাধায়-হিলিতে: full text (fresh retrieval)
https://www.banglatribune.com/amp/country/339875/হিলিতে-আমদানি-রফতানি-কার্যক্রম-ফের-শুরু: full text (fresh retrieval) — Shared port informants; no assumed independent eyewitness confirmations.
Earlier URLs not separately inspected in this second assessment:
https://www.banglatribune.com/amp/country/339063/%E0%A6%AD%E0%A6%BE%E0%A6%B0%E0%A6%A4%E0%A7%80%E0%A7%9F-%E0%A6%9F%E0%A7%8D%E0%A6%B0%E0%A6%BE%E0%A6%95-%E0%A6%9A%E0%A6%BE%E0%A6%B2%E0%A6%95-%E0%A6%93-%E0%A6%B9%E0%A7%87%E0%A6%B2%E0%A6%AA%E0%A6%BE%E0%A6%B0%E0%A6%A6%E0%A7%87%E0%A6%B0-%E0%A6%AC%E0%A6%BE%E0%A6%A7%E0%A6%BE%E0%A7%9F-%E0%A6%B9%E0%A6%BF%E0%A6%B2%E0%A6%BF%E0%A6%A4%E0%A7%87
https://www.banglatribune.com/amp/country/339875/%E0%A6%B9%E0%A6%BF%E0%A6%B2%E0%A6%BF%E0%A6%A4%E0%A7%87-%E0%A6%86%E0%A6%AE%E0%A6%A6%E0%A6%BE%E0%A6%A8%E0%A6%BF-%E0%A6%B0%E0%A6%AB%E0%A6%A4%E0%A6%BE%E0%A6%A8%E0%A6%BF-%E0%A6%95%E0%A6%BE%E0%A6%B0%E0%A7%8D%E0%A6%AF%E0%A6%95%E0%A7%8D%E0%A6%B0%E0%A6%AE-%E0%A6%AB%E0%A7%87%E0%A6%B0-%E0%A6%B6%E0%A7%81%E0%A6%B0%E0%A7%81
https://www.itvbd.com/country/32955/%E0%A6%B9%E0%A6%BF%E0%A6%B2%E0%A6%BF-%E0%A6%B8%E0%A7%8D%E0%A6%A5%E0%A6%B2%E0%A6%AC%E0%A6%A8%E0%A7%8D%E0%A6%A6%E0%A6%B0%E0%A7%87-%E0%A6%86%E0%A7%9C%E0%A6%BE%E0%A6%87%E0%A6%B6-%E0%A6%9A%E0%A6%BE%E0%A6%B2%E0%A6%AC%E0%A6%BE%E0%A6%B9%E0%A7%80-%E0%A6%9F%E0%A7%8D%E0%A6%B0%E0%A6%BE%E0%A6%95-%E0%A6%86%E0%A6%9F%E0%A6%95%E0%A6%BE
https://www.itvbd.com/amp/economy/33129/%E0%A6%B9%E0%A6%BF%E0%A6%B2%E0%A6%BF-%E0%A6%B8%E0%A7%8D%E0%A6%A5%E0%A6%B2%E0%A6%AC%E0%A6%A8%E0%A7%8D%E0%A6%A6%E0%A6%B0%E0%A7%87-%E0%A6%86%E0%A6%AE%E0%A6%A6%E0%A6%BE%E0%A6%A8%E0%A6%BF-%E0%A6%B6%E0%A7%81%E0%A6%B0%E0%A7%81-%E0%A6%B9%E0%A6%93%E0%A7%9F%E0%A6%BE%E0%A7%9F-%E0%A6%AA%E0%A7%87%E0%A6%81%E0%A7%9F%E0%A6%BE%E0%A6%9C%E0%A7%87%E0%A6%B0-%E0%A6%A6%E0%A6%BE%E0%A6%AE
https://www.banglatribune.com/country/rangpur/338729/%E0%A6%85%E0%A6%AC%E0%A6%B0%E0%A7%8B%E0%A6%A7%E0%A7%87%E0%A6%B0-%E0%A6%95%E0%A6%BE%E0%A6%B0%E0%A6%A3%E0%A7%87-%E0%A6%B9%E0%A6%BF%E0%A6%B2%E0%A6%BF-%E0%A6%B8%E0%A7%8D%E0%A6%A5%E0%A6%B2%E0%A6%AC%E0%A6%A8%E0%A7%8D%E0%A6%A6%E0%A6%B0-%E0%A6%A6%E0%A6%BF%E0%A7%9F%E0%A7%87-%E0%A6%86%E0%A6%AE%E0%A6%A6%E0%A6%BE%E0%A6%A8%E0%A6%BF-%E0%A6%B0%E0%A6%AB%E0%A6%A4%E0%A6%BE%E0%A6%A8%E0%A6%BF
https://www.thedailystar.net/backpage/hili-land-port-indian-drivers-block-road-unloading-183-trucks-1599019
https://www.thedailystar.net/historical/country?archive=2014-02-07&amp;page=927
Prior audit access record
Full-register audit source access (evidence cutoff 25 October 2026)
https://www.banglatribune.com/amp/country/339063/ভারতীয়-ট্রাক-চালক-ও-হেলপারদের-বাধায়-হিলিতে: full text
https://www.banglatribune.com/amp/country/339875/হিলিতে-আমদানি-রফতানি-কার্যক্রম-ফের-শুরু: full text
https://www.thedailystar.net/backpage/hili-land-port-indian-drivers-block-road-unloading-183-trucks-1599019: full text — Published/update metadata differ by one day; not used to alter renewed-phase dates
Earlier source URLs not separately listed in this audit’s retrieval log (historical access notes below are not fresh verification):
https://www.banglatribune.com/amp/country/339063/%E0%A6%AD%E0%A6%BE%E0%A6%B0%E0%A6%A4%E0%A7%80%E0%A7%9F-%E0%A6%9F%E0%A7%8D%E0%A6%B0%E0%A6%BE%E0%A6%95-%E0%A6%9A%E0%A6%BE%E0%A6%B2%E0%A6%95-%E0%A6%93-%E0%A6%B9%E0%A7%87%E0%A6%B2%E0%A6%AA%E0%A6%BE%E0%A6%B0%E0%A6%A6%E0%A7%87%E0%A6%B0-%E0%A6%AC%E0%A6%BE%E0%A6%A7%E0%A6%BE%E0%A7%9F-%E0%A6%B9%E0%A6%BF%E0%A6%B2%E0%A6%BF%E0%A6%A4%E0%A7%87
https://www.banglatribune.com/amp/country/339875/%E0%A6%B9%E0%A6%BF%E0%A6%B2%E0%A6%BF%E0%A6%A4%E0%A7%87-%E0%A6%86%E0%A6%AE%E0%A6%A6%E0%A6%BE%E0%A6%A8%E0%A6%BF-%E0%A6%B0%E0%A6%AB%E0%A6%A4%E0%A6%BE%E0%A6%A8%E0%A6%BF-%E0%A6%95%E0%A6%BE%E0%A6%B0%E0%A7%8D%E0%A6%AF%E0%A6%95%E0%A7%8D%E0%A6%B0%E0%A6%AE-%E0%A6%AB%E0%A7%87%E0%A6%B0-%E0%A6%B6%E0%A7%81%E0%A6%B0%E0%A7%81
https://www.itvbd.com/country/32955/%E0%A6%B9%E0%A6%BF%E0%A6%B2%E0%A6%BF-%E0%A6%B8%E0%A7%8D%E0%A6%A5%E0%A6%B2%E0%A6%AC%E0%A6%A8%E0%A7%8D%E0%A6%A6%E0%A6%B0%E0%A7%87-%E0%A6%86%E0%A7%9C%E0%A6%BE%E0%A6%87%E0%A6%B6-%E0%A6%9A%E0%A6%BE%E0%A6%B2%E0%A6%AC%E0%A6%BE%E0%A6%B9%E0%A7%80-%E0%A6%9F%E0%A7%8D%E0%A6%B0%E0%A6%BE%E0%A6%95-%E0%A6%86%E0%A6%9F%E0%A6%95%E0%A6%BE
https://www.itvbd.com/amp/economy/33129/%E0%A6%B9%E0%A6%BF%E0%A6%B2%E0%A6%BF-%E0%A6%B8%E0%A7%8D%E0%A6%A5%E0%A6%B2%E0%A6%AC%E0%A6%A8%E0%A7%8D%E0%A6%A6%E0%A6%B0%E0%A7%87-%E0%A6%86%E0%A6%AE%E0%A6%A6%E0%A6%BE%E0%A6%A8%E0%A6%BF-%E0%A6%B6%E0%A7%81%E0%A6%B0%E0%A7%81-%E0%A6%B9%E0%A6%93%E0%A7%9F%E0%A6%BE%E0%A7%9F-%E0%A6%AA%E0%A7%87%E0%A6%81%E0%A7%9F%E0%A6%BE%E0%A6%9C%E0%A7%87%E0%A6%B0-%E0%A6%A6%E0%A6%BE%E0%A6%AE
https://www.banglatribune.com/country/rangpur/338729/%E0%A6%85%E0%A6%AC%E0%A6%B0%E0%A7%8B%E0%A6%A7%E0%A7%87%E0%A6%B0-%E0%A6%95%E0%A6%BE%E0%A6%B0%E0%A6%A3%E0%A7%87-%E0%A6%B9%E0%A6%BF%E0%A6%B2%E0%A6%BF-%E0%A6%B8%E0%A7%8D%E0%A6%A5%E0%A6%B2%E0%A6%AC%E0%A6%A8%E0%A7%8D%E0%A6%A6%E0%A6%B0-%E0%A6%A6%E0%A6%BF%E0%A7%9F%E0%A7%87-%E0%A6%86%E0%A6%AE%E0%A6%A6%E0%A6%BE%E0%A6%A8%E0%A6%BF-%E0%A6%B0%E0%A6%AB%E0%A6%A4%E0%A6%BE%E0%A6%A8%E0%A6%BF
https://www.thedailystar.net/historical/country?archive=2014-02-07&amp;page=927
Earlier recorded access
Source 1: access detail is retained in the source catalogue.
Source 2: access detail is retained in the source catalogue.
Source 3: access detail is retained in the source catalogue.</x:v>
      </x:c>
      <x:c r="P636" s="20" t="n">
        <x:v>1</x:v>
      </x:c>
      <x:c r="Q636" s="4" t="str">
        <x:v>South Asia, Central Asia and Caucasus</x:v>
      </x:c>
      <x:c r="R636" s="4" t="str">
        <x:v>Included</x:v>
      </x:c>
    </x:row>
    <x:row r="637" ht="294" hidden="0" customHeight="1">
      <x:c r="A637" s="16" t="str">
        <x:v>R15-EU-001</x:v>
      </x:c>
      <x:c r="B637" s="4" t="str">
        <x:v>Orlivka–Isaccea ferry crossing suspended after attack, 26 September 2023</x:v>
      </x:c>
      <x:c r="C637" s="4" t="str">
        <x:v>Romania; Ukraine</x:v>
      </x:c>
      <x:c r="D637" s="4" t="str">
        <x:v>Orlivka (Orlovka)–Isaccea
Orlivka–Isaccea international Danube river ferry checkpoint only</x:v>
      </x:c>
      <x:c r="E637" s="4" t="str">
        <x:v>People and vehicle traffic using this ferry crossing; whole Romania–Ukraine frontier was not closed.
Direction: Both directions at the named ferry checkpoint
Exceptions: Romanian notice permitted processing of inward vehicles already inside the checkpoint at suspension.</x:v>
      </x:c>
      <x:c r="F637" s="4" t="str">
        <x:v>R15-EU-001-D1 — Observed operation
Orlivka episode on 26 September 2023; operational restart precedes its announcement.
Start: 2023-09-26.
Observed scoped reopening: 2023-09-26.
Same-day episode; no whole-day duration inferred</x:v>
      </x:c>
      <x:c r="G637" s="4" t="str">
        <x:v>Security / Armed conflict and military confrontation
Analytical interpretation of reported context
Romanian Border Police attributed the ferry suspension to overnight attacks on the Ukrainian Orlivka checkpoint. Ukrainian reporting identifies the Russian attack. Armed-conflict and immediate-safety codes describe this reported context; deliberate Russian intent to sever this particular international crossing is not independently established.
Security / Public order and immediate safety
Analytical interpretation of reported context
Romanian Border Police attributed the ferry suspension to overnight attacks on the Ukrainian Orlivka checkpoint. Ukrainian reporting identifies the Russian attack. Armed-conflict and immediate-safety codes describe this reported context; deliberate Russian intent to sever this particular international crossing is not independently established.</x:v>
      </x:c>
      <x:c r="H637" s="4" t="str">
        <x:v>R15-EU-001-D1: Shown as an episode occurring on this date, not a whole-day closure. Exact start hour is unestablished. The 18:20 operational restart in Romanian notice differs from the Ukrainian announcement time 18:40; these are different timestamps. The separate contribution of security precautions and physical clearance/repair is unresolved. Deliberate Russian intent to sever this international crossing is not independently verified. The September notice explicitly kept processing inbound vehicles already inside the checkpoint. Its same-day restart separates this episode from the new October 6 suspension.</x:v>
      </x:c>
      <x:c r="I637" s="4" t="str">
        <x:v>Second full-register audit, 26 October 2026: qualified. Romanian primary reporting confirms same-day Isaccea–Orlivka restart at 18:20; Ukraine’s 18:40 is an announcement time, not contradictory operation.</x:v>
      </x:c>
      <x:c r="J637" s="18" t="d">
        <x:v>2026-10-26T00:00:00.000Z</x:v>
      </x:c>
      <x:c r="K637" s="21" t="str">
        <x:f>IFERROR(HYPERLINK("https://www.politiadefrontiera.ro/ro/garda-de-coasta/i-update--trafic-reluat-prin-ptf-isaccea-informare-trafic-intrerupt-prin-ptf-isaccea-34879.html","Romanian Border Police / Coast Guard"),"Romanian Border Police / Coast Guard")</x:f>
        <x:v>Romanian Border Police / Coast Guard</x:v>
      </x:c>
      <x:c r="L637" s="21" t="str">
        <x:f>IFERROR(HYPERLINK("https://www.pravda.com.ua/eng/news/2023/09/26/7421525/","Ukrainska Pravda"),"Ukrainska Pravda")</x:f>
        <x:v>Ukrainska Pravda</x:v>
      </x:c>
      <x:c r="M637" s="21" t="str">
        <x:f>IFERROR(HYPERLINK("https://www.politiadefrontiera.ro/ro/main/i-informare-de-presa--garda-de-coasta-34964.html","Romanian Border Police / Coast Guard"),"Romanian Border Police / Coast Guard")</x:f>
        <x:v>Romanian Border Police / Coast Guard</x:v>
      </x:c>
      <x:c r="N637" s="4" t="str">
        <x:v>https://www.politiadefrontiera.ro/ro/garda-de-coasta/i-update--trafic-reluat-prin-ptf-isaccea-informare-trafic-intrerupt-prin-ptf-isaccea-34879.html
https://www.pravda.com.ua/eng/news/2023/09/26/7421525/
https://www.politiadefrontiera.ro/ro/main/i-informare-de-presa--garda-de-coasta-34964.html</x:v>
      </x:c>
      <x:c r="O637" s="4" t="str">
        <x:v>Second full-register audit source access, 26 October 2026
https://www.politiadefrontiera.ro/ro/garda-de-coasta/i-update--trafic-reluat-prin-ptf-isaccea-informare-trafic-intrerupt-prin-ptf-isaccea-34879.html: full text (fresh retrieval)
https://www.pravda.com.ua/eng/news/2023/09/26/7421525/: full text (previously retrieved text re-examined)
https://www.politiadefrontiera.ro/ro/main/i-informare-de-presa--garda-de-coasta-34964.html: full text (previously retrieved text re-examined)
Prior audit access record
Full-register audit source access (evidence cutoff 25 October 2026)
https://www.politiadefrontiera.ro/ro/garda-de-coasta/i-update--trafic-reluat-prin-ptf-isaccea-informare-trafic-intrerupt-prin-ptf-isaccea-34879.html: full text
https://www.pravda.com.ua/eng/news/2023/09/26/7421525/: full text
Earlier source URLs not separately listed in this audit’s retrieval log (historical access notes below are not fresh verification):
https://www.politiadefrontiera.ro/ro/main/i-informare-de-presa--garda-de-coasta-34964.html
Earlier recorded access
Source 1: full text
Source 2: opened body
Source 3: full text</x:v>
      </x:c>
      <x:c r="P637" s="20" t="n">
        <x:v>1</x:v>
      </x:c>
      <x:c r="Q637" s="4" t="str">
        <x:v>Europe</x:v>
      </x:c>
      <x:c r="R637" s="4" t="str">
        <x:v>Included</x:v>
      </x:c>
    </x:row>
    <x:row r="638" ht="409" hidden="0" customHeight="1">
      <x:c r="A638" s="16" t="str">
        <x:v>R15-EU-002</x:v>
      </x:c>
      <x:c r="B638" s="4" t="str">
        <x:v>Orlivka–Isaccea ferry admission suspended after attack, October 2023</x:v>
      </x:c>
      <x:c r="C638" s="4" t="str">
        <x:v>Romania; Ukraine</x:v>
      </x:c>
      <x:c r="D638" s="4" t="str">
        <x:v>Orlivka (Orlovka)–Isaccea
Orlivka–Isaccea international Danube river ferry checkpoint only</x:v>
      </x:c>
      <x:c r="E638" s="4" t="str">
        <x:v>People and vehicle traffic using this ferry crossing; whole Romania–Ukraine frontier was not closed.
Direction: Both directions at the named ferry checkpoint</x:v>
      </x:c>
      <x:c r="F638" s="4" t="str">
        <x:v>R15-EU-002-D1 — Observed operation
Admission of people and vehicles at Orlivka–Isaccea ferry checkpoint during the October attack-related suspension
Start: 2023-10-06.
Observed scoped reopening: 2023-10-15 at 06:00; persons and all vehicle categories, both directions.
9 calendar-day difference; scoped endpoint only</x:v>
      </x:c>
      <x:c r="G638" s="4" t="str">
        <x:v>Security / Armed conflict and military confrontation
Analytical interpretation of reported context
Ukraine’s Border Guard spokesperson attributed suspension to the attack on the Orlivka checkpoint and truck parking area, with operations to resume when security and incident-related issues allowed. Romanian police independently linked suspension to attacks. Armed-conflict and immediate-safety codes describe this context; the attackers’ strategic intent is not independently established.
Security / Public order and immediate safety
Analytical interpretation of reported context
Ukraine’s Border Guard spokesperson attributed suspension to the attack on the Orlivka checkpoint and truck parking area, with operations to resume when security and incident-related issues allowed. Romanian police independently linked suspension to attacks. Armed-conflict and immediate-safety codes describe this context; the attackers’ strategic intent is not independently established.</x:v>
      </x:c>
      <x:c r="H638" s="4" t="str">
        <x:v>Endpoint is restored admission and ferry operation, not a verified normal timetable. Romanian police confirms control resumed October 15, 2023 at 06:00 for persons and all vehicle categories in both directions. The ferry operator’s contemporary account says nonstop service without fixed timetable; the November account instead describes an earlier daylight-only phase and compresses separate September and October interruptions. This schedule disagreement does not move the total-closure endpoint beyond October 15. Exact first vehicle and every intermediate operating hour are unknown. Attack-related suspension is confirmed, while deliberate strategic targeting intent remains attributed.</x:v>
      </x:c>
      <x:c r="I638" s="4" t="str">
        <x:v>Second full-register audit, 26 October 2026: qualified. Primary Romanian evidence confirms October 15, 2023 at 06:00 admission resumption for persons and all vehicle categories; later timetable disagreement does not prolong total closure.</x:v>
      </x:c>
      <x:c r="J638" s="18" t="d">
        <x:v>2026-10-26T00:00:00.000Z</x:v>
      </x:c>
      <x:c r="K638" s="21" t="str">
        <x:f>IFERROR(HYPERLINK("https://www.politiadefrontiera.ro/ro/main/i-informare-de-presa--garda-de-coasta-34964.html","Romanian Border Police / Coast Guard"),"Romanian Border Police / Coast Guard")</x:f>
        <x:v>Romanian Border Police / Coast Guard</x:v>
      </x:c>
      <x:c r="L638" s="21" t="str">
        <x:f>IFERROR(HYPERLINK("https://mediacenter.org.ua/trucks-caught-fire-ukraine-s-state-border-guard-service-give-details-on-orlivka-ferry-checkpoint-attack/","Media Center Ukraine"),"Media Center Ukraine")</x:f>
        <x:v>Media Center Ukraine</x:v>
      </x:c>
      <x:c r="M638" s="21" t="str">
        <x:f>IFERROR(HYPERLINK("https://www.politiadefrontiera.ro/ro/garda-de-coasta/i-informare-de-presa-35078.html","Romanian Border Police / Coast Guard"),"Romanian Border Police / Coast Guard")</x:f>
        <x:v>Romanian Border Police / Coast Guard</x:v>
      </x:c>
      <x:c r="N638" s="4" t="str">
        <x:v>https://www.politiadefrontiera.ro/ro/main/i-informare-de-presa--garda-de-coasta-34964.html
https://mediacenter.org.ua/trucks-caught-fire-ukraine-s-state-border-guard-service-give-details-on-orlivka-ferry-checkpoint-attack/
https://www.politiadefrontiera.ro/ro/garda-de-coasta/i-informare-de-presa-35078.html
https://www.g4media.ro/ucrainenii-pot-traversa-din-nou-la-isaccea-a-fost-reluat-traficul-pe-dunare-dupa-bombardamentele-rusiei-din-6-octombrie-in-vama-ucraineana.html
https://uc.od.ua/news/traffic/1253536
https://www.politiadefrontiera.ro/ro/garda-de-coasta/i-update--trafic-reluat-prin-ptf-isaccea-informare-trafic-intrerupt-prin-ptf-isaccea-34879.html
https://viata-libera.ro/actual/212634-navrom-bac-a-reluat-cursele-intre-isaccea-si-orlivka</x:v>
      </x:c>
      <x:c r="O638" s="4" t="str">
        <x:v>Second full-register audit source access, 26 October 2026
https://www.politiadefrontiera.ro/ro/garda-de-coasta/i-informare-de-presa-35078.html: full text (fresh retrieval)
https://mediacenter.org.ua/trucks-caught-fire-ukraine-s-state-border-guard-service-give-details-on-orlivka-ferry-checkpoint-attack/: full text (previously retrieved text re-examined)
https://www.politiadefrontiera.ro/ro/main/i-informare-de-presa--garda-de-coasta-34964.html: full text (previously retrieved text re-examined)
https://viata-libera.ro/actual/212634-navrom-bac-a-reluat-cursele-intre-isaccea-si-orlivka: full text (previously retrieved text re-examined)
https://uc.od.ua/news/traffic/1253536: full text (previously retrieved text re-examined) — Compresses distinct interruptions; not preferred over contemporary operational evidence.
Earlier URLs not separately inspected in this second assessment:
https://www.g4media.ro/ucrainenii-pot-traversa-din-nou-la-isaccea-a-fost-reluat-traficul-pe-dunare-dupa-bombardamentele-rusiei-din-6-octombrie-in-vama-ucraineana.html
https://www.politiadefrontiera.ro/ro/garda-de-coasta/i-update--trafic-reluat-prin-ptf-isaccea-informare-trafic-intrerupt-prin-ptf-isaccea-34879.html
Prior audit access record
Full-register audit source access (evidence cutoff 25 October 2026)
https://www.politiadefrontiera.ro/ro/main/i-informare-de-presa--garda-de-coasta-34964.html: full text
https://mediacenter.org.ua/trucks-caught-fire-ukraine-s-state-border-guard-service-give-details-on-orlivka-ferry-checkpoint-attack/: full text
https://www.politiadefrontiera.ro/ro/garda-de-coasta/i-informare-de-presa-35078.html: full text
https://viata-libera.ro/actual/212634-navrom-bac-a-reluat-cursele-intre-isaccea-si-orlivka: full text
https://uc.od.ua/news/traffic/1253536: full text — Its earlier daylight-only account conflicts with the October operator report; neither justifies extending total closure to November.
Earlier source URLs not separately listed in this audit’s retrieval log (historical access notes below are not fresh verification):
https://www.g4media.ro/ucrainenii-pot-traversa-din-nou-la-isaccea-a-fost-reluat-traficul-pe-dunare-dupa-bombardamentele-rusiei-din-6-octombrie-in-vama-ucraineana.html
https://www.politiadefrontiera.ro/ro/garda-de-coasta/i-update--trafic-reluat-prin-ptf-isaccea-informare-trafic-intrerupt-prin-ptf-isaccea-34879.html
Earlier recorded access
Source 1: full text
Source 2: opened body
Source 3: full text</x:v>
      </x:c>
      <x:c r="P638" s="20" t="n">
        <x:v>1</x:v>
      </x:c>
      <x:c r="Q638" s="4" t="str">
        <x:v>Europe</x:v>
      </x:c>
      <x:c r="R638" s="4" t="str">
        <x:v>Included</x:v>
      </x:c>
    </x:row>
    <x:row r="639" ht="246" hidden="0" customHeight="1">
      <x:c r="A639" s="16" t="str">
        <x:v>R15-AN-002</x:v>
      </x:c>
      <x:c r="B639" s="4" t="str">
        <x:v>Rosso international ferry suspension during pirogue operators’ protest, 5 April 2021</x:v>
      </x:c>
      <x:c r="C639" s="4" t="str">
        <x:v>Senegal; Mauritania</x:v>
      </x:c>
      <x:c r="D639" s="4" t="str">
        <x:v>Rosso international river ferry
Rosso ferry service across the Senegal River between Mauritania and Senegal</x:v>
      </x:c>
      <x:c r="E639" s="4" t="str">
        <x:v>Users of the international ferry service; passenger, vehicle and goods composition not separately established.
Direction: Cross-river ferry service reported stopped; directional passenger/vehicle impacts not separately quantified.
Exceptions: No exemption during the temporary ferry stoppage established. Broader small-boat ban remained a separate issue.</x:v>
      </x:c>
      <x:c r="F639" s="4" t="str">
        <x:v>R15-AN-002-D1 — Observed operation
Rosso ferry episode on 5 April 2021; reported as a short interruption.
Start: 2021-04-05.
Observed scoped reopening: 2021-04-05.
Same-day episode; no whole-day duration inferred</x:v>
      </x:c>
      <x:c r="G639" s="4" t="str">
        <x:v>Policy and socioeconomic demands / Opposition to health policies
Analytical interpretation of reported context
Applies to: Protest context underlying April 5 ferry suspension
Pirogue operators protested COVID-era restrictions on their activity. This describes the protesters' grievance; the reported official ferry-pause request was to wait until that authorized protest ended, with no separate health-containment purpose established.
Policy and socioeconomic demands / Jobs, services and livelihoods
Analytical interpretation of reported context
Applies to: Protest context underlying April 5 ferry suspension
Operators sought resumption of their income-generating pirogue activity, suspended for about a year. This is protest context, not an assertion that authorities stopped the ferry to demand livelihood concessions.</x:v>
      </x:c>
      <x:c r="H639" s="4" t="str">
        <x:v>R15-AN-002-D1: Shown as an episode occurring on this date, not a whole-day closure. Exact clock times, category-level exemptions and individual implementation observations are unspecified. Reported five-hour interruption is not converted into a calculated duration.</x:v>
      </x:c>
      <x:c r="I639" s="4" t="str">
        <x:v>Second full-register audit, 26 October 2026: qualified. French and Arabic reports confirm the April 5, 2021 Rosso ferry pause lasted a reported five hours and ended that evening. The April 8 protest and broader pirogue restrictions are separate.</x:v>
      </x:c>
      <x:c r="J639" s="18" t="d">
        <x:v>2026-10-26T00:00:00.000Z</x:v>
      </x:c>
      <x:c r="K639" s="21" t="str">
        <x:f>IFERROR(HYPERLINK("https://fr.saharamedias.net/reouverture-de-la-frontiere-mauritano-senegalaise-apres-sa-fermeture-pendant-quelques-heures/","fr.saharamedias.net"),"fr.saharamedias.net")</x:f>
        <x:v>fr.saharamedias.net</x:v>
      </x:c>
      <x:c r="L639" s="21" t="str">
        <x:f>IFERROR(HYPERLINK("https://saharamedias.net/161424/","saharamedias.net"),"saharamedias.net")</x:f>
        <x:v>saharamedias.net</x:v>
      </x:c>
      <x:c r="M639" s="21" t="str">
        <x:f>IFERROR(HYPERLINK("https://www.leral.net/Rosso-Senegal-La-reouverture-des-frontieres-exigee_a300555.html","leral.net"),"leral.net")</x:f>
        <x:v>leral.net</x:v>
      </x:c>
      <x:c r="N639" s="4" t="str">
        <x:v>https://fr.saharamedias.net/reouverture-de-la-frontiere-mauritano-senegalaise-apres-sa-fermeture-pendant-quelques-heures/
https://saharamedias.net/161424/
https://www.leral.net/Rosso-Senegal-La-reouverture-des-frontieres-exigee_a300555.html</x:v>
      </x:c>
      <x:c r="O639" s="4" t="str">
        <x:v>Second full-register audit source access, 26 October 2026
https://fr.saharamedias.net/reouverture-de-la-frontiere-mauritano-senegalaise-apres-sa-fermeture-pendant-quelques-heures/: full text (fresh retrieval)
https://saharamedias.net/161424/: full text (fresh retrieval) — Same publisher, not independent corroboration.
https://www.leral.net/Rosso-Senegal-La-reouverture-des-frontieres-exigee_a300555.html: full text (fresh retrieval) — No basis to bridge the reopened gap.
Prior audit access record
Full-register audit source access (evidence cutoff 25 October 2026)
https://fr.saharamedias.net/reouverture-de-la-frontiere-mauritano-senegalaise-apres-sa-fermeture-pendant-quelques-heures/: full text
https://saharamedias.net/161424/: full text
https://www.leral.net/Rosso-Senegal-La-reouverture-des-frontieres-exigee_a300555.html: full text
Earlier recorded access
Source 1: full
Source 2: failed
Source 3: access detail is retained in the source catalogue.</x:v>
      </x:c>
      <x:c r="P639" s="20" t="n">
        <x:v>1</x:v>
      </x:c>
      <x:c r="Q639" s="4" t="str">
        <x:v>West Africa</x:v>
      </x:c>
      <x:c r="R639" s="4" t="str">
        <x:v>Included</x:v>
      </x:c>
    </x:row>
    <x:row r="640" ht="409" hidden="0" customHeight="1">
      <x:c r="A640" s="16" t="str">
        <x:v>R16-AN-001</x:v>
      </x:c>
      <x:c r="B640" s="4" t="str">
        <x:v>Senegal–Mauritania reciprocal freight-vehicle entry restrictions with compulsory transshipment, documented within 2018–2025</x:v>
      </x:c>
      <x:c r="C640" s="4" t="str">
        <x:v>Senegal; Mauritania</x:v>
      </x:c>
      <x:c r="D640" s="4" t="str">
        <x:v>Rosso; other posts not individually established
Cross-border through-carriage by Senegalese and Mauritanian freight vehicles; compulsory transfer to local trucks</x:v>
      </x:c>
      <x:c r="E640" s="4" t="str">
        <x:v>Senegalese freight vehicles entering Mauritania; reciprocal Mauritanian vehicles reported at Rosso.
Direction: Reciprocal in participant and retrospective accounts; institutional confirmation specifically Senegal-to-Mauritania.
Exceptions: Cargo continued after transfer; Moroccan carriers reported operating. Full exemptions not established.</x:v>
      </x:c>
      <x:c r="F640" s="4" t="str">
        <x:v>R16-AN-001-R1 — Formal policy
Documented segment of Mauritanian restriction on Senegalese through-carriage; Rosso cargo transfer
Start: 2018-03-01 to 2018-03-31.
Policy endpoint: 2025-07-11.
Formal policy: 2659–2689 calendar-day difference; operational continuity not established</x:v>
      </x:c>
      <x:c r="G640" s="4" t="str">
        <x:v>Uncoded / Unresolved rationale
Not assigned
Applies to: Not assigned
No additional motive inferred</x:v>
      </x:c>
      <x:c r="H640" s="4" t="str">
        <x:v>R16-AN-001-R1: March 2018 is a documentary boundary, not the original onset. The WTO describes Senegalese trucks transferring loads to Mauritanian vehicles while Moroccan trucks continued operating; cargo itself was not prohibited. The reported July 11, 2025 agreement ended compulsory transshipment formally. A January 2026 bilateral communiqué instead dates lifting of the practice to November 2025. These accounts do not establish the first operational through-passage or explain the intervening implementation. The retrospective 2010 claim is not adopted as an exact original onset. Original policy rationale and uninterrupted operational enforcement remain unestablished.</x:v>
      </x:c>
      <x:c r="I640" s="4" t="str">
        <x:v>Second full-register audit, 26 October 2026: additional source-audited corrections incorporated. See the phase, scope and qualification columns for the accepted findings.</x:v>
      </x:c>
      <x:c r="J640" s="18" t="d">
        <x:v>2026-10-26T00:00:00.000Z</x:v>
      </x:c>
      <x:c r="K640" s="21" t="str">
        <x:f>IFERROR(HYPERLINK("https://www.wto.org/english/tratop_e/tpr_e/s371_e.pdf","WTO Secretariat"),"WTO Secretariat")</x:f>
        <x:v>WTO Secretariat</x:v>
      </x:c>
      <x:c r="L640" s="21" t="str">
        <x:f>IFERROR(HYPERLINK("https://ladepeche.mr/?p=16873","La Dépêche / Le Quotidien"),"La Dépêche / Le Quotidien")</x:f>
        <x:v>La Dépêche / Le Quotidien</x:v>
      </x:c>
      <x:c r="M640" s="21" t="str">
        <x:f>IFERROR(HYPERLINK("https://ami.mr/fr/archives/275255","AMI"),"AMI")</x:f>
        <x:v>AMI</x:v>
      </x:c>
      <x:c r="N640" s="4" t="str">
        <x:v>https://www.wto.org/english/tratop_e/tpr_e/s371_e.pdf
https://ladepeche.mr/?p=16873
https://ami.mr/fr/archives/275255
https://www.rts.sn/actualite/detail/politique/senegal-mauritanie-vers-un-renforcement-structurant-de-la-cooperation-bilaterale-et-regionale
https://cridem.org/C_Info.php?article=726313
https://fr.linkedin.com/posts/ministere-des-transports-terrestres-aeriens_%F0%9D%90%93%F0%9D%90%91%F0%9D%90%80%F0%9D%90%8D%F0%9D%90%92%F0%9D%90%8F%F0%9D%90%8E%F0%9D%90%91%F0%9D%90%93-%F0%9D%90%83%F0%9D%90%84-%F0%9D%90%8F%F0%9D%90%84%F0%9D%90%91%F0%9D%90%92%F0%9D%90%8E%F0%9D%90%8D%F0%9D%90%8D%F0%9D%90%84%F0%9D%90%92-activity-7349852589280190464-SjS3
https://www.seneplus.com/article/en-attendant-le-conseil-presidentiel-constats-et-attente-pour-la-peche
https://rapideinfo.mr/dialogue-politique-visite-du-premier-ministre-mauritanien-au-senegal/
https://www.afdb.org/sites/default/files/documents/projects-and-operations/multinational_-_projet_de_construction_du_pont_de_rosso_-_p-z1-d00-020_-_eer_fevrier_2023.pdf
https://afrique.le360.ma/mauritanie-senegal/politique/2020/03/21/29894-coronavirus-mauritanie-senegal-fermeture-de-la-frontiere-terrestre-entre-les-deux/
https://fr.saharamedias.net/reouverture-de-la-frontiere-mauritano-senegalaise-apres-sa-fermeture-pendant-quelques-heures/
https://dtm.iom.int/sites/g/files/tmzbdl1461/files/reports/FMS_Dashboard_Oct-dec_2022.pdf
https://aps.sn/dakar-et-nouakchott-actent-la-levee-des-restrictions-sur-la-libre-circulation-des-personnes-et-des-biens/
https://horizon.documentation.ird.fr/exl-doc/pleins_textes/divers18-08/010064533.pdf
https://www.journaltahalil.com/archives/detail.php?categ=3&amp;id=4861
https://cridem.org/C_Info.php?article=790172</x:v>
      </x:c>
      <x:c r="O640" s="4" t="str">
        <x:v>Second full-register audit source access, 26 October 2026
https://www.wto.org/english/tratop_e/tpr_e/s371_e.pdf: full text (fresh retrieval)
https://ami.mr/fr/archives/275255: full text (fresh retrieval)
https://aps.sn/dakar-et-nouakchott-actent-la-levee-des-restrictions-sur-la-libre-circulation-des-personnes-et-des-biens/: search extract (fresh retrieval)
https://www.rts.sn/actualite/detail/politique/senegal-mauritanie-vers-un-renforcement-structurant-de-la-cooperation-bilaterale-et-regionale: full text (fresh retrieval) — Retrospective statement, not exact first passage.
https://cridem.org/C_Info.php?article=790172: search extract (fresh retrieval) — Later direct opening only partially returned; indexed passage inspected.
Earlier URLs not separately inspected in this second assessment:
https://ladepeche.mr/?p=16873
https://cridem.org/C_Info.php?article=726313
https://fr.linkedin.com/posts/ministere-des-transports-terrestres-aeriens_%F0%9D%90%93%F0%9D%90%91%F0%9D%90%80%F0%9D%90%8D%F0%9D%90%92%F0%9D%90%8F%F0%9D%90%8E%F0%9D%90%91%F0%9D%90%93-%F0%9D%90%83%F0%9D%90%84-%F0%9D%90%8F%F0%9D%90%84%F0%9D%90%91%F0%9D%90%92%F0%9D%90%8E%F0%9D%90%8D%F0%9D%90%8D%F0%9D%90%84%F0%9D%90%92-activity-7349852589280190464-SjS3
https://www.seneplus.com/article/en-attendant-le-conseil-presidentiel-constats-et-attente-pour-la-peche
https://rapideinfo.mr/dialogue-politique-visite-du-premier-ministre-mauritanien-au-senegal/
https://www.afdb.org/sites/default/files/documents/projects-and-operations/multinational_-_projet_de_construction_du_pont_de_rosso_-_p-z1-d00-020_-_eer_fevrier_2023.pdf
https://afrique.le360.ma/mauritanie-senegal/politique/2020/03/21/29894-coronavirus-mauritanie-senegal-fermeture-de-la-frontiere-terrestre-entre-les-deux/
https://fr.saharamedias.net/reouverture-de-la-frontiere-mauritano-senegalaise-apres-sa-fermeture-pendant-quelques-heures/
https://dtm.iom.int/sites/g/files/tmzbdl1461/files/reports/FMS_Dashboard_Oct-dec_2022.pdf
https://horizon.documentation.ird.fr/exl-doc/pleins_textes/divers18-08/010064533.pdf
https://www.journaltahalil.com/archives/detail.php?categ=3&amp;id=4861
Prior audit access record
Full-register audit source access (evidence cutoff 25 October 2026)
https://www.wto.org/english/tratop_e/tpr_e/s371_e.pdf: full text
https://ami.mr/fr/archives/275255: full text
https://rapideinfo.mr/dialogue-politique-visite-du-premier-ministre-mauritanien-au-senegal/: search extract — Unresolved distinction between July legal announcement and November implementation.
https://aps.sn/dakar-et-nouakchott-actent-la-levee-des-restrictions-sur-la-libre-circulation-des-personnes-et-des-biens/: inaccessible — Article body absent; not additional proof.
Earlier source URLs not separately listed in this audit’s retrieval log (historical access notes below are not fresh verification):
https://ladepeche.mr/?p=16873
https://www.rts.sn/actualite/detail/politique/senegal-mauritanie-vers-un-renforcement-structurant-de-la-cooperation-bilaterale-et-regionale
https://cridem.org/C_Info.php?article=726313
https://fr.linkedin.com/posts/ministere-des-transports-terrestres-aeriens_%F0%9D%90%93%F0%9D%90%91%F0%9D%90%80%F0%9D%90%8D%F0%9D%90%92%F0%9D%90%8F%F0%9D%90%8E%F0%9D%90%91%F0%9D%90%93-%F0%9D%90%83%F0%9D%90%84-%F0%9D%90%8F%F0%9D%90%84%F0%9D%90%91%F0%9D%90%92%F0%9D%90%8E%F0%9D%90%8D%F0%9D%90%8D%F0%9D%90%84%F0%9D%90%92-activity-7349852589280190464-SjS3
https://www.seneplus.com/article/en-attendant-le-conseil-presidentiel-constats-et-attente-pour-la-peche
https://www.afdb.org/sites/default/files/documents/projects-and-operations/multinational_-_projet_de_construction_du_pont_de_rosso_-_p-z1-d00-020_-_eer_fevrier_2023.pdf
https://afrique.le360.ma/mauritanie-senegal/politique/2020/03/21/29894-coronavirus-mauritanie-senegal-fermeture-de-la-frontiere-terrestre-entre-les-deux/
https://fr.saharamedias.net/reouverture-de-la-frontiere-mauritano-senegalaise-apres-sa-fermeture-pendant-quelques-heures/
https://dtm.iom.int/sites/g/files/tmzbdl1461/files/reports/FMS_Dashboard_Oct-dec_2022.pdf
https://horizon.documentation.ird.fr/exl-doc/pleins_textes/divers18-08/010064533.pdf
https://www.journaltahalil.com/archives/detail.php?categ=3&amp;id=4861
Earlier recorded access
Source 1: full
Source 2: full
Source 3: full; failed</x:v>
      </x:c>
      <x:c r="P640" s="20" t="n">
        <x:v>1</x:v>
      </x:c>
      <x:c r="Q640" s="4" t="str">
        <x:v>West Africa</x:v>
      </x:c>
      <x:c r="R640" s="4" t="str">
        <x:v>Included</x:v>
      </x:c>
    </x:row>
    <x:row r="641" ht="409" hidden="0" customHeight="1">
      <x:c r="A641" s="16" t="str">
        <x:v>R16-AN-002</x:v>
      </x:c>
      <x:c r="B641" s="4" t="str">
        <x:v>Côte d’Ivoire inherited prohibition on land exports of coffee, cocoa and cashew</x:v>
      </x:c>
      <x:c r="C641" s="4" t="str">
        <x:v>Côte d’Ivoire; Ghana; Guinea; Burkina Faso</x:v>
      </x:c>
      <x:c r="D641" s="4" t="str">
        <x:v>No exhaustive gate list; reported interceptions on Ghana/Guinea approaches and at inland Doropo
National terrestrial export routes for the three specified agricultural products; enforcement examples toward Ghana, Guinea and Burkina Faso</x:v>
      </x:c>
      <x:c r="E641" s="4" t="str">
        <x:v>Coffee, cocoa and cashew exports by land; no general traveller or unrelated-goods closure.
Direction: Outward from Côte d’Ivoire
Exceptions: The notice permits export through designated Abidjan and San-Pedro maritime offices; land exceptions not established.</x:v>
      </x:c>
      <x:c r="F641" s="4" t="str">
        <x:v>R16-AN-002-R1 — Formal policy
Documented continuing national rule prohibiting land exports of coffee, cocoa and cashew
Start: 2013-10-16.
Last confirmed: 2026-04-23. Reopening is not established.
Formal policy: confirmed through 2026-04-23; at least 4572 calendar-day difference; reopening unknown</x:v>
      </x:c>
      <x:c r="G641" s="4" t="str">
        <x:v>Trade and protectionism / Import, export and production controls
Attributed official justification
Applies to: Documented October 2017 enforcement reinforcement
The economic-protection code applies to documented October 2017 reinforcement, not an inferred motive for the original 2005 rule or every product.</x:v>
      </x:c>
      <x:c r="H641" s="4" t="str">
        <x:v>R16-AN-002-R1: 2013 is a documentary phase boundary, not initial commencement. Smuggling and variable enforcement do not establish physical closure. No status beyond April 23 2026; permitted maritime exports continue. The signed original circular 1292 dated October 17, 2005 and the October 16, 2013 reminder have now been visually inspected. This verifies the inherited legal rule, not an original operational onset. The current official trade portal explicitly repeats the cashew land-export ban; its coffee/cocoa page did not supply an equivalent new October confirmation, so the all-product phase is not extended.</x:v>
      </x:c>
      <x:c r="I641" s="4" t="str">
        <x:v>Second full-register audit, 26 October 2026: qualified. The signed 2013 reminder, April 2026 customs enforcement report and current trade portal support the existing commodity-specific land-export rule. No all-product October 2026 extension or physical border seal is justified.</x:v>
      </x:c>
      <x:c r="J641" s="18" t="d">
        <x:v>2026-10-26T00:00:00.000Z</x:v>
      </x:c>
      <x:c r="K641" s="21" t="str">
        <x:f>IFERROR(HYPERLINK("https://www.douanes.ci/node/36241","Côte d’Ivoire Directorate General of Customs"),"Côte d’Ivoire Directorate General of Customs")</x:f>
        <x:v>Côte d’Ivoire Directorate General of Customs</x:v>
      </x:c>
      <x:c r="L641" s="21" t="str">
        <x:f>IFERROR(HYPERLINK("https://www.douanes.ci/info/fuite-de-cacao-les-douanes-ivoiriennes-saisissent-environ-78-tonnes-de-cacao","Côte d’Ivoire Customs"),"Côte d’Ivoire Customs")</x:f>
        <x:v>Côte d’Ivoire Customs</x:v>
      </x:c>
      <x:c r="M641" s="21" t="str">
        <x:f>IFERROR(HYPERLINK("https://www.douanes.ci/info/exportation-frauduleuse-de-produits-de-rente","Côte d’Ivoire Directorate General of Customs"),"Côte d’Ivoire Directorate General of Customs")</x:f>
        <x:v>Côte d’Ivoire Directorate General of Customs</x:v>
      </x:c>
      <x:c r="N641" s="4" t="str">
        <x:v>https://www.douanes.ci/node/36241
https://www.douanes.ci/info/fuite-de-cacao-les-douanes-ivoiriennes-saisissent-environ-78-tonnes-de-cacao
https://www.douanes.ci/info/exportation-frauduleuse-de-produits-de-rente
https://www.douanes.ci/sites/default/files/base_documentaire/2038.pdf
https://www.douanes.ci/sites/default/files/base_documentaire/169.pdf
https://www.douanes.ci/info/fraude-douaniere-la-douane-met-le-grappin-sur-une-importante-quantite-de-noix-de-cajou-de-cacao
https://bilan.gouv.ci/actualite/8253
https://www.bilan.gouv.ci/actualite/10974
https://gouv.ci/index.php/actualite/defense-et-securite-le-gouvernement-annonce-louverture-des-frontieres-terrestres-le-15-fevrier-2023-a-compter-de-minuit-2444
https://www.yeclo.com/des-immigres-clandestins-interceptes-dans-le-bounkani/
https://www.douanes.ci/info/textes-reglementaires?page=240
https://www.gucecotedivoire.ci/pwic/coton-et-anacarde/
https://www.gucecotedivoire.ci/pwic/cafe-cacao/
https://uatpwic.guce.gouv.ci/documents/11439/30935/C2005.1292%2BMEF%2Bcontrebande%2Bcaf%C3%A9%2Bcacao%2Bnoix%2Bde%2Bcajou.pdf/d30f095e-4da5-4219-89dc-f70218aa2052?version=1.0</x:v>
      </x:c>
      <x:c r="O641" s="4" t="str">
        <x:v>Second full-register audit source access, 26 October 2026
https://www.douanes.ci/sites/default/files/base_documentaire/169.pdf: full text (fresh retrieval) — Fresh local rendering inspected at raw/europe/169.png; web screenshot response did not contain usable image content.
https://www.douanes.ci/info/exportation-frauduleuse-de-produits-de-rente: full text (fresh retrieval) — Event date supplied; separate publication date unstated.
https://www.gucecotedivoire.ci/pwic/coton-et-anacarde/: full text (fresh retrieval) — Undated page with legacy 2017–18 campaign materials; not a dated new all-product observation.
https://www.gucecotedivoire.ci/pwic/cafe-cacao/: full text (fresh retrieval) — No matching terrestrial-ban statement found; not proof of repeal.
https://bilan.gouv.ci/actualite/8253: full text (fresh retrieval)
https://www.douanes.ci/sites/default/files/base_documentaire/2038.pdf: full text (fresh retrieval) — Does not verify crop-ban onset.
https://uatpwic.guce.gouv.ci/documents/11439/30935/C2005.1292%2BMEF%2Bcontrebande%2Bcaf%C3%A9%2Bcacao%2Bnoix%2Bde%2Bcajou.pdf/d30f095e-4da5-4219-89dc-f70218aa2052?version=1.0: inaccessible (fresh retrieval) — Fresh linked original timed out. Prior accepted visual-inspection statement is retained, but not counted as fresh inspection.
Earlier URLs not separately inspected in this second assessment:
https://www.douanes.ci/node/36241
https://www.douanes.ci/info/fuite-de-cacao-les-douanes-ivoiriennes-saisissent-environ-78-tonnes-de-cacao
https://www.douanes.ci/info/fraude-douaniere-la-douane-met-le-grappin-sur-une-importante-quantite-de-noix-de-cajou-de-cacao
https://www.bilan.gouv.ci/actualite/10974
https://gouv.ci/index.php/actualite/defense-et-securite-le-gouvernement-annonce-louverture-des-frontieres-terrestres-le-15-fevrier-2023-a-compter-de-minuit-2444
https://www.yeclo.com/des-immigres-clandestins-interceptes-dans-le-bounkani/
https://www.douanes.ci/info/textes-reglementaires?page=240
Prior audit access record
Full-register audit source access (evidence cutoff 25 October 2026)
https://www.douanes.ci/sites/default/files/base_documentaire/2038.pdf: full text — Image-only PDF inspected visually, including second page turn438view9.
https://www.douanes.ci/sites/default/files/base_documentaire/169.pdf: full text — Image-only original inspected visually; no original operational onset inferred.
https://www.douanes.ci/info/exportation-frauduleuse-de-produits-de-rente: full text
https://www.gucecotedivoire.ci/pwic/coton-et-anacarde/: full text — Contains legacy campaign material; current webpage presence does not establish every historical date.
https://www.gucecotedivoire.ci/pwic/cafe-cacao/: full text — No matching land-ban clause found; not a new October confirmation for those products.
https://www.douanes.ci/info/fuite-de-cacao-les-douanes-ivoiriennes-saisissent-environ-78-tonnes-de-cacao: full text
Earlier source URLs not separately listed in this audit’s retrieval log (historical access notes below are not fresh verification):
https://www.douanes.ci/node/36241
https://www.douanes.ci/info/fraude-douaniere-la-douane-met-le-grappin-sur-une-importante-quantite-de-noix-de-cajou-de-cacao
https://bilan.gouv.ci/actualite/8253
https://www.bilan.gouv.ci/actualite/10974
https://gouv.ci/index.php/actualite/defense-et-securite-le-gouvernement-annonce-louverture-des-frontieres-terrestres-le-15-fevrier-2023-a-compter-de-minuit-2444
https://www.yeclo.com/des-immigres-clandestins-interceptes-dans-le-bounkani/
https://www.douanes.ci/info/textes-reglementaires?page=240
Earlier recorded access
Source 1: full; partial metadata
Source 2: full
Source 3: full; full text</x:v>
      </x:c>
      <x:c r="P641" s="20" t="n">
        <x:v>1</x:v>
      </x:c>
      <x:c r="Q641" s="4" t="str">
        <x:v>West Africa</x:v>
      </x:c>
      <x:c r="R641" s="4" t="str">
        <x:v>Included</x:v>
      </x:c>
    </x:row>
    <x:row r="642" ht="409" hidden="0" customHeight="1">
      <x:c r="A642" s="16" t="str">
        <x:v>R16-AS-001</x:v>
      </x:c>
      <x:c r="B642" s="4" t="str">
        <x:v>Beitbridge international-truck scanner-access blockade, June 2018</x:v>
      </x:c>
      <x:c r="C642" s="4" t="str">
        <x:v>Zimbabwe; South Africa</x:v>
      </x:c>
      <x:c r="D642" s="4" t="str">
        <x:v>Beitbridge
Beitbridge customs scanner approach for international haulage traffic</x:v>
      </x:c>
      <x:c r="E642" s="4" t="str">
        <x:v>Haulage traffic using the blocked scanner approach.
Direction: Not established</x:v>
      </x:c>
      <x:c r="F642" s="4" t="str">
        <x:v>R16-AS-001-R1 — Observed operation
International haulage scanner-access section of Beitbridge customs yard
Start: 2018-06-19.
Observed scoped reopening: 2018-06-19 to 2018-06-21.
0–2 calendar-day difference; scoped endpoint only</x:v>
      </x:c>
      <x:c r="G642" s="4" t="str">
        <x:v>Trade and protectionism / Trade and transport protests
Reported reason
Applies to: June 19, 2018 scanner-access blockade, resolved by June 21
Drivers deliberately blocked the scanner approach to demand faster customs clearance; this supports transport-protest coding. It does not establish a state protectionist motive or a whole-border closure.</x:v>
      </x:c>
      <x:c r="H642" s="4" t="str">
        <x:v>R16-AS-001-R1: The June 21 2018 Business Daily reprint of a NewsDay/Southern Eye report places the scanner-access blockade on Tuesday June 19 and quotes Zimra spokesperson Taungana Ndoro saying the dispute had been resolved. The exact resolution day and hour within June 19–21 are unspecified; 0–2 calendar days is a bound, not evidence that the event exceeded 24 hours. Direction is unknown and only the scanner-access section is established. The Herald/Chronicle link concerns a separate October 2017 protest, while the July 2 2018 report concerns the June 30–July 1 duty-enforcement protest. Neither independently corroborates this episode. The Business Daily archive is the same source lineage; Bulawayo24 supplies a publication listing only.</x:v>
      </x:c>
      <x:c r="I642" s="4" t="str">
        <x:v>Second full-register audit, 26 October 2026: qualified. Fresh indexed reporting confirms the June 19 scanner-approach blockade and resolution by June 21; the article does not establish a precise reopening time or more than 24 hours.</x:v>
      </x:c>
      <x:c r="J642" s="18" t="d">
        <x:v>2026-10-26T00:00:00.000Z</x:v>
      </x:c>
      <x:c r="K642" s="21" t="str">
        <x:f>IFERROR(HYPERLINK("https://businessdaily.co.zw/index-id-national-zk-45039.html","Business Daily News Zimbabwe"),"Business Daily News Zimbabwe")</x:f>
        <x:v>Business Daily News Zimbabwe</x:v>
      </x:c>
      <x:c r="L642" s="21" t="str">
        <x:f>IFERROR(HYPERLINK("https://bulawayo24.com/index-id-archive-yr-2018-mnth-6.html","Bulawayo24 archive (publication listing only)"),"Bulawayo24 archive (publication listing only)")</x:f>
        <x:v>Bulawayo24 archive (publication listing only)</x:v>
      </x:c>
      <x:c r="M642" s="21" t="str">
        <x:f>IFERROR(HYPERLINK("https://www.businessdaily.co.zw/index-id-search-keyword-Soldiers.html","Business Daily archive (same-origin listing)"),"Business Daily archive (same-origin listing)")</x:f>
        <x:v>Business Daily archive (same-origin listing)</x:v>
      </x:c>
      <x:c r="N642" s="4" t="str">
        <x:v>https://businessdaily.co.zw/index-id-national-zk-45039.html
https://www.heraldonline.co.zw/chaos-as-truckers-block-beitbridge-border-post/
https://www.businessdaily.co.zw/index-id-search-keyword-Soldiers.html
https://bulawayo24.com/index-id-archive-yr-2018-mnth-6.html
https://www.newsdzezimbabwe.co.uk/2018/07/chaos-reigns-in-beitbridge.html</x:v>
      </x:c>
      <x:c r="O642" s="4" t="str">
        <x:v>Second full-register audit source access, 26 October 2026
https://businessdaily.co.zw/index-id-national-zk-45039.html: search extract (fresh retrieval) — Direct fetch returned 502; substantial indexed original text inspected. Single reporting lineage.
Earlier URLs not separately inspected in this second assessment:
https://www.heraldonline.co.zw/chaos-as-truckers-block-beitbridge-border-post/
https://www.businessdaily.co.zw/index-id-search-keyword-Soldiers.html
https://bulawayo24.com/index-id-archive-yr-2018-mnth-6.html
https://www.newsdzezimbabwe.co.uk/2018/07/chaos-reigns-in-beitbridge.html
Prior audit access record
Full-register audit source access (evidence cutoff 25 October 2026)
https://businessdaily.co.zw/index-id-national-zk-45039.html: search extract — Substantial indexed article inspected; direct fetch failed 502. Same-origin report, not independently corroborated.
https://www.heraldonline.co.zw/chaos-as-truckers-block-beitbridge-border-post/: full text — Different October 2017 event. Does not corroborate June 2018 scanner blockade.
https://www.businessdaily.co.zw/index-id-search-keyword-Soldiers.html: search extract — Direct fetch failed 502; truncated same-origin listing is not independent confirmation. Another search extract misassigned a June 1 archive date, so article-level dating is preferred.
https://bulawayo24.com/index-id-archive-yr-2018-mnth-6.html: full text — Archive lists the truck-driver/soldier article within June 21 entries; does not provide independent incident detail.
https://www.newsdzezimbabwe.co.uk/2018/07/chaos-reigns-in-beitbridge.html: full text — Different June 30–July 1 duty-enforcement protest, not the June 19 scanner event.
Earlier recorded access
Source 1: indexed excerpt; failed; indexed extract
Source 2: indexed excerpt
Source 3: Substantial indexed archive passage inspected; direct opening failed 502</x:v>
      </x:c>
      <x:c r="P642" s="20" t="n">
        <x:v>1</x:v>
      </x:c>
      <x:c r="Q642" s="4" t="str">
        <x:v>Southern Africa</x:v>
      </x:c>
      <x:c r="R642" s="4" t="str">
        <x:v>Included</x:v>
      </x:c>
    </x:row>
    <x:row r="643" ht="342" hidden="0" customHeight="1">
      <x:c r="A643" s="16" t="str">
        <x:v>R16-AM-001</x:v>
      </x:c>
      <x:c r="B643" s="4" t="str">
        <x:v>Melchor de Mencos cargo blockade, late August–2 September 2021</x:v>
      </x:c>
      <x:c r="C643" s="4" t="str">
        <x:v>Guatemala; Belize</x:v>
      </x:c>
      <x:c r="D643" s="4" t="str">
        <x:v>Melchor de Mencos / Benque Viejo Western Border
Guatemala-side road approach to the Melchor de Mencos–Benque Viejo crossing</x:v>
      </x:c>
      <x:c r="E643" s="4" t="str">
        <x:v>Incoming Guatemalan trucks, including non-corn cargo
Direction: Guatemala to Belize freight movement demonstrated; reverse and passenger effects unresolved.</x:v>
      </x:c>
      <x:c r="F643" s="4" t="str">
        <x:v>R16-AM-001-RREV1 — Intermittent regime
Guatemalan trucker protest obstructing cargo road entry to Belize at Melchor de Mencos / Western Border
Start: 2021-08-31.
Scoped endpoint: 2021-09-02, with first trucks crossing at about 11:30 local time.
Intermittent regime envelope; total closed days unknown</x:v>
      </x:c>
      <x:c r="G643" s="4" t="str">
        <x:v>Trade and protectionism / Trade and transport protests
Reported reason
Applies to: Guatemalan trucker obstruction of freight entry into Belize
Truckers protested custodian and taxi charges imposed on commercial crossings.
Policy and socioeconomic demands / Opposition to health policies
Reported reason
Applies to: The same protest
Truckers also sought less frequent COVID-19 testing. This was a protest against testing requirements, not an infection-control closure imposed by authorities.</x:v>
      </x:c>
      <x:c r="H643" s="4" t="str">
        <x:v>R16-AM-001-RREV1: Reopening was about 11:30 September 2; endpoint date is partial. August 30 in a later location-confused roundup is not preferred. Passage between blockages and all-passenger conditions remain unknown; this is not total days closed.</x:v>
      </x:c>
      <x:c r="I643" s="4" t="str">
        <x:v>Second full-register audit, 26 October 2026: additional source-audited corrections incorporated. See the phase, scope and qualification columns for the accepted findings.</x:v>
      </x:c>
      <x:c r="J643" s="18" t="d">
        <x:v>2026-10-26T00:00:00.000Z</x:v>
      </x:c>
      <x:c r="K643" s="21" t="str">
        <x:f>IFERROR(HYPERLINK("https://www.breakingbelizenews.com/2021/09/02/breaking-belize-customs-makes-concession-guatemalan-truck-drivers-give-up-protest-things-getting-back-to-normal-at-the-western-border/","Breaking Belize News"),"Breaking Belize News")</x:f>
        <x:v>Breaking Belize News</x:v>
      </x:c>
      <x:c r="L643" s="21" t="str">
        <x:f>IFERROR(HYPERLINK("https://amandala.com.bz/news/guat-truckers-protest-at-western-border/","Amandala"),"Amandala")</x:f>
        <x:v>Amandala</x:v>
      </x:c>
      <x:c r="M643" s="21" t="str">
        <x:f>IFERROR(HYPERLINK("https://www.7newsbelize.com/sstory.php?nid=59012","7 News Belize"),"7 News Belize")</x:f>
        <x:v>7 News Belize</x:v>
      </x:c>
      <x:c r="N643" s="4" t="str">
        <x:v>https://www.breakingbelizenews.com/2021/09/02/breaking-belize-customs-makes-concession-guatemalan-truck-drivers-give-up-protest-things-getting-back-to-normal-at-the-western-border/
https://amandala.com.bz/news/guat-truckers-protest-at-western-border/
https://www.7newsbelize.com/sstory.php?nid=59012
https://www.wsws.org/en/articles/2021/09/06/wkrs-s06.html</x:v>
      </x:c>
      <x:c r="O643" s="4" t="str">
        <x:v>Second full-register audit source access, 26 October 2026
https://amandala.com.bz/news/guat-truckers-protest-at-western-border/: full text (fresh retrieval)
https://www.breakingbelizenews.com/2021/09/02/breaking-belize-customs-makes-concession-guatemalan-truck-drivers-give-up-protest-things-getting-back-to-normal-at-the-western-border/: full text (fresh retrieval)
Earlier URLs not separately inspected in this second assessment:
https://www.7newsbelize.com/sstory.php?nid=59012
https://www.wsws.org/en/articles/2021/09/06/wkrs-s06.html
Prior audit access record
Full-register audit source access (evidence cutoff 25 October 2026)
https://www.7newsbelize.com/sstory.php?nid=59012: full text
https://amandala.com.bz/news/guat-truckers-protest-at-western-border/: search extract — Direct retrieval timed out.
https://www.breakingbelizenews.com/2021/09/02/breaking-belize-customs-makes-concession-guatemalan-truck-drivers-give-up-protest-things-getting-back-to-normal-at-the-western-border/: full text
Earlier source URLs not separately listed in this audit’s retrieval log (historical access notes below are not fresh verification):
https://www.wsws.org/en/articles/2021/09/06/wkrs-s06.html
Earlier recorded access
Source 1: full
Source 2: indexed excerpt; failed
Source 3: full</x:v>
      </x:c>
      <x:c r="P643" s="20" t="n">
        <x:v>1</x:v>
      </x:c>
      <x:c r="Q643" s="4" t="str">
        <x:v>Americas</x:v>
      </x:c>
      <x:c r="R643" s="4" t="str">
        <x:v>Included</x:v>
      </x:c>
    </x:row>
    <x:row r="644" ht="409" hidden="0" customHeight="1">
      <x:c r="A644" s="16" t="str">
        <x:v>R16-SM-001</x:v>
      </x:c>
      <x:c r="B644" s="4" t="str">
        <x:v>Petrapole–Benapole freight protest stoppage, January 8 2018</x:v>
      </x:c>
      <x:c r="C644" s="4" t="str">
        <x:v>Bangladesh; India</x:v>
      </x:c>
      <x:c r="D644" s="4" t="str">
        <x:v>Petrapole–Benapole
Cross-border goods in both directions at named crossing; passengers exempt.</x:v>
      </x:c>
      <x:c r="E644" s="4" t="str">
        <x:v>Cross-border freight and trucks
Direction: Both directions at named crossing
Exceptions: Passport passengers and Benapole internal cargo handling continued.</x:v>
      </x:c>
      <x:c r="F644" s="4" t="str">
        <x:v>R16-SM-001-FU1 — Observed operation
Petrapole–Benapole freight interchange
Start: 2018-01-08.
Last confirmed: 2018-01-08. Reopening is not established.
dated evidence; numeric duration withheld; see qualification</x:v>
      </x:c>
      <x:c r="G644" s="4" t="str">
        <x:v>Trade and protectionism / Trade and transport protests
Reported reason
Applies to: Recorded episode; exact overlap not separately established
The recorded rationale and claim assessment support the selected subcategories. All applicable broad categories are retained together; no primary rationale is imposed.</x:v>
      </x:c>
      <x:c r="H644" s="4" t="str">
        <x:v>R16-SM-001-FU1: Morning onset, not midnight. Later January 24–30 stoppage does not supply this episode’s endpoint.
end/continuity: The January 8 freight onset is supported, but no matched resumption or intervening continuity evidence was added. The separate later-January strike cannot answer this endpoint question.
Current continuity finding: January 8 morning freight stoppage is directly reported, with passport travelers and internal loading continuing. Same-day confirmation cannot establish a completed duration; the later January 24–30 dispute is a separate episode.
duration: Add January 8 morning freight-only stoppage onset. Keep passenger movement exempt and later January strike separate; end remains unknown.
Current continuity finding: January 8 morning freight stoppage is directly reported, with passport travelers and internal loading continuing. Same-day confirmation cannot establish a completed duration; the later January 24–30 dispute is a separate episode.</x:v>
      </x:c>
      <x:c r="I644" s="4" t="str">
        <x:v>Second full-register audit, 26 October 2026: qualified. Fresh Bengali reports confirm the 8 January 2018 freight interruption and passenger/internal-handling exceptions. Targeted English and Bengali searches did not recover a matched reopening; later-January recovery remains a separate episode.</x:v>
      </x:c>
      <x:c r="J644" s="18" t="d">
        <x:v>2026-10-26T00:00:00.000Z</x:v>
      </x:c>
      <x:c r="K644" s="21" t="str">
        <x:f>IFERROR(HYPERLINK("https://ournewsbd.net/পেট্রাপোলে-ধর্মঘট-বেনাপ/","Our News BD"),"Our News BD")</x:f>
        <x:v>Our News BD</x:v>
      </x:c>
      <x:c r="L644" s="21" t="str">
        <x:f>IFERROR(HYPERLINK("https://archive1.kalaroanews.com/%E0%A6%AD%E0%A6%BE%E0%A6%B0%E0%A6%A4%E0%A7%87%E0%A6%B0-%E0%A6%95%E0%A6%BE%E0%A6%B8%E0%A7%8D%E0%A6%9F%E0%A6%AE%E0%A6%B8%E0%A7%8D-%E0%A6%93-%E0%A6%B8%E0%A6%BF%E0%A6%8F%E0%A6%A8%E0%A7%8D%E0%A6%A1/","Kalaroa News"),"Kalaroa News")</x:f>
        <x:v>Kalaroa News</x:v>
      </x:c>
      <x:c r="M644" s="21" t="str">
        <x:f>IFERROR(HYPERLINK("https://ournewsbd.net/%E0%A6%AA%E0%A7%87%E0%A6%9F%E0%A7%8D%E0%A6%B0%E0%A6%BE%E0%A6%AA%E0%A7%8B%E0%A6%B2%E0%A7%87-%E0%A6%A7%E0%A6%B0%E0%A7%8D%E0%A6%AE%E0%A6%98%E0%A6%9F-%E0%A6%AC%E0%A7%87%E0%A6%A8%E0%A6%BE%E0%A6%AA/","OurNewsBD"),"OurNewsBD")</x:f>
        <x:v>OurNewsBD</x:v>
      </x:c>
      <x:c r="N644" s="4" t="str">
        <x:v>https://ournewsbd.net/পেট্রাপোলে-ধর্মঘট-বেনাপ/
https://archive1.kalaroanews.com/%E0%A6%AD%E0%A6%BE%E0%A6%B0%E0%A6%A4%E0%A7%87%E0%A6%B0-%E0%A6%95%E0%A6%BE%E0%A6%B8%E0%A7%8D%E0%A6%9F%E0%A6%AE%E0%A6%B8%E0%A7%8D-%E0%A6%93-%E0%A6%B8%E0%A6%BF%E0%A6%8F%E0%A6%A8%E0%A7%8D%E0%A6%A1/
https://ournewsbd.net/%E0%A6%AA%E0%A7%87%E0%A6%9F%E0%A7%8D%E0%A6%B0%E0%A6%BE%E0%A6%AA%E0%A7%8B%E0%A6%B2%E0%A7%87-%E0%A6%A7%E0%A6%B0%E0%A7%8D%E0%A6%AE%E0%A6%98%E0%A6%9F-%E0%A6%AC%E0%A7%87%E0%A6%A8%E0%A6%BE%E0%A6%AA/
https://today.thefinancialexpress.com.bd/first-page/six-day-halt-at-benapole-port-causes-tk-600m-revenue-loss-1517421362?date=01-02-2018
https://archive1.kalaroanews.com/2018/01/08/
https://www.dhakatribune.com/bangladesh/nation/136789/import-export-thru-benapole-port-halted-for-4-days
https://www.thedailystar.net/backpage/deadlock-ends-benapole-1527526
https://archive1.kalaroanews.com/ভারতের-কাস্টমস্-ও-সিএন্ড/
https://old.dailyinqilab.com/article/115083/%C3%A0%C2%A7%C2%AC-%C3%A0%C2%A6%C2%A6%C3%A0%C2%A6%C2%BF%C3%A0%C2%A6%C2%A8-%C3%A0%C2%A6%C2%AA%C3%A0%C2%A6%C2%B0-%C3%A0%C2%A6%C2%B8%C3%A0%C2%A6%C2%9A%C3%A0%C2%A6%C2%B2-%C3%A0%C2%A6%C2%AC%C3%A0%C2%A7%C2%87%C3%A0%C2%A6%C2%A8%C3%A0%C2%A6%C2%BE%C3%A0%C2%A6%C2%AA%C3%A0%C2%A7%C2%8B%C3%A0%C2%A6%C2%B2-%C3%A0%C2%A6%C2%AA%C3%A0%C2%A7%C2%87%C3%A0%C2%A6%C2%9F%C3%A0%C2%A7%C2%8D%C3%A0%C2%A6%C2%B0%C3%A0%C2%A6%C2%BE%C3%A0%C2%A6%C2%AA%C3%A0%C2%A7%25</x:v>
      </x:c>
      <x:c r="O644" s="4" t="str">
        <x:v>Second full-register audit source access, 26 October 2026
https://ournewsbd.net/পেট্রাপোলে-ধর্মঘট-বেনাপ/: full text (fresh retrieval)
https://archive1.kalaroanews.com/ভারতের-কাস্টমস্-ও-সিএন্ড/: full text (fresh retrieval)
https://today.thefinancialexpress.com.bd/first-page/six-day-halt-at-benapole-port-causes-tk-600m-revenue-loss-1517421362?date=01-02-2018: search extract (fresh retrieval) — Indexed text; no matched first-episode endpoint.
Earlier URLs not separately inspected in this second assessment:
https://archive1.kalaroanews.com/%E0%A6%AD%E0%A6%BE%E0%A6%B0%E0%A6%A4%E0%A7%87%E0%A6%B0-%E0%A6%95%E0%A6%BE%E0%A6%B8%E0%A7%8D%E0%A6%9F%E0%A6%AE%E0%A6%B8%E0%A7%8D-%E0%A6%93-%E0%A6%B8%E0%A6%BF%E0%A6%8F%E0%A6%A8%E0%A7%8D%E0%A6%A1/
https://ournewsbd.net/%E0%A6%AA%E0%A7%87%E0%A6%9F%E0%A7%8D%E0%A6%B0%E0%A6%BE%E0%A6%AA%E0%A7%8B%E0%A6%B2%E0%A7%87-%E0%A6%A7%E0%A6%B0%E0%A7%8D%E0%A6%AE%E0%A6%98%E0%A6%9F-%E0%A6%AC%E0%A7%87%E0%A6%A8%E0%A6%BE%E0%A6%AA/
https://archive1.kalaroanews.com/2018/01/08/
https://www.dhakatribune.com/bangladesh/nation/136789/import-export-thru-benapole-port-halted-for-4-days
https://www.thedailystar.net/backpage/deadlock-ends-benapole-1527526
https://old.dailyinqilab.com/article/115083/%C3%A0%C2%A7%C2%AC-%C3%A0%C2%A6%C2%A6%C3%A0%C2%A6%C2%BF%C3%A0%C2%A6%C2%A8-%C3%A0%C2%A6%C2%AA%C3%A0%C2%A6%C2%B0-%C3%A0%C2%A6%C2%B8%C3%A0%C2%A6%C2%9A%C3%A0%C2%A6%C2%B2-%C3%A0%C2%A6%C2%AC%C3%A0%C2%A7%C2%87%C3%A0%C2%A6%C2%A8%C3%A0%C2%A6%C2%BE%C3%A0%C2%A6%C2%AA%C3%A0%C2%A7%C2%8B%C3%A0%C2%A6%C2%B2-%C3%A0%C2%A6%C2%AA%C3%A0%C2%A7%C2%87%C3%A0%C2%A6%C2%9F%C3%A0%C2%A7%C2%8D%C3%A0%C2%A6%C2%B0%C3%A0%C2%A6%C2%BE%C3%A0%C2%A6%C2%AA%C3%A0%C2%A7%25
Prior audit access record
Full-register audit source access (evidence cutoff 25 October 2026)
https://ournewsbd.net/পেট্রাপোলে-ধর্মঘট-বেনাপ/: full text — No resumption
https://today.thefinancialexpress.com.bd/first-page/six-day-halt-at-benapole-port-causes-tk-600m-revenue-loss-1517421362?date=01-02-2018: search extract — Search extract; not this episode's end
Earlier source URLs not separately listed in this audit’s retrieval log (historical access notes below are not fresh verification):
https://archive1.kalaroanews.com/%E0%A6%AD%E0%A6%BE%E0%A6%B0%E0%A6%A4%E0%A7%87%E0%A6%B0-%E0%A6%95%E0%A6%BE%E0%A6%B8%E0%A7%8D%E0%A6%9F%E0%A6%AE%E0%A6%B8%E0%A7%8D-%E0%A6%93-%E0%A6%B8%E0%A6%BF%E0%A6%8F%E0%A6%A8%E0%A7%8D%E0%A6%A1/
https://ournewsbd.net/%E0%A6%AA%E0%A7%87%E0%A6%9F%E0%A7%8D%E0%A6%B0%E0%A6%BE%E0%A6%AA%E0%A7%8B%E0%A6%B2%E0%A7%87-%E0%A6%A7%E0%A6%B0%E0%A7%8D%E0%A6%AE%E0%A6%98%E0%A6%9F-%E0%A6%AC%E0%A7%87%E0%A6%A8%E0%A6%BE%E0%A6%AA/
https://archive1.kalaroanews.com/2018/01/08/
https://www.dhakatribune.com/bangladesh/nation/136789/import-export-thru-benapole-port-halted-for-4-days
https://www.thedailystar.net/backpage/deadlock-ends-benapole-1527526
https://archive1.kalaroanews.com/ভারতের-কাস্টমস্-ও-সিএন্ড/
https://old.dailyinqilab.com/article/115083/%C3%A0%C2%A7%C2%AC-%C3%A0%C2%A6%C2%A6%C3%A0%C2%A6%C2%BF%C3%A0%C2%A6%C2%A8-%C3%A0%C2%A6%C2%AA%C3%A0%C2%A6%C2%B0-%C3%A0%C2%A6%C2%B8%C3%A0%C2%A6%C2%9A%C3%A0%C2%A6%C2%B2-%C3%A0%C2%A6%C2%AC%C3%A0%C2%A7%C2%87%C3%A0%C2%A6%C2%A8%C3%A0%C2%A6%C2%BE%C3%A0%C2%A6%C2%AA%C3%A0%C2%A7%C2%8B%C3%A0%C2%A6%C2%B2-%C3%A0%C2%A6%C2%AA%C3%A0%C2%A7%C2%87%C3%A0%C2%A6%C2%9F%C3%A0%C2%A7%C2%8D%C3%A0%C2%A6%C2%B0%C3%A0%C2%A6%C2%BE%C3%A0%C2%A6%C2%AA%C3%A0%C2%A7%25
Earlier recorded access
Source 1: full text
Source 2: full
Source 3: full</x:v>
      </x:c>
      <x:c r="P644" s="20" t="n">
        <x:v>1</x:v>
      </x:c>
      <x:c r="Q644" s="4" t="str">
        <x:v>South Asia, Central Asia and Caucasus</x:v>
      </x:c>
      <x:c r="R644" s="4" t="str">
        <x:v>Included</x:v>
      </x:c>
    </x:row>
    <x:row r="645" ht="409" hidden="0" customHeight="1">
      <x:c r="A645" s="16" t="str">
        <x:v>R16-SM-005</x:v>
      </x:c>
      <x:c r="B645" s="4" t="str">
        <x:v>Sarfait security closure following armed confrontation, July 2025</x:v>
      </x:c>
      <x:c r="C645" s="4" t="str">
        <x:v>Oman; Yemen</x:v>
      </x:c>
      <x:c r="D645" s="4" t="str">
        <x:v>Sarfait / Sarfit / Surfeet
Closure of Sarfait crossing by Yemeni local authorities; reportedly complete but category/direction exceptions unitemised.</x:v>
      </x:c>
      <x:c r="E645" s="4" t="str">
        <x:v>Crossing users; precise goods/passenger categories unknown
Direction: Not itemised; crossing closure reported</x:v>
      </x:c>
      <x:c r="F645" s="4" t="str">
        <x:v>R16-SM-005-D1 — Observed operation
Reported Sarfait crossing-service suspension after the armed confrontation
Start: 2025-07-07 to 2025-07-08.
Observed scoped reopening: 2025-07-08 to 2025-07-09.
0–2 calendar-day difference; scoped endpoint only</x:v>
      </x:c>
      <x:c r="G645" s="4" t="str">
        <x:v>Security / Armed conflict and military confrontation
Reported reason
Applies to: July 2025 Sarfait closure after armed confrontation
Local and military-source reporting links the precautionary closure to armed confrontation; disputed affiliations and alleged offences remain attributed.
Security / Smuggling and illicit trafficking
Attributed official justification
Applies to: July 8 local-authority explanation of the Sarfait closure
Ain Al Mahrah attributes to an unnamed local-authority official the purpose of protecting border security and preventing possible infiltration or smuggling. This records a stated preventive justification, not established trafficking or an independently obtained order.</x:v>
      </x:c>
      <x:c r="H645" s="4" t="str">
        <x:v>R16-SM-005-D1: Reported operational bounds, not exact reopening on publication day. Detailed direction/category exceptions remain unitemised and all-category implementation is not independently verified. July 7 detention is not itself the closure date; no extension to cutoff or exact hours is claimed.</x:v>
      </x:c>
      <x:c r="I645" s="4" t="str">
        <x:v>Second full-register audit, 26 October 2026: qualified. The existing July 7–8 onset bound survives a direct source conflict: Al Marsa says Monday, while Ain Al Mahrah says Tuesday. July 9 reopening is only a brief local-source observation.</x:v>
      </x:c>
      <x:c r="J645" s="18" t="d">
        <x:v>2026-10-26T00:00:00.000Z</x:v>
      </x:c>
      <x:c r="K645" s="21" t="str">
        <x:f>IFERROR(HYPERLINK("https://www.alaraby.co.uk/politics/القبض-على-القيادي-الحوثي-محمد-الزايدي-في-منفذ-صرفيت-شرقي-اليمن","Al Araby Al Jadeed"),"Al Araby Al Jadeed")</x:f>
        <x:v>Al Araby Al Jadeed</x:v>
      </x:c>
      <x:c r="L645" s="21" t="str">
        <x:f>IFERROR(HYPERLINK("https://ainalmahrah.com/news36278.html","Ain Al Mahrah"),"Ain Al Mahrah")</x:f>
        <x:v>Ain Al Mahrah</x:v>
      </x:c>
      <x:c r="M645" s="21" t="str">
        <x:f>IFERROR(HYPERLINK("https://almmarsa.com/report/إغلاق-منفذ-صرفيت-بعد-اعتقال-قيادي-حوثي/","Al Marsa"),"Al Marsa")</x:f>
        <x:v>Al Marsa</x:v>
      </x:c>
      <x:c r="N645" s="4" t="str">
        <x:v>https://www.alaraby.co.uk/politics/القبض-على-القيادي-الحوثي-محمد-الزايدي-في-منفذ-صرفيت-شرقي-اليمن
https://ainalmahrah.com/news36278.html
https://almmarsa.com/report/إغلاق-منفذ-صرفيت-بعد-اعتقال-قيادي-حوثي/
https://nabd.com/s/157750512-0f3cf0/%D8%B9%D8%A7%D8%AC%D9%84-%D9%85%D8%B5%D8%A7%D8%AF%D8%B1-%D9%85%D8%AD%D9%84%D9%8A%D8%A9-%D8%A5%D8%B9%D8%A7%D8%AF%D8%A9-%D9%81%D8%AA%D8%AD-%D9%85%D9%86%D9%81%D8%B0-%D8%B5%D8%B1%D9%81%D9%8A%D8%AA-%D8%A7%D9%84%D8%AD%D8%AF%D9%88%D8%AF%D9%8A-%D9%85%D8%B9-%D8%B3%D9%84%D8%B7%D9%86%D8%A9-%D8%B9%D9%8F%D9%85%D8%A7%D9%86
https://barran.press/news/10175
https://www.yemenmonitor.com/en/Details/ArtMID/908/ArticleID/144765
https://nabd.com/s/157750512-0f3cf0/عاجل-مصادر-محلية-إعادة-فتح-منفذ-صرفيت-الحدودي-مع-سلطنة-عُمان</x:v>
      </x:c>
      <x:c r="O645" s="4" t="str">
        <x:v>Second full-register audit source access, 26 October 2026
https://ainalmahrah.com/news36278.html: full text (fresh retrieval)
https://almmarsa.com/report/إغلاق-منفذ-صرفيت-بعد-اعتقال-قيادي-حوثي/: full text (fresh retrieval)
https://barran.press/news/10175: full text (fresh retrieval)
https://nabd.com/s/157750512-0f3cf0/عاجل-مصادر-محلية-إعادة-فتح-منفذ-صرفيت-الحدودي-مع-سلطنة-عُمان: full text (fresh retrieval) — One-sentence local-source flash, without category detail or reopening hour.
Earlier URLs not separately inspected in this second assessment:
https://www.alaraby.co.uk/politics/القبض-على-القيادي-الحوثي-محمد-الزايدي-في-منفذ-صرفيت-شرقي-اليمن
https://nabd.com/s/157750512-0f3cf0/%D8%B9%D8%A7%D8%AC%D9%84-%D9%85%D8%B5%D8%A7%D8%AF%D8%B1-%D9%85%D8%AD%D9%84%D9%8A%D8%A9-%D8%A5%D8%B9%D8%A7%D8%AF%D8%A9-%D9%81%D8%AA%D8%AD-%D9%85%D9%86%D9%81%D8%B0-%D8%B5%D8%B1%D9%81%D9%8A%D8%AA-%D8%A7%D9%84%D8%AD%D8%AF%D9%88%D8%AF%D9%8A-%D9%85%D8%B9-%D8%B3%D9%84%D8%B7%D9%86%D8%A9-%D8%B9%D9%8F%D9%85%D8%A7%D9%86
https://www.yemenmonitor.com/en/Details/ArtMID/908/ArticleID/144765
Prior audit access record
Full-register audit source access (evidence cutoff 25 October 2026)
https://ainalmahrah.com/news36278.html: full text
https://www.yemenmonitor.com/en/Details/ArtMID/908/ArticleID/144765: full text
https://barran.press/news/10175: full text
https://nabd.com/s/157750512-0f3cf0/عاجل-مصادر-محلية-إعادة-فتح-منفذ-صرفيت-الحدودي-مع-سلطنة-عُمان: full text — One-sentence local-source newsflash only; no independently detailed crossing operation.
Earlier source URLs not separately listed in this audit’s retrieval log (historical access notes below are not fresh verification):
https://www.alaraby.co.uk/politics/القبض-على-القيادي-الحوثي-محمد-الزايدي-في-منفذ-صرفيت-شرقي-اليمن
https://almmarsa.com/report/إغلاق-منفذ-صرفيت-بعد-اعتقال-قيادي-حوثي/
https://nabd.com/s/157750512-0f3cf0/%D8%B9%D8%A7%D8%AC%D9%84-%D9%85%D8%B5%D8%A7%D8%AF%D8%B1-%D9%85%D8%AD%D9%84%D9%8A%D8%A9-%D8%A5%D8%B9%D8%A7%D8%AF%D8%A9-%D9%81%D8%AA%D8%AD-%D9%85%D9%86%D9%81%D8%B0-%D8%B5%D8%B1%D9%81%D9%8A%D8%AA-%D8%A7%D9%84%D8%AD%D8%AF%D9%88%D8%AF%D9%8A-%D9%85%D8%B9-%D8%B3%D9%84%D8%B7%D9%86%D8%A9-%D8%B9%D9%8F%D9%85%D8%A7%D9%86
Earlier recorded access
Source 1: Relevant returned article body opened and inspected
Source 2: Relevant returned article body opened and inspected
Source 3: Relevant returned article body opened and inspected</x:v>
      </x:c>
      <x:c r="P645" s="20" t="n">
        <x:v>1</x:v>
      </x:c>
      <x:c r="Q645" s="4" t="str">
        <x:v>Middle East</x:v>
      </x:c>
      <x:c r="R645" s="4" t="str">
        <x:v>Included</x:v>
      </x:c>
    </x:row>
    <x:row r="646" ht="409" hidden="0" customHeight="1">
      <x:c r="A646" s="16" t="str">
        <x:v>R16-EU-001</x:v>
      </x:c>
      <x:c r="B646" s="4" t="str">
        <x:v>Inherited Finland–Norway restriction on ordinary cross-border reindeer husbandry</x:v>
      </x:c>
      <x:c r="C646" s="4" t="str">
        <x:v>Finland; Norway</x:v>
      </x:c>
      <x:c r="D646" s="4" t="str">
        <x:v>Frontier grazing areas; not general passenger checkpoints
Finland–Norway land-frontier husbandry/grazing regime; treaty fence line is the operative divide where specified, with the international boundary operative between Angeli and boundary cairn 343.</x:v>
      </x:c>
      <x:c r="E646" s="4" t="str">
        <x:v>Reindeer crossing the treaty-defined divide for ordinary husbandry/grazing, subject to designated-route and lawful slaughter-import exceptions.
Direction: Reciprocal Finland–Norway
Exceptions: Articles 7–11 regulate recovery/return of strays. Article 19 permits commission-designated migration routes across the other state, without grazing during that movement, and excludes lawfully imported slaughter reindeer under secure guarding. Fence deviations mean the operative grazing divide is not everywhere the international line. No general passenger or all-livestock trade ban asserted.</x:v>
      </x:c>
      <x:c r="F646" s="4" t="str">
        <x:v>R16-EU-001-R1 — Formal policy
Renewed Norway–Finland ordinary cross-border reindeer husbandry restriction under the convention effective January 1, 2017, preserving its exceptions and subsequent fence-alignment amendment.
Start: 2017-01-01.
Last confirmed: 2026-04-30. Reopening is not established.
Formal policy: confirmed through 2026-04-30; at least 3406 calendar-day difference; reopening unknown</x:v>
      </x:c>
      <x:c r="G646" s="4" t="str">
        <x:v>Environment and resource management / Herd and grazing management
Attributed official justification
Applies to: Only the closure or restriction described by the cited source; no added temporal overlap claim
The bilateral arrangements require guarding and fencing to prevent reindeer crossing and define responsibility for straying herds. This is husbandry control, not demonstrated disease prevention. No additional motive is inferred.</x:v>
      </x:c>
      <x:c r="H646" s="4" t="str">
        <x:v>R16-EU-001-R1: A modern formal policy phase, not historic onset or a physical fence-completion interval. Preserve stray recovery, designated migration routes without grazing, and lawful guarded slaughter imports. March 2023 change concerns fence alignment. April 30, 2026 is substantive confirmation, not reopening or research-cutoff extrapolation.</x:v>
      </x:c>
      <x:c r="I646" s="4" t="str">
        <x:v>Second full-register audit, 26 October 2026: qualified. The 2017 convention and April 2026 government confirmation support the inherited husbandry restriction, including route, slaughter-import and stray-return exceptions.</x:v>
      </x:c>
      <x:c r="J646" s="18" t="d">
        <x:v>2026-10-26T00:00:00.000Z</x:v>
      </x:c>
      <x:c r="K646" s="21" t="str">
        <x:f>IFERROR(HYPERLINK("https://www.regjeringen.no/no/dokumenter/meld.-st.-32-20162017/id2547907/?ch=10","Norwegian Ministry of Agriculture and Food"),"Norwegian Ministry of Agriculture and Food")</x:f>
        <x:v>Norwegian Ministry of Agriculture and Food</x:v>
      </x:c>
      <x:c r="L646" s="21" t="str">
        <x:f>IFERROR(HYPERLINK("https://www.regjeringen.no/no/dokumenter/meld.-st.-32-20162017/id2547907/","Norwegian Ministry of Agriculture and Food"),"Norwegian Ministry of Agriculture and Food")</x:f>
        <x:v>Norwegian Ministry of Agriculture and Food</x:v>
      </x:c>
      <x:c r="M646" s="21" t="str">
        <x:f>IFERROR(HYPERLINK("https://www.regjeringen.no/no/dokumenter/prop.-49-s-20152016/id2471317/?ch=9","Norwegian government"),"Norwegian government")</x:f>
        <x:v>Norwegian government</x:v>
      </x:c>
      <x:c r="N646" s="4" t="str">
        <x:v>https://www.regjeringen.no/no/dokumenter/meld.-st.-32-20162017/id2547907/?ch=10
https://www.regjeringen.no/no/dokumenter/meld.-st.-32-20162017/id2547907/
https://www.regjeringen.no/no/dokumenter/prop.-49-s-20152016/id2471317/?ch=9
https://www.regjeringen.no/no/aktuelt/enighet-om-endring-i-reingjerdekonvensjonen-av-9.-desember-2014-mellom-norge-og-finland/id2970759/
https://www.regjeringen.no/no/dokumenter/prop.-92-s-20252026/id3157656/?ch=5
https://www.regjeringen.no/no/dokumenter/prop.-92-s-20252026/id3157656/
https://www.landbruksdirektoratet.no/nb/reindrift/reinkonvensjoner
https://paliskunnat.fi/reindeer-herders-association/organisation/reindeer-fences/finland-norway/
https://www.regjeringen.no/no/dokumenter/prop.-49-s-20152016/id2471317/?ch=2</x:v>
      </x:c>
      <x:c r="O646" s="4" t="str">
        <x:v>Second full-register audit source access, 26 October 2026
https://www.regjeringen.no/no/dokumenter/prop.-92-s-20252026/id3157656/?ch=5: full text (fresh retrieval)
https://www.regjeringen.no/no/dokumenter/prop.-49-s-20152016/id2471317/?ch=9: full text (fresh retrieval)
https://www.regjeringen.no/no/dokumenter/meld.-st.-32-20162017/id2547907/?ch=10: search extract (previously retrieved text re-examined)
https://www.regjeringen.no/no/aktuelt/enighet-om-endring-i-reingjerdekonvensjonen-av-9.-desember-2014-mellom-norge-og-finland/id2970759/: search extract (previously retrieved text re-examined)
https://www.regjeringen.no/no/dokumenter/prop.-92-s-20252026/id3157656/: full text (previously retrieved text re-examined)
Earlier URLs not separately inspected in this second assessment:
https://www.regjeringen.no/no/dokumenter/meld.-st.-32-20162017/id2547907/
https://www.landbruksdirektoratet.no/nb/reindrift/reinkonvensjoner
https://paliskunnat.fi/reindeer-herders-association/organisation/reindeer-fences/finland-norway/
https://www.regjeringen.no/no/dokumenter/prop.-49-s-20152016/id2471317/?ch=2
Prior audit access record
Full-register audit source access (evidence cutoff 25 October 2026)
https://www.regjeringen.no/no/dokumenter/meld.-st.-32-20162017/id2547907/?ch=10: search extract
https://www.regjeringen.no/no/dokumenter/prop.-49-s-20152016/id2471317/?ch=9: full text
https://www.landbruksdirektoratet.no/nb/reindrift/reinkonvensjoner: full text
https://www.regjeringen.no/no/aktuelt/enighet-om-endring-i-reingjerdekonvensjonen-av-9.-desember-2014-mellom-norge-og-finland/id2970759/: search extract
https://www.regjeringen.no/no/dokumenter/prop.-92-s-20252026/id3157656/?ch=5: full text
https://www.regjeringen.no/no/dokumenter/prop.-92-s-20252026/id3157656/: full text
Earlier source URLs not separately listed in this audit’s retrieval log (historical access notes below are not fresh verification):
https://www.regjeringen.no/no/dokumenter/meld.-st.-32-20162017/id2547907/
https://paliskunnat.fi/reindeer-herders-association/organisation/reindeer-fences/finland-norway/
https://www.regjeringen.no/no/dokumenter/prop.-49-s-20152016/id2471317/?ch=2
Earlier recorded access
Source 1: full
Source 2: full
Source 3: full</x:v>
      </x:c>
      <x:c r="P646" s="20" t="n">
        <x:v>1</x:v>
      </x:c>
      <x:c r="Q646" s="4" t="str">
        <x:v>Europe</x:v>
      </x:c>
      <x:c r="R646" s="4" t="str">
        <x:v>Included</x:v>
      </x:c>
    </x:row>
    <x:row r="647" ht="378" hidden="0" customHeight="1">
      <x:c r="A647" s="16" t="str">
        <x:v>R16-EU-002</x:v>
      </x:c>
      <x:c r="B647" s="4" t="str">
        <x:v>Siret frontier approach blocked during farmers’ protest, 7 April 2023</x:v>
      </x:c>
      <x:c r="C647" s="4" t="str">
        <x:v>Romania; Ukraine</x:v>
      </x:c>
      <x:c r="D647" s="4" t="str">
        <x:v>Siret–Porubne
Siret–Porubne road crossing and immediate Romanian approach</x:v>
      </x:c>
      <x:c r="E647" s="4" t="str">
        <x:v>Frontier road traffic; vehicle categories not separately resolved
Direction: Directions unspecified in local blockade account
Exceptions: Category exemptions not established; later traffic and snow-related congestion must not be read as continuous total closure.</x:v>
      </x:c>
      <x:c r="F647" s="4" t="str">
        <x:v>R16-EU-002-D1 — Observed operation
Siret episode on 7 April 2023; reported as a short interruption.
Start: 2023-04-07.
Observed scoped reopening: 2023-04-07.
Same-day episode; no whole-day duration inferred</x:v>
      </x:c>
      <x:c r="G647" s="4" t="str">
        <x:v>Trade and protectionism / Trade and transport protests
Reported reason
Applies to: Siret frontier protest, April 7, 2023
The local report attributes the protest to farmers’ complaints that Ukrainian grain imports remaining in Romania depressed their market and threatened farm viability. These are participants’ claims, not an independently established economic effect.</x:v>
      </x:c>
      <x:c r="H647" s="4" t="str">
        <x:v>R16-EU-002-D1: Shown as an episode occurring on this date, not a whole-day closure. Local report describes three-hour obstruction, without exact clock endpoints or category breakdown. Same-day endpoint reflects its bounded retrospective description; TVR documents traffic by next day, not exact reopening moment.</x:v>
      </x:c>
      <x:c r="I647" s="4" t="str">
        <x:v>Second full-register audit, 26 October 2026: qualified. The April 7, 2023 Siret protest is explicitly described as a three-hour obstruction, while next-day queues combine weather and protest effects.</x:v>
      </x:c>
      <x:c r="J647" s="18" t="d">
        <x:v>2026-10-26T00:00:00.000Z</x:v>
      </x:c>
      <x:c r="K647" s="21" t="str">
        <x:f>IFERROR(HYPERLINK("https://www.desteptarea.ro/fermierii-din-bacau-au-protestat-la-vama-siret/","Deșteptarea"),"Deșteptarea")</x:f>
        <x:v>Deșteptarea</x:v>
      </x:c>
      <x:c r="L647" s="21" t="str">
        <x:f>IFERROR(HYPERLINK("https://tvrinfo.ro/sute-de-tiruri-blocate-la-vama-siret-restric-iile-de-circula-ie-impuse-din-cauza-vremii-i-protestul-fermierilor-printre-cauze_928703/","TVR Info"),"TVR Info")</x:f>
        <x:v>TVR Info</x:v>
      </x:c>
      <x:c r="M647" s="21" t="str">
        <x:f>IFERROR(HYPERLINK("https://www.voanews.com/amp/romanian-farmers-block-borders-in-protest-over-ukrainian-grain-imports-/7040902.html","VOA / Reuters"),"VOA / Reuters")</x:f>
        <x:v>VOA / Reuters</x:v>
      </x:c>
      <x:c r="N647" s="4" t="str">
        <x:v>https://www.desteptarea.ro/fermierii-din-bacau-au-protestat-la-vama-siret/
https://tvrinfo.ro/sute-de-tiruri-blocate-la-vama-siret-restric-iile-de-circula-ie-impuse-din-cauza-vremii-i-protestul-fermierilor-printre-cauze_928703/
https://www.voanews.com/amp/romanian-farmers-block-borders-in-protest-over-ukrainian-grain-imports-/7040902.html
https://agrobiznes.ro/25453-suceava-coloana-de-700-camioane-pe-o-distanta-de-15-km-spre-vama-siret/</x:v>
      </x:c>
      <x:c r="O647" s="4" t="str">
        <x:v>Second full-register audit source access, 26 October 2026
https://www.desteptarea.ro/fermierii-din-bacau-au-protestat-la-vama-siret/: full text (fresh retrieval)
https://tvrinfo.ro/sute-de-tiruri-blocate-la-vama-siret-restric-iile-de-circula-ie-impuse-din-cauza-vremii-i-protestul-fermierilor-printre-cauze_928703/: full text (previously retrieved text re-examined)
Earlier URLs not separately inspected in this second assessment:
https://www.voanews.com/amp/romanian-farmers-block-borders-in-protest-over-ukrainian-grain-imports-/7040902.html
https://agrobiznes.ro/25453-suceava-coloana-de-700-camioane-pe-o-distanta-de-15-km-spre-vama-siret/
Prior audit access record
Full-register audit source access (evidence cutoff 25 October 2026)
https://www.desteptarea.ro/fermierii-din-bacau-au-protestat-la-vama-siret/: full text
https://tvrinfo.ro/sute-de-tiruri-blocate-la-vama-siret-restric-iile-de-circula-ie-impuse-din-cauza-vremii-i-protestul-fermierilor-printre-cauze_928703/: full text
Earlier source URLs not separately listed in this audit’s retrieval log (historical access notes below are not fresh verification):
https://www.voanews.com/amp/romanian-farmers-block-borders-in-protest-over-ukrainian-grain-imports-/7040902.html
https://agrobiznes.ro/25453-suceava-coloana-de-700-camioane-pe-o-distanta-de-15-km-spre-vama-siret/
Earlier recorded access
Source 1: full text
Source 2: full text
Source 3: Opened relevant article/document body; inspected decisive passage</x:v>
      </x:c>
      <x:c r="P647" s="20" t="n">
        <x:v>1</x:v>
      </x:c>
      <x:c r="Q647" s="4" t="str">
        <x:v>Europe</x:v>
      </x:c>
      <x:c r="R647" s="4" t="str">
        <x:v>Included</x:v>
      </x:c>
    </x:row>
    <x:row r="648" ht="409" hidden="0" customHeight="1">
      <x:c r="A648" s="16" t="str">
        <x:v>R16-EU-003</x:v>
      </x:c>
      <x:c r="B648" s="4" t="str">
        <x:v>Siret–Porubne truck blockade, 13 January 2024</x:v>
      </x:c>
      <x:c r="C648" s="4" t="str">
        <x:v>Romania; Ukraine</x:v>
      </x:c>
      <x:c r="D648" s="4" t="str">
        <x:v>Siret–Porubne
Romanian approach to Siret–Porubne</x:v>
      </x:c>
      <x:c r="E648" s="4" t="str">
        <x:v>Freight trucks
Direction: Truck movement through Siret affected; onset source warns both directions may be disrupted, not proof of identical implementation.
Exceptions: Cars, buses and pedestrians reported processed normally.</x:v>
      </x:c>
      <x:c r="F648" s="4" t="str">
        <x:v>R16-EU-003-D1 — Observed operation
Siret same-day episode on 13 January 2024; not joined across the gap to later protests.
Start: 2024-01-13.
Observed scoped reopening: 2024-01-13.
Same-day episode; no whole-day duration inferred</x:v>
      </x:c>
      <x:c r="G648" s="4" t="str">
        <x:v>Uncoded / Unresolved rationale
Not assigned
Applies to: Not assigned
No additional motive inferred</x:v>
      </x:c>
      <x:c r="H648" s="4" t="str">
        <x:v>R16-EU-003-D1: Shown as an episode occurring on this date, not a whole-day closure. Exact onset/reopening clock times and directional uniformity unknown; same-day reopening prevents continuous January 13–20 spell. Cars, passenger buses and pedestrians continued normal processing during the truck obstruction. A next-day six-hour estimate is attributed to the border service and is not converted into exact clocks.
rationale: Retain unresolved rationale. A neighbouring-day regional farmers statement cannot silently replace the contemporaneous border-service unknown; existing same-day phase unchanged.
Current finding: Contemporaneous Border Guard-based reports confirm a truck blockade on January 13 and same-day resumed processing. Passenger vehicles, buses and pedestrians continued. The original onset account explicitly leaves the immediate motive unknown, correctly preventing a rationale imported from adjacent protests. Directional uniformity and exact hours remain uncertain; the gap before subsequent episodes must stay visible.</x:v>
      </x:c>
      <x:c r="I648" s="4" t="str">
        <x:v>Second full-register audit, 26 October 2026: qualified. January 13’s same-day truck blockade and passenger exemptions are confirmed; the apparently contemporary local rationale article actually describes Friday January 12, so it does not resolve this phase’s motive.</x:v>
      </x:c>
      <x:c r="J648" s="18" t="d">
        <x:v>2026-10-26T00:00:00.000Z</x:v>
      </x:c>
      <x:c r="K648" s="21" t="str">
        <x:f>IFERROR(HYPERLINK("https://www.eurointegration.com.ua/news/2024/01/13/7177400/","European Pravda"),"European Pravda")</x:f>
        <x:v>European Pravda</x:v>
      </x:c>
      <x:c r="L648" s="21" t="str">
        <x:f>IFERROR(HYPERLINK("https://www.pravda.com.ua/news/2024/01/13/7437123/","Ukrainska Pravda"),"Ukrainska Pravda")</x:f>
        <x:v>Ukrainska Pravda</x:v>
      </x:c>
      <x:c r="M648" s="21" t="str">
        <x:f>IFERROR(HYPERLINK("https://interfax.com.ua/news/general/960451.html","Interfax-Ukraine"),"Interfax-Ukraine")</x:f>
        <x:v>Interfax-Ukraine</x:v>
      </x:c>
      <x:c r="N648" s="4" t="str">
        <x:v>https://www.eurointegration.com.ua/news/2024/01/13/7177400/
https://www.pravda.com.ua/news/2024/01/13/7437123/
https://interfax.com.ua/news/general/960451.html
https://www.pravda.com.ua/eng/news/2024/01/14/7437186/
https://www.pravda.com.ua/eng/news/2024/01/15/7437314/
https://interfax.com/newsroom/top-stories/98648/
https://www.defenseromania.ro/amp/protestele-fermierilor-au-blocat-circulatia-vehiculelor-de-transport-marfa-la-nadlac-si-siret_626427.html
https://www.monitorulsv.ro/circulatia-pe-drumul-european-85-data-peste-cap-de-amplul-protest-al-fermierilor-suceveni_598e0b/
https://www.politiadefrontiera.ro/ro/main/i-traficul-transfrontalier-pentru-autoturisme-nu-a-fost-afectat-de-protestul-fermierilor-35950.html</x:v>
      </x:c>
      <x:c r="O648" s="4" t="str">
        <x:v>Second full-register audit source access, 26 October 2026
https://www.politiadefrontiera.ro/ro/main/i-traficul-transfrontalier-pentru-autoturisme-nu-a-fost-afectat-de-protestul-fermierilor-35950.html: full text (fresh retrieval)
https://www.eurointegration.com.ua/news/2024/01/13/7177400/: full text (previously retrieved text re-examined)
https://www.pravda.com.ua/news/2024/01/13/7437123/: full text (previously retrieved text re-examined)
https://www.monitorulsv.ro/circulatia-pe-drumul-european-85-data-peste-cap-de-amplul-protest-al-fermierilor-suceveni_598e0b/: full text (fresh retrieval)
Earlier URLs not separately inspected in this second assessment:
https://interfax.com.ua/news/general/960451.html
https://www.pravda.com.ua/eng/news/2024/01/14/7437186/
https://www.pravda.com.ua/eng/news/2024/01/15/7437314/
https://interfax.com/newsroom/top-stories/98648/
https://www.defenseromania.ro/amp/protestele-fermierilor-au-blocat-circulatia-vehiculelor-de-transport-marfa-la-nadlac-si-siret_626427.html
Prior audit access record
Full-register audit source access (evidence cutoff 25 October 2026)
https://www.eurointegration.com.ua/news/2024/01/13/7177400/: full text
https://www.pravda.com.ua/news/2024/01/13/7437123/: full text
https://interfax.com.ua/news/general/960451.html: full text
https://www.politiadefrontiera.ro/ro/main/i-traficul-transfrontalier-pentru-autoturisme-nu-a-fost-afectat-de-protestul-fermierilor-35950.html: search extract
https://www.monitorulsv.ro/circulatia-pe-drumul-european-85-data-peste-cap-de-amplul-protest-al-fermierilor-suceveni_598e0b/: full text
https://www.defenseromania.ro/amp/protestele-fermierilor-au-blocat-circulatia-vehiculelor-de-transport-marfa-la-nadlac-si-siret_626427.html: full text
Earlier source URLs not separately listed in this audit’s retrieval log (historical access notes below are not fresh verification):
https://www.pravda.com.ua/eng/news/2024/01/14/7437186/
https://www.pravda.com.ua/eng/news/2024/01/15/7437314/
https://interfax.com/newsroom/top-stories/98648/
Earlier recorded access
Source 1: full text
Source 2: full text
Source 3: full text</x:v>
      </x:c>
      <x:c r="P648" s="20" t="n">
        <x:v>1</x:v>
      </x:c>
      <x:c r="Q648" s="4" t="str">
        <x:v>Europe</x:v>
      </x:c>
      <x:c r="R648" s="4" t="str">
        <x:v>Included</x:v>
      </x:c>
    </x:row>
    <x:row r="649" ht="409" hidden="0" customHeight="1">
      <x:c r="A649" s="16" t="str">
        <x:v>R16-EU-004</x:v>
      </x:c>
      <x:c r="B649" s="4" t="str">
        <x:v>Renewed Siret–Porubne truck blockade, 14 January 2024</x:v>
      </x:c>
      <x:c r="C649" s="4" t="str">
        <x:v>Romania; Ukraine</x:v>
      </x:c>
      <x:c r="D649" s="4" t="str">
        <x:v>Siret–Porubne
Romanian approach road DN2 to Siret–Porubne</x:v>
      </x:c>
      <x:c r="E649" s="4" t="str">
        <x:v>Trucks approaching crossing; Romanian police also describe two-way approach-road obstruction
Direction: Romanian approach toward Ukraine documented; Ukrainian exit processing normal at initial report, so no universal two-way prohibition assumed.
Exceptions: Ukrainian exit processing remained normal at initial notice; prior passenger exceptions cannot be assumed at every approach-road moment.</x:v>
      </x:c>
      <x:c r="F649" s="4" t="str">
        <x:v>R16-EU-004-D1 — Observed operation
Siret same-day episode on 14 January 2024; not joined across the gap to later protests.
Start: 2024-01-14.
Observed scoped reopening: 2024-01-14.
Same-day episode; no whole-day duration inferred</x:v>
      </x:c>
      <x:c r="G649" s="4" t="str">
        <x:v>Policy and socioeconomic demands / Jobs, services and livelihoods
Reported reason
Applies to: January 14 Siret protest; broader movement demands reported with the local obstruction
AGERPRES attributes the movement to fuel excise, insurance prices and legislative changes. This supports the livelihood-demand code; it does not establish every participant's individual motive.</x:v>
      </x:c>
      <x:c r="H649" s="4" t="str">
        <x:v>R16-EU-004-D1: Shown as an episode occurring on this date, not a whole-day closure. Romanian road and Ukrainian checkpoint accounts describe different scopes; exact onset and resumption clock times unknown. The approximately 14:00 time is receipt of information. Continued Ukrainian exit processing does not establish unobstructed travel along the Romanian approach, where police reported a two-way road blockage.</x:v>
      </x:c>
      <x:c r="I649" s="4" t="str">
        <x:v>Second full-register audit, 26 October 2026: qualified. January 14’s road obstruction and evening resumption are directly supported; Ukrainian checkpoint processing and Romanian approach blockage describe different scopes.</x:v>
      </x:c>
      <x:c r="J649" s="18" t="d">
        <x:v>2026-10-26T00:00:00.000Z</x:v>
      </x:c>
      <x:c r="K649" s="21" t="str">
        <x:f>IFERROR(HYPERLINK("https://interfax.com.ua/news/general/960451.html","Interfax-Ukraine"),"Interfax-Ukraine")</x:f>
        <x:v>Interfax-Ukraine</x:v>
      </x:c>
      <x:c r="L649" s="21" t="str">
        <x:f>IFERROR(HYPERLINK("https://agerpres.ro/social/2024/01/14/proteste-transportatori-centrul-infotrafic-dn-2-si-dn-15-blocate-in-judetele-suceava-vama-siret-si-cluj-campia-turzii-luna--1232262","AGERPRES"),"AGERPRES")</x:f>
        <x:v>AGERPRES</x:v>
      </x:c>
      <x:c r="M649" s="21" t="str">
        <x:f>IFERROR(HYPERLINK("https://www.pravda.com.ua/news/2024/01/13/7437123/","Ukrainska Pravda"),"Ukrainska Pravda")</x:f>
        <x:v>Ukrainska Pravda</x:v>
      </x:c>
      <x:c r="N649" s="4" t="str">
        <x:v>https://interfax.com.ua/news/general/960451.html
https://agerpres.ro/social/2024/01/14/proteste-transportatori-centrul-infotrafic-dn-2-si-dn-15-blocate-in-judetele-suceava-vama-siret-si-cluj-campia-turzii-luna--1232262
https://www.pravda.com.ua/news/2024/01/13/7437123/
https://www.pravda.com.ua/eng/news/2024/01/14/7437186/
https://www.pravda.com.ua/eng/news/2024/01/15/7437314/
https://interfax.com/newsroom/top-stories/98648/
https://www.digi24.ro/stiri/actualitate/fermierii-si-transportatorii-merg-azi-la-ministerul-finantelor-politia-anunta-noi-blocaje-in-trafic-2648837</x:v>
      </x:c>
      <x:c r="O649" s="4" t="str">
        <x:v>Second full-register audit source access, 26 October 2026
https://agerpres.ro/social/2024/01/14/proteste-transportatori-centrul-infotrafic-dn-2-si-dn-15-blocate-in-judetele-suceava-vama-siret-si-cluj-campia-turzii-luna--1232262: full text (fresh retrieval)
https://agerpres.ro/social/2024/01/14/proteste-transportatori-centrul-infotrafic-dn-2-si-dn-15-blocate-in-judetele-suceava-vama-siret-si-cluj-campia-turzii-luna--1232262: full text (previously retrieved text re-examined)
https://interfax.com.ua/news/general/960451.html: full text (previously retrieved text re-examined)
Earlier URLs not separately inspected in this second assessment:
https://www.pravda.com.ua/news/2024/01/13/7437123/
https://www.pravda.com.ua/eng/news/2024/01/14/7437186/
https://www.pravda.com.ua/eng/news/2024/01/15/7437314/
https://interfax.com/newsroom/top-stories/98648/
https://www.digi24.ro/stiri/actualitate/fermierii-si-transportatorii-merg-azi-la-ministerul-finantelor-politia-anunta-noi-blocaje-in-trafic-2648837
Prior audit access record
Full-register audit source access (evidence cutoff 25 October 2026)
https://interfax.com.ua/news/general/960451.html: full text
https://agerpres.ro/social/2024/01/14/proteste-transportatori-centrul-infotrafic-dn-2-si-dn-15-blocate-in-judetele-suceava-vama-siret-si-cluj-campia-turzii-luna--1232262: full text
Earlier source URLs not separately listed in this audit’s retrieval log (historical access notes below are not fresh verification):
https://www.pravda.com.ua/news/2024/01/13/7437123/
https://www.pravda.com.ua/eng/news/2024/01/14/7437186/
https://www.pravda.com.ua/eng/news/2024/01/15/7437314/
https://interfax.com/newsroom/top-stories/98648/
https://www.digi24.ro/stiri/actualitate/fermierii-si-transportatorii-merg-azi-la-ministerul-finantelor-politia-anunta-noi-blocaje-in-trafic-2648837
Earlier recorded access
Source 1: full text
Source 2: full text
Source 3: full text</x:v>
      </x:c>
      <x:c r="P649" s="20" t="n">
        <x:v>1</x:v>
      </x:c>
      <x:c r="Q649" s="4" t="str">
        <x:v>Europe</x:v>
      </x:c>
      <x:c r="R649" s="4" t="str">
        <x:v>Included</x:v>
      </x:c>
    </x:row>
    <x:row r="650" ht="409" hidden="0" customHeight="1">
      <x:c r="A650" s="16" t="str">
        <x:v>R16-EU-005</x:v>
      </x:c>
      <x:c r="B650" s="4" t="str">
        <x:v>Siret–Porubne bidirectional truck blockade before partial reopening, January 2024</x:v>
      </x:c>
      <x:c r="C650" s="4" t="str">
        <x:v>Romania; Ukraine</x:v>
      </x:c>
      <x:c r="D650" s="4" t="str">
        <x:v>Siret–Porubne
Romanian Siret approach to Porubne, full truck-blockade phase</x:v>
      </x:c>
      <x:c r="E650" s="4" t="str">
        <x:v>Freight trucks in both directions
Direction: Both directions during initial full-blockade phase
Exceptions: Small cars used an unobstructed lane; broader passenger processing supported by Ukrainian notice.</x:v>
      </x:c>
      <x:c r="F650" s="4" t="str">
        <x:v>R16-EU-005-D1 — Observed operation
Siret truck blockage in both directions, ending when outward-from-Romania truck movement partially resumed.
Start: 2024-01-15.
Observed scoped reopening: 2024-01-17.
2 calendar-day difference; scoped endpoint only</x:v>
      </x:c>
      <x:c r="G650" s="4" t="str">
        <x:v>Trade and protectionism / Trade and transport protests
Reported reason
Applies to: January 15–20 Siret campaign, with changing truck-direction restrictions
Local reporting and TVR attribute the action to farmers’ objections to low-priced Ukrainian grain and resulting losses. This is an attributed grievance, not a finding about the imports’ actual economic effect.
Policy and socioeconomic demands / Jobs, services and livelihoods
Reported reason
Applies to: The same Siret campaign and wider farmer/haulier movement
Local reporting records livelihood complaints at Siret. RFE/RL describes movement-level demands for loan-repayment relief and faster subsidies; those are not established as every individual participant’s motives.</x:v>
      </x:c>
      <x:c r="H650" s="4" t="str">
        <x:v>The January 15 onset is reported around 12:00 by the Ukrainian Border Guard and 14:00 by the local Romanian account, so the day is supported but one exact common clock is not selected. Both truck directions were blocked until the January 17 partial reopening. Romanian police statistics confirm 155 outward trucks processed between 10:00 and 23:59 that day; the statistics window is not necessarily the first passage. Cars continued. The remaining inbound truck restriction is the linked R16-EU-006 phase of the same campaign, not a second independent campaign.</x:v>
      </x:c>
      <x:c r="I650" s="4" t="str">
        <x:v>Second full-register audit, 26 October 2026: qualified. The January 15–17 bidirectional truck phase is supported and ends at documented outward-Romania partial return, leaving the linked inbound restriction intact.</x:v>
      </x:c>
      <x:c r="J650" s="18" t="d">
        <x:v>2026-10-26T00:00:00.000Z</x:v>
      </x:c>
      <x:c r="K650" s="21" t="str">
        <x:f>IFERROR(HYPERLINK("https://v3.monitorulsv.ro/Ultima-ora-local/2024-01-15/Vama-Siret-blocata-din-nou-de-fermieri-Transportatorii-au-iesit-si-ei-cu-tirurile","Monitorul de Suceava"),"Monitorul de Suceava")</x:f>
        <x:v>Monitorul de Suceava</x:v>
      </x:c>
      <x:c r="L650" s="21" t="str">
        <x:f>IFERROR(HYPERLINK("https://agerpres.ro/social/2024/01/20/suceava-traficul-in-vama-siret-se-desfasoara-in-conditii-normale-pe-ambele-sensuri-anunta-jandarmeri--1235659","Agerpres"),"Agerpres")</x:f>
        <x:v>Agerpres</x:v>
      </x:c>
      <x:c r="M650" s="21" t="str">
        <x:f>IFERROR(HYPERLINK("https://suspilne.media/chernivtsi/661718-na-rumunskomu-kordoni-zablokuvali-ruh-vantazivok-cerez-punkti-propusku-krasnoilsk-ta-porubne-dpsu/","Suspilne Chernivtsi"),"Suspilne Chernivtsi")</x:f>
        <x:v>Suspilne Chernivtsi</x:v>
      </x:c>
      <x:c r="N650" s="4" t="str">
        <x:v>https://v3.monitorulsv.ro/Ultima-ora-local/2024-01-15/Vama-Siret-blocata-din-nou-de-fermieri-Transportatorii-au-iesit-si-ei-cu-tirurile
https://agerpres.ro/social/2024/01/20/suceava-traficul-in-vama-siret-se-desfasoara-in-conditii-normale-pe-ambele-sensuri-anunta-jandarmeri--1235659
https://suspilne.media/chernivtsi/661718-na-rumunskomu-kordoni-zablokuvali-ruh-vantazivok-cerez-punkti-propusku-krasnoilsk-ta-porubne-dpsu/
https://tvrinfo.ro/peste-150-de-camioane-au-iesit-miercuri-din-romania-prin-punctul-de-trecere-a-frontierei-siret/
https://www.pravda.com.ua/eng/news/2024/01/14/7437186/
https://www.pravda.com.ua/eng/news/2024/01/15/7437314/
https://interfax.com/newsroom/top-stories/98648/
https://www.rferl.org/a/urkaine-border-romania-traffice-resumes-blocked/32783623.html</x:v>
      </x:c>
      <x:c r="O650" s="4" t="str">
        <x:v>Second full-register audit source access, 26 October 2026
https://tvrinfo.ro/peste-150-de-camioane-au-iesit-miercuri-din-romania-prin-punctul-de-trecere-a-frontierei-siret/: full text (fresh retrieval)
https://v3.monitorulsv.ro/Ultima-ora-local/2024-01-15/Vama-Siret-blocata-din-nou-de-fermieri-Transportatorii-au-iesit-si-ei-cu-tirurile: full text (previously retrieved text re-examined)
https://www.pravda.com.ua/eng/news/2024/01/15/7437314/: full text (previously retrieved text re-examined)
https://agerpres.ro/social/2024/01/20/suceava-traficul-in-vama-siret-se-desfasoara-in-conditii-normale-pe-ambele-sensuri-anunta-jandarmeri--1235659: full text (fresh retrieval)
Earlier URLs not separately inspected in this second assessment:
https://suspilne.media/chernivtsi/661718-na-rumunskomu-kordoni-zablokuvali-ruh-vantazivok-cerez-punkti-propusku-krasnoilsk-ta-porubne-dpsu/
https://www.pravda.com.ua/eng/news/2024/01/14/7437186/
https://interfax.com/newsroom/top-stories/98648/
https://www.rferl.org/a/urkaine-border-romania-traffice-resumes-blocked/32783623.html
Prior audit access record
Full-register audit source access (evidence cutoff 25 October 2026)
https://v3.monitorulsv.ro/Ultima-ora-local/2024-01-15/Vama-Siret-blocata-din-nou-de-fermieri-Transportatorii-au-iesit-si-ei-cu-tirurile: full text
https://www.pravda.com.ua/eng/news/2024/01/15/7437314/: full text
https://tvrinfo.ro/peste-150-de-camioane-au-iesit-miercuri-din-romania-prin-punctul-de-trecere-a-frontierei-siret/: full text
https://agerpres.ro/social/2024/01/20/suceava-traficul-in-vama-siret-se-desfasoara-in-conditii-normale-pe-ambele-sensuri-anunta-jandarmeri--1235659: full text
https://www.rferl.org/a/urkaine-border-romania-traffice-resumes-blocked/32783623.html: full text
Earlier source URLs not separately listed in this audit’s retrieval log (historical access notes below are not fresh verification):
https://suspilne.media/chernivtsi/661718-na-rumunskomu-kordoni-zablokuvali-ruh-vantazivok-cerez-punkti-propusku-krasnoilsk-ta-porubne-dpsu/
https://www.pravda.com.ua/eng/news/2024/01/14/7437186/
https://interfax.com/newsroom/top-stories/98648/
Earlier recorded access
Source 1: Opened relevant article/document body; inspected decisive passage
Source 2: Opened relevant article/document body; inspected decisive passage
Source 3: Opened relevant article/document body; inspected decisive passage</x:v>
      </x:c>
      <x:c r="P650" s="20" t="n">
        <x:v>1</x:v>
      </x:c>
      <x:c r="Q650" s="4" t="str">
        <x:v>Europe</x:v>
      </x:c>
      <x:c r="R650" s="4" t="str">
        <x:v>Included</x:v>
      </x:c>
    </x:row>
    <x:row r="651" ht="409" hidden="0" customHeight="1">
      <x:c r="A651" s="16" t="str">
        <x:v>R16-EU-006</x:v>
      </x:c>
      <x:c r="B651" s="4" t="str">
        <x:v>Siret–Porubne inbound-Romania truck blockade after partial easing, January 2024</x:v>
      </x:c>
      <x:c r="C651" s="4" t="str">
        <x:v>Romania; Ukraine</x:v>
      </x:c>
      <x:c r="D651" s="4" t="str">
        <x:v>Siret–Porubne
Siret–Porubne remaining blocked truck direction after outbound-Romania allowance</x:v>
      </x:c>
      <x:c r="E651" s="4" t="str">
        <x:v>Trucks entering Romania from Ukraine
Direction: Ukraine to Romania remained blocked; reverse direction allowed limited passage
Exceptions: From January 17, trucks leaving Romania allowed at reported ten per hour; cars continued.</x:v>
      </x:c>
      <x:c r="F651" s="4" t="str">
        <x:v>R16-EU-006-D1 — Observed operation
Siret trucks entering Romania, after outward truck movement resumed.
Start: 2024-01-17.
Observed scoped reopening: 2024-01-19 to 2024-01-20.
2–3 calendar-day difference; scoped endpoint only</x:v>
      </x:c>
      <x:c r="G651" s="4" t="str">
        <x:v>Trade and protectionism / Trade and transport protests
Reported reason
Applies to: January 15–20 Siret campaign, with changing truck-direction restrictions
Local reporting and TVR attribute the action to farmers’ objections to low-priced Ukrainian grain and resulting losses. This is an attributed grievance, not a finding about the imports’ actual economic effect.
Policy and socioeconomic demands / Jobs, services and livelihoods
Reported reason
Applies to: The same Siret campaign and wider farmer/haulier movement
Local reporting records livelihood complaints at Siret. RFE/RL describes movement-level demands for loan-repayment relief and faster subsidies; those are not established as every individual participant’s motives.</x:v>
      </x:c>
      <x:c r="H651" s="4" t="str">
        <x:v>This is the continuing inbound-Romania restriction in the same campaign as R16-EU-005, after the reverse direction partially reopened January 17 at approximately ten trucks per hour. Normal traffic returned during the night of January 19–20 after protest vehicles withdrew; the exact clock is not established. Earlier January 13 and 14 same-day episodes ended and must not be bridged into this spell. Passenger movements continued.</x:v>
      </x:c>
      <x:c r="I651" s="4" t="str">
        <x:v>Second full-register audit, 26 October 2026: qualified. The remaining Ukraine-to-Romania truck restriction is securely bounded by the January 17 reverse-direction easing and normal traffic overnight January 19–20.</x:v>
      </x:c>
      <x:c r="J651" s="18" t="d">
        <x:v>2026-10-26T00:00:00.000Z</x:v>
      </x:c>
      <x:c r="K651" s="21" t="str">
        <x:f>IFERROR(HYPERLINK("https://v3.monitorulsv.ro/Ultima-ora-local/2024-01-15/Vama-Siret-blocata-din-nou-de-fermieri-Transportatorii-au-iesit-si-ei-cu-tirurile","Monitorul de Suceava"),"Monitorul de Suceava")</x:f>
        <x:v>Monitorul de Suceava</x:v>
      </x:c>
      <x:c r="L651" s="21" t="str">
        <x:f>IFERROR(HYPERLINK("https://agerpres.ro/social/2024/01/20/suceava-traficul-in-vama-siret-se-desfasoara-in-conditii-normale-pe-ambele-sensuri-anunta-jandarmeri--1235659","Agerpres"),"Agerpres")</x:f>
        <x:v>Agerpres</x:v>
      </x:c>
      <x:c r="M651" s="21" t="str">
        <x:f>IFERROR(HYPERLINK("https://customs.gov.ua/news/zagalne-20/post/trivaie-blokuvannia-rumunskimi-straikariami-rukhu-vantazhivok-pered-punktami-propusku-siret-porubne-ta-vikovu-de-sus-krasnoyilsk-1450","Ukrainian Customs"),"Ukrainian Customs")</x:f>
        <x:v>Ukrainian Customs</x:v>
      </x:c>
      <x:c r="N651" s="4" t="str">
        <x:v>https://v3.monitorulsv.ro/Ultima-ora-local/2024-01-15/Vama-Siret-blocata-din-nou-de-fermieri-Transportatorii-au-iesit-si-ei-cu-tirurile
https://agerpres.ro/social/2024/01/20/suceava-traficul-in-vama-siret-se-desfasoara-in-conditii-normale-pe-ambele-sensuri-anunta-jandarmeri--1235659
https://customs.gov.ua/news/zagalne-20/post/trivaie-blokuvannia-rumunskimi-straikariami-rukhu-vantazhivok-pered-punktami-propusku-siret-porubne-ta-vikovu-de-sus-krasnoyilsk-1450
https://www.pravda.com.ua/eng/news/2024/01/20/7438152/
https://tvrinfo.ro/peste-150-de-camioane-au-iesit-miercuri-din-romania-prin-punctul-de-trecere-a-frontierei-siret/
https://www.pravda.com.ua/eng/news/2024/01/14/7437186/
https://www.pravda.com.ua/eng/news/2024/01/15/7437314/
https://interfax.com/newsroom/top-stories/98648/
https://romania.europalibera.org/a/blocada-siret-sparta/32784612.html
https://www.digi24.ro/amphtml/stiri/actualitate/traficul-in-vama-siret-a-fost-reluat-numar-foarte-mare-de-camioane-care-asteapta-si-2-ore-sa-intre-din-ucraina-2656875
https://www.rferl.org/a/urkaine-border-romania-traffice-resumes-blocked/32783623.html</x:v>
      </x:c>
      <x:c r="O651" s="4" t="str">
        <x:v>Second full-register audit source access, 26 October 2026
https://agerpres.ro/social/2024/01/20/suceava-traficul-in-vama-siret-se-desfasoara-in-conditii-normale-pe-ambele-sensuri-anunta-jandarmeri--1235659: full text (fresh retrieval)
https://tvrinfo.ro/peste-150-de-camioane-au-iesit-miercuri-din-romania-prin-punctul-de-trecere-a-frontierei-siret/: full text (fresh retrieval)
https://customs.gov.ua/news/zagalne-20/post/trivaie-blokuvannia-rumunskimi-straikariami-rukhu-vantazhivok-pered-punktami-propusku-siret-porubne-ta-vikovu-de-sus-krasnoyilsk-1450: full text (previously retrieved text re-examined)
Earlier URLs not separately inspected in this second assessment:
https://v3.monitorulsv.ro/Ultima-ora-local/2024-01-15/Vama-Siret-blocata-din-nou-de-fermieri-Transportatorii-au-iesit-si-ei-cu-tirurile
https://www.pravda.com.ua/eng/news/2024/01/20/7438152/
https://www.pravda.com.ua/eng/news/2024/01/14/7437186/
https://www.pravda.com.ua/eng/news/2024/01/15/7437314/
https://interfax.com/newsroom/top-stories/98648/
https://romania.europalibera.org/a/blocada-siret-sparta/32784612.html
https://www.digi24.ro/amphtml/stiri/actualitate/traficul-in-vama-siret-a-fost-reluat-numar-foarte-mare-de-camioane-care-asteapta-si-2-ore-sa-intre-din-ucraina-2656875
https://www.rferl.org/a/urkaine-border-romania-traffice-resumes-blocked/32783623.html
Prior audit access record
Full-register audit source access (evidence cutoff 25 October 2026)
https://v3.monitorulsv.ro/Ultima-ora-local/2024-01-15/Vama-Siret-blocata-din-nou-de-fermieri-Transportatorii-au-iesit-si-ei-cu-tirurile: full text
https://www.pravda.com.ua/eng/news/2024/01/15/7437314/: full text
https://tvrinfo.ro/peste-150-de-camioane-au-iesit-miercuri-din-romania-prin-punctul-de-trecere-a-frontierei-siret/: full text
https://agerpres.ro/social/2024/01/20/suceava-traficul-in-vama-siret-se-desfasoara-in-conditii-normale-pe-ambele-sensuri-anunta-jandarmeri--1235659: full text
https://www.rferl.org/a/urkaine-border-romania-traffice-resumes-blocked/32783623.html: full text
Earlier source URLs not separately listed in this audit’s retrieval log (historical access notes below are not fresh verification):
https://customs.gov.ua/news/zagalne-20/post/trivaie-blokuvannia-rumunskimi-straikariami-rukhu-vantazhivok-pered-punktami-propusku-siret-porubne-ta-vikovu-de-sus-krasnoyilsk-1450
https://www.pravda.com.ua/eng/news/2024/01/20/7438152/
https://www.pravda.com.ua/eng/news/2024/01/14/7437186/
https://interfax.com/newsroom/top-stories/98648/
https://romania.europalibera.org/a/blocada-siret-sparta/32784612.html
https://www.digi24.ro/amphtml/stiri/actualitate/traficul-in-vama-siret-a-fost-reluat-numar-foarte-mare-de-camioane-care-asteapta-si-2-ore-sa-intre-din-ucraina-2656875
Earlier recorded access
Source 1: Opened relevant article/document body; inspected decisive passage
Source 2: Opened relevant article/document body; inspected decisive passage
Source 3: Opened relevant article/document body; inspected decisive passage</x:v>
      </x:c>
      <x:c r="P651" s="20" t="n">
        <x:v>1</x:v>
      </x:c>
      <x:c r="Q651" s="4" t="str">
        <x:v>Europe</x:v>
      </x:c>
      <x:c r="R651" s="4" t="str">
        <x:v>Included</x:v>
      </x:c>
    </x:row>
    <x:row r="652" ht="409" hidden="0" customHeight="1">
      <x:c r="A652" s="16" t="str">
        <x:v>R16-EU-007</x:v>
      </x:c>
      <x:c r="B652" s="4" t="str">
        <x:v>Vicovu de Sus–Krasnoilsk truck blockade, January 2024</x:v>
      </x:c>
      <x:c r="C652" s="4" t="str">
        <x:v>Romania; Ukraine</x:v>
      </x:c>
      <x:c r="D652" s="4" t="str">
        <x:v>Vicovu de Sus–Krasnoilsk
Vicovu de Sus–Krasnoilsk international road crossing</x:v>
      </x:c>
      <x:c r="E652" s="4" t="str">
        <x:v>Freight trucks; operating post capacity not generalized to all heavy goods categories
Direction: Initial notice specifically trucks into Ukraine; later Ukrainian-exit queues also documented, without uniform two-way denial inference.
Exceptions: Other vehicles and pedestrians processed both ways in initial notice; cars continued in January 17 notice.</x:v>
      </x:c>
      <x:c r="F652" s="4" t="str">
        <x:v>R16-EU-007-R1 — Intermittent regime
Protester obstruction of eligible empty-truck traffic at Vicovu de Sus–Krasnoilsk only
Start: 2024-01-15.
Scoped endpoint: 2024-01-19.
Intermittent regime envelope; total closed days unknown
Documented pause: January 15 at 23:00.
Documented restart: January 16 at approximately 10:15.
The following night remained obstructed according to January 17 reporting; no total closed-hour sum is established.
The resumed spell from approximately 10:15 on January 16 continued through the following night and was still reported at 12:30 on January 17. This supports more than 24 hours for at least one spell, while the aggregate closed-hour total remains unknown.</x:v>
      </x:c>
      <x:c r="G652" s="4" t="str">
        <x:v>Trade and protectionism / Trade and transport protests
Reported reason
Applies to: Broader farmer/haulier movement during the Vicovu campaign; local individual motives not separately established
RFE/RL reports separate non-EU truck-lane demands at movement level.
Policy and socioeconomic demands / Jobs, services and livelihoods
Reported reason
Applies to: Broader farmer/haulier movement during the Vicovu campaign; local individual motives not separately established
The same RFE/RL report attributes demands for loan-repayment relief and faster subsidies to the Romanian protesters. This is movement-level attribution, not evidence of every Vicovu participant's motive.</x:v>
      </x:c>
      <x:c r="H652" s="4" t="str">
        <x:v>The January 15–19 envelope is intermittent, not four complete closed days. A full Suspilne report quotes the border-detachment press officer: the action paused January 15 at 23:00 and restarted January 16 around 10:15. January 17 reporting describes continued obstruction during the subsequent night. The final January 19 notice restores normal access, while only empty lorries were eligible to use this post. Cars and pedestrians continued. Original Ukrinform access remains unavailable, but the decisive overnight break is now supported by retrieved full text. No exact total closure duration or identical two-way denial is inferred. The known overnight break does not prevent greater-than-24-hour classification of the later resumed spell: January 17 reporting explicitly says the following night remained blocked and still records affected trucks at 12:30.</x:v>
      </x:c>
      <x:c r="I652" s="4" t="str">
        <x:v>Second full-register audit, 26 October 2026: additional source-audited corrections incorporated. See the phase, scope and qualification columns for the accepted findings.</x:v>
      </x:c>
      <x:c r="J652" s="18" t="d">
        <x:v>2026-10-26T00:00:00.000Z</x:v>
      </x:c>
      <x:c r="K652" s="21" t="str">
        <x:f>IFERROR(HYPERLINK("https://www.ukrinform.net/rubric-economy/3813616-romanian-farmers-block-truck-traffic-through-two-checkpoints.html","Ukrinform"),"Ukrinform")</x:f>
        <x:v>Ukrinform</x:v>
      </x:c>
      <x:c r="L652" s="21" t="str">
        <x:f>IFERROR(HYPERLINK("https://www.ukrinform.net/amp/rubric-economy/3814124-romanian-farmers-continue-to-block-two-checkpoints-on-border-with-ukraine.html","Ukrinform"),"Ukrinform")</x:f>
        <x:v>Ukrinform</x:v>
      </x:c>
      <x:c r="M652" s="21" t="str">
        <x:f>IFERROR(HYPERLINK("https://www.pravda.com.ua/eng/news/2024/01/17/7437668/","Ukrainska Pravda"),"Ukrainska Pravda")</x:f>
        <x:v>Ukrainska Pravda</x:v>
      </x:c>
      <x:c r="N652" s="4" t="str">
        <x:v>https://www.ukrinform.net/rubric-economy/3813616-romanian-farmers-block-truck-traffic-through-two-checkpoints.html
https://www.ukrinform.net/amp/rubric-economy/3814124-romanian-farmers-continue-to-block-two-checkpoints-on-border-with-ukraine.html
https://www.pravda.com.ua/eng/news/2024/01/17/7437668/
https://customs.gov.ua/news/zagalne-20/post/trivaie-blokuvannia-rumunskimi-straikariami-rukhu-vantazhivok-pered-punktami-propusku-siret-porubne-ta-vikovu-de-sus-krasnoyilsk-1450
https://www.rferl.org/a/urkaine-border-romania-traffice-resumes-blocked/32783623.html
https://www.pravda.com.ua/eng/news/2024/01/19/7437958/
https://www.pravda.com.ua/eng/news/2024/01/15/7437314/
https://www.ukrinform.net/rubric-economy/3814124-romanian-farmers-continue-to-block-two-checkpoints-on-border-with-ukraine.html
https://suspilne.media/chernivtsi/661718-na-rumunskomu-kordoni-zablokuvali-ruh-vantazivok-cerez-punkti-propusku-krasnoilsk-ta-porubne-dpsu/
https://www.radiosvoboda.org/a/nwes-blokuvannya-kordon-rumuniya/32781038.html
https://www.rferl.org/a/romania-ukraine-border-protests/32781907.html
https://www.pravda.com.ua/eng/news/2024/01/20/7438152/
https://suspilne.media/amp/chernivtsi/662484-blokuvanna-ruhu-vantazivok-cerez-dva-punkti-propusku-na-bukovini-trivae-vtim-za-kilka-dniv-protesti-mozut-zaversitis/</x:v>
      </x:c>
      <x:c r="O652" s="4" t="str">
        <x:v>Second full-register audit source access, 26 October 2026
https://suspilne.media/amp/chernivtsi/662484-blokuvanna-ruhu-vantazivok-cerez-dva-punkti-propusku-na-bukovini-trivae-vtim-za-kilka-dniv-protesti-mozut-zaversitis/: full text (fresh retrieval)
https://www.pravda.com.ua/eng/news/2024/01/17/7437668/: full text (previously retrieved text re-examined)
https://www.pravda.com.ua/eng/news/2024/01/19/7437958/: full text (previously retrieved text re-examined)
Earlier URLs not separately inspected in this second assessment:
https://www.ukrinform.net/rubric-economy/3813616-romanian-farmers-block-truck-traffic-through-two-checkpoints.html
https://www.ukrinform.net/amp/rubric-economy/3814124-romanian-farmers-continue-to-block-two-checkpoints-on-border-with-ukraine.html
https://customs.gov.ua/news/zagalne-20/post/trivaie-blokuvannia-rumunskimi-straikariami-rukhu-vantazhivok-pered-punktami-propusku-siret-porubne-ta-vikovu-de-sus-krasnoyilsk-1450
https://www.rferl.org/a/urkaine-border-romania-traffice-resumes-blocked/32783623.html
https://www.pravda.com.ua/eng/news/2024/01/15/7437314/
https://www.ukrinform.net/rubric-economy/3814124-romanian-farmers-continue-to-block-two-checkpoints-on-border-with-ukraine.html
https://suspilne.media/chernivtsi/661718-na-rumunskomu-kordoni-zablokuvali-ruh-vantazivok-cerez-punkti-propusku-krasnoilsk-ta-porubne-dpsu/
https://www.radiosvoboda.org/a/nwes-blokuvannya-kordon-rumuniya/32781038.html
https://www.rferl.org/a/romania-ukraine-border-protests/32781907.html
https://www.pravda.com.ua/eng/news/2024/01/20/7438152/
Prior audit access record
Full-register audit source access (evidence cutoff 25 October 2026)
https://www.pravda.com.ua/eng/news/2024/01/15/7437314/: full text
https://suspilne.media/amp/chernivtsi/662484-blokuvanna-ruhu-vantazivok-cerez-dva-punkti-propusku-na-bukovini-trivae-vtim-za-kilka-dniv-protesti-mozut-zaversitis/: full text
https://www.pravda.com.ua/eng/news/2024/01/17/7437668/: full text
https://customs.gov.ua/news/zagalne-20/post/trivaie-blokuvannia-rumunskimi-straikariami-rukhu-vantazhivok-pered-punktami-propusku-siret-porubne-ta-vikovu-de-sus-krasnoyilsk-1450: full text
https://www.pravda.com.ua/eng/news/2024/01/19/7437958/: full text
https://www.rferl.org/a/urkaine-border-romania-traffice-resumes-blocked/32783623.html: full text
https://www.ukrinform.net/amp/rubric-economy/3814124-romanian-farmers-continue-to-block-two-checkpoints-on-border-with-ukraine.html: inaccessible
Earlier source URLs not separately listed in this audit’s retrieval log (historical access notes below are not fresh verification):
https://www.ukrinform.net/rubric-economy/3813616-romanian-farmers-block-truck-traffic-through-two-checkpoints.html
https://www.ukrinform.net/rubric-economy/3814124-romanian-farmers-continue-to-block-two-checkpoints-on-border-with-ukraine.html
https://suspilne.media/chernivtsi/661718-na-rumunskomu-kordoni-zablokuvali-ruh-vantazivok-cerez-punkti-propusku-krasnoilsk-ta-porubne-dpsu/
https://www.radiosvoboda.org/a/nwes-blokuvannya-kordon-rumuniya/32781038.html
https://www.rferl.org/a/romania-ukraine-border-protests/32781907.html
https://www.pravda.com.ua/eng/news/2024/01/20/7438152/
Earlier recorded access
Source 1: full; failed
Source 2: indexed excerpt
Source 3: full</x:v>
      </x:c>
      <x:c r="P652" s="20" t="n">
        <x:v>1</x:v>
      </x:c>
      <x:c r="Q652" s="4" t="str">
        <x:v>Europe</x:v>
      </x:c>
      <x:c r="R652" s="4" t="str">
        <x:v>Included</x:v>
      </x:c>
    </x:row>
    <x:row r="653" ht="354" hidden="0" customHeight="1">
      <x:c r="A653" s="16" t="str">
        <x:v>R16-EU-008</x:v>
      </x:c>
      <x:c r="B653" s="4" t="str">
        <x:v>Halmeu–Dyakove truck blockade and Ukrainian outward admission suspension, January 2024</x:v>
      </x:c>
      <x:c r="C653" s="4" t="str">
        <x:v>Romania; Ukraine</x:v>
      </x:c>
      <x:c r="D653" s="4" t="str">
        <x:v>Halmeu–Dyakove (Diakove)
Halmeu–Dyakove road crossing and Romanian approach</x:v>
      </x:c>
      <x:c r="E653" s="4" t="str">
        <x:v>Freight trucks
Direction: Ukraine to Romania explicitly suspended; wider approach blockade not treated as uniformly bidirectional
Exceptions: Cars and passenger buses processed normally.</x:v>
      </x:c>
      <x:c r="F653" s="4" t="str">
        <x:v>R16-EU-008-D1 — Observed operation
Ukraine-to-Romania freight admission at Dyakove–Halmeu during the truck blockade and protective Ukrainian suspension.
Start: 2024-01-18.
Observed scoped reopening: 2024-01-20.
2 calendar-day difference; scoped endpoint only</x:v>
      </x:c>
      <x:c r="G653" s="4" t="str">
        <x:v>Trade and protectionism / Trade and transport protests
Reported reason
Applies to: Recorded episode; exact overlap not separately established
Later reporting of anti-grain banners supports an attributed trade grievance; the initial border-service uncertainty remains in the evidence record.</x:v>
      </x:c>
      <x:c r="H653" s="4" t="str">
        <x:v>R16-EU-008-D1: Cars and passenger buses continued. Police notification times are not exact operational endpoints. The period does not assert uniform two-way blockage or minute-by-minute refusal.</x:v>
      </x:c>
      <x:c r="I653" s="4" t="str">
        <x:v>Second full-register audit, 26 October 2026: qualified. Dyakove’s January 18–20 Ukraine-to-Romania freight suspension is confirmed, with actual Romanian acceptance of the first returning trucks on January 20.</x:v>
      </x:c>
      <x:c r="J653" s="18" t="d">
        <x:v>2026-10-26T00:00:00.000Z</x:v>
      </x:c>
      <x:c r="K653" s="21" t="str">
        <x:f>IFERROR(HYPERLINK("https://www.rferl.org/a/romania-ukraine-border-protests/32781907.html","RFE/RL"),"RFE/RL")</x:f>
        <x:v>RFE/RL</x:v>
      </x:c>
      <x:c r="L653" s="21" t="str">
        <x:f>IFERROR(HYPERLINK("https://www.radiosvoboda.org/a/nwes-blokuvannya-kordon-rumuniya/32781038.html","Radio Svoboda"),"Radio Svoboda")</x:f>
        <x:v>Radio Svoboda</x:v>
      </x:c>
      <x:c r="M653" s="21" t="str">
        <x:f>IFERROR(HYPERLINK("https://www.pravda.com.ua/eng/news/2024/01/20/7438152/","Ukrainska Pravda"),"Ukrainska Pravda")</x:f>
        <x:v>Ukrainska Pravda</x:v>
      </x:c>
      <x:c r="N653" s="4" t="str">
        <x:v>https://www.rferl.org/a/romania-ukraine-border-protests/32781907.html
https://www.radiosvoboda.org/a/nwes-blokuvannya-kordon-rumuniya/32781038.html
https://www.pravda.com.ua/eng/news/2024/01/20/7438152/
https://en.interfax.com.ua/news/general/961789.html
https://en.interfax.com.ua/news/general/961325.html</x:v>
      </x:c>
      <x:c r="O653" s="4" t="str">
        <x:v>Second full-register audit source access, 26 October 2026
https://en.interfax.com.ua/news/general/961789.html: full text (fresh retrieval)
https://en.interfax.com.ua/news/general/961325.html: full text (previously retrieved text re-examined)
https://www.rferl.org/a/romania-ukraine-border-protests/32781907.html: full text (previously retrieved text re-examined)
https://www.radiosvoboda.org/a/nwes-blokuvannya-kordon-rumuniya/32781038.html: full text (previously retrieved text re-examined)
Earlier URLs not separately inspected in this second assessment:
https://www.pravda.com.ua/eng/news/2024/01/20/7438152/
Prior audit access record
Full-register audit source access (evidence cutoff 25 October 2026)
https://en.interfax.com.ua/news/general/961325.html: full text
https://www.radiosvoboda.org/a/nwes-blokuvannya-kordon-rumuniya/32781038.html: full text
https://www.rferl.org/a/romania-ukraine-border-protests/32781907.html: full text
https://www.pravda.com.ua/eng/news/2024/01/20/7438152/: full text
Earlier source URLs not separately listed in this audit’s retrieval log (historical access notes below are not fresh verification):
https://en.interfax.com.ua/news/general/961789.html
Earlier recorded access
Source 1: Opened relevant article/document body; inspected decisive passage
Source 2: Opened relevant article/document body; inspected decisive passage
Source 3: Opened relevant article/document body; inspected decisive passage</x:v>
      </x:c>
      <x:c r="P653" s="20" t="n">
        <x:v>1</x:v>
      </x:c>
      <x:c r="Q653" s="4" t="str">
        <x:v>Europe</x:v>
      </x:c>
      <x:c r="R653" s="4" t="str">
        <x:v>Included</x:v>
      </x:c>
    </x:row>
    <x:row r="654" ht="409" hidden="0" customHeight="1">
      <x:c r="A654" s="16" t="str">
        <x:v>R16-EU-009</x:v>
      </x:c>
      <x:c r="B654" s="4" t="str">
        <x:v>Orlivka–Isaccea ferry admission suspended after attack, September 2026</x:v>
      </x:c>
      <x:c r="C654" s="4" t="str">
        <x:v>Romania; Ukraine</x:v>
      </x:c>
      <x:c r="D654" s="4" t="str">
        <x:v>Orlivka–Isaccea
International Danube ferry crossing Orlivka–Isaccea</x:v>
      </x:c>
      <x:c r="E654" s="4" t="str">
        <x:v>Ferry persons, goods and vehicles
Direction: Crossing service suspended; no directional exemption identified
Exceptions: Alternate routes recommended; no exemption at this ferry established.</x:v>
      </x:c>
      <x:c r="F654" s="4" t="str">
        <x:v>R16-EU-009-D1 — Observed operation
Attack-related suspension of Orlivka–Isaccea ferry access, followed by staged restoration.
Start: 2026-09-01, following the overnight attack; the crossing was confirmed suspended that morning.
Observed scoped reopening: 2026-09-02; Ukrainian Border Guard reports normal checkpoint processing that day, and Romanian Coast Guard places staged ferry return from 19:00.
Romanian Customs separately gives 2026-09-03 at 09:00 for normal customs formalities after checks. This later account does not erase the earlier documented return of ferry traffic.
The Romanian ferry-operation chronology supports more than 24 hours of suspension. Exact first passenger, vehicle and customs-processing times remain unresolved; no exact total closed-hour duration is assigned.
R16-EU-009-D2 — Observed operation
Separate attack-related interruption at Orlivka–Isaccea.
Start: overnight September 5–6, 2026; exact onset unestablished.
Observed scoped reopening: September 6, 2026 morning; normal processing confirmed by the 09:12 report update.
Short overnight episode, not a full calendar-day closure. No continuity with the September 1 episode.</x:v>
      </x:c>
      <x:c r="G654" s="4" t="str">
        <x:v>Security / Armed conflict and military confrontation
Analytical interpretation of reported context
Applies to: R16-EU-009-D1 and R16-EU-009-D2, separate episodes.
Ukrainian Customs reports the attack preceding September 1, 2026. September 6 reporting, relaying Izmail district authorities, identifies a separate overnight Russian attack and renewed interruption.
Security / Public order and immediate safety
Reported reason for administrative suspension
Authorities suspended checkpoint operation after the attacks pending safe resumption. This distinguishes the administrative safety response from unproven deliberate intent to sever this crossing.</x:v>
      </x:c>
      <x:c r="H654" s="4" t="str">
        <x:v>September 1 episode: occurrence and historical onset are independently supported. The Ukrainian Border Guard and Romanian Coast Guard both document resumed access on September 2; the Coast Guard specifically reports staged ferry return from 19:00, after the September 1 morning suspension. That operational account is preferred for the end of total ferry nonoperation. Romanian Customs gives September 3 at 09:00 after tests; retain this later formalities account without extending total ferry closure through an already documented return. Category-by-category staging and exact first passage are unresolved, so exact total hours remain withheld. These differences do not justify suppressing the supported historical episode from dated displays. September 5–6 episode: a separate overnight attack again suspended the checkpoint, followed by normal operations by September 6 morning. The 02:00 report and 09:12 update are announcement times, not exact first refusal or passage. Do not join the separate attacks or infer deliberate intent to sever this particular crossing.</x:v>
      </x:c>
      <x:c r="I654" s="4" t="str">
        <x:v>Second full-register audit, 26 October 2026: additional source-audited corrections incorporated. See the phase, scope and qualification columns for the accepted findings.</x:v>
      </x:c>
      <x:c r="J654" s="18" t="d">
        <x:v>2026-10-26T00:00:00.000Z</x:v>
      </x:c>
      <x:c r="K654" s="21" t="str">
        <x:f>IFERROR(HYPERLINK("https://customs.gov.ua/news/zagalne-20/post/punkt-propusku-orlivka-isakcha-timchasovo-ne-pratsiuie-cherez-vorozhu-ataku-2973","Ukrainian Customs"),"Ukrainian Customs")</x:f>
        <x:v>Ukrainian Customs</x:v>
      </x:c>
      <x:c r="L654" s="21" t="str">
        <x:f>IFERROR(HYPERLINK("https://4.customs.ro/noutati/trafic-suspendat-temporar-in-punctul-de-trecere-a-frontierei-isaccea---orlivka","Romanian Customs"),"Romanian Customs")</x:f>
        <x:v>Romanian Customs</x:v>
      </x:c>
      <x:c r="M654" s="21" t="str">
        <x:f>IFERROR(HYPERLINK("https://interfax.com.ua/news/general/1198061.html","Interfax Ukraine"),"Interfax Ukraine")</x:f>
        <x:v>Interfax Ukraine</x:v>
      </x:c>
      <x:c r="N654" s="4" t="str">
        <x:v>https://customs.gov.ua/news/zagalne-20/post/punkt-propusku-orlivka-isakcha-timchasovo-ne-pratsiuie-cherez-vorozhu-ataku-2973
https://4.customs.ro/noutati/trafic-suspendat-temporar-in-punctul-de-trecere-a-frontierei-isaccea---orlivka
https://interfax.com.ua/news/general/1198061.html
https://4.customs.ro/noutati/punctul-de-trecere-a-fontierei-isacea--orlivka-redevine-functional
https://en.usm.media/the-work-of-the-orlivka-ferry-crossing-point-has-been-resumed/
https://www.customs.ro/noutati/trafic-suspendat-temporar-in-punctul-de-trecere-a-frontierei-isaccea---orlivka
https://agerpres.ro/x/2026/01/01/x--1590308
https://www.tlnews.ro/traficul-cu-bacul-intre-isaccea-si-orlivka-a-fost-reluat-trecerea-frontierei-se-desfasoara-fara-restrictii/
https://www.radioconstanta.ro/2026/09/03/tulcea-a-fost-reluat-traficul-cu-bacul-la-punctul-de-trecere-a-frontierei-isaccea-orlivka/
https://www.reuters.com/world/russia-hits-port-export-facilities-ukraines-odesa-region-kyiv-says-2026-09-01/
https://customs.ro/noutati/punctul-de-trecere-a-fontierei-isacea--orlivka-redevine-functional
https://www.customs.ro/noutati/punctul-de-trecere-a-fontierei-isacea--orlivka-redevine-functional
https://4.customs.ro/noutati?per_page=139
https://www.pravda.com.ua/eng/news/2026/09/06/8052099/
https://suspilne.media/odesa/1396594-rf-povtorno-atakuvala-punkt-propusku-orlivka-na-odesini/
https://www.eurointegration.com.ua/news/2026/09/6/7244881/
https://www.radioconstanta.ro/2026/09/01/tulcea-trecerea-prin-punctul-de-frontiera-isaccea-orlivka-sistata-temporar/</x:v>
      </x:c>
      <x:c r="O654" s="4" t="str">
        <x:v>Second full-register audit source access, 26 October 2026
https://customs.gov.ua/news/zagalne-20/post/punkt-propusku-orlivka-isakcha-timchasovo-ne-pratsiuie-cherez-vorozhu-ataku-2973: full text (fresh retrieval) — Page displays September 1 without year; contemporaneous cross-border reports establish 2026.
https://www.radioconstanta.ro/2026/09/01/tulcea-trecerea-prin-punctul-de-frontiera-isaccea-orlivka-sistata-temporar/: full text (fresh retrieval)
https://interfax.com.ua/news/general/1198061.html: full text (fresh retrieval) — 18:48 is report time, not exact first passage.
https://www.radioconstanta.ro/2026/09/03/tulcea-a-fost-reluat-traficul-cu-bacul-la-punctul-de-trecere-a-frontierei-isaccea-orlivka/: full text (fresh retrieval)
https://4.customs.ro/noutati/punctul-de-trecere-a-fontierei-isacea--orlivka-redevine-functional: search extract (previously retrieved text re-examined) — Substantive indexed text; fresh direct access forbidden.
https://suspilne.media/odesa/1396594-rf-povtorno-atakuvala-punkt-propusku-orlivka-na-odesini/: full text (fresh retrieval)
Earlier URLs not separately inspected in this second assessment:
https://4.customs.ro/noutati/trafic-suspendat-temporar-in-punctul-de-trecere-a-frontierei-isaccea---orlivka
https://en.usm.media/the-work-of-the-orlivka-ferry-crossing-point-has-been-resumed/
https://www.customs.ro/noutati/trafic-suspendat-temporar-in-punctul-de-trecere-a-frontierei-isaccea---orlivka
https://agerpres.ro/x/2026/01/01/x--1590308
https://www.tlnews.ro/traficul-cu-bacul-intre-isaccea-si-orlivka-a-fost-reluat-trecerea-frontierei-se-desfasoara-fara-restrictii/
https://www.reuters.com/world/russia-hits-port-export-facilities-ukraines-odesa-region-kyiv-says-2026-09-01/
https://customs.ro/noutati/punctul-de-trecere-a-fontierei-isacea--orlivka-redevine-functional
https://www.customs.ro/noutati/punctul-de-trecere-a-fontierei-isacea--orlivka-redevine-functional
https://4.customs.ro/noutati?per_page=139
https://www.pravda.com.ua/eng/news/2026/09/06/8052099/
https://www.eurointegration.com.ua/news/2026/09/6/7244881/
Prior audit access record
Full-register audit source access (evidence cutoff 25 October 2026)
https://customs.gov.ua/news/zagalne-20/post/punkt-propusku-orlivka-isakcha-timchasovo-ne-pratsiuie-cherez-vorozhu-ataku-2973: full text
https://4.customs.ro/noutati?per_page=139: search extract
https://interfax.com.ua/news/general/1198061.html: full text
https://www.tlnews.ro/traficul-cu-bacul-intre-isaccea-si-orlivka-a-fost-reluat-trecerea-frontierei-se-desfasoara-fara-restrictii/: full text
https://4.customs.ro/noutati/punctul-de-trecere-a-fontierei-isacea--orlivka-redevine-functional: search extract
https://4.customs.ro/noutati/punctul-de-trecere-a-fontierei-isacea--orlivka-redevine-functional: inaccessible
https://www.pravda.com.ua/eng/news/2026/09/06/8052099/: full text
https://suspilne.media/odesa/1396594-rf-povtorno-atakuvala-punkt-propusku-orlivka-na-odesini/: full text — Both reports relay Izmail district administration, not independent official origins.
https://www.eurointegration.com.ua/news/2026/09/6/7244881/: full text — Both reports relay Izmail district administration, not independent official origins.
Earlier source URLs not separately listed in this audit’s retrieval log (historical access notes below are not fresh verification):
https://4.customs.ro/noutati/trafic-suspendat-temporar-in-punctul-de-trecere-a-frontierei-isaccea---orlivka
https://en.usm.media/the-work-of-the-orlivka-ferry-crossing-point-has-been-resumed/
https://www.customs.ro/noutati/trafic-suspendat-temporar-in-punctul-de-trecere-a-frontierei-isaccea---orlivka
https://agerpres.ro/x/2026/01/01/x--1590308
https://www.radioconstanta.ro/2026/09/03/tulcea-a-fost-reluat-traficul-cu-bacul-la-punctul-de-trecere-a-frontierei-isaccea-orlivka/
https://www.reuters.com/world/russia-hits-port-export-facilities-ukraines-odesa-region-kyiv-says-2026-09-01/
https://customs.ro/noutati/punctul-de-trecere-a-fontierei-isacea--orlivka-redevine-functional
https://www.customs.ro/noutati/punctul-de-trecere-a-fontierei-isacea--orlivka-redevine-functional
Earlier recorded access
Source 1: Opened relevant article/document body; inspected decisive passage
Source 2: Substantial indexed official passage inspected; direct 4.customs.ro and customs.ro requests returned 403
Source 3: Opened relevant article/document body; inspected decisive passage</x:v>
      </x:c>
      <x:c r="P654" s="20" t="n">
        <x:v>2</x:v>
      </x:c>
      <x:c r="Q654" s="4" t="str">
        <x:v>Europe</x:v>
      </x:c>
      <x:c r="R654" s="4" t="str">
        <x:v>Included</x:v>
      </x:c>
    </x:row>
    <x:row r="655" ht="390" hidden="0" customHeight="1">
      <x:c r="A655" s="16" t="str">
        <x:v>FU-COV-EAS-001</x:v>
      </x:c>
      <x:c r="B655" s="4" t="str">
        <x:v>Mae Sai–Tachileik Friendship Bridge II anti-coup protest blockades, February 2021</x:v>
      </x:c>
      <x:c r="C655" s="4" t="str">
        <x:v>Myanmar; Thailand</x:v>
      </x:c>
      <x:c r="D655" s="4" t="str">
        <x:v>Second Friendship Bridge
Myanmar gate of Second Friendship Bridge</x:v>
      </x:c>
      <x:c r="E655" s="4" t="str">
        <x:v>Cargo and accompanying drivers/workers; Cargo crossing
Direction: Cross-border cargo; both sides affected; Not separately established</x:v>
      </x:c>
      <x:c r="F655" s="4" t="str">
        <x:v>FU-COV-EAS-001-FU1 — Observed operation
Second Friendship Bridge
Start: 2021-02-20.
Last confirmed: 2021-02-20. Reopening is not established.
dated evidence; numeric duration withheld; see qualification
FU-COV-EAS-001-FU2 — Observed operation
Myanmar gate of Second Friendship Bridge
Start: 2021-02-21.
Scoped endpoint: 2021-02-21.
Same-day episode; no whole-day duration inferred
Later cargo access for FU-COV-EAS-001-FU1: actual truck movements in both directions are reported from 06:30 on 2021-02-23. This is an ended-by bound, not the exact end of the February 20 protest. The February 21 interruption lasted only five to ten minutes; February 22 operator/warehouse strike is distinct and not automatically an imposed border closure.</x:v>
      </x:c>
      <x:c r="G655" s="4" t="str">
        <x:v>Power and regime politics / Opposition and political reform
Reported reason
Applies to: Recorded episode
Political release and restoration-of-civilian-power demands are attributed to demonstrators.</x:v>
      </x:c>
      <x:c r="H655" s="4" t="str">
        <x:v>FU-COV-EAS-001-FU1: February 20 is a closed-state observation; exact reopening and overnight continuity remain unknown. Cargo passage at the same second bridge is directly reported from 06:30 on February 23, bounding the earlier interruption by then.
FU-COV-EAS-001-FU2: The February 21 closure lasted five to ten minutes around 11:00; no whole-day duration is inferred.
A separate February 22 strike-related cessation affected cargo operators and warehouses. Keep it separate from the earlier protest blockades and from the COVID passenger restrictions.</x:v>
      </x:c>
      <x:c r="I655" s="4" t="str">
        <x:v>Second full-register audit, 26 October 2026: qualified. The February 20 cargo blockade, five-to-ten-minute February 21 interruption and February 23 later passage are supported as distinct observations. The record correctly avoids a continuous three-day protest closure.</x:v>
      </x:c>
      <x:c r="J655" s="18" t="d">
        <x:v>2026-10-26T00:00:00.000Z</x:v>
      </x:c>
      <x:c r="K655" s="21" t="str">
        <x:f>IFERROR(HYPERLINK("https://www.thansettakij.com/general-news/469492","thansettakij.com"),"thansettakij.com")</x:f>
        <x:v>thansettakij.com</x:v>
      </x:c>
      <x:c r="L655" s="21" t="str">
        <x:f>IFERROR(HYPERLINK("https://www.nationthailand.com/in-focus/30402887","nationthailand.com"),"nationthailand.com")</x:f>
        <x:v>nationthailand.com</x:v>
      </x:c>
      <x:c r="M655" s="21" t="str">
        <x:f>IFERROR(HYPERLINK("https://www.matichon.co.th/region/news_2589470","matichon.co.th"),"matichon.co.th")</x:f>
        <x:v>matichon.co.th</x:v>
      </x:c>
      <x:c r="N655" s="4" t="str">
        <x:v>https://www.thansettakij.com/general-news/469492
https://www.nationthailand.com/in-focus/30402887
https://www.matichon.co.th/region/news_2589470
https://www.thansettakij.com/general-news/469621
https://www.naewna.com/local/0000554796</x:v>
      </x:c>
      <x:c r="O655" s="4" t="str">
        <x:v>Second full-register audit source access, 26 October 2026
https://www.nationthailand.com/in-focus/30402887: full text (fresh retrieval) — Scope and source lineage qualifications are described in claim checks.
https://www.thansettakij.com/general-news/469492: full text (previously retrieved text re-examined) — Scope and source lineage qualifications are described in claim checks.
https://www.matichon.co.th/region/news_2589470: full text (previously retrieved text re-examined) — Scope and source lineage qualifications are described in claim checks.
https://www.thansettakij.com/general-news/469621: full text (previously retrieved text re-examined) — Scope and source lineage qualifications are described in claim checks.
https://www.naewna.com/local/0000554796: full text (previously retrieved text re-examined) — Cached actual article inspected; fresh retrieval timed out.
Prior audit access record
Full-register audit source access (evidence cutoff 25 October 2026)
https://www.thansettakij.com/general-news/469492: full text — See specific claim qualifications.
https://www.nationthailand.com/in-focus/30402887: full text — See specific claim qualifications.
https://www.matichon.co.th/region/news_2589470: full text — See specific claim qualifications.
https://www.thansettakij.com/general-news/469621: full text — See specific claim qualifications.
https://www.naewna.com/local/0000554796: full text — See specific claim qualifications.
Earlier recorded access
Source 1: access detail is retained in the source catalogue.
Source 2: access detail is retained in the source catalogue.
Source 3: access detail is retained in the source catalogue.</x:v>
      </x:c>
      <x:c r="P655" s="20" t="n">
        <x:v>2</x:v>
      </x:c>
      <x:c r="Q655" s="4" t="str">
        <x:v>East and Southeast Asia and Oceania</x:v>
      </x:c>
      <x:c r="R655" s="4" t="str">
        <x:v>Included</x:v>
      </x:c>
    </x:row>
    <x:row r="656" ht="409" hidden="0" customHeight="1">
      <x:c r="A656" s="16" t="str">
        <x:v>FU-COV-EAS-003</x:v>
      </x:c>
      <x:c r="B656" s="4" t="str">
        <x:v>Mazongshan–Naran Sevstei inherited crossing suspension for nature-reserve protection</x:v>
      </x:c>
      <x:c r="C656" s="4" t="str">
        <x:v>China; Mongolia</x:v>
      </x:c>
      <x:c r="D656" s="4" t="str">
        <x:v>Mazongshan–Naran Sevstei seasonal land crossing</x:v>
      </x:c>
      <x:c r="E656" s="4" t="str">
        <x:v>Authorized ordinary cross-border passage
Direction: Both directions</x:v>
      </x:c>
      <x:c r="F656" s="4" t="str">
        <x:v>FU-COV-EAS-003-FU1 — Formal policy
Mazongshan–Naran Sevstei seasonal land crossing
Start: 1993-08-01.
Last confirmed: 2021-08-16. Reopening is not established.
Formal policy: dated evidence; numeric duration withheld; see qualification
Later documentary observations: NIA’s 2023 issue and Gansu Commerce’s October 2024 document state that the port had not reopened. A Commerce reply dated 2025-09-15 still describes preparatory work towards reopening, supporting non-restoration by inference. No October 2026 operating verification or continuous daily lost-access duration is inferred for this seasonal port.</x:v>
      </x:c>
      <x:c r="G656" s="4" t="str">
        <x:v>Environment and resource management / Nature conservation
Attributed official justification
Applies to: Only the closure or restriction described by the cited source; no added temporal overlap claim
The official history attributes Mongolia’s 1993 suspension request to protection of a domestic nature reserve; China agreed. No additional motive is inferred.</x:v>
      </x:c>
      <x:c r="H656" s="4" t="str">
        <x:v>FU-COV-EAS-003-FU1: Inherited suspension of a seasonal crossing. The Gansu portal supplies August 1, 1993; the original Mongolian instrument remains unavailable.
Later documentary evidence: NIA’s 2023 issue and the Gansu Commerce document in October 2024 state that the port has not reopened. A Commerce reply dated September 15, 2025 still describes preparatory work and efforts toward reopening. The latter is evidence of non-restoration by inference, not an October 2026 operating inspection. No daily operational duration or present-day status is inferred.</x:v>
      </x:c>
      <x:c r="I656" s="4" t="str">
        <x:v>Second full-register audit, 26 October 2026: qualified. Official history and fresh NIA text support Mazongshan's inherited seasonal-port suspension. Existing 2024 non-reopening and 2025 preparatory-work qualifications remain appropriate; new planning results do not establish operation.</x:v>
      </x:c>
      <x:c r="J656" s="18" t="d">
        <x:v>2026-10-26T00:00:00.000Z</x:v>
      </x:c>
      <x:c r="K656" s="21" t="str">
        <x:f>IFERROR(HYPERLINK("https://gs.singlewindow.cn/pen-portal/notice/miendetails.jspa?penArticleDto.id=20","gs.singlewindow.cn"),"gs.singlewindow.cn")</x:f>
        <x:v>gs.singlewindow.cn</x:v>
      </x:c>
      <x:c r="L656" s="21" t="str">
        <x:f>IFERROR(HYPERLINK("https://gansu.gscn.com.cn/system/2021/08/16/012629333.shtml","gansu.gscn.com.cn"),"gansu.gscn.com.cn")</x:f>
        <x:v>gansu.gscn.com.cn</x:v>
      </x:c>
      <x:c r="M656" s="21"/>
      <x:c r="N656" s="4" t="str">
        <x:v>https://gs.singlewindow.cn/pen-portal/notice/miendetails.jspa?penArticleDto.id=20
https://gansu.gscn.com.cn/system/2021/08/16/012629333.shtml
https://www.nia.gov.cn/magazine/ImmigrationObservationSix/files/basic-html/page100.html
https://swt.gansu.gov.cn/swt/c108458/202410/174009611/files/4c2ca375f062430191aca124fdd0fe0c.pdf
https://swt.gansu.gov.cn/swt/c108458/202509/174213822/files/b63c1874be5e414f8b476aa1e0fa591e.pdf</x:v>
      </x:c>
      <x:c r="O656" s="4" t="str">
        <x:v>Second full-register audit source access, 26 October 2026
https://gs.singlewindow.cn/pen-portal/notice/miendetails.jspa?penArticleDto.id=20: search extract (previously retrieved text re-examined) — Scope and source lineage qualifications are described in claim checks.
https://gansu.gscn.com.cn/system/2021/08/16/012629333.shtml: full text (previously retrieved text re-examined) — Scope and source lineage qualifications are described in claim checks.
https://www.nia.gov.cn/magazine/ImmigrationObservationSix/files/basic-html/page100.html: full text (fresh retrieval) — Scope and source lineage qualifications are described in claim checks.
https://swt.gansu.gov.cn/swt/c108458/202410/174009611/files/4c2ca375f062430191aca124fdd0fe0c.pdf: search extract (previously retrieved text re-examined) — Scope and source lineage qualifications are described in claim checks.
https://swt.gansu.gov.cn/swt/c108458/202509/174213822/files/b63c1874be5e414f8b476aa1e0fa591e.pdf: search extract (previously retrieved text re-examined) — Scope and source lineage qualifications are described in claim checks.
Prior audit access record
Full-register audit source access (evidence cutoff 25 October 2026)
https://gs.singlewindow.cn/pen-portal/notice/miendetails.jspa?penArticleDto.id=20: search extract — Direct request timed out; full substantive indexed history inspected.
https://gansu.gscn.com.cn/system/2021/08/16/012629333.shtml: full text — See specific claim qualifications.
https://www.nia.gov.cn/magazine/ImmigrationObservationSix/files/basic-html/page100.html: full text — See specific claim qualifications.
https://swt.gansu.gov.cn/swt/c108458/202410/174009611/files/4c2ca375f062430191aca124fdd0fe0c.pdf: search extract — Exact document issue date not established; direct request returned 412.
https://swt.gansu.gov.cn/swt/c108458/202509/174213822/files/b63c1874be5e414f8b476aa1e0fa591e.pdf: search extract — Direct request returned 412; dated final-page text describes ongoing preparatory work, not a new first-hand gate inspection.
Earlier recorded access
Source 1: access detail is retained in the source catalogue.
Source 2: access detail is retained in the source catalogue.</x:v>
      </x:c>
      <x:c r="P656" s="20" t="n">
        <x:v>1</x:v>
      </x:c>
      <x:c r="Q656" s="4" t="str">
        <x:v>East and Southeast Asia and Oceania</x:v>
      </x:c>
      <x:c r="R656" s="4" t="str">
        <x:v>Included</x:v>
      </x:c>
    </x:row>
    <x:row r="657" ht="409" hidden="0" customHeight="1">
      <x:c r="A657" s="16" t="str">
        <x:v>FU-COV-EUR-001</x:v>
      </x:c>
      <x:c r="B657" s="4" t="str">
        <x:v>Yellow-vest obstructions at Le Boulou, Ventimiglia and Strasbourg border approaches, December 2018</x:v>
      </x:c>
      <x:c r="C657" s="4" t="str">
        <x:v>France; Germany; Italy; Spain</x:v>
      </x:c>
      <x:c r="D657" s="4" t="str">
        <x:v>Le Boulou toll on France–Spain A9 approach
Ventimiglia motorway border crossing
Pont de l’Europe road approach, Strasbourg</x:v>
      </x:c>
      <x:c r="E657" s="4" t="str">
        <x:v>Heavy vehicles; cars allowed; Freight vehicles; Non-freight road vehicles; Road vehicles; detailed exceptions unknown
Direction: Not separately established; Both directions</x:v>
      </x:c>
      <x:c r="F657" s="4" t="str">
        <x:v>FU-COV-EUR-001-FU1 — Observed operation
Le Boulou toll on France–Spain A9 approach
Start: 2018-12-22.
Last confirmed: 2018-12-22. Reopening is not established.
dated evidence; numeric duration withheld; see qualification
FU-COV-EUR-001-FU2 — Observed operation
Ventimiglia motorway border crossing, freight obstruction
Start: 2018-12-22.
Demonstration at the A10 toll plaza ended shortly after 15:00 on 2018-12-22, according to Primocanale. Its report describes traffic returning to normal; exact first resumed freight passage is not established.
Same-day dispersal bound; no exact elapsed-hour duration assigned.
FU-COV-EUR-001-FU3 — Observed operation
Ventimiglia motorway border crossing
Start: 2018-12-22.
Scoped endpoint: 2018-12-22.
Same-day episode; no whole-day duration inferred
FU-COV-EUR-001-FU4 — Observed operation
Pont de l’Europe road approach, Strasbourg
Start: 2018-12-22, approximately 07:30.
Blockade dispersed: 2018-12-22, approximately 08:45.
Same-day obstruction; actual first resumed passage time is not independently established.</x:v>
      </x:c>
      <x:c r="G657" s="4" t="str">
        <x:v>Policy and socioeconomic demands / Jobs, services and livelihoods
Reported reason
Applies to: Recorded episode
AFP attributes tax/purchasing-power demands to the protest movement; local demands may differ and are not assumed exhaustive.
Trade and protectionism / Trade and transport protests
Reported reason
Applies to: Le Boulou freight phase
Boulou participant explicitly connects freight obstruction to low-priced Spanish imports. This rationale applies to the Boulou phase only.</x:v>
      </x:c>
      <x:c r="H657" s="4" t="str">
        <x:v>Le Boulou: demonstrators were cleared and road cleaning followed; exact traffic resumption remains unknown. Ventimiglia: non-freight passage was allowed by noon while trucks remained affected. Primocanale explicitly locates its main action at the A10 motorway toll plaza and reports that demonstration ending shortly after 15:00 the same day; it also separately mentions disruption at the coastal Ponte San Ludovico crossing. Its title describes normal traffic returning, but no exact first freight passage is documented. This is not solely a coastal-crossing report. Strasbourg: the barricade was dispersed around 08:45 on December 22, after beginning about 07:30; this is not an exact first-passage time. No continuous multi-site interval, blanket Belgium closure, or whole-day duration is asserted.</x:v>
      </x:c>
      <x:c r="I657" s="4" t="str">
        <x:v>Second full-register audit, 26 October 2026: additional source-audited corrections incorporated. See the phase, scope and qualification columns for the accepted findings.</x:v>
      </x:c>
      <x:c r="J657" s="18" t="d">
        <x:v>2026-10-26T00:00:00.000Z</x:v>
      </x:c>
      <x:c r="K657" s="21" t="str">
        <x:f>IFERROR(HYPERLINK("https://www.tvanouvelles.ca/2018/12/22/nouveau-samedi-peu-mobilisateur","tvanouvelles.ca"),"tvanouvelles.ca")</x:f>
        <x:v>tvanouvelles.ca</x:v>
      </x:c>
      <x:c r="L657" s="21" t="str">
        <x:f>IFERROR(HYPERLINK("https://www.leparisien.fr/economie/direct-acte-6-des-gilets-jaunes-plusieurs-centaines-de-manifestants-a-paris-22-12-2018-7975002.php","leparisien.fr"),"leparisien.fr")</x:f>
        <x:v>leparisien.fr</x:v>
      </x:c>
      <x:c r="M657" s="21" t="str">
        <x:f>IFERROR(HYPERLINK("https://www.tf1info.fr/societe/gilets-jaunes-des-actions-aux-frontieres-avec-l-espagne-la-belgique-et-l-allemagne-2108304.html","tf1info.fr"),"tf1info.fr")</x:f>
        <x:v>tf1info.fr</x:v>
      </x:c>
      <x:c r="N657" s="4" t="str">
        <x:v>https://www.tvanouvelles.ca/2018/12/22/nouveau-samedi-peu-mobilisateur
https://www.leparisien.fr/economie/direct-acte-6-des-gilets-jaunes-plusieurs-centaines-de-manifestants-a-paris-22-12-2018-7975002.php
https://www.tf1info.fr/societe/gilets-jaunes-des-actions-aux-frontieres-avec-l-espagne-la-belgique-et-l-allemagne-2108304.html
https://www.publicsenat.fr/actualites/politique/des-centaines-de-gilets-jaunes-deloges-d-un-peage-a-la-frontiere-franco-espagnole
https://www.leparisien.fr/faits-divers/guerre-d-usure-entre-gilets-jaunes-et-forces-de-l-ordre-sur-l-autoroute-a9-19-12-2018-7972125.php
https://www.dna.fr/actualite/2018/12/22/gilets-jaunes-deux-interpellations-a-strasbourg-apres-un-blocage-avant-le-pont-de-l-europe
https://www.primocanale.it/archivio-news/203721-manifestazione-dei-gilet-gialli-alla-frontiera-di-ventimiglia-traffico-tornato-regolare.html</x:v>
      </x:c>
      <x:c r="O657" s="4" t="str">
        <x:v>Second full-register audit source access, 26 October 2026
https://www.dna.fr/actualite/2018/12/22/gilets-jaunes-deux-interpellations-a-strasbourg-apres-un-blocage-avant-le-pont-de-l-europe: full text (fresh retrieval)
https://www.leparisien.fr/economie/direct-acte-6-des-gilets-jaunes-plusieurs-centaines-de-manifestants-a-paris-22-12-2018-7975002.php: search extract (previously retrieved text re-examined) — Indexed excerpt.
https://www.publicsenat.fr/actualites/politique/des-centaines-de-gilets-jaunes-deloges-d-un-peage-a-la-frontiere-franco-espagnole: search extract (previously retrieved text re-examined) — Indexed excerpt.
https://www.primocanale.it/archivio-news/203721-manifestazione-dei-gilet-gialli-alla-frontiera-di-ventimiglia-traffico-tornato-regolare.html: search extract (previously retrieved text re-examined) — Substantive indexed article; fresh direct access returned 429.
Earlier URLs not separately inspected in this second assessment:
https://www.tvanouvelles.ca/2018/12/22/nouveau-samedi-peu-mobilisateur
https://www.tf1info.fr/societe/gilets-jaunes-des-actions-aux-frontieres-avec-l-espagne-la-belgique-et-l-allemagne-2108304.html
https://www.leparisien.fr/faits-divers/guerre-d-usure-entre-gilets-jaunes-et-forces-de-l-ordre-sur-l-autoroute-a9-19-12-2018-7972125.php
Prior audit access record
Full-register audit source access (evidence cutoff 25 October 2026)
https://www.dna.fr/actualite/2018/12/22/gilets-jaunes-deux-interpellations-a-strasbourg-apres-un-blocage-avant-le-pont-de-l-europe: full text
https://www.primocanale.it/archivio-news/203721-manifestazione-dei-gilet-gialli-alla-frontiera-di-ventimiglia-traffico-tornato-regolare.html: search extract — Direct access returned 429; crossing differs from the motorway phase label.
https://www.leparisien.fr/economie/direct-acte-6-des-gilets-jaunes-plusieurs-centaines-de-manifestants-a-paris-22-12-2018-7975002.php: search extract
https://www.publicsenat.fr/actualites/politique/des-centaines-de-gilets-jaunes-deloges-d-un-peage-a-la-frontiere-franco-espagnole: search extract
Earlier source URLs not separately listed in this audit’s retrieval log (historical access notes below are not fresh verification):
https://www.tvanouvelles.ca/2018/12/22/nouveau-samedi-peu-mobilisateur
https://www.tf1info.fr/societe/gilets-jaunes-des-actions-aux-frontieres-avec-l-espagne-la-belgique-et-l-allemagne-2108304.html
https://www.leparisien.fr/faits-divers/guerre-d-usure-entre-gilets-jaunes-et-forces-de-l-ordre-sur-l-autoroute-a9-19-12-2018-7972125.php
Earlier recorded access
Source 1: access detail is retained in the source catalogue.
Source 2: access detail is retained in the source catalogue.
Source 3: access detail is retained in the source catalogue.</x:v>
      </x:c>
      <x:c r="P657" s="20" t="n">
        <x:v>4</x:v>
      </x:c>
      <x:c r="Q657" s="4" t="str">
        <x:v>Europe</x:v>
      </x:c>
      <x:c r="R657" s="4" t="str">
        <x:v>Included</x:v>
      </x:c>
    </x:row>
    <x:row r="658" ht="409" hidden="0" customHeight="1">
      <x:c r="A658" s="16" t="str">
        <x:v>FU-COV-EUR-002</x:v>
      </x:c>
      <x:c r="B658" s="4" t="str">
        <x:v>Portuguese farmer blockades at Paymogo and Rosal border roads, February 2024</x:v>
      </x:c>
      <x:c r="C658" s="4" t="str">
        <x:v>Portugal; Spain</x:v>
      </x:c>
      <x:c r="D658" s="4" t="str">
        <x:v>Paymogo–Minas de Santo Domingo bridge / HU-7400 approach
Rosal de la Frontera–Vila Verde de Ficalho road / N-433 approach</x:v>
      </x:c>
      <x:c r="E658" s="4" t="str">
        <x:v>Ordinary road vehicles; emergency exception
Direction: Both directions</x:v>
      </x:c>
      <x:c r="F658" s="4" t="str">
        <x:v>FU-COV-EUR-002-FU1 — Observed operation
Paymogo–Minas de Santo Domingo bridge / HU-7400 approach
Start: 2024-02-01.
Last confirmed: 2024-02-02. Reopening is not established.
Contemporary Guardia Civil-attributed reporting on the morning of February 2 states that the blockade began early February 1 and remains in place: more than 24 hours is supported. Exact total duration and reopening remain unknown.
FU-COV-EUR-002-FU2 — Observed operation
Rosal de la Frontera–Vila Verde de Ficalho road / N-433 approach
Start: 2024-02-01.
Observed reopening bound: overnight 2024-02-02 to 2024-02-03.
Demonstrators dispersed around midnight; GNR confirmed normal traffic overnight. Exact minute is not established. The blockade lasted more than 24 hours.</x:v>
      </x:c>
      <x:c r="G658" s="4" t="str">
        <x:v>Policy and socioeconomic demands / Rights and other policy grievances
Reported reason
Applies to: Recorded episode
Reported demand to revise agricultural policies and regulations; the report does not justify narrower commodity, tax or import-control demands.</x:v>
      </x:c>
      <x:c r="H658" s="4" t="str">
        <x:v>Paymogo: blockade confirmed on February 1 and 2, with emergency vehicles exempted; actual reopening remains unknown. Ficalho: blockade began February 1 and remained active February 2; protesters dispersed near midnight February 2–3, and GNR confirmed normal traffic overnight. Exact onset and endpoint clock times should not be treated as precise. Ficalho evidence does not establish Paymogo reopening. A February 2 morning report explicitly traces both continuing blockades to early February 1, supporting the greater-than-24-hour classification without requiring exact total durations. Published onset clocks differ between reports, so no precise hourly calculation is assigned. Other open crossings and the absence of queues do not establish reopening at Paymogo.</x:v>
      </x:c>
      <x:c r="I658" s="4" t="str">
        <x:v>Second full-register audit, 26 October 2026: additional source-audited corrections incorporated. See the phase, scope and qualification columns for the accepted findings.</x:v>
      </x:c>
      <x:c r="J658" s="18" t="d">
        <x:v>2026-10-26T00:00:00.000Z</x:v>
      </x:c>
      <x:c r="K658" s="21" t="str">
        <x:f>IFERROR(HYPERLINK("https://www.europapress.es/andalucia/huelva-00354/noticia-agricultores-portugueses-cortan-carreteras-acceso-frontera-rosal-paymogo-huelva-20240201133915.html","europapress.es"),"europapress.es")</x:f>
        <x:v>europapress.es</x:v>
      </x:c>
      <x:c r="L658" s="21" t="str">
        <x:f>IFERROR(HYPERLINK("https://www.ultimahora.es/noticias/comunidades/2024/02/02/2098213/agricultores-portugueses-mantienen-por-segundo-dia-cortes-frontera-huelva-rosal-paymogo.html","ultimahora.es"),"ultimahora.es")</x:f>
        <x:v>ultimahora.es</x:v>
      </x:c>
      <x:c r="M658" s="21" t="str">
        <x:f>IFERROR(HYPERLINK("https://www.rtp.pt/noticias/pais/agricultores-portugueses-em-protesto_e1547463","rtp.pt"),"rtp.pt")</x:f>
        <x:v>rtp.pt</x:v>
      </x:c>
      <x:c r="N658" s="4" t="str">
        <x:v>https://www.europapress.es/andalucia/huelva-00354/noticia-agricultores-portugueses-cortan-carreteras-acceso-frontera-rosal-paymogo-huelva-20240201133915.html
https://www.ultimahora.es/noticias/comunidades/2024/02/02/2098213/agricultores-portugueses-mantienen-por-segundo-dia-cortes-frontera-huelva-rosal-paymogo.html
https://www.rtp.pt/noticias/pais/agricultores-portugueses-em-protesto_e1547463
https://www.europapress.es/andalucia/huelva-00354/noticia-continuan-cortes-carreteras-acceso-frontera-rosal-paymogo-huelva-20240201200626.html
https://eco.sapo.pt/2024/02/03/agricultores-em-ficalho-beja-desmobilizaram-e-vao-reunir-se-com-ministra/
https://www.antram.pt/conteudo/3896-portugal-protestos-dos-agricultores
https://www.huelvainformacion.es/provincia/agricultores-portugueses-CORTES-CARRETERAS-FRONTERIZAS-HUELVA-PORTUGAL_0_1872113025.amp.html</x:v>
      </x:c>
      <x:c r="O658" s="4" t="str">
        <x:v>Second full-register audit source access, 26 October 2026
https://www.huelvainformacion.es/provincia/agricultores-portugueses-CORTES-CARRETERAS-FRONTERIZAS-HUELVA-PORTUGAL_0_1872113025.amp.html: full text (fresh retrieval)
https://eco.sapo.pt/2024/02/03/agricultores-em-ficalho-beja-desmobilizaram-e-vao-reunir-se-com-ministra/: full text (fresh retrieval)
https://www.antram.pt/conteudo/3896-portugal-protestos-dos-agricultores: full text (fresh retrieval) — Generic main-border normalization does not name Paymogo or prove its reopening.
https://www.europapress.es/andalucia/huelva-00354/noticia-agricultores-portugueses-cortan-carreteras-acceso-frontera-rosal-paymogo-huelva-20240201133915.html: full text (previously retrieved text re-examined)
Earlier URLs not separately inspected in this second assessment:
https://www.ultimahora.es/noticias/comunidades/2024/02/02/2098213/agricultores-portugueses-mantienen-por-segundo-dia-cortes-frontera-huelva-rosal-paymogo.html
https://www.rtp.pt/noticias/pais/agricultores-portugueses-em-protesto_e1547463
https://www.europapress.es/andalucia/huelva-00354/noticia-continuan-cortes-carreteras-acceso-frontera-rosal-paymogo-huelva-20240201200626.html
Prior audit access record
Full-register audit source access (evidence cutoff 25 October 2026)
https://www.europapress.es/andalucia/huelva-00354/noticia-agricultores-portugueses-cortan-carreteras-acceso-frontera-rosal-paymogo-huelva-20240201133915.html: full text
https://www.rtp.pt/noticias/pais/agricultores-portugueses-em-protesto_e1547463: full text
https://www.ultimahora.es/noticias/comunidades/2024/02/02/2098213/agricultores-portugueses-mantienen-por-segundo-dia-cortes-frontera-huelva-rosal-paymogo.html: full text
https://eco.sapo.pt/2024/02/03/agricultores-em-ficalho-beja-desmobilizaram-e-vao-reunir-se-com-ministra/: full text
https://www.antram.pt/conteudo/3896-portugal-protestos-dos-agricultores: full text
Earlier source URLs not separately listed in this audit’s retrieval log (historical access notes below are not fresh verification):
https://www.europapress.es/andalucia/huelva-00354/noticia-continuan-cortes-carreteras-acceso-frontera-rosal-paymogo-huelva-20240201200626.html
Earlier recorded access
Source 1: access detail is retained in the source catalogue.
Source 2: access detail is retained in the source catalogue.
Source 3: access detail is retained in the source catalogue.</x:v>
      </x:c>
      <x:c r="P658" s="20" t="n">
        <x:v>2</x:v>
      </x:c>
      <x:c r="Q658" s="4" t="str">
        <x:v>Europe</x:v>
      </x:c>
      <x:c r="R658" s="4" t="str">
        <x:v>Included</x:v>
      </x:c>
    </x:row>
    <x:row r="659" ht="409" hidden="0" customHeight="1">
      <x:c r="A659" s="16" t="str">
        <x:v>FU-COV-GLA-001</x:v>
      </x:c>
      <x:c r="B659" s="4" t="str">
        <x:v>Goma–Gisenyi Grande Barrière closure for ministerial security ceremony, November 2024</x:v>
      </x:c>
      <x:c r="C659" s="4" t="str">
        <x:v>Democratic Republic of the Congo; Rwanda</x:v>
      </x:c>
      <x:c r="D659" s="4" t="str">
        <x:v>Grande Barrière / La Corniche only</x:v>
      </x:c>
      <x:c r="E659" s="4" t="str">
        <x:v>Passenger movement
Direction: Not separately established</x:v>
      </x:c>
      <x:c r="F659" s="4" t="str">
        <x:v>FU-COV-GLA-001-FU1 — Observed operation
Grande Barrière / La Corniche only
Closed during the morning of 2024-11-05; passages were diverted to Petite Barrière.
Exact reopening time unknown. Ended by 2025-01-23, when an on-site report described both posts operating normally.
No continuous interval or numerical duration established.</x:v>
      </x:c>
      <x:c r="G659" s="4" t="str">
        <x:v>Security / Public order and immediate safety
Reported reason
Applies to: November 5 ceremony episode
A forum reproduction attributed to RFI correspondent Héritier Baraka says the Corniche crossing was temporarily closed for meeting security. The original RFI article was identified but could not be retrieved directly; this attribution is indirectly supported.</x:v>
      </x:c>
      <x:c r="H659" s="4" t="str">
        <x:v>The November 5 ceremony closure is directly reported for the morning only, with passengers diverted to Petite Barrière; no full-day duration or exact same-day reopening is established. New Narratif RDC reported normal passage at both posts on January 23, 2025, quoting an agent at Grande Barrière. This bounds the end conservatively and does not prove continuous closure until then. The separate July 2026 reopening concerns Ebola. The ordering body remains unidentified. The security explanation is present in a forum reproduction attributed and linked to RFI; direct retrieval of the original article failed.</x:v>
      </x:c>
      <x:c r="I659" s="4" t="str">
        <x:v>Second full-register audit, 26 October 2026: additional source-audited corrections incorporated. See the phase, scope and qualification columns for the accepted findings.</x:v>
      </x:c>
      <x:c r="J659" s="18" t="d">
        <x:v>2026-10-26T00:00:00.000Z</x:v>
      </x:c>
      <x:c r="K659" s="21" t="str">
        <x:f>IFERROR(HYPERLINK("https://www.lifeinfos.net/processus-de-luanda-lancement-du-mecanisme-de-verification-ad-hoc-renforcee-entre-la-rdc-et-le-rwanda/","lifeinfos.net"),"lifeinfos.net")</x:f>
        <x:v>lifeinfos.net</x:v>
      </x:c>
      <x:c r="L659" s="21" t="str">
        <x:f>IFERROR(HYPERLINK("https://www.radiookapi.net/2024/11/05/actualite/securite/processus-de-luanda-lancement-du-mecanisme-de-verification-ad-hoc","radiookapi.net"),"radiookapi.net")</x:f>
        <x:v>radiookapi.net</x:v>
      </x:c>
      <x:c r="M659" s="21" t="str">
        <x:f>IFERROR(HYPERLINK("https://far-maroc.forumpro.fr/t3594-le-m23mouvement-du-23-mars-vs-l-armee-de-la-rdc","far-maroc.forumpro.fr"),"far-maroc.forumpro.fr")</x:f>
        <x:v>far-maroc.forumpro.fr</x:v>
      </x:c>
      <x:c r="N659" s="4" t="str">
        <x:v>https://www.lifeinfos.net/processus-de-luanda-lancement-du-mecanisme-de-verification-ad-hoc-renforcee-entre-la-rdc-et-le-rwanda/
https://www.radiookapi.net/2024/11/05/actualite/securite/processus-de-luanda-lancement-du-mecanisme-de-verification-ad-hoc
https://far-maroc.forumpro.fr/t3594-le-m23mouvement-du-23-mars-vs-l-armee-de-la-rdc
https://newnarratifrdc.net/goma-les-frontieres-avec-le-rwanda-restent-ouvertes-malgre-les-rumeurs
https://www.radiookapi.net/2026/07/03/actualite/societe/reouverture-du-poste-frontalier-entre-goma-et-gisenyi
https://www.rfi.fr/fr/afrique/20241105-rdc-goma-lancement-officiel-m%C3%A9canisme-de-suivi-de-la-crise-s%C3%A9curitaire-dans-l-est</x:v>
      </x:c>
      <x:c r="O659" s="4" t="str">
        <x:v>Second full-register audit source access, 26 October 2026
https://www.lifeinfos.net/processus-de-luanda-lancement-du-mecanisme-de-verification-ad-hoc-renforcee-entre-la-rdc-et-le-rwanda/: full text (fresh retrieval)
https://www.radiookapi.net/2024/11/05/actualite/securite/processus-de-luanda-lancement-du-mecanisme-de-verification-ad-hoc: search extract (fresh retrieval) — Direct opening failed; likely original of LifeInfos text
https://far-maroc.forumpro.fr/t3594-le-m23mouvement-du-23-mars-vs-l-armee-de-la-rdc: search extract (fresh retrieval) — Third-party reproduction, not direct RFI verification
https://www.rfi.fr/fr/afrique/20241105-rdc-goma-lancement-officiel-m%C3%A9canisme-de-suivi-de-la-crise-s%C3%A9curitaire-dans-l-est: inaccessible (fresh retrieval) — Retrieval blocked
https://newnarratifrdc.net/goma-les-frontieres-avec-le-rwanda-restent-ouvertes-malgre-les-rumeurs: full text (fresh retrieval)
Earlier URLs not separately inspected in this second assessment:
https://www.radiookapi.net/2026/07/03/actualite/societe/reouverture-du-poste-frontalier-entre-goma-et-gisenyi
Prior audit access record
Full-register audit source access (evidence cutoff 25 October 2026)
https://www.lifeinfos.net/processus-de-luanda-lancement-du-mecanisme-de-verification-ad-hoc-renforcee-entre-la-rdc-et-le-rwanda/: full text — Supports named scope, not continuous closure.
https://www.radiookapi.net/2024/11/05/actualite/securite/processus-de-luanda-lancement-du-mecanisme-de-verification-ad-hoc: full text — Supports named scope, not continuous closure.
https://newnarratifrdc.net/goma-les-frontieres-avec-le-rwanda-restent-ouvertes-malgre-les-rumeurs: full text — Supports named scope, not continuous closure.
https://www.radiookapi.net/2026/07/03/actualite/societe/reouverture-du-poste-frontalier-entre-goma-et-gisenyi: full text — Supports named scope, not continuous closure.
Earlier source URLs not separately listed in this audit’s retrieval log (historical access notes below are not fresh verification):
https://far-maroc.forumpro.fr/t3594-le-m23mouvement-du-23-mars-vs-l-armee-de-la-rdc
Earlier recorded access
Source 1: access detail is retained in the source catalogue.
Source 2: access detail is retained in the source catalogue.
Source 3: access detail is retained in the source catalogue.</x:v>
      </x:c>
      <x:c r="P659" s="20" t="n">
        <x:v>1</x:v>
      </x:c>
      <x:c r="Q659" s="4" t="str">
        <x:v>Great Lakes</x:v>
      </x:c>
      <x:c r="R659" s="4" t="str">
        <x:v>Included</x:v>
      </x:c>
    </x:row>
    <x:row r="660" ht="409" hidden="0" customHeight="1">
      <x:c r="A660" s="16" t="str">
        <x:v>FU-COV-HAF-001</x:v>
      </x:c>
      <x:c r="B660" s="4" t="str">
        <x:v>Gallabat outbound passenger suspension after attacks on travellers, November 2023</x:v>
      </x:c>
      <x:c r="C660" s="4" t="str">
        <x:v>Ethiopia; Sudan</x:v>
      </x:c>
      <x:c r="D660" s="4" t="str">
        <x:v>Gallabat–Metema</x:v>
      </x:c>
      <x:c r="E660" s="4" t="str">
        <x:v>Passengers
Direction: Sudan to Ethiopia</x:v>
      </x:c>
      <x:c r="F660" s="4" t="str">
        <x:v>FU-COV-HAF-001-FU1 — Observed operation
Gallabat–Metema, passengers from Sudan to Ethiopia; freight excepted
Start: 2023-11-19 to 2023-11-20.
Last closure confirmation: 2023-11-20.
Later scoped access documented by 2023-12-26: UNHCR reports new arrivals entering Ethiopia at Metema, including Sudanese visa/transit travellers. Its next report records25 minibuses with Sudanese families at the customs exit on 2024-01-03.
Exact first resumed processing and full eligibility remain unknown; no continuous duration calculated.</x:v>
      </x:c>
      <x:c r="G660" s="4" t="str">
        <x:v>Security / Public order and immediate safety
Reported reason
Applies to: Recorded episode
Authorities suspended travel pending safety arrangements.
Security / Crime and law enforcement
Reported reason
Applies to: Recorded episode
Reported response to robbery and attacks on travellers.</x:v>
      </x:c>
      <x:c r="H660" s="4" t="str">
        <x:v>November 19–20 onset bounds are retained; commercial goods continued. The December 26 UNHCR report describes Sudanese arrivals through Metema for visa transit and asylum. The full January 8 report, covering December 26–January 3, confirms ongoing entry-point movement and a January 3 convoy of 25 minibuses carrying Sudanese families onward toward Addis Ababa. These are same-direction passenger observations, not an exact first reopening date or proof of unrestricted eligibility. Some Sudanese forces reportedly encouraged people to remain in Sudan. The December report was available as a substantive indexed extract; the January report was inspected in full through an ecoi.net mirror.</x:v>
      </x:c>
      <x:c r="I660" s="4" t="str">
        <x:v>Second full-register audit, 26 October 2026: additional source-audited corrections incorporated. See the phase, scope and qualification columns for the accepted findings.</x:v>
      </x:c>
      <x:c r="J660" s="18" t="d">
        <x:v>2026-10-26T00:00:00.000Z</x:v>
      </x:c>
      <x:c r="K660" s="21" t="str">
        <x:f>IFERROR(HYPERLINK("https://www.dabangasudan.org/ar/all-news/article/%D8%B3%D9%84%D8%B7%D8%A7%D8%AA-%D8%A7%D9%84%D9%82%D8%B6%D8%A7%D8%B1%D9%81-%D8%AA%D8%BA%D9%84%D9%82-%D9%85%D8%B9%D8%A8%D8%B1-%D8%A7%D9%84%D9%82%D9%84%D8%A7%D8%A8%D8%A7%D8%AA-%D8%A7%D9%84%D8%A8%D8%B1","Radio Dabanga"),"Radio Dabanga")</x:f>
        <x:v>Radio Dabanga</x:v>
      </x:c>
      <x:c r="L660" s="21" t="str">
        <x:f>IFERROR(HYPERLINK("https://sudantribune.net/article279546/","Sudan Tribune"),"Sudan Tribune")</x:f>
        <x:v>Sudan Tribune</x:v>
      </x:c>
      <x:c r="M660" s="21" t="str">
        <x:f>IFERROR(HYPERLINK("https://sagiapress.net/2023/11/20/%D9%82%D8%B1%D8%A7%D8%B1-%D8%A8%D8%A5%D9%8A%D9%82%D8%A7%D9%81-%D8%A7%D9%84%D8%B3%D9%81%D8%B1-%D8%A5%D9%84%D9%89-%D8%A5%D8%AB%D9%8A%D9%88%D8%A8%D9%8A%D8%A7-%D8%B9%D8%A8%D8%B1-%D9%85%D8%B9%D8%A8%D8%B1/","Sagia Press"),"Sagia Press")</x:f>
        <x:v>Sagia Press</x:v>
      </x:c>
      <x:c r="N660" s="4" t="str">
        <x:v>https://www.dabangasudan.org/ar/all-news/article/%D8%B3%D9%84%D8%B7%D8%A7%D8%AA-%D8%A7%D9%84%D9%82%D8%B6%D8%A7%D8%B1%D9%81-%D8%AA%D8%BA%D9%84%D9%82-%D9%85%D8%B9%D8%A8%D8%B1-%D8%A7%D9%84%D9%82%D9%84%D8%A7%D8%A8%D8%A7%D8%AA-%D8%A7%D9%84%D8%A8%D8%B1
https://sudantribune.net/article279546/
https://sagiapress.net/2023/11/20/%D9%82%D8%B1%D8%A7%D8%B1-%D8%A8%D8%A5%D9%8A%D9%82%D8%A7%D9%81-%D8%A7%D9%84%D8%B3%D9%81%D8%B1-%D8%A5%D9%84%D9%89-%D8%A5%D8%AB%D9%8A%D9%88%D8%A8%D9%8A%D8%A7-%D8%B9%D8%A8%D8%B1-%D9%85%D8%B9%D8%A8%D8%B1/
https://www.dabangasudan.org/en/all-news/article/ten-killed-and-over-6000-displaced-in-south-darfur
https://www.unhcr.org/sites/default/files/2023-12/Sudan%20Situation%20-%20UNHCR%20External%20Update%20%2341--%2026%20December%202023.pdf
https://www.unhcr.org/sites/default/files/2024-01/Sudan%20Situation%20-%20UNHCR%20External%20Update%20%2342%20-%208%20January%202024.pdf
https://www.ecoi.net/en/file/local/2102934/42%2B-%2B8%2BJanuary%2B2024.pdf</x:v>
      </x:c>
      <x:c r="O660" s="4" t="str">
        <x:v>Second full-register audit source access, 26 October 2026
https://www.dabangasudan.org/ar/all-news/article/%D8%B3%D9%84%D8%B7%D8%A7%D8%AA-%D8%A7%D9%84%D9%82%D8%B6%D8%A7%D8%B1%D9%81-%D8%AA%D8%BA%D9%84%D9%82-%D9%85%D8%B9%D8%A8%D8%B1-%D8%A7%D9%84%D9%82%D9%84%D8%A7%D8%A8%D8%A7%D8%AA-%D8%A7%D9%84%D8%A8%D8%B1: full text (fresh retrieval)
https://www.dabangasudan.org/en/all-news/article/ten-killed-and-over-6000-displaced-in-south-darfur: full text (fresh retrieval)
https://www.unhcr.org/sites/default/files/2023-12/Sudan%20Situation%20-%20UNHCR%20External%20Update%20%2341--%2026%20December%202023.pdf: search extract (fresh retrieval) — Original PDF inaccessible; substantive indexed passage
https://www.ecoi.net/en/file/local/2102934/42%2B-%2B8%2BJanuary%2B2024.pdf: full text (fresh retrieval) — Publication date January 8; observations cover December 26–January 3
Earlier URLs not separately inspected in this second assessment:
https://sudantribune.net/article279546/
https://sagiapress.net/2023/11/20/%D9%82%D8%B1%D8%A7%D8%B1-%D8%A8%D8%A5%D9%8A%D9%82%D8%A7%D9%81-%D8%A7%D9%84%D8%B3%D9%81%D8%B1-%D8%A5%D9%84%D9%89-%D8%A5%D8%AB%D9%8A%D9%88%D8%A8%D9%8A%D8%A7-%D8%B9%D8%A8%D8%B1-%D9%85%D8%B9%D8%A8%D8%B1/
https://www.unhcr.org/sites/default/files/2024-01/Sudan%20Situation%20-%20UNHCR%20External%20Update%20%2342%20-%208%20January%202024.pdf
Prior audit access record
Full-register audit source access (evidence cutoff 25 October 2026)
https://www.dabangasudan.org/en/all-news/article/ten-killed-and-over-6000-displaced-in-south-darfur: full text — Supports named scope, not continuous closure.
https://sagiapress.net/2023/11/20/%D9%82%D8%B1%D8%A7%D8%B1-%D8%A8%D8%A5%D9%8A%D9%82%D8%A7%D9%81-%D8%A7%D9%84%D8%B3%D9%81%D8%B1-%D8%A5%D9%84%D9%89-%D8%A5%D8%AB%D9%8A%D9%88%D8%A8%D9%8A%D8%A7-%D8%B9%D8%A8%D8%B1-%D9%85%D8%B9%D8%A8%D8%B1/: full text — Supports named scope, not continuous closure.
https://www.unhcr.org/sites/default/files/2023-12/Sudan%20Situation%20-%20UNHCR%20External%20Update%20%2341--%2026%20December%202023.pdf: search extract — Indexed substantive passage only; full document access failed.
https://www.unhcr.org/sites/default/files/2024-01/Sudan%20Situation%20-%20UNHCR%20External%20Update%20%2342%20-%208%20January%202024.pdf: search extract — Indexed substantive passage only; full document access failed.
Earlier source URLs not separately listed in this audit’s retrieval log (historical access notes below are not fresh verification):
https://www.dabangasudan.org/ar/all-news/article/%D8%B3%D9%84%D8%B7%D8%A7%D8%AA-%D8%A7%D9%84%D9%82%D8%B6%D8%A7%D8%B1%D9%81-%D8%AA%D8%BA%D9%84%D9%82-%D9%85%D8%B9%D8%A8%D8%B1-%D8%A7%D9%84%D9%82%D9%84%D8%A7%D8%A8%D8%A7%D8%AA-%D8%A7%D9%84%D8%A8%D8%B1
https://sudantribune.net/article279546/
Earlier recorded access
Source 1: full text
Source 2: indexed extract
Source 3: full text</x:v>
      </x:c>
      <x:c r="P660" s="20" t="n">
        <x:v>1</x:v>
      </x:c>
      <x:c r="Q660" s="4" t="str">
        <x:v>Horn of Africa</x:v>
      </x:c>
      <x:c r="R660" s="4" t="str">
        <x:v>Included</x:v>
      </x:c>
    </x:row>
    <x:row r="661" ht="390" hidden="0" customHeight="1">
      <x:c r="A661" s="16" t="str">
        <x:v>FU-COV-HAF-003</x:v>
      </x:c>
      <x:c r="B661" s="4" t="str">
        <x:v>Gallabat passenger travel suspension during Amhara fighting, August 2023</x:v>
      </x:c>
      <x:c r="C661" s="4" t="str">
        <x:v>Ethiopia; Sudan</x:v>
      </x:c>
      <x:c r="D661" s="4" t="str">
        <x:v>Gallabat–Metema</x:v>
      </x:c>
      <x:c r="E661" s="4" t="str">
        <x:v>Passengers; initial suspension concerned travel processing from Sudan toward Ethiopia.
August 8 policy exceptions reported by UNHCR: foreign nationals leaving Sudan and Sudanese stranded abroad returning home.
August 12 official-reported movement includes departures toward Ethiopia and arrivals into Sudan; August 13 UNHCR reopening is explicitly partial. No uniform freight or all-category endpoint inferred.</x:v>
      </x:c>
      <x:c r="F661" s="4" t="str">
        <x:v>FU-COV-HAF-003-FU1 — Reported operation / scoped resumption
Gallabat–Metema travel processing toward Ethiopia.
Suspension confirmed by: 2023-08-03; earliest onset unknown.
August 8 emergency order: foreign nationals allowed to leave Sudan and Sudanese stranded abroad allowed to return, according to UNHCR.
August 10 joint UNHCR/COR monitoring found stranded travellers at Metema unable to proceed or return.
Reported scoped return: 2023-08-12, police chief reports more than 55 departures toward Gondar and about 20 arrivals from Ethiopia.
Separate UNHCR account dates partial reopening and resumed visa issuance to 2023-08-13.
No finite complete duration or uninterrupted all-category closure is established.</x:v>
      </x:c>
      <x:c r="G661" s="4" t="str">
        <x:v>Security / Armed conflict and military confrontation
Reported reason
Applies to: Recorded episode
Fighting was the stated context for stopping travel.
Security / Public order and immediate safety
Reported reason
Applies to: Recorded episode
Police chief stated traveller safety as purpose.</x:v>
      </x:c>
      <x:c r="H661" s="4" t="str">
        <x:v>FU-COV-HAF-003-FU1: August 3 is a by-date, not a proved original onset. Sudan Tribune’s August 12 report attributes completed processing and actual departures/arrivals to the Gedaref police chief; it is not direct journalist observation. UNHCR’s September brief separately dates a partial reopening and renewed visa issuance to August 13. Preserve these accounts without forcing one universal reopening day.
UNHCR reports an August 8 emergency order exempting foreigners leaving Sudan and Sudanese returning from abroad, and its joint August 10 monitoring found travellers stranded at Metema. These are category- and direction-specific observations; not every permitted person necessarily crossed. No continuous whole-frontier operational interval is inferred. The event concerns Amhara fighting and traveller safety, not COVID despite its legacy record ID.</x:v>
      </x:c>
      <x:c r="I661" s="4" t="str">
        <x:v>Second full-register audit, 26 October 2026: qualified. Fresh source inspection supports the revised August 2023 chronology: suspension by August 3, policy exceptions on August 8, stranded travellers on August 10, official-reported movements on August 12 and a separately reported partial reopening on August 13. No further substantive correction.</x:v>
      </x:c>
      <x:c r="J661" s="18" t="d">
        <x:v>2026-10-26T00:00:00.000Z</x:v>
      </x:c>
      <x:c r="K661" s="21" t="str">
        <x:f>IFERROR(HYPERLINK("https://www.dabangasudan.org/ar/all-news/article/%D8%A7%D9%84%D8%B3%D9%84%D8%B7%D8%A7%D8%AA-%D8%A7%D9%84%D8%B3%D9%88%D8%AF%D8%A7%D9%86%D9%8A%D8%A9-%D8%AA%D9%88%D9%82%D9%81-%D8%A5%D8%AC%D8%B1%D8%A7%D8%A1%D8%A7%D8%AA-%D8%A7%D9%84%D8%B3%D9%81%D8%B1","dabangasudan.org"),"dabangasudan.org")</x:f>
        <x:v>dabangasudan.org</x:v>
      </x:c>
      <x:c r="L661" s="21" t="str">
        <x:f>IFERROR(HYPERLINK("https://sudantribune.net/article/276062","sudantribune.net"),"sudantribune.net")</x:f>
        <x:v>sudantribune.net</x:v>
      </x:c>
      <x:c r="M661" s="21" t="str">
        <x:f>IFERROR(HYPERLINK("https://sagiapress.net/2023/08/03/16606/","sagiapress.net"),"sagiapress.net")</x:f>
        <x:v>sagiapress.net</x:v>
      </x:c>
      <x:c r="N661" s="4" t="str">
        <x:v>https://www.dabangasudan.org/ar/all-news/article/%D8%A7%D9%84%D8%B3%D9%84%D8%B7%D8%A7%D8%AA-%D8%A7%D9%84%D8%B3%D9%88%D8%AF%D8%A7%D9%86%D9%8A%D8%A9-%D8%AA%D9%88%D9%82%D9%81-%D8%A5%D8%AC%D8%B1%D8%A7%D8%A1%D8%A7%D8%AA-%D8%A7%D9%84%D8%B3%D9%81%D8%B1
https://sudantribune.net/article/276062
https://sagiapress.net/2023/08/03/16606/
https://www.ecoi.net/en/file/local/2098634/Protection%2BBrief%2B-%2BSudan%2B-%2BSeptember%2B2023.pdf</x:v>
      </x:c>
      <x:c r="O661" s="4" t="str">
        <x:v>Second full-register audit source access, 26 October 2026
https://sagiapress.net/2023/08/03/16606/: full text (fresh retrieval)
https://sudantribune.net/article/276062: full text (fresh retrieval)
https://www.ecoi.net/en/file/local/2098634/Protection%2BBrief%2B-%2BSudan%2B-%2BSeptember%2B2023.pdf: full text (fresh retrieval)
Earlier URLs not separately inspected in this second assessment:
https://www.dabangasudan.org/ar/all-news/article/%D8%A7%D9%84%D8%B3%D9%84%D8%B7%D8%A7%D8%AA-%D8%A7%D9%84%D8%B3%D9%88%D8%AF%D8%A7%D9%86%D9%8A%D8%A9-%D8%AA%D9%88%D9%82%D9%81-%D8%A5%D8%AC%D8%B1%D8%A7%D8%A1%D8%A7%D8%AA-%D8%A7%D9%84%D8%B3%D9%81%D8%B1
Prior audit access record
Full-register audit source access (evidence cutoff 25 October 2026)
https://sagiapress.net/2023/08/03/16606/: full text
https://sudantribune.net/article/276062: full text
https://www.ecoi.net/en/file/local/2098634/Protection%2BBrief%2B-%2BSudan%2B-%2BSeptember%2B2023.pdf: full text
Earlier source URLs not separately listed in this audit’s retrieval log (historical access notes below are not fresh verification):
https://www.dabangasudan.org/ar/all-news/article/%D8%A7%D9%84%D8%B3%D9%84%D8%B7%D8%A7%D8%AA-%D8%A7%D9%84%D8%B3%D9%88%D8%AF%D8%A7%D9%86%D9%8A%D8%A9-%D8%AA%D9%88%D9%82%D9%81-%D8%A5%D8%AC%D8%B1%D8%A7%D8%A1%D8%A7%D8%AA-%D8%A7%D9%84%D8%B3%D9%81%D8%B1
Earlier recorded access
Source 1: access detail is retained in the source catalogue.
Source 2: access detail is retained in the source catalogue.
Source 3: access detail is retained in the source catalogue.</x:v>
      </x:c>
      <x:c r="P661" s="20" t="n">
        <x:v>1</x:v>
      </x:c>
      <x:c r="Q661" s="4" t="str">
        <x:v>Horn of Africa</x:v>
      </x:c>
      <x:c r="R661" s="4" t="str">
        <x:v>Included</x:v>
      </x:c>
    </x:row>
    <x:row r="662" ht="409" hidden="0" customHeight="1">
      <x:c r="A662" s="16" t="str">
        <x:v>FU-COV-LAM-001</x:v>
      </x:c>
      <x:c r="B662" s="4" t="str">
        <x:v>Las Manos trucker border blockades over reciprocal visa requirements, October 2023</x:v>
      </x:c>
      <x:c r="C662" s="4" t="str">
        <x:v>Honduras; Nicaragua</x:v>
      </x:c>
      <x:c r="D662" s="4" t="str">
        <x:v>Las Manos</x:v>
      </x:c>
      <x:c r="E662" s="4" t="str">
        <x:v>Commercial freight affected by two protest episodes at Las Manos.
Direction: Southbound freight from Honduras toward Nicaragua/Costa Rica is explicitly reported in the first episode; a complete direction inventory for both episodes is not established.
Exceptions: Buses and light vehicles were unaffected in the 12 October account. The 19 October report describes light-vehicle access and an agreed perishable-goods exception during the renewed action.</x:v>
      </x:c>
      <x:c r="F662" s="4" t="str">
        <x:v>FU-COV-LAM-001-FU1 — Observed operation
Las Manos cargo protest obstruction
Start: 2023-10-11, according to organizer; another report dates its onset early 12 October.
Reported clearance: by 2023-10-12.
No precise elapsed duration established.
FU-COV-LAM-001-FU2 — Intermittent regime
Las Manos cargo protest obstruction
Start: 2023-10-18 to 2023-10-19.
Last confirmed intermittent action: 2023-10-21.
Reported cargo resumption: night of 2023-10-24, reported on 25 October.
Intermittent regime envelope; total closed hours/days remain unknown.</x:v>
      </x:c>
      <x:c r="G662" s="4" t="str">
        <x:v>Migration / Admission and document disputes
Reported reason
Applies to: Recorded episode
Blockade sought removal of driver visa restrictions; attributed to transporters.
Trade and protectionism / Trade and transport protests
Reported reason
Applies to: Recorded episode
Commercial transporters obstructed freight to recover cross-border market access; not a state protectionist closure.</x:v>
      </x:c>
      <x:c r="H662" s="4" t="str">
        <x:v>The first protest is reported as beginning at 18:00 on 11 October by the organizer, while HCH describes early 12 October; HCH reported the crossing cleared on 12 October. The renewed October 18–19 action was intermittent and a 19 October morning normal-traffic report remains valid as a separate observation. HCH specifically reports Las Manos cargo operations resumed on the night of 24 October after the visa agreement. Guasaule clearance is not used as evidence for Las Manos. Neither phase has an exact continuous elapsed duration.</x:v>
      </x:c>
      <x:c r="I662" s="4" t="str">
        <x:v>Second full-register audit, 26 October 2026: additional source-audited corrections incorporated. See the phase, scope and qualification columns for the accepted findings.</x:v>
      </x:c>
      <x:c r="J662" s="18" t="d">
        <x:v>2026-10-26T00:00:00.000Z</x:v>
      </x:c>
      <x:c r="K662" s="21" t="str">
        <x:f>IFERROR(HYPERLINK("https://www.nacion.com/economia/politica-economica/transportistas-hondurenos-protestan-en-puesto/4HG7T7GCUNEFFE5QVY6UKQ7754/story/","La Nacion"),"La Nacion")</x:f>
        <x:v>La Nacion</x:v>
      </x:c>
      <x:c r="L662" s="21" t="str">
        <x:f>IFERROR(HYPERLINK("https://www.nacion.com/economia/politica-economica/transportistas-hondurenos-reanudan-protesta-por/KTDC46H53FBHFEPNUPANLG7KNY/story/","La Nacion"),"La Nacion")</x:f>
        <x:v>La Nacion</x:v>
      </x:c>
      <x:c r="M662" s="21" t="str">
        <x:f>IFERROR(HYPERLINK("https://proceso.hn/continua-bloqueada-la-aduana-las-manos-zona-fronteriza-entre-honduras-y-nicaragua/","Proceso Digital"),"Proceso Digital")</x:f>
        <x:v>Proceso Digital</x:v>
      </x:c>
      <x:c r="N662" s="4" t="str">
        <x:v>https://www.nacion.com/economia/politica-economica/transportistas-hondurenos-protestan-en-puesto/4HG7T7GCUNEFFE5QVY6UKQ7754/story/
https://www.nacion.com/economia/politica-economica/transportistas-hondurenos-reanudan-protesta-por/KTDC46H53FBHFEPNUPANLG7KNY/story/
https://proceso.hn/continua-bloqueada-la-aduana-las-manos-zona-fronteriza-entre-honduras-y-nicaragua/
https://www.radiohrn.hn/suspenden-bloqueos-paro-ca5-transportistas-carga-pesada-honduras-2023-10-19
https://hch.tv/transportistas-de-carga-suspenden-protesta-en-frontera-guasaule-en-las-manos-se-mantiene-toma/
https://hch.tv/traileros-bloquean-paso-al-transporte-de-carga-en-frontera-las-manos-con-nicaragua/
https://hch.tv/normalizado-el-paso-en-frontera-las-manos-luego-que-rastreros-recularan-con-toma/
https://hch.tv/normalizada-circulacion-del-transporte-de-carga-en-fronteras-tras-eliminacion-de-visas/</x:v>
      </x:c>
      <x:c r="O662" s="4" t="str">
        <x:v>Second full-register audit source access, 26 October 2026
https://www.nacion.com/economia/politica-economica/transportistas-hondurenos-protestan-en-puesto/4HG7T7GCUNEFFE5QVY6UKQ7754/story/: full text (fresh retrieval) — Full page retrieved; complete onset paragraph inspected in indexed extract.
https://www.nacion.com/economia/politica-economica/transportistas-hondurenos-reanudan-protesta-por/KTDC46H53FBHFEPNUPANLG7KNY/story/: full text (previously retrieved text re-examined)
https://hch.tv/normalizado-el-paso-en-frontera-las-manos-luego-que-rastreros-recularan-con-toma/: full text (previously retrieved text re-examined) — Calls onset early Thursday, differing from organizer's Wednesday 18:00.
https://hch.tv/normalizada-circulacion-del-transporte-de-carga-en-fronteras-tras-eliminacion-de-visas/: full text (fresh retrieval) — Article page opened; substantive indexed text inspected.
https://www.radiohrn.hn/suspenden-bloqueos-paro-ca5-transportistas-carga-pesada-honduras-2023-10-19: full text (previously retrieved text re-examined)
https://hch.tv/transportistas-de-carga-suspenden-protesta-en-frontera-guasaule-en-las-manos-se-mantiene-toma/: search extract (previously retrieved text re-examined)
https://proceso.hn/continua-bloqueada-la-aduana-las-manos-zona-fronteriza-entre-honduras-y-nicaragua/: full text (fresh retrieval)
Earlier URLs not separately inspected in this second assessment:
https://hch.tv/traileros-bloquean-paso-al-transporte-de-carga-en-frontera-las-manos-con-nicaragua/
Prior audit access record
Full-register audit source access (evidence cutoff 25 October 2026)
https://www.nacion.com/economia/politica-economica/transportistas-hondurenos-protestan-en-puesto/4HG7T7GCUNEFFE5QVY6UKQ7754/story/: search extract — Full page retrieved; complete onset paragraph inspected in indexed extract.
https://www.nacion.com/economia/politica-economica/transportistas-hondurenos-reanudan-protesta-por/KTDC46H53FBHFEPNUPANLG7KNY/story/: full text
https://hch.tv/normalizado-el-paso-en-frontera-las-manos-luego-que-rastreros-recularan-con-toma/: full text — Calls onset early Thursday, differing from organizer's Wednesday 18:00.
https://hch.tv/normalizada-circulacion-del-transporte-de-carga-en-fronteras-tras-eliminacion-de-visas/: search extract — Article page opened; substantive indexed text inspected.
https://www.radiohrn.hn/suspenden-bloqueos-paro-ca5-transportistas-carga-pesada-honduras-2023-10-19: full text
https://hch.tv/transportistas-de-carga-suspenden-protesta-en-frontera-guasaule-en-las-manos-se-mantiene-toma/: search extract
Earlier source URLs not separately listed in this audit’s retrieval log (historical access notes below are not fresh verification):
https://proceso.hn/continua-bloqueada-la-aduana-las-manos-zona-fronteriza-entre-honduras-y-nicaragua/
https://hch.tv/traileros-bloquean-paso-al-transporte-de-carga-en-frontera-las-manos-con-nicaragua/
Earlier recorded access
Source 1: full text
Source 2: full text
Source 3: full text</x:v>
      </x:c>
      <x:c r="P662" s="20" t="n">
        <x:v>2</x:v>
      </x:c>
      <x:c r="Q662" s="4" t="str">
        <x:v>Americas</x:v>
      </x:c>
      <x:c r="R662" s="4" t="str">
        <x:v>Included</x:v>
      </x:c>
    </x:row>
    <x:row r="663" ht="270" hidden="0" customHeight="1">
      <x:c r="A663" s="16" t="str">
        <x:v>FU-COV-LAM-002</x:v>
      </x:c>
      <x:c r="B663" s="4" t="str">
        <x:v>Agua Caliente opposition blockade following Honduran election, November 2017</x:v>
      </x:c>
      <x:c r="C663" s="4" t="str">
        <x:v>Guatemala; Honduras</x:v>
      </x:c>
      <x:c r="D663" s="4" t="str">
        <x:v>Agua Caliente crossing</x:v>
      </x:c>
      <x:c r="E663" s="4" t="str">
        <x:v>Commercial movement affected; passenger scope unknown
Direction: Not separately established</x:v>
      </x:c>
      <x:c r="F663" s="4" t="str">
        <x:v>FU-COV-LAM-002-FU1 — Observed operation
Agua Caliente crossing
Start: 2017-11-30.
Last confirmed: 2017-11-30. Reopening is not established.
dated evidence; numeric duration withheld; see qualification</x:v>
      </x:c>
      <x:c r="G663" s="4" t="str">
        <x:v>Electoral politics / Electoral disputes and transitions
Reported reason
Applies to: Recorded episode
Protesters disputed election results; not a neutral election-administration closure.</x:v>
      </x:c>
      <x:c r="H663" s="4" t="str">
        <x:v>FU-COV-LAM-002-FU1: The local account is dated 30 November 2017 and published the next day. It establishes an opposition seizure affecting commercial movement, but gives no exact hours, passenger exemptions, direction inventory or observed reopening.
A separate 4 December report quotes Guatemala’s customs chief describing blockades and violence at Agua Caliente and reduced customs opening hours of 06:30–17:35 during the Honduran political crisis. That administrative operating arrangement is later context, not proof the 30 November physical blockade persisted continuously until then or an exact first reopening. Reports of the October 2018 migrant-caravan closure concern a different event.</x:v>
      </x:c>
      <x:c r="I663" s="4" t="str">
        <x:v>Second full-register audit, 26 October 2026: additional source-audited corrections incorporated. See the phase, scope and qualification columns for the accepted findings.</x:v>
      </x:c>
      <x:c r="J663" s="18" t="d">
        <x:v>2026-10-26T00:00:00.000Z</x:v>
      </x:c>
      <x:c r="K663" s="21" t="str">
        <x:f>IFERROR(HYPERLINK("https://prensacomunitaria.org/2017/12/chiquimula-fue-cerrada-la-frontera-agua-caliente-con-honduras/","Prensa Comunitaria / Esquipulas News"),"Prensa Comunitaria / Esquipulas News")</x:f>
        <x:v>Prensa Comunitaria / Esquipulas News</x:v>
      </x:c>
      <x:c r="L663" s="21" t="str">
        <x:f>IFERROR(HYPERLINK("https://prensacomunitaria.lalibre.net/2017/12/chiquimula-fue-cerrada-la-frontera-agua-caliente-con-honduras/","prensacomunitaria.lalibre.net"),"prensacomunitaria.lalibre.net")</x:f>
        <x:v>prensacomunitaria.lalibre.net</x:v>
      </x:c>
      <x:c r="M663" s="21"/>
      <x:c r="N663" s="4" t="str">
        <x:v>https://prensacomunitaria.org/2017/12/chiquimula-fue-cerrada-la-frontera-agua-caliente-con-honduras/
https://prensacomunitaria.lalibre.net/2017/12/chiquimula-fue-cerrada-la-frontera-agua-caliente-con-honduras/
https://lahora.gt/nacionales/wpcomvip/2017/12/04/crisis-politica-honduras-repercute-aduanas/</x:v>
      </x:c>
      <x:c r="O663" s="4" t="str">
        <x:v>Second full-register audit source access, 26 October 2026
https://prensacomunitaria.org/2017/12/chiquimula-fue-cerrada-la-frontera-agua-caliente-con-honduras/: full text (fresh retrieval) — Prensa Comunitaria relays Esquipulas News; mirror is same reporting lineage.
https://lahora.gt/nacionales/wpcomvip/2017/12/04/crisis-politica-honduras-repercute-aduanas/: full text (fresh retrieval)
Earlier URLs not separately inspected in this second assessment:
https://prensacomunitaria.lalibre.net/2017/12/chiquimula-fue-cerrada-la-frontera-agua-caliente-con-honduras/
Prior audit access record
Full-register audit source access (evidence cutoff 25 October 2026)
https://prensacomunitaria.org/2017/12/chiquimula-fue-cerrada-la-frontera-agua-caliente-con-honduras/: full text — Prensa Comunitaria relays Esquipulas News; mirror is same reporting lineage.
https://prensacomunitaria.lalibre.net/2017/12/chiquimula-fue-cerrada-la-frontera-agua-caliente-con-honduras/: search extract — Duplicate lineage.
Earlier recorded access
Source 1: full text
Source 2: access detail is retained in the source catalogue.</x:v>
      </x:c>
      <x:c r="P663" s="20" t="n">
        <x:v>1</x:v>
      </x:c>
      <x:c r="Q663" s="4" t="str">
        <x:v>Americas</x:v>
      </x:c>
      <x:c r="R663" s="4" t="str">
        <x:v>Included</x:v>
      </x:c>
    </x:row>
    <x:row r="664" ht="409" hidden="0" customHeight="1">
      <x:c r="A664" s="16" t="str">
        <x:v>FU-COV-LAM-003</x:v>
      </x:c>
      <x:c r="B664" s="4" t="str">
        <x:v>Agua Caliente migration-control closure after caravan breach, October 2018</x:v>
      </x:c>
      <x:c r="C664" s="4" t="str">
        <x:v>Guatemala; Honduras</x:v>
      </x:c>
      <x:c r="D664" s="4" t="str">
        <x:v>Honduran checkpoint at Agua Caliente
Agua Caliente Honduran admission of pre-authorized freight drivers entering from Guatemala</x:v>
      </x:c>
      <x:c r="E664" s="4" t="str">
        <x:v>People seeking outward passage; regular travellers affected; Authorized freight drivers
Direction: Honduras to Guatemala; Guatemala into Honduras</x:v>
      </x:c>
      <x:c r="F664" s="4" t="str">
        <x:v>FU-COV-LAM-003-FU1 — Observed operation
Honduran checkpoint at Agua Caliente
Start: 2018-10-20.
Last confirmed suspension: 2018-10-20.
Reported scoped restoration by 2018-10-24: documented Honduran nationals departing toward Guatemala. The exact first resumption for every affected traveller is not established.
dated evidence; numeric duration withheld; see qualification
FU-COV-LAM-003-C7P1 — Observed operation
Agua Caliente Honduran admission of pre-authorized freight drivers entering from Guatemala
Start: unknown.
Observed scoped reopening: 2018-10-23.
dated evidence; numeric duration withheld; see qualification</x:v>
      </x:c>
      <x:c r="G664" s="4" t="str">
        <x:v>Security / Public order and immediate safety
Reported reason
Applies to: Recorded episode
Migration communiqué states protection of travellers as purpose.
Migration / Exit control
Reported reason
Applies to: Recorded episode
Police describe cordon as preventing irregular departure toward Guatemala.</x:v>
      </x:c>
      <x:c r="H664" s="4" t="str">
        <x:v>FU-COV-LAM-003-FU1: The Honduran closure is explicitly dated October 20; it is not backdated to the separate October 19 confrontation. A contemporaneous ACAN-EFE report on October 24 quotes INM deputy director Carlos Cordero confirming restored departures by Honduran nationals with the required documents. This supplies a scoped later-access bound, not unrestricted bilateral normalization or an exact continuous four-day closure.
FU-COV-LAM-003-C7P1: The October 23 admission of pre-authorized freight drivers remains separately recorded. Guatemala SAT customs suspension is independently reported on October 22, but the exact chronology of its restoration remains disputed: República on October 24 says Guatemalan customs remained suspended, while La Prensa reports commercial resumption and documented passenger processing both ways. These differences do not negate the more narrowly corroborated Honduran departure restoration. Other nationalities, exact intraday chronology and any intervening access remain unresolved.</x:v>
      </x:c>
      <x:c r="I664" s="4" t="str">
        <x:v>Second full-register audit, 26 October 2026: additional source-audited corrections incorporated. See the phase, scope and qualification columns for the accepted findings.</x:v>
      </x:c>
      <x:c r="J664" s="18" t="d">
        <x:v>2026-10-26T00:00:00.000Z</x:v>
      </x:c>
      <x:c r="K664" s="21" t="str">
        <x:f>IFERROR(HYPERLINK("https://www.laprensa.hn/honduras/honduras-cierra-frontera-de-agua-caliente-migrantes-caravana-guatemala-IWLP1226482","laprensa.hn"),"laprensa.hn")</x:f>
        <x:v>laprensa.hn</x:v>
      </x:c>
      <x:c r="L664" s="21" t="str">
        <x:f>IFERROR(HYPERLINK("https://www.jornada.com.mx/2018/10/21/politica/004n1pol","jornada.com.mx"),"jornada.com.mx")</x:f>
        <x:v>jornada.com.mx</x:v>
      </x:c>
      <x:c r="M664" s="21" t="str">
        <x:f>IFERROR(HYPERLINK("https://proceso.hn/reabren-la-aduana-de-agua-caliente-para-entrada-de-transportistas/","proceso.hn"),"proceso.hn")</x:f>
        <x:v>proceso.hn</x:v>
      </x:c>
      <x:c r="N664" s="4" t="str">
        <x:v>https://www.laprensa.hn/honduras/honduras-cierra-frontera-de-agua-caliente-migrantes-caravana-guatemala-IWLP1226482
https://www.jornada.com.mx/2018/10/21/politica/004n1pol
https://proceso.hn/reabren-la-aduana-de-agua-caliente-para-entrada-de-transportistas/
https://republica.com/economia/2018-10-24-23-38-11-suspenden-cierre-temporal-de-la-aduana-agua-caliente
https://www.publinews.gt/gt/noticias/2018/10/22/sat-cierre-temporal-aduana-agua-caliente-caravana-hondurenos.html
https://www.laprensa.hn/honduras/paso-fronterizo-aduana-agua-caliente-reactivado-transito-BWLP1227547
https://www.tn8.ni/america-latina/460448-honduras-reabre-paso-guatemala-cierre-caravana/</x:v>
      </x:c>
      <x:c r="O664" s="4" t="str">
        <x:v>Second full-register audit source access, 26 October 2026
https://www.laprensa.hn/honduras/honduras-cierra-frontera-de-agua-caliente-migrantes-caravana-guatemala-IWLP1226482: full text (fresh retrieval)
https://proceso.hn/reabren-la-aduana-de-agua-caliente-para-entrada-de-transportistas/: full text (previously retrieved text re-examined)
https://republica.com/economia/2018-10-24-23-38-11-suspenden-cierre-temporal-de-la-aduana-agua-caliente: full text (previously retrieved text re-examined) — Not bilateral normalization or independent first passenger crossing.
https://www.publinews.gt/gt/noticias/2018/10/22/sat-cierre-temporal-aduana-agua-caliente-caravana-hondurenos.html: search extract (previously retrieved text re-examined)
https://www.laprensa.hn/honduras/paso-fronterizo-aduana-agua-caliente-reactivado-transito-BWLP1227547: full text (fresh retrieval) — Conflicts with República same-day statement that Guatemalan customs remained closed; exact chronology unresolved.
https://www.tn8.ni/america-latina/460448-honduras-reabre-paso-guatemala-cierre-caravana/: full text (fresh retrieval) — EFE syndication; not proof of all-nationality or unrestricted bilateral normalization.
Earlier URLs not separately inspected in this second assessment:
https://www.jornada.com.mx/2018/10/21/politica/004n1pol
Prior audit access record
Full-register audit source access (evidence cutoff 25 October 2026)
https://www.laprensa.hn/honduras/honduras-cierra-frontera-de-agua-caliente-migrantes-caravana-guatemala-IWLP1226482: full text
https://proceso.hn/reabren-la-aduana-de-agua-caliente-para-entrada-de-transportistas/: full text
https://republica.com/economia/2018-10-24-23-38-11-suspenden-cierre-temporal-de-la-aduana-agua-caliente: full text — Not bilateral normalization or independent first passenger crossing.
https://www.publinews.gt/gt/noticias/2018/10/22/sat-cierre-temporal-aduana-agua-caliente-caravana-hondurenos.html: search extract
https://www.laprensa.hn/honduras/paso-fronterizo-aduana-agua-caliente-reactivado-transito-BWLP1227547: full text — Conflicts with República same-day statement that Guatemalan customs remained closed; exact chronology unresolved.
Earlier source URLs not separately listed in this audit’s retrieval log (historical access notes below are not fresh verification):
https://www.jornada.com.mx/2018/10/21/politica/004n1pol
Earlier recorded access
Source 1: access detail is retained in the source catalogue.
Source 2: access detail is retained in the source catalogue.
Source 3: access detail is retained in the source catalogue.</x:v>
      </x:c>
      <x:c r="P664" s="20" t="n">
        <x:v>2</x:v>
      </x:c>
      <x:c r="Q664" s="4" t="str">
        <x:v>Americas</x:v>
      </x:c>
      <x:c r="R664" s="4" t="str">
        <x:v>Included</x:v>
      </x:c>
    </x:row>
    <x:row r="665" ht="409" hidden="0" customHeight="1">
      <x:c r="A665" s="16" t="str">
        <x:v>FU-COV-MEA-001</x:v>
      </x:c>
      <x:c r="B665" s="4" t="str">
        <x:v>Trebil oil-tanker blockade by Gaza-solidarity protesters, October 2023</x:v>
      </x:c>
      <x:c r="C665" s="4" t="str">
        <x:v>Iraq; Jordan</x:v>
      </x:c>
      <x:c r="D665" s="4" t="str">
        <x:v>Intermittent obstruction of Iraq-to-Jordan oil consignments on the Trebil approach, ending by completion of affected October deliveries</x:v>
      </x:c>
      <x:c r="E665" s="4" t="str">
        <x:v>Oil tankers only
Direction: Iraq to Jordan</x:v>
      </x:c>
      <x:c r="F665" s="4" t="str">
        <x:v>FU-COV-MEA-001-FU1 — Intermittent regime
Intermittent obstruction of Iraq-to-Jordan oil consignments on the Trebil approach, ending by completion of affected October deliveries
Start: by 2023-10-25; earliest bound unknown.
Observed scoped reopening: by 2023-10-27; earliest bound unknown.
Intermittent regime envelope; total closed days unknown</x:v>
      </x:c>
      <x:c r="G665" s="4" t="str">
        <x:v>Interstate disputes and pressure / Sanctions and coercive pressure
Reported reason
Applies to: Recorded episode
Non-state demonstrators sought pressure over Jordan’s Gaza policy; not an Iraqi government embargo.</x:v>
      </x:c>
      <x:c r="H665" s="4" t="str">
        <x:v>FU-COV-MEA-001-FU1: October 27 is an episode-completion upper bound, not exact first reopening or a claim of continuous blockage. October 26 mixed observations and imprecise earliest onset remain; ordinary goods were not the restricted category.
start_date: When did the selective Trebil oil blockade actually begin?
endpoint / continuity: How do the October 26 seven-tanker entry and continued-obstruction accounts fit, and when did unrestricted oil passage resume?</x:v>
      </x:c>
      <x:c r="I665" s="4" t="str">
        <x:v>Second full-register audit, 26 October 2026: qualified. Fresh full Arabic texts confirm both actual tanker passage and conflicting continued-blockade reporting. October 27 remains a shipment-completion bound, not a general reopening.</x:v>
      </x:c>
      <x:c r="J665" s="18" t="d">
        <x:v>2026-10-26T00:00:00.000Z</x:v>
      </x:c>
      <x:c r="K665" s="21" t="str">
        <x:f>IFERROR(HYPERLINK("https://www.ammonnews.net/article/808926","Ammon News"),"Ammon News")</x:f>
        <x:v>Ammon News</x:v>
      </x:c>
      <x:c r="L665" s="21" t="str">
        <x:f>IFERROR(HYPERLINK("https://www.alhadath.net/2023/10/25/-%D8%AD%D8%B4%D9%88%D8%AF-%D8%B9%D8%B1%D8%A7%D9%82%D9%8A%D8%A9-%D8%AA%D9%85%D9%86%D8%B9-%D8%AA%D8%B5%D8%AF%D9%8A%D8%B1-%D8%A7%D9%84%D9%86%D9%81%D8%B7-%D8%A7%D9%84%D9%89-%D8%A7%D9%84%D8%A3%D8%B1%D8%AF%D9%86-","Al Hadath / Al Arabiya"),"Al Hadath / Al Arabiya")</x:f>
        <x:v>Al Hadath / Al Arabiya</x:v>
      </x:c>
      <x:c r="M665" s="21"/>
      <x:c r="N665" s="4" t="str">
        <x:v>https://www.alaraby.co.uk/politics/%D8%A7%D8%AD%D8%AA%D8%AC%D8%A7%D8%AC%D8%A7%D8%AA-%D9%82%D8%B1%D8%A8-%D8%A7%D9%84%D8%AD%D8%AF%D9%88%D8%AF-%D8%A7%D9%84%D8%B9%D8%B1%D8%A7%D9%82%D9%8A%D8%A9-%D8%A7%D9%84%D8%A3%D8%B1%D8%AF%D9%86%D9%8A%D8%A9-%D8%AA%D9%8F%D8%BA%D9%84%D9%82-%D9%85%D9%86%D9%81%D8%B0-%D8%B7%D8%B1%D9%8A%D8%A8%D9%8A%D9%84
https://petra.gov.jo/gweb/index.php/ar/news/%D8%A7%D9%84%D8%B7%D8%A7%D9%82%D8%A9-%D8%B9%D9%88%D8%AF%D8%A9-%D8%B5%D9%87%D8%A7%D8%B1%D9%8A%D8%AC-%D9%85%D8%AD%D9%85%D9%84%D8%A9-%D8%A8%D8%A7%D9%84%D9%86%D9%81%D8%B7-%D8%A5%D9%84%D9%89-%D8%A7%D9%84%D8%B1%D9%85%D8%A7%D8%AF%D9%8A-%D9%84%D8%A3%D8%B3%D8%A8%D8%A7%D8%A8-%D8%AA%D8%AA%D8%B9%D9%84%D9%82-%D8%A8%D8%B3%D9%84%D8%A7%D9%85%D8%A9-%D8%A7%D9%84%D8%B3%D8%A7%D8%A6%D9%82%D9%8A%D9%86%C2%A0
https://www.ammonnews.net/article/808926
https://alssaa.com/post/show/20566-%D8%A7%D9%84%D9%85%D8%B9%D8%AA%D8%B5%D9%85%D9%88%D9%86%20%D8%B9%D9%86%D8%AF%20%D9%85%D9%86%D9%81%D8%B0%20%D8%B7%D8%B1%D9%8A%D8%A8%D9%8A%D9%84%20%D9%8A%D9%85%D9%86%D8%B9%D9%88%D9%86%20%D9%85%D8%B1%D9%88%D8%B1%20%D9%86%D8%A7%D9%82%D9%84%D8%A7%D8%AA%20%D8%A7%D9%84%D9%86%D9%81%D8%B7%20%D8%A5%D9%84%D9%89%20%D8%A7%D9%84%D8%A3%D8%B1%D8%AF%D9%86
https://petra.gov.jo/ar/index.php/ar/news/%D8%A7%D9%84%D8%B7%D8%A7%D9%82%D8%A9-%D8%AF%D8%AE%D9%88%D9%84-%D9%83%D8%A7%D9%85%D9%84-%D8%B5%D9%87%D8%A7%D8%B1%D9%8A%D8%AC-%D8%A7%D9%84%D9%86%D9%81%D8%B7-%D8%A7%D9%84%D8%B9%D8%B1%D8%A7%D9%82%D9%8A-%D8%A5%D9%84%D9%89-%D8%A7%D9%84%D9%85%D9%85%D9%84%D9%83%D8%A9
https://petra.gov.jo/index.php/ar/news/%D8%A7%D9%84%D8%B7%D8%A7%D9%82%D8%A9-%D8%B9%D9%88%D8%AF%D8%A9-%D8%B5%D9%87%D8%A7%D8%B1%D9%8A%D8%AC-%D9%85%D8%AD%D9%85%D9%84%D8%A9-%D8%A8%D8%A7%D9%84%D9%86%D9%81%D8%B7-%D8%A5%D9%84%D9%89-%D8%A7%D9%84%D8%B1%D9%85%D8%A7%D8%AF%D9%8A-%D9%84%D8%A3%D8%B3%D8%A8%D8%A7%D8%A8-%D8%AA%D8%AA%D8%B9%D9%84%D9%82-%D8%A8%D8%B3%D9%84%D8%A7%D9%85%D8%A9-%D8%A7%D9%84%D8%B3%D8%A7%D8%A6%D9%82%D9%8A%D9%86
https://www.alhadath.net/2023/10/25/-%D8%AD%D8%B4%D9%88%D8%AF-%D8%B9%D8%B1%D8%A7%D9%82%D9%8A%D8%A9-%D8%AA%D9%85%D9%86%D8%B9-%D8%AA%D8%B5%D8%AF%D9%8A%D8%B1-%D8%A7%D9%84%D9%86%D9%81%D8%B7-%D8%A7%D9%84%D9%89-%D8%A7%D9%84%D8%A3%D8%B1%D8%AF%D9%86-
https://petra.gov.jo/ar/index.php/ar/news/الطاقة-دخول-كامل-صهاريج-النفط-العراقي-إلى-المملكة
https://www.alhadath.net/2023/10/25/-حشود-عراقية-تمنع-تصدير-النفط-الى-الأردن-
https://ultrairaq.ultrasawt.com/النفط-العراقي-إلى-الأردن-ما-يزال-متوقفًا-في-طريبيل-لليوم-الثالث/الترا-عراق/أخبار</x:v>
      </x:c>
      <x:c r="O665" s="4" t="str">
        <x:v>Second full-register audit source access, 26 October 2026
https://petra.gov.jo/ar/index.php/ar/news/الطاقة-دخول-كامل-صهاريج-النفط-العراقي-إلى-المملكة: full text (fresh retrieval)
https://ultrairaq.ultrasawt.com/النفط-العراقي-إلى-الأردن-ما-يزال-متوقفًا-في-طريبيل-لليوم-الثالث/الترا-عراق/أخبار: full text (fresh retrieval)
https://www.ammonnews.net/article/808926: full text (fresh retrieval)
Earlier URLs not separately inspected in this second assessment:
https://www.alaraby.co.uk/politics/%D8%A7%D8%AD%D8%AA%D8%AC%D8%A7%D8%AC%D8%A7%D8%AA-%D9%82%D8%B1%D8%A8-%D8%A7%D9%84%D8%AD%D8%AF%D9%88%D8%AF-%D8%A7%D9%84%D8%B9%D8%B1%D8%A7%D9%82%D9%8A%D8%A9-%D8%A7%D9%84%D8%A3%D8%B1%D8%AF%D9%86%D9%8A%D8%A9-%D8%AA%D9%8F%D8%BA%D9%84%D9%82-%D9%85%D9%86%D9%81%D8%B0-%D8%B7%D8%B1%D9%8A%D8%A8%D9%8A%D9%84
https://petra.gov.jo/gweb/index.php/ar/news/%D8%A7%D9%84%D8%B7%D8%A7%D9%82%D8%A9-%D8%B9%D9%88%D8%AF%D8%A9-%D8%B5%D9%87%D8%A7%D8%B1%D9%8A%D8%AC-%D9%85%D8%AD%D9%85%D9%84%D8%A9-%D8%A8%D8%A7%D9%84%D9%86%D9%81%D8%B7-%D8%A5%D9%84%D9%89-%D8%A7%D9%84%D8%B1%D9%85%D8%A7%D8%AF%D9%8A-%D9%84%D8%A3%D8%B3%D8%A8%D8%A7%D8%A8-%D8%AA%D8%AA%D8%B9%D9%84%D9%82-%D8%A8%D8%B3%D9%84%D8%A7%D9%85%D8%A9-%D8%A7%D9%84%D8%B3%D8%A7%D8%A6%D9%82%D9%8A%D9%86%C2%A0
https://alssaa.com/post/show/20566-%D8%A7%D9%84%D9%85%D8%B9%D8%AA%D8%B5%D9%85%D9%88%D9%86%20%D8%B9%D9%86%D8%AF%20%D9%85%D9%86%D9%81%D8%B0%20%D8%B7%D8%B1%D9%8A%D8%A8%D9%8A%D9%84%20%D9%8A%D9%85%D9%86%D8%B9%D9%88%D9%86%20%D9%85%D8%B1%D9%88%D8%B1%20%D9%86%D8%A7%D9%82%D9%84%D8%A7%D8%AA%20%D8%A7%D9%84%D9%86%D9%81%D8%B7%20%D8%A5%D9%84%D9%89%20%D8%A7%D9%84%D8%A3%D8%B1%D8%AF%D9%86
https://petra.gov.jo/ar/index.php/ar/news/%D8%A7%D9%84%D8%B7%D8%A7%D9%82%D8%A9-%D8%AF%D8%AE%D9%88%D9%84-%D9%83%D8%A7%D9%85%D9%84-%D8%B5%D9%87%D8%A7%D8%B1%D9%8A%D8%AC-%D8%A7%D9%84%D9%86%D9%81%D8%B7-%D8%A7%D9%84%D8%B9%D8%B1%D8%A7%D9%82%D9%8A-%D8%A5%D9%84%D9%89-%D8%A7%D9%84%D9%85%D9%85%D9%84%D9%83%D8%A9
https://petra.gov.jo/index.php/ar/news/%D8%A7%D9%84%D8%B7%D8%A7%D9%82%D8%A9-%D8%B9%D9%88%D8%AF%D8%A9-%D8%B5%D9%87%D8%A7%D8%B1%D9%8A%D8%AC-%D9%85%D8%AD%D9%85%D9%84%D8%A9-%D8%A8%D8%A7%D9%84%D9%86%D9%81%D8%B7-%D8%A5%D9%84%D9%89-%D8%A7%D9%84%D8%B1%D9%85%D8%A7%D8%AF%D9%8A-%D9%84%D8%A3%D8%B3%D8%A8%D8%A7%D8%A8-%D8%AA%D8%AA%D8%B9%D9%84%D9%82-%D8%A8%D8%B3%D9%84%D8%A7%D9%85%D8%A9-%D8%A7%D9%84%D8%B3%D8%A7%D8%A6%D9%82%D9%8A%D9%86
https://www.alhadath.net/2023/10/25/-%D8%AD%D8%B4%D9%88%D8%AF-%D8%B9%D8%B1%D8%A7%D9%82%D9%8A%D8%A9-%D8%AA%D9%85%D9%86%D8%B9-%D8%AA%D8%B5%D8%AF%D9%8A%D8%B1-%D8%A7%D9%84%D9%86%D9%81%D8%B7-%D8%A7%D9%84%D9%89-%D8%A7%D9%84%D8%A3%D8%B1%D8%AF%D9%86-
https://www.alhadath.net/2023/10/25/-حشود-عراقية-تمنع-تصدير-النفط-الى-الأردن-
Prior audit access record
Full-register audit source access (evidence cutoff 25 October 2026)
https://www.ammonnews.net/article/808926: full text
https://petra.gov.jo/ar/index.php/ar/news/الطاقة-دخول-كامل-صهاريج-النفط-العراقي-إلى-المملكة: full text
https://www.alhadath.net/2023/10/25/-حشود-عراقية-تمنع-تصدير-النفط-الى-الأردن-: search extract
https://ultrairaq.ultrasawt.com/النفط-العراقي-إلى-الأردن-ما-يزال-متوقفًا-في-طريبيل-لليوم-الثالث/الترا-عراق/أخبار: search extract
Earlier source URLs not separately listed in this audit’s retrieval log (historical access notes below are not fresh verification):
https://www.alaraby.co.uk/politics/%D8%A7%D8%AD%D8%AA%D8%AC%D8%A7%D8%AC%D8%A7%D8%AA-%D9%82%D8%B1%D8%A8-%D8%A7%D9%84%D8%AD%D8%AF%D9%88%D8%AF-%D8%A7%D9%84%D8%B9%D8%B1%D8%A7%D9%82%D9%8A%D8%A9-%D8%A7%D9%84%D8%A3%D8%B1%D8%AF%D9%86%D9%8A%D8%A9-%D8%AA%D9%8F%D8%BA%D9%84%D9%82-%D9%85%D9%86%D9%81%D8%B0-%D8%B7%D8%B1%D9%8A%D8%A8%D9%8A%D9%84
https://petra.gov.jo/gweb/index.php/ar/news/%D8%A7%D9%84%D8%B7%D8%A7%D9%82%D8%A9-%D8%B9%D9%88%D8%AF%D8%A9-%D8%B5%D9%87%D8%A7%D8%B1%D9%8A%D8%AC-%D9%85%D8%AD%D9%85%D9%84%D8%A9-%D8%A8%D8%A7%D9%84%D9%86%D9%81%D8%B7-%D8%A5%D9%84%D9%89-%D8%A7%D9%84%D8%B1%D9%85%D8%A7%D8%AF%D9%8A-%D9%84%D8%A3%D8%B3%D8%A8%D8%A7%D8%A8-%D8%AA%D8%AA%D8%B9%D9%84%D9%82-%D8%A8%D8%B3%D9%84%D8%A7%D9%85%D8%A9-%D8%A7%D9%84%D8%B3%D8%A7%D8%A6%D9%82%D9%8A%D9%86%C2%A0
https://alssaa.com/post/show/20566-%D8%A7%D9%84%D9%85%D8%B9%D8%AA%D8%B5%D9%85%D9%88%D9%86%20%D8%B9%D9%86%D8%AF%20%D9%85%D9%86%D9%81%D8%B0%20%D8%B7%D8%B1%D9%8A%D8%A8%D9%8A%D9%84%20%D9%8A%D9%85%D9%86%D8%B9%D9%88%D9%86%20%D9%85%D8%B1%D9%88%D8%B1%20%D9%86%D8%A7%D9%82%D9%84%D8%A7%D8%AA%20%D8%A7%D9%84%D9%86%D9%81%D8%B7%20%D8%A5%D9%84%D9%89%20%D8%A7%D9%84%D8%A3%D8%B1%D8%AF%D9%86
https://petra.gov.jo/ar/index.php/ar/news/%D8%A7%D9%84%D8%B7%D8%A7%D9%82%D8%A9-%D8%AF%D8%AE%D9%88%D9%84-%D9%83%D8%A7%D9%85%D9%84-%D8%B5%D9%87%D8%A7%D8%B1%D9%8A%D8%AC-%D8%A7%D9%84%D9%86%D9%81%D8%B7-%D8%A7%D9%84%D8%B9%D8%B1%D8%A7%D9%82%D9%8A-%D8%A5%D9%84%D9%89-%D8%A7%D9%84%D9%85%D9%85%D9%84%D9%83%D8%A9
https://petra.gov.jo/index.php/ar/news/%D8%A7%D9%84%D8%B7%D8%A7%D9%82%D8%A9-%D8%B9%D9%88%D8%AF%D8%A9-%D8%B5%D9%87%D8%A7%D8%B1%D9%8A%D8%AC-%D9%85%D8%AD%D9%85%D9%84%D8%A9-%D8%A8%D8%A7%D9%84%D9%86%D9%81%D8%B7-%D8%A5%D9%84%D9%89-%D8%A7%D9%84%D8%B1%D9%85%D8%A7%D8%AF%D9%8A-%D9%84%D8%A3%D8%B3%D8%A8%D8%A7%D8%A8-%D8%AA%D8%AA%D8%B9%D9%84%D9%82-%D8%A8%D8%B3%D9%84%D8%A7%D9%85%D8%A9-%D8%A7%D9%84%D8%B3%D8%A7%D8%A6%D9%82%D9%8A%D9%86
https://www.alhadath.net/2023/10/25/-%D8%AD%D8%B4%D9%88%D8%AF-%D8%B9%D8%B1%D8%A7%D9%82%D9%8A%D8%A9-%D8%AA%D9%85%D9%86%D8%B9-%D8%AA%D8%B5%D8%AF%D9%8A%D8%B1-%D8%A7%D9%84%D9%86%D9%81%D8%B7-%D8%A7%D9%84%D9%89-%D8%A7%D9%84%D8%A3%D8%B1%D8%AF%D9%86-
Earlier recorded access
Source 1: full text
Source 2: indexed extract</x:v>
      </x:c>
      <x:c r="P665" s="20" t="n">
        <x:v>1</x:v>
      </x:c>
      <x:c r="Q665" s="4" t="str">
        <x:v>Middle East</x:v>
      </x:c>
      <x:c r="R665" s="4" t="str">
        <x:v>Included</x:v>
      </x:c>
    </x:row>
    <x:row r="666" ht="402" hidden="0" customHeight="1">
      <x:c r="A666" s="16" t="str">
        <x:v>FU-COV-MEA-002</x:v>
      </x:c>
      <x:c r="B666" s="4" t="str">
        <x:v>Shahn customs-protest crossing closure, March 2022</x:v>
      </x:c>
      <x:c r="C666" s="4" t="str">
        <x:v>Oman; Yemen</x:v>
      </x:c>
      <x:c r="D666" s="4" t="str">
        <x:v>Shahn land crossing</x:v>
      </x:c>
      <x:c r="E666" s="4" t="str">
        <x:v>Commercial movement; passenger effect unestablished
Direction: Not separately established</x:v>
      </x:c>
      <x:c r="F666" s="4" t="str">
        <x:v>FU-COV-MEA-002-FU1 — Observed operation
Shahn land crossing
Start: 2022-03-06.
Last confirmed: 2022-03-06. Reopening is not established.
dated evidence; numeric duration withheld; see qualification</x:v>
      </x:c>
      <x:c r="G666" s="4" t="str">
        <x:v>Trade and protectionism / Trade and transport protests
Reported reason
Applies to: Recorded episode
Traders obstructed crossing in opposition to customs charges.</x:v>
      </x:c>
      <x:c r="H666" s="4" t="str">
        <x:v>FU-COV-MEA-002-FU1: Single-day closed-state evidence; the threatened open-ended sit-in does not prove subsequent uninterrupted closure. No numeric duration. Oman-side counterpart name and exact physical gate are not established by these reports.
endpoint / movement scope: When did Shahn reopen, and were passengers or any cargo categories exempt during the protest?
location identity: What precise gate and Oman-side counterpart correspond to the reported March 2022 obstruction?</x:v>
      </x:c>
      <x:c r="I666" s="4" t="str">
        <x:v>Second full-register audit, 26 October 2026: unresolved. Fresh Arabic article text supports the March 6 2022 commercial protest at Shahn. Further endpoint searching again found no reliable reopening or passenger-scope evidence.</x:v>
      </x:c>
      <x:c r="J666" s="18" t="d">
        <x:v>2026-10-26T00:00:00.000Z</x:v>
      </x:c>
      <x:c r="K666" s="21" t="str">
        <x:f>IFERROR(HYPERLINK("https://almawqeapost.net/news/70275","almawqeapost.net"),"almawqeapost.net")</x:f>
        <x:v>almawqeapost.net</x:v>
      </x:c>
      <x:c r="L666" s="21"/>
      <x:c r="M666" s="21"/>
      <x:c r="N666" s="4" t="str">
        <x:v>https://almawqeapost.net/news/70275
https://www.yaqeenonline.net/%D8%A3%D8%AE%D8%A8%D8%A7%D8%B1-%D9%88%D8%AA%D9%82%D8%A7%D8%B1%D9%8A%D8%B1/%D9%85%D8%AD%D8%AA%D8%AC%D9%88%D9%86-%D9%8A%D8%BA%D9%84%D9%82%D9%88%D9%86-%D9%85%D9%86%D9%81%D8%B0-%D8%AD%D8%AF%D9%88%D8%AF%D9%8A-%D8%A8%D9%8A%D9%86-%D8%A7%D9%84%D9%8A%D9%85%D9%86-%D9%88%D8%B3%D9%84%D8%B7%D9%86%D8%A9-%D8%B9%D9%85%D8%A7%D9%86-%D9%84%D9%87%D8%B0%D8%A7-%D8%A7%D9%84%D8%B3%D8%A8%D8%A8
https://t.me/s/sahabhnews?before=71787</x:v>
      </x:c>
      <x:c r="O666" s="4" t="str">
        <x:v>Second full-register audit source access, 26 October 2026
https://almawqeapost.net/news/70275: full text (fresh retrieval)
https://t.me/s/sahabhnews?before=71787: search extract (fresh retrieval) — Aggregated copy is not independent corroboration; used only to test scope and endpoint leads.
Earlier URLs not separately inspected in this second assessment:
https://www.yaqeenonline.net/%D8%A3%D8%AE%D8%A8%D8%A7%D8%B1-%D9%88%D8%AA%D9%82%D8%A7%D8%B1%D9%8A%D8%B1/%D9%85%D8%AD%D8%AA%D8%AC%D9%88%D9%86-%D9%8A%D8%BA%D9%84%D9%82%D9%88%D9%86-%D9%85%D9%86%D9%81%D8%B0-%D8%AD%D8%AF%D9%88%D8%AF%D9%8A-%D8%A8%D9%8A%D9%86-%D8%A7%D9%84%D9%8A%D9%85%D9%86-%D9%88%D8%B3%D9%84%D8%B7%D9%86%D8%A9-%D8%B9%D9%85%D8%A7%D9%86-%D9%84%D9%87%D8%B0%D8%A7-%D8%A7%D9%84%D8%B3%D8%A8%D8%A8
Prior audit access record
Full-register audit source access (evidence cutoff 25 October 2026)
https://almawqeapost.net/news/70275: full text
Earlier source URLs not separately listed in this audit’s retrieval log (historical access notes below are not fresh verification):
https://www.yaqeenonline.net/%D8%A3%D8%AE%D8%A8%D8%A7%D8%B1-%D9%88%D8%AA%D9%82%D8%A7%D8%B1%D9%8A%D8%B1/%D9%85%D8%AD%D8%AA%D8%AC%D9%88%D9%86-%D9%8A%D8%BA%D9%84%D9%82%D9%88%D9%86-%D9%85%D9%86%D9%81%D8%B0-%D8%AD%D8%AF%D9%88%D8%AF%D9%8A-%D8%A8%D9%8A%D9%86-%D8%A7%D9%84%D9%8A%D9%85%D9%86-%D9%88%D8%B3%D9%84%D8%B7%D9%86%D8%A9-%D8%B9%D9%85%D8%A7%D9%86-%D9%84%D9%87%D8%B0%D8%A7-%D8%A7%D9%84%D8%B3%D8%A8%D8%A8
Earlier recorded access
Source 1: access detail is retained in the source catalogue.</x:v>
      </x:c>
      <x:c r="P666" s="20" t="n">
        <x:v>1</x:v>
      </x:c>
      <x:c r="Q666" s="4" t="str">
        <x:v>Middle East</x:v>
      </x:c>
      <x:c r="R666" s="4" t="str">
        <x:v>Included</x:v>
      </x:c>
    </x:row>
    <x:row r="667" ht="270" hidden="0" customHeight="1">
      <x:c r="A667" s="16" t="str">
        <x:v>FU-COV-NAF-001</x:v>
      </x:c>
      <x:c r="B667" s="4" t="str">
        <x:v>Ras Jedir Libyan-side closure after armed clashes, April 2017</x:v>
      </x:c>
      <x:c r="C667" s="4" t="str">
        <x:v>Libya; Tunisia</x:v>
      </x:c>
      <x:c r="D667" s="4" t="str">
        <x:v>Libyan side of Ras Jedir</x:v>
      </x:c>
      <x:c r="E667" s="4" t="str">
        <x:v>Not separately established
Direction: Not separately established</x:v>
      </x:c>
      <x:c r="F667" s="4" t="str">
        <x:v>FU-COV-NAF-001-FU1 — Observed operation
Libyan side of Ras Jedir
Start: 2017-04-11.
Last confirmed: 2017-04-11. Reopening is not established.
dated evidence; numeric duration withheld; see qualification</x:v>
      </x:c>
      <x:c r="G667" s="4" t="str">
        <x:v>Security / Armed conflict and military confrontation
Reported reason
Applies to: Recorded episode
Closure explicitly attributed to armed clashes by local correspondent.</x:v>
      </x:c>
      <x:c r="H667" s="4" t="str">
        <x:v>FU-COV-NAF-001-FU1: Onset-only closed-state evidence on April 11; no endpoint or continuity beyond that observation. Withhold all numeric duration fields, including a zero-day minimum.
end_date / continuity: When did the April 11 Ras Jedir restriction end, and was it continuous?
scope / authority: Which Libyan body imposed the action, and what movement categories or exemptions applied?</x:v>
      </x:c>
      <x:c r="I667" s="4" t="str">
        <x:v>Second full-register audit, 26 October 2026: unresolved. The fresh April 11 closure report is supported, but additional searches do not independently authenticate the previously held April 12 reopening lead.</x:v>
      </x:c>
      <x:c r="J667" s="18" t="d">
        <x:v>2026-10-26T00:00:00.000Z</x:v>
      </x:c>
      <x:c r="K667" s="21" t="str">
        <x:f>IFERROR(HYPERLINK("https://www.jawharafm.net/fr/article/fermeture-du-poste-frontalier-de-ras-jedir-du-cote-libyen/90/50856","jawharafm.net"),"jawharafm.net")</x:f>
        <x:v>jawharafm.net</x:v>
      </x:c>
      <x:c r="L667" s="21"/>
      <x:c r="M667" s="21"/>
      <x:c r="N667" s="4" t="str">
        <x:v>https://www.jawharafm.net/fr/article/fermeture-du-poste-frontalier-de-ras-jedir-du-cote-libyen/90/50856
https://jendoubanews.blogspot.com/2017_04_12_archive.html
https://www.mosaiquefm.net/fr/actualite-faits-divers/124204/ras-jedir-saisie-de-5-kg-d-or-et-de-500-mille-euros
https://www.radiokef.tn/عودة-حركة-العبور-الى-معبر-راس-جدير-بعد-ا/</x:v>
      </x:c>
      <x:c r="O667" s="4" t="str">
        <x:v>Second full-register audit source access, 26 October 2026
https://www.jawharafm.net/fr/article/fermeture-du-poste-frontalier-de-ras-jedir-du-cote-libyen/90/50856: full text (fresh retrieval)
https://jendoubanews.blogspot.com/2017_04_12_archive.html: full text (fresh retrieval) — Blog syndication; original remains unavailable, so this is a reopening lead rather than accepted endpoint evidence.
https://www.mosaiquefm.net/fr/actualite-faits-divers/124204/ras-jedir-saisie-de-5-kg-d-or-et-de-500-mille-euros: search extract (fresh retrieval) — A person intending to cross is not proof of completed Libyan-side passage.
https://www.radiokef.tn/عودة-حركة-العبور-الى-معبر-راس-جدير-بعد-ا/: inaccessible (previously retrieved text re-examined) — Original-link click redirects to the current Radio Kef homepage; no April 2017 article recovered.
Prior audit access record
Full-register audit source access (evidence cutoff 25 October 2026)
https://www.jawharafm.net/fr/article/fermeture-du-poste-frontalier-de-ras-jedir-du-cote-libyen/90/50856: full text
https://jendoubanews.blogspot.com/2017_04_12_archive.html: full text — Mirror explicitly attributes Radio Kef; original redirected; use qualified evidence
Earlier recorded access
Source 1: access detail is retained in the source catalogue.</x:v>
      </x:c>
      <x:c r="P667" s="20" t="n">
        <x:v>1</x:v>
      </x:c>
      <x:c r="Q667" s="4" t="str">
        <x:v>North Africa</x:v>
      </x:c>
      <x:c r="R667" s="4" t="str">
        <x:v>Included</x:v>
      </x:c>
    </x:row>
    <x:row r="668" ht="330" hidden="0" customHeight="1">
      <x:c r="A668" s="16" t="str">
        <x:v>FU-COV-NAM-001</x:v>
      </x:c>
      <x:c r="B668" s="4" t="str">
        <x:v>Ciudad Juárez commercial crossing blockades over agricultural and water policy, November 2025</x:v>
      </x:c>
      <x:c r="C668" s="4" t="str">
        <x:v>Mexico; United States</x:v>
      </x:c>
      <x:c r="D668" s="4" t="str">
        <x:v>Córdova–Las Américas / Bridge of the Americas
Zaragoza–Ysleta
San Jerónimo–Santa Teresa
Guadalupe–Tornillo / Marcelino Serna cargo facility</x:v>
      </x:c>
      <x:c r="E668" s="4" t="str">
        <x:v>Commercial cargo
Direction: Both directions expressly reported blocked on November 25 at Córdova–Las Américas, Zaragoza–Ysleta, San Jerónimo–Santa Teresa and Guadalupe–Tornillo. Earlier and intraday direction changes are not fully reconstructed.
Exceptions: Ordinary cars were allowed at Córdova–Las Américas in the November 24 report; that exemption is not transferred to other posts.</x:v>
      </x:c>
      <x:c r="F668" s="4" t="str">
        <x:v>FU-COV-NAM-001-FU1 — Intermittent regime
Córdova–Las Américas / Bridge of the Americas
Start: 2025-11-24.
Observed scoped reopening: 2025-11-28.
Intermittent regime envelope; total closed days unknown
FU-COV-NAM-001-FU2 — Intermittent regime
Zaragoza–Ysleta
Start: 2025-11-24.
Observed scoped reopening: 2025-11-28.
Intermittent regime envelope; total closed days unknown
FU-COV-NAM-001-FU3 — Intermittent regime
San Jerónimo–Santa Teresa
Start: 2025-11-24.
Observed scoped reopening: 2025-11-28.
Intermittent regime envelope; total closed days unknown
FU-COV-NAM-001-R2P1 — Observed operation
Guadalupe–Tornillo / Marcelino Serna commercial cargo crossing
Actual onset: unknown; both-direction obstruction observed on 2025-11-25.
Normal commercial operation confirmed by 2025-11-28, 12:19 EST bulletin.
Observation-to-later-access interval; exact first reopening and continuous duration are not established.</x:v>
      </x:c>
      <x:c r="G668" s="4" t="str">
        <x:v>Policy and socioeconomic demands / Jobs, services and livelihoods
Reported reason
Applies to: Recorded episode
Reported farmer demands concerned crop prices and agricultural livelihood support.
Policy and socioeconomic demands / Rights and other policy grievances
Reported reason
Applies to: Recorded episode
Reported opposition to proposed water-law terms; attributed to protesters.</x:v>
      </x:c>
      <x:c r="H668" s="4" t="str">
        <x:v>FU-COV-NAM-001-FU1: Episode envelope only; continuous closure throughout the envelope is not established. Do not calculate a continuous duration. The November 24 local report expressly says ordinary cars were allowed at Córdova–Las Américas while cargo trucks were blocked; this exception is not transferred to the other posts.
FU-COV-NAM-001-FU2: Episode envelope only; continuous closure throughout the envelope is not established. Do not calculate a continuous duration.
FU-COV-NAM-001-FU3: Episode envelope only; continuous closure throughout the envelope is not established. Do not calculate a continuous duration.
FU-COV-NAM-001-R2P1: UnoTV reports both-direction cargo obstruction at Guadalupe–Tornillo on November 25. Its reference to 09:00 on November 24 concerns the central customs offices and is not assigned as Tornillo’s exact onset. CBP confirms regular commercial operation by November 28; the first reopening minute and intervening openings remain unknown. The three earlier crossing envelopes are retained. Port operating schedules are not counted as additional protest closure time.</x:v>
      </x:c>
      <x:c r="I668" s="4" t="str">
        <x:v>Second full-register audit, 26 October 2026: additional source-audited corrections incorporated. See the phase, scope and qualification columns for the accepted findings.</x:v>
      </x:c>
      <x:c r="J668" s="18" t="d">
        <x:v>2026-10-26T00:00:00.000Z</x:v>
      </x:c>
      <x:c r="K668" s="21" t="str">
        <x:f>IFERROR(HYPERLINK("https://www.jornada.com.mx/noticia/2025/11/24/estados/agricultores-toman-oficinas-de-la-aduana-cordovalas-americas-en-chihuahua","La Jornada"),"La Jornada")</x:f>
        <x:v>La Jornada</x:v>
      </x:c>
      <x:c r="L668" s="21" t="str">
        <x:f>IFERROR(HYPERLINK("https://content.govdelivery.com/accounts/USDHSCBP/bulletins/3fd1e9c","US Customs and Border Protection, El Paso Field Office"),"US Customs and Border Protection, El Paso Field Office")</x:f>
        <x:v>US Customs and Border Protection, El Paso Field Office</x:v>
      </x:c>
      <x:c r="M668" s="21" t="str">
        <x:f>IFERROR(HYPERLINK("https://web.jornada.com.mx/2025/11/28/politica/005n1pol","La Jornada"),"La Jornada")</x:f>
        <x:v>La Jornada</x:v>
      </x:c>
      <x:c r="N668" s="4" t="str">
        <x:v>https://www.jornada.com.mx/noticia/2025/11/24/estados/agricultores-toman-oficinas-de-la-aduana-cordovalas-americas-en-chihuahua
https://content.govdelivery.com/accounts/USDHSCBP/bulletins/3fd1e9c
https://web.jornada.com.mx/2025/11/28/politica/005n1pol
https://www.unotv.com/estados/chihuahua/continuan-tomadas-aduanas-y-cruces-internacionales-de-carga-en-ciudad-juarez/
https://nortedigital.mx/paralisis-total-en-jeronimo-santa-teresa-la-aduana-mexicana-esta-tomada/
https://efe.com/mundo/2025-11-25/agricultores-paro-nacional-aduanas-ciudad-juarez-mexico/</x:v>
      </x:c>
      <x:c r="O668" s="4" t="str">
        <x:v>Second full-register audit source access, 26 October 2026
https://www.jornada.com.mx/noticia/2025/11/24/estados/agricultores-toman-oficinas-de-la-aduana-cordovalas-americas-en-chihuahua: full text (previously retrieved text re-examined)
https://content.govdelivery.com/accounts/USDHSCBP/bulletins/3fd1e9c: full text (fresh retrieval)
https://web.jornada.com.mx/2025/11/28/politica/005n1pol: full text (previously retrieved text re-examined)
https://www.unotv.com/estados/chihuahua/continuan-tomadas-aduanas-y-cruces-internacionales-de-carga-en-ciudad-juarez/: full text (fresh retrieval)
https://nortedigital.mx/paralisis-total-en-jeronimo-santa-teresa-la-aduana-mexicana-esta-tomada/: full text (fresh retrieval)
https://efe.com/mundo/2025-11-25/agricultores-paro-nacional-aduanas-ciudad-juarez-mexico/: full text (fresh retrieval)
Prior audit access record
Full-register audit source access (evidence cutoff 25 October 2026)
https://www.jornada.com.mx/noticia/2025/11/24/estados/agricultores-toman-oficinas-de-la-aduana-cordovalas-americas-en-chihuahua: full text
https://content.govdelivery.com/accounts/USDHSCBP/bulletins/3fd1e9c: full text
https://web.jornada.com.mx/2025/11/28/politica/005n1pol: full text
Earlier recorded access
Source 1: full text
Source 2: full text
Source 3: full text</x:v>
      </x:c>
      <x:c r="P668" s="20" t="n">
        <x:v>4</x:v>
      </x:c>
      <x:c r="Q668" s="4" t="str">
        <x:v>Americas</x:v>
      </x:c>
      <x:c r="R668" s="4" t="str">
        <x:v>Included</x:v>
      </x:c>
    </x:row>
    <x:row r="669" ht="409" hidden="0" customHeight="1">
      <x:c r="A669" s="16" t="str">
        <x:v>FU-COV-NAM-002</x:v>
      </x:c>
      <x:c r="B669" s="4" t="str">
        <x:v>Chihuahua international cargo crossings: renewed water-law protest blockades, December 2025</x:v>
      </x:c>
      <x:c r="C669" s="4" t="str">
        <x:v>Mexico; United States</x:v>
      </x:c>
      <x:c r="D669" s="4" t="str">
        <x:v>Zaragoza–Ysleta cargo facility
Guadalupe–Tornillo / Marcelino Serna cargo facility
Córdova–Las Américas / BOTA cargo facility
San Jerónimo–Santa Teresa cargo facility
Puerto Palomas–Columbus cargo facility
Presidio–Ojinaga cargo facility (additional observed episode; onset unknown)</x:v>
      </x:c>
      <x:c r="E669" s="4" t="str">
        <x:v>Commercial cargo
Direction: Both directions affected at Ysleta and Marcelino Serna by 4 December. BOTA southbound was operational on 3 December before both directions were affected on 4 December. Columbus resumed both directions on 3 December, then had southbound-only obstruction on 4 December. Presidio had both-direction obstruction confirmed 4–5 December. Exact changes at each crossing remain qualified.
Exceptions: No passenger restriction inferred.</x:v>
      </x:c>
      <x:c r="F669" s="4" t="str">
        <x:v>FU-COV-NAM-002-FU1 — Observed operation
Zaragoza–Ysleta cargo facility
Start: 2025-12-03.
Scoped endpoint: 2025-12-05.
2 calendar-day difference; scoped endpoint only
FU-COV-NAM-002-FU2 — Observed operation
Guadalupe–Tornillo / Marcelino Serna cargo facility
Start: 2025-12-03.
Scoped endpoint: 2025-12-05.
2 calendar-day difference; scoped endpoint only
FU-COV-NAM-002-FU3 — Intermittent regime
Córdova–Las Américas / BOTA cargo facility
Start: 2025-12-03.
Scoped endpoint: 2025-12-05.
Intermittent regime envelope; total closed days unknown
FU-COV-NAM-002-FU4 — Intermittent regime
San Jerónimo–Santa Teresa cargo facility
Start: 2025-12-03.
Scoped endpoint: 2025-12-05.
Intermittent regime envelope; total closed days unknown
FU-COV-NAM-002-FU5 — Intermittent regime
Puerto Palomas–Columbus cargo facility
Start: 2025-12-03.
Scoped endpoint: 2025-12-05.
Intermittent regime envelope; total closed days unknown
FU-COV-NAM-002-AUDIT20261025-1 — Observed operation
Presidio–Ojinaga cargo facility
Both northbound and southbound cargo obstruction confirmed on 2025-12-04; actual onset unknown.
Still closed at 2025-12-05 13:18 EST; normal operation confirmed by 2025-12-05 14:19 EST.
Observation dates only; no continuous duration established.</x:v>
      </x:c>
      <x:c r="G669" s="4" t="str">
        <x:v>Policy and socioeconomic demands / Rights and other policy grievances
Reported reason
Applies to: FU-COV-NAM-002-FU1 through FU5.
Local reporting attributes these farmer blockades to demands for changes to water legislation.
Uncoded / Unresolved rationale
Applies to: FU-COV-NAM-002-AUDIT20261025-1.
CBP confirms protest-caused cargo obstruction at Presidio but does not identify its participants' specific grievance. A water-law motive is not independently established for this added phase.</x:v>
      </x:c>
      <x:c r="H669" s="4" t="str">
        <x:v>FU-COV-NAM-002-FU1 and FU2: The 3–5 December date span concerns cargo at Ysleta and Marcelino Serna; intraday operation and ordinary business hours must not be converted to a midnight onset or uninterrupted 48-hour closure.
FU3: BOTA southbound remained operational on 3 December, whereas both directions were affected on 4 December; normal out-of-hours closure is not protest time.
FU4 and FU5: Santa Teresa and Columbus retain intermittent coding; Columbus had resumed both directions on 3 December, was blocked southbound only on 4 December, and was processing both directions by the 5 December 11:24 EST bulletin.
CBP's 5 December 13:18 EST bulletin confirms BOTA, Ysleta, Santa Teresa, Marcelino Serna and Columbus were processing northbound and southbound cargo. This is confirmation by the bulletin time, not each gate's exact first reopening minute.
Additional Presidio–Ojinaga cargo obstruction is confirmed by CBP on 4 December and remained in effect at 13:18 EST on 5 December; the 14:19 EST bulletin reports both directions processing normally. The actual onset and any intervening openings are unknown. Preserve this as a separate observed episode, without transferring the other ports' 3 December onset or calculating continuous duration.</x:v>
      </x:c>
      <x:c r="I669" s="4" t="str">
        <x:v>Second full-register audit, 26 October 2026: qualified. The six port-specific December phases agree with the CBP sequence, including Columbus interruptions and later Presidio restoration; no new correction is needed.</x:v>
      </x:c>
      <x:c r="J669" s="18" t="d">
        <x:v>2026-10-26T00:00:00.000Z</x:v>
      </x:c>
      <x:c r="K669" s="21" t="str">
        <x:f>IFERROR(HYPERLINK("https://content.govdelivery.com/bulletins/gd/USDHSCBP-3fe21c3?wgt_ref=USDHSCBP_WIDGET_C70","content.govdelivery.com"),"content.govdelivery.com")</x:f>
        <x:v>content.govdelivery.com</x:v>
      </x:c>
      <x:c r="L669" s="21" t="str">
        <x:f>IFERROR(HYPERLINK("https://content.govdelivery.com/accounts/USDHSCBP/bulletins/3fe41c7","content.govdelivery.com"),"content.govdelivery.com")</x:f>
        <x:v>content.govdelivery.com</x:v>
      </x:c>
      <x:c r="M669" s="21" t="str">
        <x:f>IFERROR(HYPERLINK("https://www.jornada.com.mx/noticia/2025/12/06/estados/agricultores-levantan-tres-dias-de-bloqueo-fronterizo-en-chihuahua","jornada.com.mx"),"jornada.com.mx")</x:f>
        <x:v>jornada.com.mx</x:v>
      </x:c>
      <x:c r="N669" s="4" t="str">
        <x:v>https://content.govdelivery.com/bulletins/gd/USDHSCBP-3fe21c3?wgt_ref=USDHSCBP_WIDGET_C70
https://content.govdelivery.com/accounts/USDHSCBP/bulletins/3fe41c7
https://www.jornada.com.mx/noticia/2025/12/06/estados/agricultores-levantan-tres-dias-de-bloqueo-fronterizo-en-chihuahua
https://oem.com.mx/elheraldodejuarez/local/productores-bloquean-puente-zaragoza-ante-falta-de-acuerdos-por-la-ley-de-aguas-27089950
https://content.govdelivery.com/accounts/USDHSCBP/bulletins/3fe7125
https://content.govdelivery.com/bulletins/gd/USDHSCBP-3fe77aa?wgt_ref=USDHSCBP_WIDGET_C70
https://content.govdelivery.com/bulletins/gd/USDHSCBP-3fe796b?wgt_ref=USDHSCBP_WIDGET_C62</x:v>
      </x:c>
      <x:c r="O669" s="4" t="str">
        <x:v>Second full-register audit source access, 26 October 2026
https://content.govdelivery.com/bulletins/gd/USDHSCBP-3fe21c3?wgt_ref=USDHSCBP_WIDGET_C70: full text (previously retrieved text re-examined)
https://content.govdelivery.com/accounts/USDHSCBP/bulletins/3fe41c7: full text (previously retrieved text re-examined)
https://content.govdelivery.com/accounts/USDHSCBP/bulletins/3fe7125: full text (previously retrieved text re-examined)
https://content.govdelivery.com/bulletins/gd/USDHSCBP-3fe77aa?wgt_ref=USDHSCBP_WIDGET_C70: full text (previously retrieved text re-examined)
https://content.govdelivery.com/bulletins/gd/USDHSCBP-3fe796b?wgt_ref=USDHSCBP_WIDGET_C62: full text (fresh retrieval)
https://www.jornada.com.mx/noticia/2025/12/06/estados/agricultores-levantan-tres-dias-de-bloqueo-fronterizo-en-chihuahua: full text (previously retrieved text re-examined)
Earlier URLs not separately inspected in this second assessment:
https://oem.com.mx/elheraldodejuarez/local/productores-bloquean-puente-zaragoza-ante-falta-de-acuerdos-por-la-ley-de-aguas-27089950
Prior audit access record
Full-register audit source access (evidence cutoff 25 October 2026)
https://content.govdelivery.com/bulletins/gd/USDHSCBP-3fe21c3?wgt_ref=USDHSCBP_WIDGET_C70: full text
https://content.govdelivery.com/accounts/USDHSCBP/bulletins/3fe41c7: full text
https://content.govdelivery.com/accounts/USDHSCBP/bulletins/3fe7125: full text
https://content.govdelivery.com/bulletins/gd/USDHSCBP-3fe77aa?wgt_ref=USDHSCBP_WIDGET_C70: full text
https://content.govdelivery.com/bulletins/gd/USDHSCBP-3fe796b?wgt_ref=USDHSCBP_WIDGET_C62: full text
https://www.jornada.com.mx/noticia/2025/12/06/estados/agricultores-levantan-tres-dias-de-bloqueo-fronterizo-en-chihuahua: full text
Earlier source URLs not separately listed in this audit’s retrieval log (historical access notes below are not fresh verification):
https://oem.com.mx/elheraldodejuarez/local/productores-bloquean-puente-zaragoza-ante-falta-de-acuerdos-por-la-ley-de-aguas-27089950
Earlier recorded access
Source 1: access detail is retained in the source catalogue.
Source 2: access detail is retained in the source catalogue.
Source 3: access detail is retained in the source catalogue.</x:v>
      </x:c>
      <x:c r="P669" s="20" t="n">
        <x:v>6</x:v>
      </x:c>
      <x:c r="Q669" s="4" t="str">
        <x:v>Americas</x:v>
      </x:c>
      <x:c r="R669" s="4" t="str">
        <x:v>Included</x:v>
      </x:c>
    </x:row>
    <x:row r="670" ht="282" hidden="0" customHeight="1">
      <x:c r="A670" s="16" t="str">
        <x:v>FU-COV-NAM-003</x:v>
      </x:c>
      <x:c r="B670" s="4" t="str">
        <x:v>Agua Prieta–Douglas cargo blockade over water law, December 2025</x:v>
      </x:c>
      <x:c r="C670" s="4" t="str">
        <x:v>Mexico; United States</x:v>
      </x:c>
      <x:c r="D670" s="4" t="str">
        <x:v>Agua Prieta–Douglas cargo crossing</x:v>
      </x:c>
      <x:c r="E670" s="4" t="str">
        <x:v>Commercial cargo
Direction: Exact direction-specific obstruction is not separately established.
Exceptions: Private vehicles and pedestrians continued passing; Naco was not affected by this protest.</x:v>
      </x:c>
      <x:c r="F670" s="4" t="str">
        <x:v>FU-COV-NAM-003-FU1 — Observed operation
Agua Prieta–Douglas cargo crossing
Start: 2025-12-03, reported from 13:00 local time.
Observed scoped reopening: 2025-12-04, reported in the afternoon.
Dated episode; continuous duration not established.</x:v>
      </x:c>
      <x:c r="G670" s="4" t="str">
        <x:v>Policy and socioeconomic demands / Rights and other policy grievances
Reported reason
Applies to: Recorded episode
Protest linked to water-law changes, according to N+.</x:v>
      </x:c>
      <x:c r="H670" s="4" t="str">
        <x:v>FU-COV-NAM-003-FU1: A contemporaneous 3 December report identifies the Agua Prieta–Douglas commercial cargo blockade from 13:00 local time that day, while private vehicles and pedestrians continued passing. A proposed minimum blockade window until 17:00 on December 3 was contingent on negotiations and is not an observed reopening. The blockade was reported lifted in the afternoon on 4 December; CBP's 8 December bulletin is later normalization confirmation, not the first reopening date. Exact direction-specific stoppages and whether access resumed between the two days remain unestablished. Withhold numeric continuous duration and &gt;24-hour eligibility unless uninterrupted operation evidence is obtained.</x:v>
      </x:c>
      <x:c r="I670" s="4" t="str">
        <x:v>Second full-register audit, 26 October 2026: additional source-audited corrections incorporated. See the phase, scope and qualification columns for the accepted findings.</x:v>
      </x:c>
      <x:c r="J670" s="18" t="d">
        <x:v>2026-10-26T00:00:00.000Z</x:v>
      </x:c>
      <x:c r="K670" s="21" t="str">
        <x:f>IFERROR(HYPERLINK("https://content.govdelivery.com/accounts/USDHSCBP/bulletins/3fedf8e","content.govdelivery.com"),"content.govdelivery.com")</x:f>
        <x:v>content.govdelivery.com</x:v>
      </x:c>
      <x:c r="L670" s="21" t="str">
        <x:f>IFERROR(HYPERLINK("https://www.nmas.com.mx/sociedad/bloqueo-agricultores-hoy-lista-de-autopistas-liberadas-tras-avalarse-ley-de-aguas/","nmas.com.mx"),"nmas.com.mx")</x:f>
        <x:v>nmas.com.mx</x:v>
      </x:c>
      <x:c r="M670" s="21"/>
      <x:c r="N670" s="4" t="str">
        <x:v>https://content.govdelivery.com/accounts/USDHSCBP/bulletins/3fedf8e
https://www.nmas.com.mx/sociedad/bloqueo-agricultores-hoy-lista-de-autopistas-liberadas-tras-avalarse-ley-de-aguas/
https://www.pulsoslp.com.mx/nacional/continuan-bloqueos-en-carreteras-57-y-37-san-felipe--villa-de-reyes-/1994401</x:v>
      </x:c>
      <x:c r="O670" s="4" t="str">
        <x:v>Second full-register audit source access, 26 October 2026
https://content.govdelivery.com/accounts/USDHSCBP/bulletins/3fedf8e: full text (fresh retrieval)
https://www.nmas.com.mx/sociedad/bloqueo-agricultores-hoy-lista-de-autopistas-liberadas-tras-avalarse-ley-de-aguas/: full text (fresh retrieval)
https://www.pulsoslp.com.mx/nacional/continuan-bloqueos-en-carreteras-57-y-37-san-felipe--villa-de-reyes-/1994401: full text (previously retrieved text re-examined) — Syndicated El Universal article, not independent of the original.
Prior audit access record
Full-register audit source access (evidence cutoff 25 October 2026)
https://content.govdelivery.com/accounts/USDHSCBP/bulletins/3fedf8e: full text
https://www.nmas.com.mx/sociedad/bloqueo-agricultores-hoy-lista-de-autopistas-liberadas-tras-avalarse-ley-de-aguas/: full text
https://www.pulsoslp.com.mx/nacional/continuan-bloqueos-en-carreteras-57-y-37-san-felipe--villa-de-reyes-/1994401: full text — Syndicated El Universal article, not independent of the original.
Earlier recorded access
Source 1: access detail is retained in the source catalogue.
Source 2: access detail is retained in the source catalogue.</x:v>
      </x:c>
      <x:c r="P670" s="20" t="n">
        <x:v>1</x:v>
      </x:c>
      <x:c r="Q670" s="4" t="str">
        <x:v>Americas</x:v>
      </x:c>
      <x:c r="R670" s="4" t="str">
        <x:v>Included</x:v>
      </x:c>
    </x:row>
    <x:row r="671" ht="409" hidden="0" customHeight="1">
      <x:c r="A671" s="16" t="str">
        <x:v>FU-COV-NAM-004</x:v>
      </x:c>
      <x:c r="B671" s="4" t="str">
        <x:v>San Ysidro southbound vehicle closures during gasoline-price protests, January 2017</x:v>
      </x:c>
      <x:c r="C671" s="4" t="str">
        <x:v>Mexico; United States</x:v>
      </x:c>
      <x:c r="D671" s="4" t="str">
        <x:v>San Ysidro–El Chaparral</x:v>
      </x:c>
      <x:c r="E671" s="4" t="str">
        <x:v>Vehicles
Direction: United States to Mexico</x:v>
      </x:c>
      <x:c r="F671" s="4" t="str">
        <x:v>FU-COV-NAM-004-FU1 — Observed operation
Southbound vehicle freeway access to San Ysidro–El Chaparral
Start: 2017-01-07, approximately 17:30 local time.
Reported reopening: 2017-01-07, approximately 21:30.
Approximately four hours; no whole-day duration inferred.
FU-COV-NAM-004-FU2 — Observed operation
Southbound vehicle freeway access to San Ysidro–El Chaparral
Start: 2017-01-08, approximately 17:30 local time.
Reported reopening began: 2017-01-08, approximately 19:30.
Approximately two hours; no whole-day duration inferred.</x:v>
      </x:c>
      <x:c r="G671" s="4" t="str">
        <x:v>Policy and socioeconomic demands / Jobs, services and livelihoods
Reported reason
Applies to: Recorded episode
Protesters opposed gasoline price increases, as reported by KPBS.</x:v>
      </x:c>
      <x:c r="H671" s="4" t="str">
        <x:v>Separate same-day episodes. ABC7, citing CHP and CBP, reports roughly four hours of freeway diversion on Saturday and two hours on Sunday. Times are approximate; they describe vehicle access restoration, not every inspection lane. Southbound pedestrians and northbound vehicles/pedestrians remained able to cross. Protester obstruction in El Chaparral and US authorities' traffic diversion are distinct parts of the mechanism.</x:v>
      </x:c>
      <x:c r="I671" s="4" t="str">
        <x:v>Second full-register audit, 26 October 2026: qualified. Both separately dated southbound freeway access interruptions and their approximate reopening times match the reports. Passenger directions and exemptions are already correctly qualified.</x:v>
      </x:c>
      <x:c r="J671" s="18" t="d">
        <x:v>2026-10-26T00:00:00.000Z</x:v>
      </x:c>
      <x:c r="K671" s="21" t="str">
        <x:f>IFERROR(HYPERLINK("https://www.latimes.com/local/lanow/la-me-border-protest-20170107-story.html","latimes.com"),"latimes.com")</x:f>
        <x:v>latimes.com</x:v>
      </x:c>
      <x:c r="L671" s="21" t="str">
        <x:f>IFERROR(HYPERLINK("https://www.kpbs.org/news/2017/jan/06/tijuana-gas-stations-close-mexicans-head-san-ysidr/","kpbs.org"),"kpbs.org")</x:f>
        <x:v>kpbs.org</x:v>
      </x:c>
      <x:c r="M671" s="21" t="str">
        <x:f>IFERROR(HYPERLINK("https://www.cbsnews.com/losangeles/news/san-ysidro-border-entry-into-mexico-shut-down-over-gas-price-protests/","cbsnews.com"),"cbsnews.com")</x:f>
        <x:v>cbsnews.com</x:v>
      </x:c>
      <x:c r="N671" s="4" t="str">
        <x:v>https://www.latimes.com/local/lanow/la-me-border-protest-20170107-story.html
https://www.kpbs.org/news/2017/jan/06/tijuana-gas-stations-close-mexicans-head-san-ysidr/
https://www.cbsnews.com/losangeles/news/san-ysidro-border-entry-into-mexico-shut-down-over-gas-price-protests/
https://abc7.com/amp/post/san-ysidro-border-crossing-reopened-after-protests-forced-closure/1693009/</x:v>
      </x:c>
      <x:c r="O671" s="4" t="str">
        <x:v>Second full-register audit source access, 26 October 2026
https://www.kpbs.org/news/2017/jan/06/tijuana-gas-stations-close-mexicans-head-san-ysidr/: full text (previously retrieved text re-examined) — Article URL/date January 6 precedes explicit Sunday update.
https://abc7.com/amp/post/san-ysidro-border-crossing-reopened-after-protests-forced-closure/1693009/: full text (fresh retrieval) — Times approximate; freeway access, not every Mexican inspection booth.
Earlier URLs not separately inspected in this second assessment:
https://www.latimes.com/local/lanow/la-me-border-protest-20170107-story.html
https://www.cbsnews.com/losangeles/news/san-ysidro-border-entry-into-mexico-shut-down-over-gas-price-protests/
Prior audit access record
Full-register audit source access (evidence cutoff 25 October 2026)
https://www.kpbs.org/news/2017/jan/06/tijuana-gas-stations-close-mexicans-head-san-ysidr/: full text — Article URL/date January 6 precedes explicit Sunday update.
https://abc7.com/amp/post/san-ysidro-border-crossing-reopened-after-protests-forced-closure/1693009/: full text — Times approximate; freeway access, not every Mexican inspection booth.
https://www.cbsnews.com/losangeles/news/san-ysidro-border-entry-into-mexico-shut-down-over-gas-price-protests/: full text — Saturday only; no Sunday endpoint inferred.
Earlier source URLs not separately listed in this audit’s retrieval log (historical access notes below are not fresh verification):
https://www.latimes.com/local/lanow/la-me-border-protest-20170107-story.html
Earlier recorded access
Source 1: access detail is retained in the source catalogue.
Source 2: access detail is retained in the source catalogue.
Source 3: access detail is retained in the source catalogue.</x:v>
      </x:c>
      <x:c r="P671" s="20" t="n">
        <x:v>2</x:v>
      </x:c>
      <x:c r="Q671" s="4" t="str">
        <x:v>Americas</x:v>
      </x:c>
      <x:c r="R671" s="4" t="str">
        <x:v>Included</x:v>
      </x:c>
    </x:row>
    <x:row r="672" ht="330" hidden="0" customHeight="1">
      <x:c r="A672" s="16" t="str">
        <x:v>FU-COV-NAM-005</x:v>
      </x:c>
      <x:c r="B672" s="4" t="str">
        <x:v>Nogales Mariposa intermittent agricultural cargo blockade, November 24–26 2025</x:v>
      </x:c>
      <x:c r="C672" s="4" t="str">
        <x:v>Mexico; United States</x:v>
      </x:c>
      <x:c r="D672" s="4" t="str">
        <x:v>Mariposa commercial-vehicle access at Nogales, including shifted obstruction at Mexican export customs</x:v>
      </x:c>
      <x:c r="E672" s="4" t="str">
        <x:v>Heavy/commercial vehicles
Direction: Initial northbound Mexico-to-United States cargo obstruction; 26 November report describes affected export/import facilities and restored crossings in both directions. Earlier southbound scope is not established.
Exceptions: Lighter private vehicles and pedestrians passed; limited cargo releases occurred within the episode.</x:v>
      </x:c>
      <x:c r="F672" s="4" t="str">
        <x:v>FU-COV-NAM-005-FU1 — Intermittent regime
Mariposa commercial-vehicle access at Nogales, including shifted obstruction at Mexican export customs
Start: 2025-11-24.
Observed scoped reopening: 2025-11-26.
Intermittent regime envelope; total closed days unknown</x:v>
      </x:c>
      <x:c r="G672" s="4" t="str">
        <x:v>Policy and socioeconomic demands / Jobs, services and livelihoods
Reported reason
Applies to: Recorded episode
Reported demand for improved farming conditions and institutional support, attributed to the Mariposa protesters.
Security / Unspecified security
Reported reason
Applies to: Recorded episode
Reported demand to address insecurity in agricultural and road activities; specific crime or immediate-safety subtype is not established. This describes protesters’ demands, not a government security closure.</x:v>
      </x:c>
      <x:c r="H672" s="4" t="str">
        <x:v>FU-COV-NAM-005-FU1: Intermittent 24–26 November cargo episode, not a continuous two-day closure. N+ reports 50 waiting trucks allowed through on 25 November before renewed obstruction. On 26 November El Imparcial reports an opening from 14:00 to 15:00 and further access from 18:00; Nuevo Día reports clearance at 17:27 and restored cargo crossings in both directions. Preserve that clock discrepancy. Initial obstruction concerned northbound cargo; the 26 November account includes export/import facilities and both-direction restoration, not proof that both directions were obstructed throughout. Cars and pedestrians were exempt. Ordinary holiday operating hours are separate from protest restrictions.</x:v>
      </x:c>
      <x:c r="I672" s="4" t="str">
        <x:v>Second full-register audit, 26 October 2026: qualified. The November 24–26 Mariposa cargo episode remains correctly intermittent, with limited releases, shifted obstruction and discrepant final clearance times.</x:v>
      </x:c>
      <x:c r="J672" s="18" t="d">
        <x:v>2026-10-26T00:00:00.000Z</x:v>
      </x:c>
      <x:c r="K672" s="21" t="str">
        <x:f>IFERROR(HYPERLINK("https://www.jornada.com.mx/noticia/2025/11/24/estados/agricultores-toman-oficinas-de-la-aduana-cordovalas-americas-en-chihuahua","jornada.com.mx"),"jornada.com.mx")</x:f>
        <x:v>jornada.com.mx</x:v>
      </x:c>
      <x:c r="L672" s="21" t="str">
        <x:f>IFERROR(HYPERLINK("https://www.nmas.com.mx/sonora/sociedad/productores-agricolas-de-sinaloa-mantienen-mega-bloqueo-en-frontera-de-nogales-sonora/","nmas.com.mx"),"nmas.com.mx")</x:f>
        <x:v>nmas.com.mx</x:v>
      </x:c>
      <x:c r="M672" s="21" t="str">
        <x:f>IFERROR(HYPERLINK("https://nuevodia.mx/nogales/2025/11/27/transportistas-desalojan-bloqueo-agricola-reanudan-cruces-garita-mariposa.html","nuevodia.mx"),"nuevodia.mx")</x:f>
        <x:v>nuevodia.mx</x:v>
      </x:c>
      <x:c r="N672" s="4" t="str">
        <x:v>https://www.jornada.com.mx/noticia/2025/11/24/estados/agricultores-toman-oficinas-de-la-aduana-cordovalas-americas-en-chihuahua
https://www.nmas.com.mx/sonora/sociedad/productores-agricolas-de-sinaloa-mantienen-mega-bloqueo-en-frontera-de-nogales-sonora/
https://nuevodia.mx/nogales/2025/11/27/transportistas-desalojan-bloqueo-agricola-reanudan-cruces-garita-mariposa.html
https://www.elimparcial.com/son/sonora/2025/11/27/habra-libre-acceso-en-garitas-de-nogales-durante-el-dia-de-accion-de-gracias/</x:v>
      </x:c>
      <x:c r="O672" s="4" t="str">
        <x:v>Second full-register audit source access, 26 October 2026
https://www.jornada.com.mx/noticia/2025/11/24/estados/agricultores-toman-oficinas-de-la-aduana-cordovalas-americas-en-chihuahua: full text (previously retrieved text re-examined)
https://www.nmas.com.mx/sonora/sociedad/productores-agricolas-de-sinaloa-mantienen-mega-bloqueo-en-frontera-de-nogales-sonora/: full text (previously retrieved text re-examined)
https://nuevodia.mx/nogales/2025/11/27/transportistas-desalojan-bloqueo-agricola-reanudan-cruces-garita-mariposa.html: full text (fresh retrieval)
https://www.elimparcial.com/son/sonora/2025/11/27/habra-libre-acceso-en-garitas-de-nogales-durante-el-dia-de-accion-de-gracias/: full text (fresh retrieval)
Prior audit access record
Full-register audit source access (evidence cutoff 25 October 2026)
https://www.jornada.com.mx/noticia/2025/11/24/estados/agricultores-toman-oficinas-de-la-aduana-cordovalas-americas-en-chihuahua: full text
https://www.nmas.com.mx/sonora/sociedad/productores-agricolas-de-sinaloa-mantienen-mega-bloqueo-en-frontera-de-nogales-sonora/: full text
https://nuevodia.mx/nogales/2025/11/27/transportistas-desalojan-bloqueo-agricola-reanudan-cruces-garita-mariposa.html: full text
https://www.elimparcial.com/son/sonora/2025/11/27/habra-libre-acceso-en-garitas-de-nogales-durante-el-dia-de-accion-de-gracias/: full text
Earlier recorded access
Source 1: access detail is retained in the source catalogue.
Source 2: access detail is retained in the source catalogue.
Source 3: access detail is retained in the source catalogue.</x:v>
      </x:c>
      <x:c r="P672" s="20" t="n">
        <x:v>1</x:v>
      </x:c>
      <x:c r="Q672" s="4" t="str">
        <x:v>Americas</x:v>
      </x:c>
      <x:c r="R672" s="4" t="str">
        <x:v>Included</x:v>
      </x:c>
    </x:row>
    <x:row r="673" ht="409" hidden="0" customHeight="1">
      <x:c r="A673" s="16" t="str">
        <x:v>FU-COV-NAM-006</x:v>
      </x:c>
      <x:c r="B673" s="4" t="str">
        <x:v>Mexicali–Calexico cargo blockade over water law, December 2025</x:v>
      </x:c>
      <x:c r="C673" s="4" t="str">
        <x:v>Mexico; United States</x:v>
      </x:c>
      <x:c r="D673" s="4" t="str">
        <x:v>Garita Comercial Este, Mexicali–Calexico commercial crossing; obstruction of commercial access with agricultural machinery. Exact lane coordinates remain unverified.</x:v>
      </x:c>
      <x:c r="E673" s="4" t="str">
        <x:v>Commercial goods vehicles; trucks trapped within Mexican export customs.
Direction: Northbound Mexico-to-United States freight restriction is explicit from December 4. December 8 reporting also confirms restoration of import access into Mexico, followed by reported import/export passage; the exact initial southbound scope is not established.
Exceptions: The separate December 8 release of trucks already inside export customs is retained; no passenger-wide closure is inferred.</x:v>
      </x:c>
      <x:c r="F673" s="4" t="str">
        <x:v>FU-COV-NAM-006-FU1 — Observed operation
Mexicali–Calexico east commercial crossing (exact lane/approach coordinates unresolved)
Start: 2025-12-04.
Last confirmed: 2025-12-07. Partial opening reported on 2025-12-08 after 11:00; broader import/export access reported restored that afternoon. Exact first full reopening minute is not established.
dated evidence; numeric duration withheld; see qualification
FU-COV-NAM-006-C7P1 — Observed operation
Trucks already inside Mexican export customs at Mexicali, permitted to leave during partial lifting
Start: unknown.
Observed scoped reopening: 2025-12-08.
dated evidence; numeric duration withheld; see qualification</x:v>
      </x:c>
      <x:c r="G673" s="4" t="str">
        <x:v>Policy and socioeconomic demands / Rights and other policy grievances
Reported reason
Applies to: Recorded episode
Reported opposition to water legislation and its effects on established farming/water rights; not a disease-control or migration measure.</x:v>
      </x:c>
      <x:c r="H673" s="4" t="str">
        <x:v>FU-COV-NAM-006-FU1: Contemporary December 6 and 7 reports place onset on Thursday, December 4; these take priority over a December 9 retrospective describing Friday. El Imparcial names the east commercial gate and reports obstruction persisting for more than two days. ZETA reports partial machinery withdrawal after 11:00 on December 8, including import access into Mexico. La Jornada, published December 9, explicitly dates the broader lifting to Monday afternoon, December 8 and reports import/export truck passage. The nearby protest camp and threatened renewed action do not mean the access blockade continued after that reported lifting.
The multi-day cargo restriction supports &gt;24-hour episode eligibility, but ordinary Sunday customs non-operation must not be counted as additional lost working time. Exact first full reopening minute, initial southbound scope and a continuous total of closed operating hours remain unestablished.
FU-COV-NAM-006-C7P1: Retain the narrower December 8 release of trucks inside export customs as a separate observation. It overlaps the broader access restoration and must not be added as a separate duration.</x:v>
      </x:c>
      <x:c r="I673" s="4" t="str">
        <x:v>Second full-register audit, 26 October 2026: additional source-audited corrections incorporated. See the phase, scope and qualification columns for the accepted findings.</x:v>
      </x:c>
      <x:c r="J673" s="18" t="d">
        <x:v>2026-10-26T00:00:00.000Z</x:v>
      </x:c>
      <x:c r="K673" s="21" t="str">
        <x:f>IFERROR(HYPERLINK("https://www.jornada.com.mx/noticia/2025/12/06/estados/agricultores-levantan-tres-dias-de-bloqueo-fronterizo-en-chihuahua","jornada.com.mx"),"jornada.com.mx")</x:f>
        <x:v>jornada.com.mx</x:v>
      </x:c>
      <x:c r="L673" s="21" t="str">
        <x:f>IFERROR(HYPERLINK("https://oem.com.mx/lavozdelafrontera/local/liberan-garita-de-exportacion-de-mexicali-sera-de-manera-parcial-27178790","oem.com.mx"),"oem.com.mx")</x:f>
        <x:v>oem.com.mx</x:v>
      </x:c>
      <x:c r="M673" s="21"/>
      <x:c r="N673" s="4" t="str">
        <x:v>https://www.jornada.com.mx/noticia/2025/12/06/estados/agricultores-levantan-tres-dias-de-bloqueo-fronterizo-en-chihuahua
https://oem.com.mx/lavozdelafrontera/local/liberan-garita-de-exportacion-de-mexicali-sera-de-manera-parcial-27178790
https://www.elimparcial.com/mxl/mexicali/2025/12/07/persiste-bloqueo-en-garita-comercial-sostendran-reuniones-con-autoridades/
https://zetatijuana.com/2025/12/liberan-parcialmente-aduana-comercial-en-mexicali/
https://bajanews.mx/Cali-Baja/49941/MEXICALI-Acuerdan-apertura-de-garita-comercial
https://www.jornada.com.mx/noticia/2025/12/09/estados/agricultores-levantan-bloqueo-en-la-garita-mexicalicalexico
https://www.elimparcial.com/mxl/mexicali/2025/12/09/agricultores-retiran-bloqueo-de-garita-comercial/</x:v>
      </x:c>
      <x:c r="O673" s="4" t="str">
        <x:v>Second full-register audit source access, 26 October 2026
https://www.jornada.com.mx/noticia/2025/12/06/estados/agricultores-levantan-tres-dias-de-bloqueo-fronterizo-en-chihuahua: full text (previously retrieved text re-examined)
https://www.elimparcial.com/mxl/mexicali/2025/12/07/persiste-bloqueo-en-garita-comercial-sostendran-reuniones-con-autoridades/: full text (fresh retrieval)
https://zetatijuana.com/2025/12/liberan-parcialmente-aduana-comercial-en-mexicali/: full text (previously retrieved text re-examined)
https://bajanews.mx/Cali-Baja/49941/MEXICALI-Acuerdan-apertura-de-garita-comercial: full text (previously retrieved text re-examined)
https://www.jornada.com.mx/noticia/2025/12/09/estados/agricultores-levantan-bloqueo-en-la-garita-mexicalicalexico: full text (fresh retrieval) — No exact clock; same publisher as onset account.
https://www.elimparcial.com/mxl/mexicali/2025/12/09/agricultores-retiran-bloqueo-de-garita-comercial/: full text (fresh retrieval) — Conflicting onset and non-operating day preclude simplistic closed-day total.
Earlier URLs not separately inspected in this second assessment:
https://oem.com.mx/lavozdelafrontera/local/liberan-garita-de-exportacion-de-mexicali-sera-de-manera-parcial-27178790
Prior audit access record
Full-register audit source access (evidence cutoff 25 October 2026)
https://www.jornada.com.mx/noticia/2025/12/06/estados/agricultores-levantan-tres-dias-de-bloqueo-fronterizo-en-chihuahua: full text
https://www.elimparcial.com/mxl/mexicali/2025/12/07/persiste-bloqueo-en-garita-comercial-sostendran-reuniones-con-autoridades/: full text
https://zetatijuana.com/2025/12/liberan-parcialmente-aduana-comercial-en-mexicali/: full text
https://bajanews.mx/Cali-Baja/49941/MEXICALI-Acuerdan-apertura-de-garita-comercial: full text
https://www.jornada.com.mx/noticia/2025/12/09/estados/agricultores-levantan-bloqueo-en-la-garita-mexicalicalexico: full text — No exact clock; same publisher as onset account.
https://www.elimparcial.com/mxl/mexicali/2025/12/09/agricultores-retiran-bloqueo-de-garita-comercial/: full text — Conflicting onset and non-operating day preclude simplistic closed-day total.
https://oem.com.mx/lavozdelafrontera/local/liberan-garita-de-exportacion-de-mexicali-sera-de-manera-parcial-27178790: inaccessible — 403.
Earlier recorded access
Source 1: access detail is retained in the source catalogue.
Source 2: access detail is retained in the source catalogue.</x:v>
      </x:c>
      <x:c r="P673" s="20" t="n">
        <x:v>2</x:v>
      </x:c>
      <x:c r="Q673" s="4" t="str">
        <x:v>Americas</x:v>
      </x:c>
      <x:c r="R673" s="4" t="str">
        <x:v>Included</x:v>
      </x:c>
    </x:row>
    <x:row r="674" ht="409" hidden="0" customHeight="1">
      <x:c r="A674" s="16" t="str">
        <x:v>FU-COV-NAM-007</x:v>
      </x:c>
      <x:c r="B674" s="4" t="str">
        <x:v>Sarnia and Peace Bridge protest-related passage suspensions, February 2022</x:v>
      </x:c>
      <x:c r="C674" s="4" t="str">
        <x:v>Canada; United States</x:v>
      </x:c>
      <x:c r="D674" s="4" t="str">
        <x:v>Sarnia / Blue Water Bridge US-bound access
Peace Bridge / Fort Erie commercial route</x:v>
      </x:c>
      <x:c r="E674" s="4" t="str">
        <x:v>Commercial and traveller vehicles; Commercial motor vehicles
Direction: Canada to United States</x:v>
      </x:c>
      <x:c r="F674" s="4" t="str">
        <x:v>FU-COV-NAM-007-FU1 — Observed operation
Sarnia / Blue Water Bridge US-bound access
Start: 2022-02-06.
Reported reopening: 2022-02-06, later that day.
Contemporary local reporting describes nearly nine hours of westbound Highway 402 closure; exact clearing minute unknown. Under 24 hours.
FU-COV-NAM-007-FU2 — Observed operation
Peace Bridge / Fort Erie US-bound commercial route
Start: afternoon of 2022-02-13.
Reopening confirmed by: 09:00 on 2022-02-14.
Final commission finding; less than 24 hours for this defined commercial suspension.</x:v>
      </x:c>
      <x:c r="G674" s="4" t="str">
        <x:v>Policy and socioeconomic demands / Opposition to health policies
Reported reason
Applies to: Protest actions
Government summary characterizes convoy protests as opposition to pandemic-response policies; retain that attributed movement-level explanation, not every individual’s motive.
Security / Public order and immediate safety
Reported reason
Applies to: Authority response to protest at Sarnia / Peace Bridge
Commission account explicitly describes OPP closing Sarnia lanes due to children near traffic and Peace facility lockdown to protect secure areas.</x:v>
      </x:c>
      <x:c r="H674" s="4" t="str">
        <x:v>FU-COV-NAM-007-FU1: The Commission's final report, Volume 2 page 309, records a 6 February US-bound Sarnia obstruction, dispersal beginning after about three and a half hours, and no operational impact reported by 7 February. Its earlier overview's 8 February endpoint conflicts with that final account. A contemporary Sarnia News Today update reports the highway reopened on Sunday, February 6 after nearly nine hours, tightening the final report’s ended-by-February-7 bound. The local report describes the full highway closure, whereas the Commission’s three-and-a-half hours marks when protesters began dispersing. The publication display predates the update; no exact reopening minute is inferred. The later 9–14 February highway blockade had a functioning diversion and is separate.
FU-COV-NAM-007-FU2: The final report identifies a defined US-bound commercial suspension from the afternoon of 13 February until reopening by 09:00 on 14 February. The 12 February facility-security incident is distinct and does not establish a continuous all-traffic closure beginning that day. Earlier overview material reports an 11:00 reopening, whereas the final report says by 09:00; use the final finding while retaining the discrepancy here. Exact initial and final minutes remain unknown.</x:v>
      </x:c>
      <x:c r="I674" s="4" t="str">
        <x:v>Second full-register audit, 26 October 2026: additional source-audited corrections incorporated. See the phase, scope and qualification columns for the accepted findings.</x:v>
      </x:c>
      <x:c r="J674" s="18" t="d">
        <x:v>2026-10-26T00:00:00.000Z</x:v>
      </x:c>
      <x:c r="K674" s="21" t="str">
        <x:f>IFERROR(HYPERLINK("https://publicorderemergencycommission.ca/files/overview-reports/COM.OR.00000006.pdf","publicorderemergencycommission.ca"),"publicorderemergencycommission.ca")</x:f>
        <x:v>publicorderemergencycommission.ca</x:v>
      </x:c>
      <x:c r="L674" s="21" t="str">
        <x:f>IFERROR(HYPERLINK("https://www.publicsafety.gc.ca/cnt/trnsprnc/brfng-mtrls/prlmntry-bndrs/20221013/03-en.aspx","publicsafety.gc.ca"),"publicsafety.gc.ca")</x:f>
        <x:v>publicsafety.gc.ca</x:v>
      </x:c>
      <x:c r="M674" s="21" t="str">
        <x:f>IFERROR(HYPERLINK("https://www.parl.ca/documentviewer/en/44-1/DEDC/report-3/page-99","parl.ca"),"parl.ca")</x:f>
        <x:v>parl.ca</x:v>
      </x:c>
      <x:c r="N674" s="4" t="str">
        <x:v>https://publicorderemergencycommission.ca/files/overview-reports/COM.OR.00000006.pdf
https://www.publicsafety.gc.ca/cnt/trnsprnc/brfng-mtrls/prlmntry-bndrs/20221013/03-en.aspx
https://www.parl.ca/documentviewer/en/44-1/DEDC/report-3/page-99
https://publicorderemergencycommission.ca/files/documents/Final-Report/Vol-2-Report-of-the-Public-Inquiry-into-the-2022-Public-Order-Emergency.pdf
https://sarnianewstoday.ca/sarnia/news/2022/02/06/farm-convoy-heading-sarnia1</x:v>
      </x:c>
      <x:c r="O674" s="4" t="str">
        <x:v>Second full-register audit source access, 26 October 2026
https://publicorderemergencycommission.ca/files/overview-reports/COM.OR.00000006.pdf: full text (previously retrieved text re-examined) — Overview chronology differs from final report.
https://www.publicsafety.gc.ca/cnt/trnsprnc/brfng-mtrls/prlmntry-bndrs/20221013/03-en.aspx: full text (previously retrieved text re-examined)
https://publicorderemergencycommission.ca/files/documents/Final-Report/Vol-2-Report-of-the-Public-Inquiry-into-the-2022-Public-Order-Emergency.pdf: full text (fresh retrieval)
https://sarnianewstoday.ca/sarnia/news/2022/02/06/farm-convoy-heading-sarnia1: full text (fresh retrieval) — Displayed 10:02 timestamp precedes the later reopening update; exact reopening minute is not established.
Earlier URLs not separately inspected in this second assessment:
https://www.parl.ca/documentviewer/en/44-1/DEDC/report-3/page-99
Prior audit access record
Full-register audit source access (evidence cutoff 25 October 2026)
https://publicorderemergencycommission.ca/files/overview-reports/COM.OR.00000006.pdf: full text — Overview chronology differs from final report.
https://www.publicsafety.gc.ca/cnt/trnsprnc/brfng-mtrls/prlmntry-bndrs/20221013/03-en.aspx: full text
https://publicorderemergencycommission.ca/files/documents/Final-Report/Vol-2-Report-of-the-Public-Inquiry-into-the-2022-Public-Order-Emergency.pdf: full text
Earlier source URLs not separately listed in this audit’s retrieval log (historical access notes below are not fresh verification):
https://www.parl.ca/documentviewer/en/44-1/DEDC/report-3/page-99
Earlier recorded access
Source 1: access detail is retained in the source catalogue.
Source 2: access detail is retained in the source catalogue.
Source 3: access detail is retained in the source catalogue.</x:v>
      </x:c>
      <x:c r="P674" s="20" t="n">
        <x:v>2</x:v>
      </x:c>
      <x:c r="Q674" s="4" t="str">
        <x:v>Americas</x:v>
      </x:c>
      <x:c r="R674" s="4" t="str">
        <x:v>Included</x:v>
      </x:c>
    </x:row>
    <x:row r="675" ht="330" hidden="0" customHeight="1">
      <x:c r="A675" s="16" t="str">
        <x:v>FU-COV-SCA-001</x:v>
      </x:c>
      <x:c r="B675" s="4" t="str">
        <x:v>Ramatlabama border suspension during truckers’ labour protest, May 2024</x:v>
      </x:c>
      <x:c r="C675" s="4" t="str">
        <x:v>Botswana; South Africa</x:v>
      </x:c>
      <x:c r="D675" s="4" t="str">
        <x:v>Ramatlabama road-border operations following the South African approach-road trucker blockade on 21 May 2024</x:v>
      </x:c>
      <x:c r="E675" s="4" t="str">
        <x:v>Crossing operations; detailed exemptions unavailable
Direction: Not separately established</x:v>
      </x:c>
      <x:c r="F675" s="4" t="str">
        <x:v>FU-COV-SCA-001-FU1 — Observed operation
Ramatlabama road-border operations following the South African approach-road trucker blockade on 21 May 2024
Start: 2024-05-21.
Scoped endpoint: 2024-05-21.
Same-day episode; no whole-day duration inferred</x:v>
      </x:c>
      <x:c r="G675" s="4" t="str">
        <x:v>Policy and socioeconomic demands / Jobs, services and livelihoods
Reported reason
Applies to: Recorded episode
Labour demands are attributed to truckers by trade reporting.</x:v>
      </x:c>
      <x:c r="H675" s="4" t="str">
        <x:v>FU-COV-SCA-001-FU1: Reported same-calendar-day closure and BURS reopening status; no elapsed hours or whole-day duration. Passenger/freight, direction-specific and emergency exemptions remain unestablished. The reported authority status is not independent observation of the first returning vehicle, and the two reports partly share BURS provenance.
intraday times / exemptions: What were the exact closure/reopening times, and did any passenger or emergency movement continue?</x:v>
      </x:c>
      <x:c r="I675" s="4" t="str">
        <x:v>Second full-register audit, 26 October 2026: qualified. Fresh BURS-attributed reporting confirms the 21 May 2024 Ramatlabama interruption and same-day restoration status. The labour strike started earlier, but border closure cannot be backdated to it.</x:v>
      </x:c>
      <x:c r="J675" s="18" t="d">
        <x:v>2026-10-26T00:00:00.000Z</x:v>
      </x:c>
      <x:c r="K675" s="21" t="str">
        <x:f>IFERROR(HYPERLINK("https://satrucker.co.za/ramatlabama-border-briefly-closed-by-protesting-south-african-truck-drivers/","SA Trucker"),"SA Trucker")</x:f>
        <x:v>SA Trucker</x:v>
      </x:c>
      <x:c r="L675" s="21" t="str">
        <x:f>IFERROR(HYPERLINK("https://www.mmegi.bw/news/sa-truckers-strike-contained-as-ramatlabama-border-reopens/news","Mmegi Online"),"Mmegi Online")</x:f>
        <x:v>Mmegi Online</x:v>
      </x:c>
      <x:c r="M675" s="21"/>
      <x:c r="N675" s="4" t="str">
        <x:v>https://satrucker.co.za/ramatlabama-border-briefly-closed-by-protesting-south-african-truck-drivers/
https://www.mmegi.bw/news/sa-truckers-strike-contained-as-ramatlabama-border-reopens/news
https://www.mmegi.bw/ampArticle/112956</x:v>
      </x:c>
      <x:c r="O675" s="4" t="str">
        <x:v>Second full-register audit source access, 26 October 2026
https://satrucker.co.za/ramatlabama-border-briefly-closed-by-protesting-south-african-truck-drivers/: full text (fresh retrieval) — Shares BURS restoration statement.
https://www.mmegi.bw/ampArticle/112956: full text (fresh retrieval) — Imminent-opening quote is weaker than first actual traffic observation.
Earlier URLs not separately inspected in this second assessment:
https://www.mmegi.bw/news/sa-truckers-strike-contained-as-ramatlabama-border-reopens/news
Prior audit access record
Full-register audit source access (evidence cutoff 25 October 2026)
https://satrucker.co.za/ramatlabama-border-briefly-closed-by-protesting-south-african-truck-drivers/: full text
https://www.mmegi.bw/ampArticle/112956: full text — Article substantially shares BURS statements with SA Trucker. Headline restoration and imminent-opening quote differ in evidential strength.
Earlier source URLs not separately listed in this audit’s retrieval log (historical access notes below are not fresh verification):
https://www.mmegi.bw/news/sa-truckers-strike-contained-as-ramatlabama-border-reopens/news
Earlier recorded access
Source 1: full text
Source 2: indexed extract</x:v>
      </x:c>
      <x:c r="P675" s="20" t="n">
        <x:v>1</x:v>
      </x:c>
      <x:c r="Q675" s="4" t="str">
        <x:v>Southern and Central Africa</x:v>
      </x:c>
      <x:c r="R675" s="4" t="str">
        <x:v>Included</x:v>
      </x:c>
    </x:row>
    <x:row r="676" ht="366" hidden="0" customHeight="1">
      <x:c r="A676" s="16" t="str">
        <x:v>NP-COV-EUR-001</x:v>
      </x:c>
      <x:c r="B676" s="4" t="str">
        <x:v>Vërmicë–Morinë vehicle entry restriction during Kalimash toll protest, March 2018</x:v>
      </x:c>
      <x:c r="C676" s="4" t="str">
        <x:v>Albania; Kosovo (disputed status)</x:v>
      </x:c>
      <x:c r="D676" s="4" t="str">
        <x:v>Vehicle entry into Albania at Morinë</x:v>
      </x:c>
      <x:c r="E676" s="4" t="str">
        <x:v>Vehicles; later Albanian-plate exception
Direction: Kosovo to Albania</x:v>
      </x:c>
      <x:c r="F676" s="4" t="str">
        <x:v>NP-COV-EUR-001-P01 — Observed operation
Vehicle entry into Albania at Morinë
Start: 2018-03-31.
Observed scoped reopening: 2018-03-31.
Same-day episode; no whole-day duration inferred</x:v>
      </x:c>
      <x:c r="G676" s="4" t="str">
        <x:v>Security / Public order and immediate safety
Reported reason
Applies to: Only the identified authority/protest action; not every background policy
Police attributed the entry restriction to blocked onward travel and immediate public safety.</x:v>
      </x:c>
      <x:c r="H676" s="4" t="str">
        <x:v>NP-COV-EUR-001-P01: A KOHA/KTV report describes Albanian-plate admission while other vehicles were turned back. A separate police-attributed report says vehicle entry resumed on 31 March 2018. The selective-admission article displays 16:01 and the police-attributed reopening report 15:43; publication times do not establish the actual sequence of those events. Retain the police-attributed same-day endpoint without claiming an established intermediate relaxation, final all-vehicle normalization or precise elapsed-hour interval.</x:v>
      </x:c>
      <x:c r="I676" s="4" t="str">
        <x:v>Second full-register audit, 26 October 2026: qualified. The same-day Morinë restriction is supported; contradictory publication-order impressions still do not establish the exact sequence of selective and general reopening.</x:v>
      </x:c>
      <x:c r="J676" s="18" t="d">
        <x:v>2026-10-26T00:00:00.000Z</x:v>
      </x:c>
      <x:c r="K676" s="21" t="str">
        <x:f>IFERROR(HYPERLINK("https://www.koha.net/arberi/ndalohet-perkohesisht-qarkullimi-i-automjeteve-ne-kufi-me-shqiperine","KOHA/KTV"),"KOHA/KTV")</x:f>
        <x:v>KOHA/KTV</x:v>
      </x:c>
      <x:c r="L676" s="21" t="str">
        <x:f>IFERROR(HYPERLINK("https://www.koha.net/arberi/kufirin-mund-ta-kalojne-vetem-automjetet-me-targa-te-shqiperise","KOHA/KTV"),"KOHA/KTV")</x:f>
        <x:v>KOHA/KTV</x:v>
      </x:c>
      <x:c r="M676" s="21" t="str">
        <x:f>IFERROR(HYPERLINK("https://periskopi.com/pas-perfundimit-te-protestes-se-dhunshme-hapet-kufiri-kosove-shqiperi/","periskopi.com"),"periskopi.com")</x:f>
        <x:v>periskopi.com</x:v>
      </x:c>
      <x:c r="N676" s="4" t="str">
        <x:v>https://www.koha.net/arberi/ndalohet-perkohesisht-qarkullimi-i-automjeteve-ne-kufi-me-shqiperine
https://www.koha.net/arberi/kufirin-mund-ta-kalojne-vetem-automjetet-me-targa-te-shqiperise
https://periskopi.com/pas-perfundimit-te-protestes-se-dhunshme-hapet-kufiri-kosove-shqiperi/
https://periskopi.com/sq/2018/3/pas-perfundimit-te-protestes-se-dhunshme-hapet-kufiri-kosove-shqiperi</x:v>
      </x:c>
      <x:c r="O676" s="4" t="str">
        <x:v>Second full-register audit source access, 26 October 2026
https://www.koha.net/arberi/ndalohet-perkohesisht-qarkullimi-i-automjeteve-ne-kufi-me-shqiperine: full text (fresh retrieval)
https://www.koha.net/arberi/kufirin-mund-ta-kalojne-vetem-automjetet-me-targa-te-shqiperise: full text (previously retrieved text re-examined)
https://periskopi.com/sq/2018/3/pas-perfundimit-te-protestes-se-dhunshme-hapet-kufiri-kosove-shqiperi: full text (previously retrieved text re-examined)
Earlier URLs not separately inspected in this second assessment:
https://periskopi.com/pas-perfundimit-te-protestes-se-dhunshme-hapet-kufiri-kosove-shqiperi/
Prior audit access record
Full-register audit source access (evidence cutoff 25 October 2026)
https://www.koha.net/arberi/ndalohet-perkohesisht-qarkullimi-i-automjeteve-ne-kufi-me-shqiperine: full text
https://www.koha.net/arberi/kufirin-mund-ta-kalojne-vetem-automjetet-me-targa-te-shqiperise: full text
https://periskopi.com/sq/2018/3/pas-perfundimit-te-protestes-se-dhunshme-hapet-kufiri-kosove-shqiperi: full text
Earlier source URLs not separately listed in this audit’s retrieval log (historical access notes below are not fresh verification):
https://periskopi.com/pas-perfundimit-te-protestes-se-dhunshme-hapet-kufiri-kosove-shqiperi/
Earlier recorded access
Source 1: full text
Source 2: full text
Source 3: access detail is retained in the source catalogue.</x:v>
      </x:c>
      <x:c r="P676" s="20" t="n">
        <x:v>1</x:v>
      </x:c>
      <x:c r="Q676" s="4" t="str">
        <x:v>Europe</x:v>
      </x:c>
      <x:c r="R676" s="4" t="str">
        <x:v>Included</x:v>
      </x:c>
    </x:row>
    <x:row r="677" ht="234" hidden="0" customHeight="1">
      <x:c r="A677" s="16" t="str">
        <x:v>NP-COV-EUR-002</x:v>
      </x:c>
      <x:c r="B677" s="4" t="str">
        <x:v>Maljevac–Velika Kladuša closure during migrant confrontation, October 2018</x:v>
      </x:c>
      <x:c r="C677" s="4" t="str">
        <x:v>Croatia; Bosnia and Herzegovina</x:v>
      </x:c>
      <x:c r="D677" s="4" t="str">
        <x:v>All traffic at Maljevac–Velika Kladuša</x:v>
      </x:c>
      <x:c r="E677" s="4" t="str">
        <x:v>Passengers and freight
Direction: Both directions</x:v>
      </x:c>
      <x:c r="F677" s="4" t="str">
        <x:v>NP-COV-EUR-002-P01 — Observed operation
All traffic at Maljevac–Velika Kladuša
Start: 2018-10-24.
Observed scoped reopening: 2018-10-30.
6 calendar-day difference; scoped endpoint only</x:v>
      </x:c>
      <x:c r="G677" s="4" t="str">
        <x:v>Security / Public order and immediate safety
Reported reason
Applies to: Only the identified authority/protest action; not every background policy
The police attributed the all-traffic closure to safety during the confrontation and obstruction near the crossing.</x:v>
      </x:c>
      <x:c r="H677" s="4" t="str">
        <x:v>NP-COV-EUR-002-P01: Six calendar-day endpoint difference; reported clock bounds are October 24 10:00 to October 30 18:00, not six full 24-hour days.</x:v>
      </x:c>
      <x:c r="I677" s="4" t="str">
        <x:v>Second full-register audit, 26 October 2026: qualified. Official police closure and reopening reports independently support the six-calendar-date Maljevac episode; no other crossings are incorporated.</x:v>
      </x:c>
      <x:c r="J677" s="18" t="d">
        <x:v>2026-10-26T00:00:00.000Z</x:v>
      </x:c>
      <x:c r="K677" s="21" t="str">
        <x:f>IFERROR(HYPERLINK("https://mup.gov.hr/vijesti-8/stanje-na-granicnom-prijelazu-maljevac/282362?big=1","mup.gov.hr"),"mup.gov.hr")</x:f>
        <x:v>mup.gov.hr</x:v>
      </x:c>
      <x:c r="L677" s="21" t="str">
        <x:f>IFERROR(HYPERLINK("https://mup.gov.hr/print.aspx?id=282280&amp;url=print","mup.gov.hr"),"mup.gov.hr")</x:f>
        <x:v>mup.gov.hr</x:v>
      </x:c>
      <x:c r="M677" s="21" t="str">
        <x:f>IFERROR(HYPERLINK("https://vijesti.hrt.hr/hrvatska/otvoren-prijelaz-maljevac-696468","vijesti.hrt.hr"),"vijesti.hrt.hr")</x:f>
        <x:v>vijesti.hrt.hr</x:v>
      </x:c>
      <x:c r="N677" s="4" t="str">
        <x:v>https://mup.gov.hr/vijesti-8/stanje-na-granicnom-prijelazu-maljevac/282362?big=1
https://mup.gov.hr/print.aspx?id=282280&amp;url=print
https://vijesti.hrt.hr/hrvatska/otvoren-prijelaz-maljevac-696468</x:v>
      </x:c>
      <x:c r="O677" s="4" t="str">
        <x:v>Second full-register audit source access, 26 October 2026
https://mup.gov.hr/vijesti-8/stanje-na-granicnom-prijelazu-maljevac/282362?big=1: full text (fresh retrieval)
https://mup.gov.hr/print.aspx?id=282280&amp;url=print: full text (previously retrieved text re-examined)
https://vijesti.hrt.hr/hrvatska/otvoren-prijelaz-maljevac-696468: full text (previously retrieved text re-examined)
Prior audit access record
Full-register audit source access (evidence cutoff 25 October 2026)
https://mup.gov.hr/vijesti-8/stanje-na-granicnom-prijelazu-maljevac/282362?big=1: full text
https://mup.gov.hr/print.aspx?id=282280&amp;url=print: full text
https://vijesti.hrt.hr/hrvatska/otvoren-prijelaz-maljevac-696468: full text
Earlier recorded access
Source 1: access detail is retained in the source catalogue.
Source 2: access detail is retained in the source catalogue.
Source 3: access detail is retained in the source catalogue.</x:v>
      </x:c>
      <x:c r="P677" s="20" t="n">
        <x:v>1</x:v>
      </x:c>
      <x:c r="Q677" s="4" t="str">
        <x:v>Europe</x:v>
      </x:c>
      <x:c r="R677" s="4" t="str">
        <x:v>Included</x:v>
      </x:c>
    </x:row>
    <x:row r="678" ht="162" hidden="0" customHeight="1">
      <x:c r="A678" s="16" t="str">
        <x:v>NP-COV-EUR-003</x:v>
      </x:c>
      <x:c r="B678" s="4" t="str">
        <x:v>Bijača veterans’ border blockade, July 2 2018</x:v>
      </x:c>
      <x:c r="C678" s="4" t="str">
        <x:v>Bosnia and Herzegovina; Croatia</x:v>
      </x:c>
      <x:c r="D678" s="4" t="str">
        <x:v>Road access at Bijača</x:v>
      </x:c>
      <x:c r="E678" s="4" t="str">
        <x:v>Road traffic; category detail not separately established
Direction: Not separately established</x:v>
      </x:c>
      <x:c r="F678" s="4" t="str">
        <x:v>NP-COV-EUR-003-P01 — Observed operation
Road access at Bijača
Start: 2018-07-02.
Observed scoped reopening: 2018-07-02.
Same-day episode; no whole-day duration inferred; Noon to shortly before 19:00; no whole-day duration</x:v>
      </x:c>
      <x:c r="G678" s="4" t="str">
        <x:v>Policy and socioeconomic demands / Jobs, services and livelihoods
Reported reason
Applies to: Only the identified authority/protest action; not every background policy
Veterans sought payments linked to wartime service and a revised registry.</x:v>
      </x:c>
      <x:c r="H678" s="4" t="str">
        <x:v>NP-COV-EUR-003-P01: Only this reported same-day obstruction; recurring earlier protests are not joined into one interval.</x:v>
      </x:c>
      <x:c r="I678" s="4" t="str">
        <x:v>Second full-register audit, 26 October 2026: qualified. The Bijača action is explicitly a same-day noon-to-before-19:00 blockade; prior recurring protests are not one continuous episode.</x:v>
      </x:c>
      <x:c r="J678" s="18" t="d">
        <x:v>2026-10-26T00:00:00.000Z</x:v>
      </x:c>
      <x:c r="K678" s="21" t="str">
        <x:f>IFERROR(HYPERLINK("https://www.slobodnaevropa.org/a/29333690.html","slobodnaevropa.org"),"slobodnaevropa.org")</x:f>
        <x:v>slobodnaevropa.org</x:v>
      </x:c>
      <x:c r="L678" s="21"/>
      <x:c r="M678" s="21"/>
      <x:c r="N678" s="4" t="str">
        <x:v>https://www.slobodnaevropa.org/a/29333690.html
https://likemetkovic.hr/portal/najnovije/page/1978/</x:v>
      </x:c>
      <x:c r="O678" s="4" t="str">
        <x:v>Second full-register audit source access, 26 October 2026
https://www.slobodnaevropa.org/a/29333690.html: full text (fresh retrieval)
Earlier URLs not separately inspected in this second assessment:
https://likemetkovic.hr/portal/najnovije/page/1978/
Prior audit access record
Full-register audit source access (evidence cutoff 25 October 2026)
https://www.slobodnaevropa.org/a/29333690.html: full text
https://likemetkovic.hr/portal/najnovije/page/1978/: search extract
Earlier recorded access
Source 1: access detail is retained in the source catalogue.</x:v>
      </x:c>
      <x:c r="P678" s="20" t="n">
        <x:v>1</x:v>
      </x:c>
      <x:c r="Q678" s="4" t="str">
        <x:v>Europe</x:v>
      </x:c>
      <x:c r="R678" s="4" t="str">
        <x:v>Included</x:v>
      </x:c>
    </x:row>
    <x:row r="679" ht="409" hidden="0" customHeight="1">
      <x:c r="A679" s="16" t="str">
        <x:v>NP-COV-EUR-004</x:v>
      </x:c>
      <x:c r="B679" s="4" t="str">
        <x:v>Montenegro freight-terminal blockades in regional driver protest, January 2026</x:v>
      </x:c>
      <x:c r="C679" s="4" t="str">
        <x:v>Montenegro; Croatia; Bosnia and Herzegovina; Serbia; Kosovo; Albania</x:v>
      </x:c>
      <x:c r="D679" s="4" t="str">
        <x:v>Nine reported Montenegro land cargo posts: Debeli Brijeg–Karasovići (Croatia); Ilino Brdo–Klobuk, Vraćenovići–Deleuša and Metaljka–Metaljka (Bosnia and Herzegovina); Dračenovac–Špiljani, Ranče–Jabuka and Dobrakovo–Gostun (Serbia); Kula–Kulina (Kosovo); Božaj–Hani Hotit (Albania). Port Bar is outside this land-border record.</x:v>
      </x:c>
      <x:c r="E679" s="4" t="str">
        <x:v>Non-exempt commercial freight, both cargo directions at participating land terminals. Passenger travel was excluded. Reported exempt cargo included medicines, live animals, explosives and weapons; gate-level implementation is not exhaustively documented.</x:v>
      </x:c>
      <x:c r="F679" s="4" t="str">
        <x:v>NP-COV-EUR-004-P01 — Observed operation
Nine reported Montenegro land cargo posts: Debeli Brijeg–Karasovići (Croatia); Ilino Brdo–Klobuk, Vraćenovići–Deleuša and Metaljka–Metaljka (Bosnia and Herzegovina); Dračenovac–Špiljani, Ranče–Jabuka and Dobrakovo–Gostun (Serbia); Kula–Kulina (Kosovo); Božaj–Hani Hotit (Albania). Port Bar is outside this land-border record.
Start: 2026-01-26.
Observed scoped reopening: 2026-01-29.
3 calendar-day difference; scoped endpoint only</x:v>
      </x:c>
      <x:c r="G679" s="4" t="str">
        <x:v>Migration / Admission and document disputes
Reported reason
Applies to: Only the identified authority/protest action; not every background policy
Professional drivers protested Schengen admission/stay rules affecting their work. The Montenegrin association also cited excise/VAT refunds, inspection hours and pension treatment.
Trade and protectionism / Trade and transport protests
Reported reason
Applies to: Only the identified authority/protest action; not every background policy
Professional drivers protested Schengen admission/stay rules affecting their work. The Montenegrin association also cited excise/VAT refunds, inspection hours and pension treatment.
Policy and socioeconomic demands / Jobs, services and livelihoods
Reported reason
Applies to: Only the identified authority/protest action; not every background policy
Professional drivers protested Schengen admission/stay rules affecting their work. The Montenegrin association also cited excise/VAT refunds, inspection hours and pension treatment.</x:v>
      </x:c>
      <x:c r="H679" s="4" t="str">
        <x:v>Country-level action began January 26, 2026 and was lifted January 29. A police retrospective describes the permitted and realised 72-hour action, but identical times at every gate are not established. Nine named land posts are supported by event reporting, with counterpart geography checked against the official directory because the news report mislabels some countries. Passenger traffic and reported cargo exceptions remained separate. Port Bar is excluded. The March 23 proposed action was refused, not an observed continuation.</x:v>
      </x:c>
      <x:c r="I679" s="4" t="str">
        <x:v>Second full-register audit, 26 October 2026: qualified. The Montenegro January freight campaign, January 29 lifting, passenger exclusions and corrected counterpart geography survive independent review.</x:v>
      </x:c>
      <x:c r="J679" s="18" t="d">
        <x:v>2026-10-26T00:00:00.000Z</x:v>
      </x:c>
      <x:c r="K679" s="21" t="str">
        <x:f>IFERROR(HYPERLINK("https://www.reuters.com/world/western-balkan-truck-drivers-block-border-cargo-terminals-over-eu-entry-rules-2026-01-26/","Reuters"),"Reuters")</x:f>
        <x:v>Reuters</x:v>
      </x:c>
      <x:c r="L679" s="21" t="str">
        <x:f>IFERROR(HYPERLINK("https://en.vijesti.me/news-b/economy-d/793348/Transporters%27-Association-suspends-border-blockades-of-freight-traffic","Vijesti"),"Vijesti")</x:f>
        <x:v>Vijesti</x:v>
      </x:c>
      <x:c r="M679" s="21" t="str">
        <x:f>IFERROR(HYPERLINK("https://mzv.gov.cz/podgorica/cz/ekonomika_a_obchod/blokada_cernohorskych_hranicnich.html","mzv.gov.cz"),"mzv.gov.cz")</x:f>
        <x:v>mzv.gov.cz</x:v>
      </x:c>
      <x:c r="N679" s="4" t="str">
        <x:v>https://www.reuters.com/world/western-balkan-truck-drivers-block-border-cargo-terminals-over-eu-entry-rules-2026-01-26/
https://en.vijesti.me/news-b/economy-d/793348/Transporters%27-Association-suspends-border-blockades-of-freight-traffic
https://mzv.gov.cz/podgorica/cz/ekonomika_a_obchod/blokada_cernohorskych_hranicnich.html
https://www.ekathimerini.com/politics/foreign-policy/1293436/balkan-truck-drivers-block-border-crossing-in-protest-of-eu-entry-rules/
https://www.ajot.com/news/western-balkan-truck-drivers-block-border-cargo-terminals-over-eu-entry-rules
https://www.gov.me/clanak/saopstenje-392
https://glashrvatske.hrt.hr/en/foreign/trucks-block-freight-traffic-at-croatia-s-borders-with-bosnia-and-herzegovina-and-montenegro-12540359
https://www.gov.me/en/article/border-crossing-points</x:v>
      </x:c>
      <x:c r="O679" s="4" t="str">
        <x:v>Second full-register audit source access, 26 October 2026
https://www.gov.me/clanak/saopstenje-392: full text (fresh retrieval)
https://en.vijesti.me/news-b/economy-d/793348/Transporters%27-Association-suspends-border-blockades-of-freight-traffic: full text (previously retrieved text re-examined)
https://glashrvatske.hrt.hr/en/foreign/trucks-block-freight-traffic-at-croatia-s-borders-with-bosnia-and-herzegovina-and-montenegro-12540359: full text (previously retrieved text re-examined)
https://www.gov.me/en/article/border-crossing-points: full text (previously retrieved text re-examined) — Archived directory; not evidence of 2026 operational status.
Earlier URLs not separately inspected in this second assessment:
https://www.reuters.com/world/western-balkan-truck-drivers-block-border-cargo-terminals-over-eu-entry-rules-2026-01-26/
https://mzv.gov.cz/podgorica/cz/ekonomika_a_obchod/blokada_cernohorskych_hranicnich.html
https://www.ekathimerini.com/politics/foreign-policy/1293436/balkan-truck-drivers-block-border-crossing-in-protest-of-eu-entry-rules/
https://www.ajot.com/news/western-balkan-truck-drivers-block-border-cargo-terminals-over-eu-entry-rules
Prior audit access record
Full-register audit source access (evidence cutoff 25 October 2026)
https://www.ajot.com/news/western-balkan-truck-drivers-block-border-cargo-terminals-over-eu-entry-rules: full text
https://en.vijesti.me/news-b/economy-d/793348/Transporters%27-Association-suspends-border-blockades-of-freight-traffic: full text
https://mzv.gov.cz/podgorica/cz/ekonomika_a_obchod/blokada_cernohorskych_hranicnich.html: full text — Later stale sentence about Serbian action is not used as a current status claim.
https://www.gov.me/clanak/saopstenje-392: full text
https://glashrvatske.hrt.hr/en/foreign/trucks-block-freight-traffic-at-croatia-s-borders-with-bosnia-and-herzegovina-and-montenegro-12540359: full text — Several counterpart-country labels are wrong and rejected in favour of the official directory.
https://www.gov.me/en/article/border-crossing-points: full text
Earlier source URLs not separately listed in this audit’s retrieval log (historical access notes below are not fresh verification):
https://www.reuters.com/world/western-balkan-truck-drivers-block-border-cargo-terminals-over-eu-entry-rules-2026-01-26/
https://www.ekathimerini.com/politics/foreign-policy/1293436/balkan-truck-drivers-block-border-crossing-in-protest-of-eu-entry-rules/
Earlier recorded access
Source 1: full text
Source 2: full text
Source 3: access detail is retained in the source catalogue.</x:v>
      </x:c>
      <x:c r="P679" s="20" t="n">
        <x:v>1</x:v>
      </x:c>
      <x:c r="Q679" s="4" t="str">
        <x:v>Europe</x:v>
      </x:c>
      <x:c r="R679" s="4" t="str">
        <x:v>Included</x:v>
      </x:c>
    </x:row>
    <x:row r="680" ht="409" hidden="0" customHeight="1">
      <x:c r="A680" s="16" t="str">
        <x:v>NP-COV-EUR-005</x:v>
      </x:c>
      <x:c r="B680" s="4" t="str">
        <x:v>Bosnia and Herzegovina freight-terminal blockades in regional driver protest, January 2026</x:v>
      </x:c>
      <x:c r="C680" s="4" t="str">
        <x:v>Bosnia and Herzegovina; Croatia</x:v>
      </x:c>
      <x:c r="D680" s="4" t="str">
        <x:v>Participating Bosnia and Herzegovina cargo terminals on the EU/Croatia frontier; Gradiška and Bijača expressly reported.</x:v>
      </x:c>
      <x:c r="E680" s="4" t="str">
        <x:v>Commercial freight entering and leaving at participating terminals; passenger travel excluded. At Bijača, reporting also identifies emergency and military vehicles, medicines and live animals as exempt. These exceptions are not independently established at every gate.</x:v>
      </x:c>
      <x:c r="F680" s="4" t="str">
        <x:v>NP-COV-EUR-005-P01 — Observed operation
Participating land-border cargo terminals in Bosnia and Herzegovina
Start: 2026-01-26.
Observed scoped reopening: 2026-01-30.
4 calendar-day difference; scoped endpoint only
Onset reported at noon January 26. Trucks began withdrawal at 16:00 January 30; terminal clearance was still in progress. This clock is not the exact first passage at every post.</x:v>
      </x:c>
      <x:c r="G680" s="4" t="str">
        <x:v>Migration / Admission and document disputes
Reported reason
Applies to: Only the identified authority/protest action; not every background policy
Professional drivers protested Schengen admission/stay rules affecting their work.
Trade and protectionism / Trade and transport protests
Reported reason
Applies to: Only the identified authority/protest action; not every background policy
Professional drivers protested Schengen admission/stay rules affecting their work.</x:v>
      </x:c>
      <x:c r="H680" s="4" t="str">
        <x:v>Country-level action to reported lifting, with Gradiška and Bijača expressly documented. Noon January 26 is reported onset; January 30 at 16:00 is the beginning of withdrawal, not a uniform reopening clock. Individual terminal times and full exemption rosters remain unknown. Passenger traffic was excluded and Bijača-specific exemptions are retained without applying them universally. Maritime facilities are excluded.</x:v>
      </x:c>
      <x:c r="I680" s="4" t="str">
        <x:v>Second full-register audit, 26 October 2026: qualified. Bosnia’s January 26–30 freight campaign is supported; January 30 16:00 is correctly treated as withdrawal beginning, not every gate’s first passage.</x:v>
      </x:c>
      <x:c r="J680" s="18" t="d">
        <x:v>2026-10-26T00:00:00.000Z</x:v>
      </x:c>
      <x:c r="K680" s="21" t="str">
        <x:f>IFERROR(HYPERLINK("https://www.reuters.com/world/western-balkan-truck-drivers-block-border-cargo-terminals-over-eu-entry-rules-2026-01-26/","reuters.com"),"reuters.com")</x:f>
        <x:v>reuters.com</x:v>
      </x:c>
      <x:c r="L680" s="21" t="str">
        <x:f>IFERROR(HYPERLINK("https://n1info.ba/vijesti/prijevoznici-iz-bih-obustavili-blokadu-granicnih-prijelaza/","n1info.ba"),"n1info.ba")</x:f>
        <x:v>n1info.ba</x:v>
      </x:c>
      <x:c r="M680" s="21" t="str">
        <x:f>IFERROR(HYPERLINK("https://www.ekathimerini.com/politics/foreign-policy/1293436/balkan-truck-drivers-block-border-crossing-in-protest-of-eu-entry-rules/","ekathimerini.com"),"ekathimerini.com")</x:f>
        <x:v>ekathimerini.com</x:v>
      </x:c>
      <x:c r="N680" s="4" t="str">
        <x:v>https://www.reuters.com/world/western-balkan-truck-drivers-block-border-cargo-terminals-over-eu-entry-rules-2026-01-26/
https://n1info.ba/vijesti/prijevoznici-iz-bih-obustavili-blokadu-granicnih-prijelaza/
https://www.ekathimerini.com/politics/foreign-policy/1293436/balkan-truck-drivers-block-border-crossing-in-protest-of-eu-entry-rules/
https://theprint.in/world/some-balkan-truckers-end-eu-blockade-after-travel-rule-update-others-continue/2840534/
https://www.ansa.it/nuova_europa/en/news/sections/politics/2026/01/30/truckers-from-serbia-and-bosnia-also-end-blockades_7a204557-ddff-4199-8abc-0ddca416e8a7.html
https://n1info.ba/english/news/transport-operators-begin-blockade-of-freight-border-terminals-with-the-eu/
https://glashrvatske.hrt.hr/en/foreign/trucks-block-freight-traffic-at-croatia-s-borders-with-bosnia-and-herzegovina-and-montenegro-12540359</x:v>
      </x:c>
      <x:c r="O680" s="4" t="str">
        <x:v>Second full-register audit source access, 26 October 2026
https://n1info.ba/vijesti/prijevoznici-iz-bih-obustavili-blokadu-granicnih-prijelaza/: full text (fresh retrieval)
https://n1info.ba/english/news/transport-operators-begin-blockade-of-freight-border-terminals-with-the-eu/: full text (previously retrieved text re-examined)
https://glashrvatske.hrt.hr/en/foreign/trucks-block-freight-traffic-at-croatia-s-borders-with-bosnia-and-herzegovina-and-montenegro-12540359: full text (previously retrieved text re-examined)
Earlier URLs not separately inspected in this second assessment:
https://www.reuters.com/world/western-balkan-truck-drivers-block-border-cargo-terminals-over-eu-entry-rules-2026-01-26/
https://www.ekathimerini.com/politics/foreign-policy/1293436/balkan-truck-drivers-block-border-crossing-in-protest-of-eu-entry-rules/
https://theprint.in/world/some-balkan-truckers-end-eu-blockade-after-travel-rule-update-others-continue/2840534/
https://www.ansa.it/nuova_europa/en/news/sections/politics/2026/01/30/truckers-from-serbia-and-bosnia-also-end-blockades_7a204557-ddff-4199-8abc-0ddca416e8a7.html
Prior audit access record
Full-register audit source access (evidence cutoff 25 October 2026)
https://n1info.ba/english/news/transport-operators-begin-blockade-of-freight-border-terminals-with-the-eu/: full text
https://glashrvatske.hrt.hr/en/foreign/trucks-block-freight-traffic-at-croatia-s-borders-with-bosnia-and-herzegovina-and-montenegro-12540359: full text
https://n1info.ba/vijesti/prijevoznici-iz-bih-obustavili-blokadu-granicnih-prijelaza/: full text
https://www.ansa.it/nuova_europa/en/news/sections/politics/2026/01/30/truckers-from-serbia-and-bosnia-also-end-blockades_7a204557-ddff-4199-8abc-0ddca416e8a7.html: full text
Earlier source URLs not separately listed in this audit’s retrieval log (historical access notes below are not fresh verification):
https://www.reuters.com/world/western-balkan-truck-drivers-block-border-cargo-terminals-over-eu-entry-rules-2026-01-26/
https://www.ekathimerini.com/politics/foreign-policy/1293436/balkan-truck-drivers-block-border-crossing-in-protest-of-eu-entry-rules/
https://theprint.in/world/some-balkan-truckers-end-eu-blockade-after-travel-rule-update-others-continue/2840534/
Earlier recorded access
Source 1: access detail is retained in the source catalogue.
Source 2: access detail is retained in the source catalogue.
Source 3: access detail is retained in the source catalogue.</x:v>
      </x:c>
      <x:c r="P680" s="20" t="n">
        <x:v>1</x:v>
      </x:c>
      <x:c r="Q680" s="4" t="str">
        <x:v>Europe</x:v>
      </x:c>
      <x:c r="R680" s="4" t="str">
        <x:v>Included</x:v>
      </x:c>
    </x:row>
    <x:row r="681" ht="409" hidden="0" customHeight="1">
      <x:c r="A681" s="16" t="str">
        <x:v>NP-COV-EUR-006</x:v>
      </x:c>
      <x:c r="B681" s="4" t="str">
        <x:v>Serbia freight-terminal blockades in regional driver protest, January 2026</x:v>
      </x:c>
      <x:c r="C681" s="4" t="str">
        <x:v>Serbia; Croatia; Hungary; Montenegro</x:v>
      </x:c>
      <x:c r="D681" s="4" t="str">
        <x:v>Participating land-border cargo terminals in Serbia
Serbian-side freight traffic at Montenegro frontier</x:v>
      </x:c>
      <x:c r="E681" s="4" t="str">
        <x:v>Non-exempt commercial freight; passenger travel excluded. In the initial country campaign, exit obstruction began noon January 26 and entry obstruction at the following midnight. The later Montenegro-frontier phase affected both directions from after 18:00 January 29. Reported regional cargo exceptions included medicines, live animals and ammunition/explosives; exact gate-level exemptions are not exhaustively confirmed.</x:v>
      </x:c>
      <x:c r="F681" s="4" t="str">
        <x:v>NP-COV-EUR-006-P01 — Observed operation
Participating Serbian cargo terminals; country-level campaign, not an identical schedule at each gate.
Exit-direction blockade began: 2026-01-26 at 12:00.
Entry-direction blockade began: 2026-01-27 at 00:00.
Blockade lifted: 2026-01-30 at 15:00, with traffic normalisation in progress.
Four calendar-date difference for the initial exit action; no uniform gate duration.
NP-COV-EUR-006-P02 — Observed operation
Serbian-side freight traffic at Montenegro frontier, both directions.
Start: 2026-01-29 after 18:00.
Observed scoped reopening: 2026-01-30 at 15:00.
Reported interval is less than 21 hours; exact first and last vehicle times are not established.</x:v>
      </x:c>
      <x:c r="G681" s="4" t="str">
        <x:v>Migration / Admission and document disputes
Reported reason
Applies to: Only the identified authority/protest action; not every background policy
Professional drivers protested Schengen admission/stay rules affecting their work.
Trade and protectionism / Trade and transport protests
Reported reason
Applies to: Only the identified authority/protest action; not every background policy
Professional drivers protested Schengen admission/stay rules affecting their work.</x:v>
      </x:c>
      <x:c r="H681" s="4" t="str">
        <x:v>The country-level action had different directional onsets: exit January 26 at noon and entry January 27 at midnight. Police reports lifting January 30 at 15:00, followed by normalisation. The separate Montenegro-frontier phase began after 18:00 January 29 and ended at 15:00 January 30, a reported interval shorter than 21 hours. A January 30 police/AMSS terminal roster is only a dated snapshot and does not prove all listed gates were blocked throughout the initial campaign. Individual passage times, changing directions and every exemption remain unverified.</x:v>
      </x:c>
      <x:c r="I681" s="4" t="str">
        <x:v>Second full-register audit, 26 October 2026: qualified. Serbia’s police chronology confirms different entry/exit onsets; the separate Montenegro-frontier phase remains shorter than 24 hours.</x:v>
      </x:c>
      <x:c r="J681" s="18" t="d">
        <x:v>2026-10-26T00:00:00.000Z</x:v>
      </x:c>
      <x:c r="K681" s="21" t="str">
        <x:f>IFERROR(HYPERLINK("https://www.reuters.com/world/western-balkan-truck-drivers-block-border-cargo-terminals-over-eu-entry-rules-2026-01-26/","Reuters"),"Reuters")</x:f>
        <x:v>Reuters</x:v>
      </x:c>
      <x:c r="L681" s="21" t="str">
        <x:f>IFERROR(HYPERLINK("https://www.ansa.it/nuova_europa/en/news/sections/politics/2026/01/30/truckers-from-serbia-and-bosnia-also-end-blockades_7a204557-ddff-4199-8abc-0ddca416e8a7.html","ANSA"),"ANSA")</x:f>
        <x:v>ANSA</x:v>
      </x:c>
      <x:c r="M681" s="21" t="str">
        <x:f>IFERROR(HYPERLINK("https://en.vijesti.me/news-b/economy-d/793559/Transporters-from-Serbia-unblocked-border-crossings-with-Montenegro","Vijesti"),"Vijesti")</x:f>
        <x:v>Vijesti</x:v>
      </x:c>
      <x:c r="N681" s="4" t="str">
        <x:v>https://www.reuters.com/world/western-balkan-truck-drivers-block-border-cargo-terminals-over-eu-entry-rules-2026-01-26/
https://www.ansa.it/nuova_europa/en/news/sections/politics/2026/01/30/truckers-from-serbia-and-bosnia-also-end-blockades_7a204557-ddff-4199-8abc-0ddca416e8a7.html
https://en.vijesti.me/news-b/economy-d/793559/Transporters-from-Serbia-unblocked-border-crossings-with-Montenegro
https://kossev.info/en/prevoznici-iz-srbije-obustavljaju-blokade-teretnog-saobracaja/
https://www.ajot.com/news/western-balkan-truck-drivers-block-border-cargo-terminals-over-eu-entry-rules
https://www.tanjug.rs/ekonomija/srbija/226648/mup-obustavljena-blokada-na-granicnim-prelazima/vest
https://www.tanjug.rs/srbija/drustvo/226420/amss-teretni-terminali-u-blokadi-oprez-u-voznji-zbog-ocekivanih-otezanih-uslova/vest
https://www.ofae.gr/en/nea/international-news/26-ianoyarioy-2026-enar3h-kinhtopoihsewn-serbwn-me/</x:v>
      </x:c>
      <x:c r="O681" s="4" t="str">
        <x:v>Second full-register audit source access, 26 October 2026
https://www.tanjug.rs/ekonomija/srbija/226648/mup-obustavljena-blokada-na-granicnim-prelazima/vest: full text (fresh retrieval)
https://en.vijesti.me/news-b/economy-d/793559/Transporters-from-Serbia-unblocked-border-crossings-with-Montenegro: full text (previously retrieved text re-examined) — English machine translation; specific clocks are explicit.
https://www.tanjug.rs/srbija/drustvo/226420/amss-teretni-terminali-u-blokadi-oprez-u-voznji-zbog-ocekivanih-otezanih-uslova/vest: full text (previously retrieved text re-examined)
https://www.ofae.gr/en/nea/international-news/26-ianoyarioy-2026-enar3h-kinhtopoihsewn-serbwn-me/: full text (previously retrieved text re-examined) — Advance notice, not proof of every gate’s actual implementation.
Earlier URLs not separately inspected in this second assessment:
https://www.reuters.com/world/western-balkan-truck-drivers-block-border-cargo-terminals-over-eu-entry-rules-2026-01-26/
https://www.ansa.it/nuova_europa/en/news/sections/politics/2026/01/30/truckers-from-serbia-and-bosnia-also-end-blockades_7a204557-ddff-4199-8abc-0ddca416e8a7.html
https://kossev.info/en/prevoznici-iz-srbije-obustavljaju-blokade-teretnog-saobracaja/
https://www.ajot.com/news/western-balkan-truck-drivers-block-border-cargo-terminals-over-eu-entry-rules
Prior audit access record
Full-register audit source access (evidence cutoff 25 October 2026)
https://www.tanjug.rs/ekonomija/srbija/226648/mup-obustavljena-blokada-na-granicnim-prelazima/vest: full text
https://www.tanjug.rs/srbija/drustvo/226420/amss-teretni-terminali-u-blokadi-oprez-u-voznji-zbog-ocekivanih-otezanih-uslova/vest: full text
https://en.vijesti.me/news-b/economy-d/793559/Transporters-from-Serbia-unblocked-border-crossings-with-Montenegro: full text
https://www.ansa.it/nuova_europa/en/news/sections/politics/2026/01/30/truckers-from-serbia-and-bosnia-also-end-blockades_7a204557-ddff-4199-8abc-0ddca416e8a7.html: full text
https://www.ofae.gr/en/nea/international-news/26-ianoyarioy-2026-enar3h-kinhtopoihsewn-serbwn-me/: full text — Forecast uniform noon start is superseded by actual Serbian directional retrospective.
Earlier source URLs not separately listed in this audit’s retrieval log (historical access notes below are not fresh verification):
https://www.reuters.com/world/western-balkan-truck-drivers-block-border-cargo-terminals-over-eu-entry-rules-2026-01-26/
https://kossev.info/en/prevoznici-iz-srbije-obustavljaju-blokade-teretnog-saobracaja/
https://www.ajot.com/news/western-balkan-truck-drivers-block-border-cargo-terminals-over-eu-entry-rules
Earlier recorded access
Source 1: full text
Source 2: full text
Source 3: full text</x:v>
      </x:c>
      <x:c r="P681" s="20" t="n">
        <x:v>2</x:v>
      </x:c>
      <x:c r="Q681" s="4" t="str">
        <x:v>Europe</x:v>
      </x:c>
      <x:c r="R681" s="4" t="str">
        <x:v>Included</x:v>
      </x:c>
    </x:row>
    <x:row r="682" ht="409" hidden="0" customHeight="1">
      <x:c r="A682" s="16" t="str">
        <x:v>NP-COV-EUR-007</x:v>
      </x:c>
      <x:c r="B682" s="4" t="str">
        <x:v>North Macedonia freight-terminal blockades in regional driver protest, January 2026</x:v>
      </x:c>
      <x:c r="C682" s="4" t="str">
        <x:v>North Macedonia; Greece; Bulgaria; Albania; Kosovo</x:v>
      </x:c>
      <x:c r="D682" s="4" t="str">
        <x:v>Participating North Macedonia land cargo terminals. Reuters directly documents Gevgelija/Bogorodica. The association’s January 29 account names Deve Bair, Delchevo, Novo Selo, Dojran, Bogorodica, Medzhitlija, Kjafasan, Blace, Blato and Stenje. Greek-frontier pairs are Bogorodica–Evzoni, Medzhitlija–Niki and Star Dojran–Doirani.</x:v>
      </x:c>
      <x:c r="E682" s="4" t="str">
        <x:v>Non-exempt commercial freight; passengers excluded
Direction: Both cargo directions at participating terminals</x:v>
      </x:c>
      <x:c r="F682" s="4" t="str">
        <x:v>NP-COV-EUR-007-P01 — Observed operation
Participating North Macedonia land cargo terminals. Reuters directly documents Gevgelija/Bogorodica. The association’s January 29 account names Deve Bair, Delchevo, Novo Selo, Dojran, Bogorodica, Medzhitlija, Kjafasan, Blace, Blato and Stenje. Greek-frontier pairs are Bogorodica–Evzoni, Medzhitlija–Niki and Star Dojran–Doirani.
Start: 2026-01-26.
Observed scoped reopening: 2026-01-29.
3 calendar-day difference; scoped endpoint only
January 29 termination: 20:00 North Macedonia time; the Greek Embassy confirms freight restored at Greek-frontier crossings at 21:00 Greek time, the same moment.</x:v>
      </x:c>
      <x:c r="G682" s="4" t="str">
        <x:v>Migration / Admission and document disputes
Reported reason
Applies to: Only the identified authority/protest action; not every background policy
Professional drivers protested Schengen admission/stay rules affecting their work.
Trade and protectionism / Trade and transport protests
Reported reason
Applies to: Only the identified authority/protest action; not every background policy
Professional drivers protested Schengen admission/stay rules affecting their work.</x:v>
      </x:c>
      <x:c r="H682" s="4" t="str">
        <x:v>The country campaign began January 26 and ended January 29. Ten posts are identified in the association’s termination account; this does not independently establish identical first and last passage at every site. The Greek Embassy confirms restored freight at all Greek-frontier crossings at 21:00 Greek time January 29, equivalent to 20:00 North Macedonia time. MIA’s narrative weekday is inconsistent, but its explicit quoted January 29 date is independently corroborated. Passenger travel was excluded. Gate-specific exemptions and first passage remain unverified; maritime facilities are excluded.</x:v>
      </x:c>
      <x:c r="I682" s="4" t="str">
        <x:v>Second full-register audit, 26 October 2026: qualified. North Macedonia’s January 29 end is independently corroborated by embassy-sourced actual freight restoration; the MIA weekday error does not override the explicit date.</x:v>
      </x:c>
      <x:c r="J682" s="18" t="d">
        <x:v>2026-10-26T00:00:00.000Z</x:v>
      </x:c>
      <x:c r="K682" s="21" t="str">
        <x:f>IFERROR(HYPERLINK("https://www.reuters.com/world/western-balkan-truck-drivers-block-border-cargo-terminals-over-eu-entry-rules-2026-01-26/","reuters.com"),"reuters.com")</x:f>
        <x:v>reuters.com</x:v>
      </x:c>
      <x:c r="L682" s="21" t="str">
        <x:f>IFERROR(HYPERLINK("https://www.ekathimerini.com/POLITICS/FOREIGN-POLICY/1293807/NORTH-MACEDONIAN-TRUCKERS-END-BORDER-BLOCKADES-AS-EU-SIGNALS-POLICY-REVISION/","ekathimerini.com"),"ekathimerini.com")</x:f>
        <x:v>ekathimerini.com</x:v>
      </x:c>
      <x:c r="M682" s="21" t="str">
        <x:f>IFERROR(HYPERLINK("https://www.ajot.com/news/western-balkan-truck-drivers-block-border-cargo-terminals-over-eu-entry-rules","ajot.com"),"ajot.com")</x:f>
        <x:v>ajot.com</x:v>
      </x:c>
      <x:c r="N682" s="4" t="str">
        <x:v>https://www.reuters.com/world/western-balkan-truck-drivers-block-border-cargo-terminals-over-eu-entry-rules-2026-01-26/
https://www.ekathimerini.com/POLITICS/FOREIGN-POLICY/1293807/NORTH-MACEDONIAN-TRUCKERS-END-BORDER-BLOCKADES-AS-EU-SIGNALS-POLICY-REVISION/
https://www.ajot.com/news/western-balkan-truck-drivers-block-border-cargo-terminals-over-eu-entry-rules
https://theprint.in/world/some-balkan-truckers-end-eu-blockade-after-travel-rule-update-others-continue/2840534/
https://www.ansa.it/nuova_europa/en/news/sections/politics/2026/01/30/truckers-from-serbia-and-bosnia-also-end-blockades_7a204557-ddff-4199-8abc-0ddca416e8a7.html
https://miamail.mia.mk/en/story/macedonian-transporters-lift-blockades-at-border-crossings
https://www.ofae.gr/en/nea/international-news/kleistes-oi-synoriakes-dieleyseis-gia-ta-forthga-t/
https://www.ofae.gr/en/nea/international-news/termatismos-kinhtopoihsewn-metaforewn-boreias-make-1/
https://www.mtc.gov.mk/media/files/2023/%D0%9D%D0%B0%D1%86%D0%B8%D0%BE%D0%BD%D0%B0%D0%BB%D0%BD%D0%B0%20%D1%81%D1%82%D1%80%D0%B0%D1%82%D0%B5%D0%B3%D0%B8%D1%98%D0%B0%20%D0%B7%D0%B0%20%D0%98%D0%A2%D0%A1.pdf</x:v>
      </x:c>
      <x:c r="O682" s="4" t="str">
        <x:v>Second full-register audit source access, 26 October 2026
https://www.ofae.gr/en/nea/international-news/termatismos-kinhtopoihsewn-metaforewn-boreias-make-1/: full text (fresh retrieval)
https://miamail.mia.mk/en/story/macedonian-transporters-lift-blockades-at-border-crossings: search extract (previously retrieved text re-examined) — Narrative weekday conflicts with explicit quote; independently corroborated date retained.
https://www.ajot.com/news/western-balkan-truck-drivers-block-border-cargo-terminals-over-eu-entry-rules: full text (previously retrieved text re-examined)
https://www.ekathimerini.com/POLITICS/FOREIGN-POLICY/1293807/NORTH-MACEDONIAN-TRUCKERS-END-BORDER-BLOCKADES-AS-EU-SIGNALS-POLICY-REVISION/: search extract (previously retrieved text re-examined)
Earlier URLs not separately inspected in this second assessment:
https://www.reuters.com/world/western-balkan-truck-drivers-block-border-cargo-terminals-over-eu-entry-rules-2026-01-26/
https://theprint.in/world/some-balkan-truckers-end-eu-blockade-after-travel-rule-update-others-continue/2840534/
https://www.ansa.it/nuova_europa/en/news/sections/politics/2026/01/30/truckers-from-serbia-and-bosnia-also-end-blockades_7a204557-ddff-4199-8abc-0ddca416e8a7.html
https://www.ofae.gr/en/nea/international-news/kleistes-oi-synoriakes-dieleyseis-gia-ta-forthga-t/
https://www.mtc.gov.mk/media/files/2023/%D0%9D%D0%B0%D1%86%D0%B8%D0%BE%D0%BD%D0%B0%D0%BB%D0%BD%D0%B0%20%D1%81%D1%82%D1%80%D0%B0%D1%82%D0%B5%D0%B3%D0%B8%D1%98%D0%B0%20%D0%B7%D0%B0%20%D0%98%D0%A2%D0%A1.pdf
Prior audit access record
Full-register audit source access (evidence cutoff 25 October 2026)
https://www.ajot.com/news/western-balkan-truck-drivers-block-border-cargo-terminals-over-eu-entry-rules: full text
https://miamail.mia.mk/en/story/macedonian-transporters-lift-blockades-at-border-crossings: search extract — Narrative weekday Wednesday conflicts with the explicitly quoted Thursday January 29 date; exact date corroborated separately.
https://www.ofae.gr/en/nea/international-news/kleistes-oi-synoriakes-dieleyseis-gia-ta-forthga-t/: full text
https://www.ofae.gr/en/nea/international-news/termatismos-kinhtopoihsewn-metaforewn-boreias-make-1/: full text
https://www.ekathimerini.com/POLITICS/FOREIGN-POLICY/1293807/NORTH-MACEDONIAN-TRUCKERS-END-BORDER-BLOCKADES-AS-EU-SIGNALS-POLICY-REVISION/: search extract
https://www.mtc.gov.mk/media/files/2023/%D0%9D%D0%B0%D1%86%D0%B8%D0%BE%D0%BD%D0%B0%D0%BB%D0%BD%D0%B0%20%D1%81%D1%82%D1%80%D0%B0%D1%82%D0%B5%D0%B3%D0%B8%D1%98%D0%B0%20%D0%B7%D0%B0%20%D0%98%D0%A2%D0%A1.pdf: search extract — Historical geographic directory, not evidence of 2026 operation.
Earlier source URLs not separately listed in this audit’s retrieval log (historical access notes below are not fresh verification):
https://www.reuters.com/world/western-balkan-truck-drivers-block-border-cargo-terminals-over-eu-entry-rules-2026-01-26/
https://theprint.in/world/some-balkan-truckers-end-eu-blockade-after-travel-rule-update-others-continue/2840534/
https://www.ansa.it/nuova_europa/en/news/sections/politics/2026/01/30/truckers-from-serbia-and-bosnia-also-end-blockades_7a204557-ddff-4199-8abc-0ddca416e8a7.html
Earlier recorded access
Source 1: access detail is retained in the source catalogue.
Source 2: access detail is retained in the source catalogue.
Source 3: access detail is retained in the source catalogue.</x:v>
      </x:c>
      <x:c r="P682" s="20" t="n">
        <x:v>1</x:v>
      </x:c>
      <x:c r="Q682" s="4" t="str">
        <x:v>Europe</x:v>
      </x:c>
      <x:c r="R682" s="4" t="str">
        <x:v>Included</x:v>
      </x:c>
    </x:row>
    <x:row r="683" ht="342" hidden="0" customHeight="1">
      <x:c r="A683" s="16" t="str">
        <x:v>NP-COV-EUR-008</x:v>
      </x:c>
      <x:c r="B683" s="4" t="str">
        <x:v>Montenegrin April 2026 freight protests and Dračenovac passenger extension</x:v>
      </x:c>
      <x:c r="C683" s="4" t="str">
        <x:v>Montenegro; Serbia; Bosnia and Herzegovina</x:v>
      </x:c>
      <x:c r="D683" s="4" t="str">
        <x:v>Participating Montenegro crossings with Serbia and Bosnia
Dračenovac two-hour extension including passengers</x:v>
      </x:c>
      <x:c r="E683" s="4" t="str">
        <x:v>Commercial freight; passengers and specified cargo exempt; Freight and passenger vehicles
Direction: Both cargo directions; Both directions</x:v>
      </x:c>
      <x:c r="F683" s="4" t="str">
        <x:v>NP-COV-EUR-008-P01 — Observed operation
Participating Montenegro crossings with Serbia and Bosnia
Start: 2026-04-14.
Ended by: 2026-04-17.
Police reported that traffic was restored at all protest locations on April 17. Crossing-specific final clock times and unchanged continuity are not established.
NP-COV-EUR-008-P02 — Observed operation
Dračenovac two-hour extension including passengers
Start: 2026-04-17.
Observed scoped reopening: 2026-04-17.
Same-day episode; no whole-day duration inferred; Two-hour extension after scheduled 10:00 end</x:v>
      </x:c>
      <x:c r="G683" s="4" t="str">
        <x:v>Migration / Admission and document disputes
Reported reason
Applies to: Only the identified authority/protest action; not every background policy
Drivers cited Schengen work/travel limits, tax refunds and unfulfilled domestic transport commitments.
Trade and protectionism / Trade and transport protests
Reported reason
Applies to: Only the identified authority/protest action; not every background policy
Drivers cited Schengen work/travel limits, tax refunds and unfulfilled domestic transport commitments.
Policy and socioeconomic demands / Jobs, services and livelihoods
Reported reason
Applies to: Only the identified authority/protest action; not every background policy
Drivers cited Schengen work/travel limits, tax refunds and unfulfilled domestic transport commitments.</x:v>
      </x:c>
      <x:c r="H683" s="4" t="str">
        <x:v>Freight obstruction began April 14 and had ended by April 17, when police reported restored traffic at all protest locations. Some locations extended the scheduled 10:00 ending and temporarily affected all vehicles. Dračenovac’s additional passenger-inclusive action lasted about two hours on April 17 and remains separately scoped. Exact final times at every location and unchanged continuity between observations are not established; do not derive duration from the initial schedule.</x:v>
      </x:c>
      <x:c r="I683" s="4" t="str">
        <x:v>Second full-register audit, 26 October 2026: qualified. April’s Montenegro freight protest and Dračenovac passenger-inclusive extension are independently supported; scheduled endings do not replace observed resumption.</x:v>
      </x:c>
      <x:c r="J683" s="18" t="d">
        <x:v>2026-10-26T00:00:00.000Z</x:v>
      </x:c>
      <x:c r="K683" s="21" t="str">
        <x:f>IFERROR(HYPERLINK("https://www.rts.rs/lat/vesti/region/5925736/blokada-granicni-prelaz-teretni-saobracaj.html","rts.rs"),"rts.rs")</x:f>
        <x:v>rts.rs</x:v>
      </x:c>
      <x:c r="L683" s="21" t="str">
        <x:f>IFERROR(HYPERLINK("https://www.rts.rs/lat/vesti/region/5928573/blokada-granicnog-prelaza-u-crnoj-gori-dracevac.html","rts.rs"),"rts.rs")</x:f>
        <x:v>rts.rs</x:v>
      </x:c>
      <x:c r="M683" s="21"/>
      <x:c r="N683" s="4" t="str">
        <x:v>https://www.rts.rs/lat/vesti/region/5925736/blokada-granicni-prelaz-teretni-saobracaj.html
https://www.rts.rs/lat/vesti/region/5928573/blokada-granicnog-prelaza-u-crnoj-gori-dracevac.html
https://www.gov.me/clanak/saopstenje-415
https://mzv.gov.cz/podgorica/cz/ekonomika_a_obchod/blokada_silnicni_nakladni_dopravy_na.mobi</x:v>
      </x:c>
      <x:c r="O683" s="4" t="str">
        <x:v>Second full-register audit source access, 26 October 2026
https://www.rts.rs/lat/vesti/region/5925736/blokada-granicni-prelaz-teretni-saobracaj.html: search extract (fresh retrieval) — Substantive indexed report; direct body timed out.
https://www.rts.rs/lat/vesti/region/5928573/blokada-granicnog-prelaza-u-crnoj-gori-dracevac.html: full text (fresh retrieval)
https://www.gov.me/clanak/saopstenje-415: search extract (fresh retrieval) — Full substantive indexed statement; direct page timed out.
Earlier URLs not separately inspected in this second assessment:
https://mzv.gov.cz/podgorica/cz/ekonomika_a_obchod/blokada_silnicni_nakladni_dopravy_na.mobi
Prior audit access record
Full-register audit source access (evidence cutoff 25 October 2026)
https://www.rts.rs/lat/vesti/region/5925736/blokada-granicni-prelaz-teretni-saobracaj.html: search extract
https://www.rts.rs/lat/vesti/region/5928573/blokada-granicnog-prelaza-u-crnoj-gori-dracevac.html: full text
https://www.gov.me/clanak/saopstenje-415: search extract — Direct body access was incomplete; substantive indexed text inspected.
https://mzv.gov.cz/podgorica/cz/ekonomika_a_obchod/blokada_silnicni_nakladni_dopravy_na.mobi: search extract — A plan does not verify actual obstruction at each named frontier.
Earlier recorded access
Source 1: access detail is retained in the source catalogue.
Source 2: access detail is retained in the source catalogue.</x:v>
      </x:c>
      <x:c r="P683" s="20" t="n">
        <x:v>2</x:v>
      </x:c>
      <x:c r="Q683" s="4" t="str">
        <x:v>Europe</x:v>
      </x:c>
      <x:c r="R683" s="4" t="str">
        <x:v>Included</x:v>
      </x:c>
    </x:row>
    <x:row r="684" ht="409" hidden="0" customHeight="1">
      <x:c r="A684" s="16" t="str">
        <x:v>NP-COV-EUR-009</x:v>
      </x:c>
      <x:c r="B684" s="4" t="str">
        <x:v>Greek customs strike suspends four Albania crossings, July 27 2026</x:v>
      </x:c>
      <x:c r="C684" s="4" t="str">
        <x:v>Greece; Albania</x:v>
      </x:c>
      <x:c r="D684" s="4" t="str">
        <x:v>Kapshticë
Kakavijë
Qafë Botë and Tre Urat</x:v>
      </x:c>
      <x:c r="E684" s="4" t="str">
        <x:v>Vehicles and travellers requiring customs passage
Direction: Both directions</x:v>
      </x:c>
      <x:c r="F684" s="4" t="str">
        <x:v>NP-COV-EUR-009-P01 — Observed operation
Kapshticë
Start: 2026-07-27.
Observed scoped reopening: 2026-07-27.
Same-day episode; no whole-day duration inferred; Conflicting Kapshtice operational clocks: Shqiptarja reports 05:00–09:00; ABC reports 04:00–09:00 Albanian time. The July 23 customs notice instead scheduled 05:00–10:00, without a displayed time-zone label. No exact elapsed-hour duration is selected.
NP-COV-EUR-009-P02 — Observed operation
Kakavijë
Start: 2026-07-27.
Observed scoped reopening: 2026-07-27.
Same-day episode; no whole-day duration inferred; 07:00–11:00
NP-COV-EUR-009-P03 — Observed operation
Qafë Botë and Tre Urat
Start: 2026-07-27.
Observed scoped reopening: 2026-07-27.
Same-day episode; no whole-day duration inferred; Four hours reported; individual clock bounds not established</x:v>
      </x:c>
      <x:c r="G684" s="4" t="str">
        <x:v>Policy and socioeconomic demands / Jobs, services and livelihoods
Attributed participant justification
Applies to: July 27, 2026 customs strike; all three scoped phases
The OTYE customs-employees federation attributed its action to unpaid overtime and shift compensation and delayed or insufficient funding allocations.</x:v>
      </x:c>
      <x:c r="H684" s="4" t="str">
        <x:v>NP-COV-EUR-009-P01: OTYE attributes the action to unpaid overtime and shift compensation and delayed/insufficient allocation. Actual same-day operation is established separately; reported Kapshticë onset hours conflict and are not made exact.
NP-COV-EUR-009-P02: OTYE attributes the action to unpaid overtime and shift compensation and delayed/insufficient allocation. Actual same-day operation is established separately; reported Kapshticë onset hours conflict and are not made exact.
NP-COV-EUR-009-P03: OTYE attributes the action to unpaid overtime and shift compensation and delayed/insufficient allocation. Actual same-day operation is established separately; reported Kapshticë onset hours conflict and are not made exact.
onset_precision: Kapshticë start-hour disagreement remains; day-level chronology is retained.</x:v>
      </x:c>
      <x:c r="I684" s="4" t="str">
        <x:v>Second full-register audit, 26 October 2026: qualified. The Greek customs strike remains a same-day event at four Albania crossings; conflicting Kapshticë clocks cannot be resolved by an advance schedule.</x:v>
      </x:c>
      <x:c r="J684" s="18" t="d">
        <x:v>2026-10-26T00:00:00.000Z</x:v>
      </x:c>
      <x:c r="K684" s="21" t="str">
        <x:f>IFERROR(HYPERLINK("https://dogana.gov.al/d/171/219/0/1685/njoftim-per-mbylljen-e-perkohshme-te-deges-doganore-te-kapshtices","Albanian General Directorate of Customs"),"Albanian General Directorate of Customs")</x:f>
        <x:v>Albanian General Directorate of Customs</x:v>
      </x:c>
      <x:c r="L684" s="21" t="str">
        <x:f>IFERROR(HYPERLINK("https://shqiptarja.com/lajm/greva-ne-greqi-pezullohet-puna-per-4-ore-ne-4-dogana-shqiptare?r=pop5h","Shqiptarja.com"),"Shqiptarja.com")</x:f>
        <x:v>Shqiptarja.com</x:v>
      </x:c>
      <x:c r="M684" s="21" t="str">
        <x:f>IFERROR(HYPERLINK("https://www.ofae.gr/media/documents/2026/07/23/ANAKOINOSE-GIA-APOZEMIOSEIS-UPERORION-BARDION-56.pdf","ofae.gr"),"ofae.gr")</x:f>
        <x:v>ofae.gr</x:v>
      </x:c>
      <x:c r="N684" s="4" t="str">
        <x:v>https://dogana.gov.al/d/171/219/0/1685/njoftim-per-mbylljen-e-perkohshme-te-deges-doganore-te-kapshtices
https://shqiptarja.com/lajm/greva-ne-greqi-pezullohet-puna-per-4-ore-ne-4-dogana-shqiptare?r=pop5h
https://www.ofae.gr/media/documents/2026/07/23/ANAKOINOSE-GIA-APOZEMIOSEIS-UPERORION-BARDION-56.pdf
https://abcnews.al/perfundon-greva-e-doganiereve-greke-rinis-levizja-e-mjeteve-ne-kapshtice-radhe-te-gjata-ne-kakavije/
https://euronews.al/mbyllet-perkohesisht-dogana-e-kapshtices-te-henen-shkak-greva-e-punonjesve-greke-oraret-kur-bllokohet-levizja/
https://gazetashqiptare.al/2026/07/26/greve-ne-doganat-greke-pezullohet-perkohesisht-levizja-e-automjeteve-ne-kater-pika-kufitare-me-shqiperine/</x:v>
      </x:c>
      <x:c r="O684" s="4" t="str">
        <x:v>Second full-register audit source access, 26 October 2026
https://abcnews.al/perfundon-greva-e-doganiereve-greke-rinis-levizja-e-mjeteve-ne-kapshtice-radhe-te-gjata-ne-kakavije/: full text (fresh retrieval)
https://shqiptarja.com/lajm/greva-ne-greqi-pezullohet-puna-per-4-ore-ne-4-dogana-shqiptare?r=pop5h: full text (previously retrieved text re-examined)
https://dogana.gov.al/d/171/219/0/1685/njoftim-per-mbylljen-e-perkohshme-te-deges-doganore-te-kapshtices: full text (previously retrieved text re-examined)
https://www.ofae.gr/media/documents/2026/07/23/ANAKOINOSE-GIA-APOZEMIOSEIS-UPERORION-BARDION-56.pdf: full text (previously retrieved text re-examined) — Cached PDF text inspected directly; PDF also retained as greek-july2026.pdf.
Earlier URLs not separately inspected in this second assessment:
https://euronews.al/mbyllet-perkohesisht-dogana-e-kapshtices-te-henen-shkak-greva-e-punonjesve-greke-oraret-kur-bllokohet-levizja/
https://gazetashqiptare.al/2026/07/26/greve-ne-doganat-greke-pezullohet-perkohesisht-levizja-e-automjeteve-ne-kater-pika-kufitare-me-shqiperine/
Prior audit access record
Full-register audit source access (evidence cutoff 25 October 2026)
https://dogana.gov.al/d/171/219/0/1685/njoftim-per-mbylljen-e-perkohshme-te-deges-doganore-te-kapshtices: full text
https://abcnews.al/perfundon-greva-e-doganiereve-greke-rinis-levizja-e-mjeteve-ne-kapshtice-radhe-te-gjata-ne-kakavije/: full text
https://shqiptarja.com/lajm/greva-ne-greqi-pezullohet-puna-per-4-ore-ne-4-dogana-shqiptare?r=pop5h: full text
https://www.ofae.gr/media/documents/2026/07/23/ANAKOINOSE-GIA-APOZEMIOSEIS-UPERORION-BARDION-56.pdf: full text — Web fetch failed; direct HTTP retrieval succeeded. Forecast motive and planned duration are distinct from independently reported actual gate operation.
Earlier source URLs not separately listed in this audit’s retrieval log (historical access notes below are not fresh verification):
https://euronews.al/mbyllet-perkohesisht-dogana-e-kapshtices-te-henen-shkak-greva-e-punonjesve-greke-oraret-kur-bllokohet-levizja/
https://gazetashqiptare.al/2026/07/26/greve-ne-doganat-greke-pezullohet-perkohesisht-levizja-e-automjeteve-ne-kater-pika-kufitare-me-shqiperine/
Earlier recorded access
Source 1: full text
Source 2: full text
Source 3: access detail is retained in the source catalogue.</x:v>
      </x:c>
      <x:c r="P684" s="20" t="n">
        <x:v>3</x:v>
      </x:c>
      <x:c r="Q684" s="4" t="str">
        <x:v>Europe</x:v>
      </x:c>
      <x:c r="R684" s="4" t="str">
        <x:v>Included</x:v>
      </x:c>
    </x:row>
    <x:row r="685" ht="162" hidden="0" customHeight="1">
      <x:c r="A685" s="16" t="str">
        <x:v>NP-COV-AM-001</x:v>
      </x:c>
      <x:c r="B685" s="4" t="str">
        <x:v>Melchor–Benque freight blockade over driver substitution, May 2020</x:v>
      </x:c>
      <x:c r="C685" s="4" t="str">
        <x:v>Guatemala; Belize</x:v>
      </x:c>
      <x:c r="D685" s="4" t="str">
        <x:v>Freight crossing at the Melchor–Benque bridge</x:v>
      </x:c>
      <x:c r="E685" s="4" t="str">
        <x:v>Cargo trucks
Direction: Both cargo directions</x:v>
      </x:c>
      <x:c r="F685" s="4" t="str">
        <x:v>NP-COV-AM-001-P01 — Observed operation
Freight crossing at the Melchor–Benque bridge
Start: 2020-05-11.
Observed scoped reopening: 2020-05-13.
2 calendar-day difference; scoped endpoint only</x:v>
      </x:c>
      <x:c r="G685" s="4" t="str">
        <x:v>Trade and protectionism / Trade and transport protests
Reported reason
Applies to: Only the identified authority/protest action; not every background policy
Drivers opposed the new pandemic-related requirement for Belizean substitute drivers to collect their cargo.
Policy and socioeconomic demands / Opposition to health policies
Reported reason
Applies to: Only the identified authority/protest action; not every background policy
Drivers opposed the new pandemic-related requirement for Belizean substitute drivers to collect their cargo.</x:v>
      </x:c>
      <x:c r="H685" s="4" t="str">
        <x:v>NP-COV-AM-001-P01: Monday-to-Wednesday observed blockade; passenger pandemic restrictions remain a separate policy. Two calendar-day difference is not an exact hourly measure. The same contemporary on-site report describes approximately two and a half days without cargo movement and actual Wednesday afternoon resumption, supporting &gt;24-hour eligibility. That reported approximation is distinct from the two-calendar-day date difference.</x:v>
      </x:c>
      <x:c r="I685" s="4" t="str">
        <x:v>Second full-register audit, 26 October 2026: additional source-audited corrections incorporated. See the phase, scope and qualification columns for the accepted findings.</x:v>
      </x:c>
      <x:c r="J685" s="18" t="d">
        <x:v>2026-10-26T00:00:00.000Z</x:v>
      </x:c>
      <x:c r="K685" s="21" t="str">
        <x:f>IFERROR(HYPERLINK("https://archive.channel5belize.com/archives/202690","News Five Belize"),"News Five Belize")</x:f>
        <x:v>News Five Belize</x:v>
      </x:c>
      <x:c r="L685" s="21"/>
      <x:c r="M685" s="21"/>
      <x:c r="N685" s="4" t="str">
        <x:v>https://archive.channel5belize.com/archives/202690</x:v>
      </x:c>
      <x:c r="O685" s="4" t="str">
        <x:v>Second full-register audit source access, 26 October 2026
https://archive.channel5belize.com/archives/202690: full text (fresh retrieval)
Prior audit access record
Full-register audit source access (evidence cutoff 25 October 2026)
https://archive.channel5belize.com/archives/202690: full text
Earlier recorded access
Source 1: full text</x:v>
      </x:c>
      <x:c r="P685" s="20" t="n">
        <x:v>1</x:v>
      </x:c>
      <x:c r="Q685" s="4" t="str">
        <x:v>Americas</x:v>
      </x:c>
      <x:c r="R685" s="4" t="str">
        <x:v>Included</x:v>
      </x:c>
    </x:row>
    <x:row r="686" ht="270" hidden="0" customHeight="1">
      <x:c r="A686" s="16" t="str">
        <x:v>NP-COV-AM-002</x:v>
      </x:c>
      <x:c r="B686" s="4" t="str">
        <x:v>Mexico–Belize cargo obstruction attributed to extortion, March 2026</x:v>
      </x:c>
      <x:c r="C686" s="4" t="str">
        <x:v>Mexico; Belize</x:v>
      </x:c>
      <x:c r="D686" s="4" t="str">
        <x:v>Mexican-side cargo processing at the Santa Elena northern border crossing; exact obstruction coordinates unverified</x:v>
      </x:c>
      <x:c r="E686" s="4" t="str">
        <x:v>Commercial cargo
Direction: Mexico to Belize.
Exceptions: Corozal Free Zone management reported its operations and visitor access were unaffected; no general passenger closure is inferred.</x:v>
      </x:c>
      <x:c r="F686" s="4" t="str">
        <x:v>NP-COV-AM-002-P01 — Observed operation
Mexican-side cargo processing at the Santa Elena northern border crossing, affecting imports into Belize
Reported onset: approximately 2026-03-18; exact first interruption time is not established.
Last confirmed obstruction: 2026-03-23.
Reported scoped restoration: 2026-03-24, linked to P02 below.
Reported six-day episode; &gt;24-hour eligibility supported. Exact continuous operating-hours duration is not established.
NP-COV-AM-002-P02 — Observed operation
Reported restoration of inbound cargo at the same crossing
Start: unknown; endpoint-only observation linked to P01, not a separate closure.
Observed scoped reopening: 2026-03-24.
Do not add a second duration for this restoration observation.</x:v>
      </x:c>
      <x:c r="G686" s="4" t="str">
        <x:v>Uncoded / Unresolved rationale
Reported allegation
Applies to: Recorded cargo obstruction
Local reporting attributes the interruption to extortion demands by alleged criminal actors. The ambassador cautions that the actor identity and alleged threats were not officially confirmed. Criminal profit is not treated as a law-enforcement rationale.</x:v>
      </x:c>
      <x:c r="H686" s="4" t="str">
        <x:v>NP-COV-AM-002-P01: Amandala reports a March 18 start; the ambassador’s contemporary March 24 interview places his first notification late March 17 or early March 18, when businesses already had delayed shipments. Notification time is not the exact onset. The news report describes a six-day cargo interruption, supporting &gt;24-hour eligibility while exact continuous operating hours remain unknown. The affected route is identified as the Mexican side of Santa Elena; exact obstruction coordinates are not established.
NP-COV-AM-002-P02: March 24 cargo resumption is corroborated by the ambassador and subsequent reporting. It closes the same recorded cargo episode and is not a second duration. Corozal Free Zone management said its own operations and visitor access were unaffected.
Extortion and cartel involvement remain attributed allegations. Amandala reports the ambassador’s warning that Mexican police had no official complaints confirming the alleged threats and that the responsible actors were not verified. The disruption is not recoded as government law enforcement or as a confirmed cartel action.</x:v>
      </x:c>
      <x:c r="I686" s="4" t="str">
        <x:v>Second full-register audit, 26 October 2026: additional source-audited corrections incorporated. See the phase, scope and qualification columns for the accepted findings.</x:v>
      </x:c>
      <x:c r="J686" s="18" t="d">
        <x:v>2026-10-26T00:00:00.000Z</x:v>
      </x:c>
      <x:c r="K686" s="21" t="str">
        <x:f>IFERROR(HYPERLINK("https://www.7newsbelize.com/sstory.php?nid=77695","7newsbelize.com"),"7newsbelize.com")</x:f>
        <x:v>7newsbelize.com</x:v>
      </x:c>
      <x:c r="L686" s="21" t="str">
        <x:f>IFERROR(HYPERLINK("https://www.sanpedrosun.com/business-and-economy/2026/03/26/belize-mexico-border-disruption-eased-for-cargo-transportation/","sanpedrosun.com"),"sanpedrosun.com")</x:f>
        <x:v>sanpedrosun.com</x:v>
      </x:c>
      <x:c r="M686" s="21"/>
      <x:c r="N686" s="4" t="str">
        <x:v>https://www.7newsbelize.com/sstory.php?nid=77695
https://www.sanpedrosun.com/business-and-economy/2026/03/26/belize-mexico-border-disruption-eased-for-cargo-transportation/
https://www.7newsbelize.com/7/sstory.php?nid=77721
https://amandala.com.bz/news/bze-mex-border-reopens/</x:v>
      </x:c>
      <x:c r="O686" s="4" t="str">
        <x:v>Second full-register audit source access, 26 October 2026
https://www.7newsbelize.com/sstory.php?nid=77695: full text (previously retrieved text re-examined)
https://www.sanpedrosun.com/business-and-economy/2026/03/26/belize-mexico-border-disruption-eased-for-cargo-transportation/: full text (fresh retrieval) — Criminal actor identity remains reporting attribution.
https://www.7newsbelize.com/7/sstory.php?nid=77721: full text (fresh retrieval)
https://amandala.com.bz/news/bze-mex-border-reopens/: full text (fresh retrieval) — Article dateline March 26; exact operating clock and criminal attribution remain uncertain.
Prior audit access record
Full-register audit source access (evidence cutoff 25 October 2026)
https://www.7newsbelize.com/sstory.php?nid=77695: full text
https://www.sanpedrosun.com/business-and-economy/2026/03/26/belize-mexico-border-disruption-eased-for-cargo-transportation/: full text — Criminal actor identity remains reporting attribution.
Earlier recorded access
Source 1: access detail is retained in the source catalogue.
Source 2: access detail is retained in the source catalogue.</x:v>
      </x:c>
      <x:c r="P686" s="20" t="n">
        <x:v>2</x:v>
      </x:c>
      <x:c r="Q686" s="4" t="str">
        <x:v>Americas</x:v>
      </x:c>
      <x:c r="R686" s="4" t="str">
        <x:v>Included</x:v>
      </x:c>
    </x:row>
    <x:row r="687" ht="342" hidden="0" customHeight="1">
      <x:c r="A687" s="16" t="str">
        <x:v>NP-COV-AF-001</x:v>
      </x:c>
      <x:c r="B687" s="4" t="str">
        <x:v>Republic of Congo presidential-election land-border closure order, March 2026</x:v>
      </x:c>
      <x:c r="C687" s="4" t="str">
        <x:v>Republic of the Congo</x:v>
      </x:c>
      <x:c r="D687" s="4" t="str">
        <x:v>Land-border component of the national election order</x:v>
      </x:c>
      <x:c r="E687" s="4" t="str">
        <x:v>Ordered land-border movement suspension; exceptions unverified
Direction: Both directions as national order</x:v>
      </x:c>
      <x:c r="F687" s="4" t="str">
        <x:v>NP-COV-AF-001-P01 — Announced window
Land-border component of the national election order
Start: 2026-03-15.
Scheduled endpoint: 2026-03-15.
Ordered window: dated evidence; numeric duration withheld; see qualification
Primary instrument: Arrêté 221 of 20 February 2026, published in Journal Officiel no. 9 on 26 February, page 194, orders closure only on 15 March 2026 from 06:00 to 18:00. The title also names the March 12 ballot, but Article 1 does not order closure on March 12.</x:v>
      </x:c>
      <x:c r="G687" s="4" t="str">
        <x:v>Electoral politics / Election administration and security
Reported reason
Applies to: Only the identified authority/protest action; not every background policy
The reported ministerial order ties the temporary measure to election security and prevention of disturbances.
Security / Public order and immediate safety
Reported reason
Applies to: Only the identified authority/protest action; not every background policy
The reported ministerial order ties the temporary measure to election security and prevention of disturbances.</x:v>
      </x:c>
      <x:c r="H687" s="4" t="str">
        <x:v>NP-COV-AF-001-P01: Original instrument now verified in Journal Officiel no. 9 of February 26, 2026, page 194: Arrêté 221 of February 20 orders closure on March 15 from 06:00 to 18:00. This is a scheduled 12-hour order, not a whole-day or observed implementation claim. Gate-level enforcement, exceptions and actual resumption remain unresolved.</x:v>
      </x:c>
      <x:c r="I687" s="4" t="str">
        <x:v>Second full-register audit, 26 October 2026: qualified. The primary Congo election order specifies March 15, 2026 from 06:00 to 18:00 only. The reader correctly distinguishes this twelve-hour scheduled window from observed border enforcement.</x:v>
      </x:c>
      <x:c r="J687" s="18" t="d">
        <x:v>2026-10-26T00:00:00.000Z</x:v>
      </x:c>
      <x:c r="K687" s="21" t="str">
        <x:f>IFERROR(HYPERLINK("https://lejournalducongo.com/22/02/2026/presidentielle-du-15-mars-le-congo-ferme-ses-frontieres-terrestres-aeriennes-et-fluviales-de-6h-a-18h/","lejournalducongo.com"),"lejournalducongo.com")</x:f>
        <x:v>lejournalducongo.com</x:v>
      </x:c>
      <x:c r="L687" s="21" t="str">
        <x:f>IFERROR(HYPERLINK("https://diplomatie.belgium.be/fr/pays/congo-brazzaville/voyager-au-congo-brazzaville-conseils-aux-voyageurs/derniere-mise-jour-au-congo-brazzaville","diplomatie.belgium.be"),"diplomatie.belgium.be")</x:f>
        <x:v>diplomatie.belgium.be</x:v>
      </x:c>
      <x:c r="M687" s="21"/>
      <x:c r="N687" s="4" t="str">
        <x:v>https://lejournalducongo.com/22/02/2026/presidentielle-du-15-mars-le-congo-ferme-ses-frontieres-terrestres-aeriennes-et-fluviales-de-6h-a-18h/
https://diplomatie.belgium.be/fr/pays/congo-brazzaville/voyager-au-congo-brazzaville-conseils-aux-voyageurs/derniere-mise-jour-au-congo-brazzaville
https://sgg.cg/JO/2026/congo-jo-2026-9.pdf</x:v>
      </x:c>
      <x:c r="O687" s="4" t="str">
        <x:v>Second full-register audit source access, 26 October 2026
https://sgg.cg/JO/2026/congo-jo-2026-9.pdf: full text (fresh retrieval) — Scope and source lineage qualifications are described in claim checks.
https://lejournalducongo.com/22/02/2026/presidentielle-du-15-mars-le-congo-ferme-ses-frontieres-terrestres-aeriennes-et-fluviales-de-6h-a-18h/: full text (fresh retrieval) — Scope and source lineage qualifications are described in claim checks.
Earlier URLs not separately inspected in this second assessment:
https://diplomatie.belgium.be/fr/pays/congo-brazzaville/voyager-au-congo-brazzaville-conseils-aux-voyageurs/derniere-mise-jour-au-congo-brazzaville
Prior audit access record
Full-register audit source access (evidence cutoff 25 October 2026)
https://lejournalducongo.com/22/02/2026/presidentielle-du-15-mars-le-congo-ferme-ses-frontieres-terrestres-aeriennes-et-fluviales-de-6h-a-18h/: full text — See specific claim qualifications.
https://sgg.cg/JO/2026/congo-jo-2026-9.pdf: full text — See specific claim qualifications.
Earlier source URLs not separately listed in this audit’s retrieval log (historical access notes below are not fresh verification):
https://diplomatie.belgium.be/fr/pays/congo-brazzaville/voyager-au-congo-brazzaville-conseils-aux-voyageurs/derniere-mise-jour-au-congo-brazzaville
Earlier recorded access
Source 1: access detail is retained in the source catalogue.
Source 2: access detail is retained in the source catalogue.</x:v>
      </x:c>
      <x:c r="P687" s="20" t="n">
        <x:v>1</x:v>
      </x:c>
      <x:c r="Q687" s="4" t="str">
        <x:v>Southern and Central Africa</x:v>
      </x:c>
      <x:c r="R687" s="4" t="str">
        <x:v>Included</x:v>
      </x:c>
    </x:row>
    <x:row r="688" ht="342" hidden="0" customHeight="1">
      <x:c r="A688" s="16" t="str">
        <x:v>C7-AF-001</x:v>
      </x:c>
      <x:c r="B688" s="4" t="str">
        <x:v>Mananga dated closure and EFF obstruction during Eswatini unrest, June–July2021</x:v>
      </x:c>
      <x:c r="C688" s="4" t="str">
        <x:v>South Africa; Eswatini</x:v>
      </x:c>
      <x:c r="D688" s="4" t="str">
        <x:v>Mananga Port of Entry closure status on June29,2021
Mananga crossing obstruction by EFF protesters on July1,2021</x:v>
      </x:c>
      <x:c r="E688" s="4" t="str">
        <x:v>Port operations; categories not separately established; Crossing operations affected by protest; detailed traffic categories unknown
Direction: Not separately established</x:v>
      </x:c>
      <x:c r="F688" s="4" t="str">
        <x:v>C7-AF-001-P1 — Observed operation
Mananga Port of Entry closure status on June 29, 2021
Start: unknown.
Last confirmed: 2021-06-29. Exact reopening is not established; later permission is reported by 2021-09-20.
dated evidence; numeric duration withheld; see qualification
C7-AF-001-P2 — Observed operation
Mananga crossing obstruction by EFF protesters on July 1, 2021
Start: 2021-07-01, reported as Thursday morning; exact hour unknown.
Last confirmed: 2021-07-01. Exact reopening is not established; later permission is reported by 2021-09-20.
dated evidence; numeric duration withheld; see qualification
Later permission: the September 20, 2021 tourism-minister announcement lists Mananga open, subject to entry requirements. This supplies later permission only, not the first restored passage or proof of continuity between June 29 and July 1.</x:v>
      </x:c>
      <x:c r="G688" s="4" t="str">
        <x:v>Power and regime politics / Opposition and political reform
Reported reason
Applies to: July1 EFF obstruction only
Attributed reason for the identified phase only; no complete or primary motive is inferred.</x:v>
      </x:c>
      <x:c r="H688" s="4" t="str">
        <x:v>C7-AF-001-P1: First onset, reopening, movement exceptions and cause are not supplied. Page-wide July 2 date is not a later confirmation. Do not join continuously to the EFF episode.
C7-AF-001-P2: Protest onset is dated to the morning of July 1, 2021 by Sowetan; exact start/end hours and continuity from June 29 remain unestablished.
onset: The June 29 closure supplies no first onset. The separate protest is reported to begin on the morning of July 1, without an exact hour.
endpoint: Neither Mananga observation dates exact restoration; the September 20 announcement provides later permission only.
scope: Movement exceptions to the June 29 closure status are not supplied.
rationale: The June 29 customs closure notice supplies no cause; the July 1 EFF motive cannot be inherited by that earlier observation.
continuity: Continuity between the June 29 closure status and the July 1 EFF obstruction is unestablished.
New source clarification: Sowetan, July 2, explicitly dates the protest shutdown to Thursday morning, July 1. This resolves its onset day, not its exact hour or end; the earlier June 29 observation remains separate. The September 20 tourism-minister announcement lists Mananga open.</x:v>
      </x:c>
      <x:c r="I688" s="4" t="str">
        <x:v>Second full-register audit, 26 October 2026: qualified. Independent re-reading supports the separate June 29 closure observation and July 1 protest onset. No earlier reliable reopening or evidence joining the episodes was recovered.</x:v>
      </x:c>
      <x:c r="J688" s="18" t="d">
        <x:v>2026-10-26T00:00:00.000Z</x:v>
      </x:c>
      <x:c r="K688" s="21" t="str">
        <x:f>IFERROR(HYPERLINK("https://www.sars.gov.za/latest-news/customs-borders-and-ports-closures-2/","South African Revenue Service"),"South African Revenue Service")</x:f>
        <x:v>South African Revenue Service</x:v>
      </x:c>
      <x:c r="L688" s="21" t="str">
        <x:f>IFERROR(HYPERLINK("https://www.sabcnews.com/sabcnews/eff-in-mpumalanga-shuts-down-mananga-border-in-solidarity-with-poeple-of-eswatini/","SABC News"),"SABC News")</x:f>
        <x:v>SABC News</x:v>
      </x:c>
      <x:c r="M688" s="21"/>
      <x:c r="N688" s="4" t="str">
        <x:v>https://www.sars.gov.za/latest-news/customs-borders-and-ports-closures-2/
https://www.sabcnews.com/sabcnews/eff-in-mpumalanga-shuts-down-mananga-border-in-solidarity-with-poeple-of-eswatini/
https://www.sowetan.co.za/news/south-africa/2021-07-02-eff-helps-swazis-shut-mananga-border-with-sa/
https://umhambi.blogspot.com/2021/09/eswatini-current-entry-guidelines-as-of.html</x:v>
      </x:c>
      <x:c r="O688" s="4" t="str">
        <x:v>Second full-register audit source access, 26 October 2026
https://www.sars.gov.za/latest-news/customs-borders-and-ports-closures-2/: full text (fresh retrieval) — Cause and exact start/end absent.
https://www.sowetan.co.za/news/south-africa/2021-07-02-eff-helps-swazis-shut-mananga-border-with-sa/: full text (fresh retrieval) — No first restoration or complete traffic specification.
https://umhambi.blogspot.com/2021/09/eswatini-current-entry-guidelines-as-of.html: full text (fresh retrieval) — Secondary report; original ministerial announcement not recovered.
https://www.sabcnews.com/sabcnews/eff-in-mpumalanga-shuts-down-mananga-border-in-solidarity-with-poeple-of-eswatini/: search extract (fresh retrieval) — Indexed substantive excerpt rather than fresh full article.
Prior audit access record
Full-register audit source access (evidence cutoff 25 October 2026)
https://www.sars.gov.za/latest-news/customs-borders-and-ports-closures-2/: full text — See specific claim qualifications.
https://www.sabcnews.com/sabcnews/eff-in-mpumalanga-shuts-down-mananga-border-in-solidarity-with-poeple-of-eswatini/: search extract — Direct fetch failed.
https://www.sowetan.co.za/news/south-africa/2021-07-02-eff-helps-swazis-shut-mananga-border-with-sa/: full text — See specific claim qualifications.
https://umhambi.blogspot.com/2021/09/eswatini-current-entry-guidelines-as-of.html: full text — See specific claim qualifications.
Earlier recorded access
Source 1: full text
Source 2: indexed extract</x:v>
      </x:c>
      <x:c r="P688" s="20" t="n">
        <x:v>2</x:v>
      </x:c>
      <x:c r="Q688" s="4" t="str">
        <x:v>Southern and Central Africa</x:v>
      </x:c>
      <x:c r="R688" s="4" t="str">
        <x:v>Included</x:v>
      </x:c>
    </x:row>
    <x:row r="689" ht="409" hidden="0" customHeight="1">
      <x:c r="A689" s="16" t="str">
        <x:v>C7-AF-002</x:v>
      </x:c>
      <x:c r="B689" s="4" t="str">
        <x:v>DRC Ebola-related restrictions on international departure for exposed travellers,2026</x:v>
      </x:c>
      <x:c r="C689" s="4" t="str">
        <x:v>Democratic Republic of the Congo</x:v>
      </x:c>
      <x:c r="D689" s="4" t="str">
        <x:v>DRC initial Ebola restrictions on international departure after presence in an affected province; distinct contact/responder provisions
DRC Ebola risk-based departure restrictions following the July17 amendment</x:v>
      </x:c>
      <x:c r="E689" s="4" t="str">
        <x:v>International departures from DRC by the specified Ebola-exposure cohorts.
June 24 regime: contacts of confirmed or probable cases could not travel domestically or internationally for 21 days after last exposure without express ministerial or delegated permission. Health and response personnel returning from affected zones needed prior permission for international travel during 21-day monitoring. Other persons who had stayed in an affected province needed at least 21 days outside that province before foreign travel.
July 17 successor: individual risk assessment replaced systematic quarantine. Category A remained subject to isolation and movement restrictions, with a specific health-authority exception reported; categories B and C could travel subject to their risk-based monitoring conditions. No blanket ban on all passengers is established.</x:v>
      </x:c>
      <x:c r="F689" s="4" t="str">
        <x:v>C7-AF-002-P1 — Formal policy
DRC initial Ebola restrictions on international departure after presence in an affected province; distinct contact/responder provisions
Start: 2026-06-24.
Policy endpoint: 2026-07-17.
Formal policy: 23 calendar-day difference; operational continuity not established
C7-AF-002-P2 — Formal policy
DRC Ebola risk-based departure restrictions following the July17 amendment
Start: 2026-07-17.
Last confirmed: 2026-07-25. Reopening is not established.
Formal policy: confirmed through 2026-07-25; at least 8 calendar-day difference; reopening unknown</x:v>
      </x:c>
      <x:c r="G689" s="4" t="str">
        <x:v>Health and biosecurity / Human disease control
Reported reason
Applies to: June24 rule and July17 risk-based successor
Attributed reason for the identified phase only; no complete or primary motive is inferred.</x:v>
      </x:c>
      <x:c r="H689" s="4" t="str">
        <x:v>C7-AF-002-P1: The June 24 decree is available as a third-party-hosted copy. Articles 2–4 distinguish contacts, responders and others with recent presence in affected provinces; contacts and responders had express authorisation exceptions. Article 11 makes the decree effective on signature. Its July 17 replacement is supported by contemporary reporting, not the original amendment.
C7-AF-002-P2: Contemporary reports describe the July 17 risk-based successor and its effect on signature, with confirmation on July 25. The original amendment and a later endpoint remain unrecovered. October ECDC reporting repeats the earlier June decree and does not independently confirm continuation of the amended regime. Neither phase establishes enforcement at named land posts or a uniform all-passenger closure.</x:v>
      </x:c>
      <x:c r="I689" s="4" t="str">
        <x:v>Second full-register audit, 26 October 2026: additional source-audited corrections incorporated. See the phase, scope and qualification columns for the accepted findings.</x:v>
      </x:c>
      <x:c r="J689" s="18" t="d">
        <x:v>2026-10-26T00:00:00.000Z</x:v>
      </x:c>
      <x:c r="K689" s="21" t="str">
        <x:f>IFERROR(HYPERLINK("https://www.scribd.com/document/1055335479/Arrete-Ministe-riel-15-du-24-juin-2026-portant-ente-rinement-de-certaines-mesures-de-sante-publique-de-coulant-du-plan-de-pre-paration-a-la-17e-MV","scribd.com"),"scribd.com")</x:f>
        <x:v>scribd.com</x:v>
      </x:c>
      <x:c r="L689" s="21" t="str">
        <x:f>IFERROR(HYPERLINK("https://www.ecdc.europa.eu/en/public-health-events/2026-eip-00026/2026-10-21","ecdc.europa.eu"),"ecdc.europa.eu")</x:f>
        <x:v>ecdc.europa.eu</x:v>
      </x:c>
      <x:c r="M689" s="21" t="str">
        <x:f>IFERROR(HYPERLINK("https://www.reporter.cd/rdc-le-gouvernement-remplace-la-quarantaine-systematique-par-une-evaluation-du-risque-pour-les-voyageurs-lies-a-ebola/","reporter.cd"),"reporter.cd")</x:f>
        <x:v>reporter.cd</x:v>
      </x:c>
      <x:c r="N689" s="4" t="str">
        <x:v>https://www.scribd.com/document/1055335479/Arrete-Ministe-riel-15-du-24-juin-2026-portant-ente-rinement-de-certaines-mesures-de-sante-publique-de-coulant-du-plan-de-pre-paration-a-la-17e-MV
https://www.ecdc.europa.eu/en/public-health-events/2026-eip-00026/2026-10-21
https://www.reporter.cd/rdc-le-gouvernement-remplace-la-quarantaine-systematique-par-une-evaluation-du-risque-pour-les-voyageurs-lies-a-ebola/
https://actualite.cd/2026/07/25/ebola-en-rdc-une-evaluation-individuelle-de-risque-imposee-toute-personne-ayant-sejourne
https://x.com/MinSanteRDC/status/2070168503479345339</x:v>
      </x:c>
      <x:c r="O689" s="4" t="str">
        <x:v>Second full-register audit source access, 26 October 2026
https://www.scribd.com/document/1055335479/Arrete-Ministe-riel-15-du-24-juin-2026-portant-ente-rinement-de-certaines-mesures-de-sante-publique-de-coulant-du-plan-de-pre-paration-a-la-17e-MV: full text (fresh retrieval) — OCR copy hosted by a third party, not a recovered ministry original
https://www.ecdc.europa.eu/en/public-health-events/2026-eip-00026/2026-10-21: full text (fresh retrieval) — Does not address July amendment
https://www.reporter.cd/rdc-le-gouvernement-remplace-la-quarantaine-systematique-par-une-evaluation-du-risque-pour-les-voyageurs-lies-a-ebola/: full text (fresh retrieval) — Secondary account of unretrieved amendment
https://actualite.cd/2026/07/25/ebola-en-rdc-une-evaluation-individuelle-de-risque-imposee-toute-personne-ayant-sejourne: full text (fresh retrieval) — No named-post observations
Earlier URLs not separately inspected in this second assessment:
https://x.com/MinSanteRDC/status/2070168503479345339
Prior audit access record
Full-register audit source access (evidence cutoff 25 October 2026)
https://www.ecdc.europa.eu/en/public-health-events/2026-eip-00026/2026-10-21: full text — Limited to the stated claim and cohort.
https://actualite.cd/2026/07/25/ebola-en-rdc-une-evaluation-individuelle-de-risque-imposee-toute-personne-ayant-sejourne: full text — Limited to the stated claim and cohort.
https://www.reporter.cd/rdc-le-gouvernement-remplace-la-quarantaine-systematique-par-une-evaluation-du-risque-pour-les-voyageurs-lies-a-ebola/: full text — Limited to the stated claim and cohort.
https://x.com/MinSanteRDC/status/2070168503479345339: inaccessible — Limited to the stated claim and cohort.
Earlier source URLs not separately listed in this audit’s retrieval log (historical access notes below are not fresh verification):
https://www.scribd.com/document/1055335479/Arrete-Ministe-riel-15-du-24-juin-2026-portant-ente-rinement-de-certaines-mesures-de-sante-publique-de-coulant-du-plan-de-pre-paration-a-la-17e-MV
Earlier recorded access
Source 1: access detail is retained in the source catalogue.
Source 2: access detail is retained in the source catalogue.
Source 3: access detail is retained in the source catalogue.</x:v>
      </x:c>
      <x:c r="P689" s="20" t="n">
        <x:v>2</x:v>
      </x:c>
      <x:c r="Q689" s="4" t="str">
        <x:v>Great Lakes</x:v>
      </x:c>
      <x:c r="R689" s="4" t="str">
        <x:v>Included</x:v>
      </x:c>
    </x:row>
    <x:row r="690" ht="409" hidden="0" customHeight="1">
      <x:c r="A690" s="16" t="str">
        <x:v>C7-AM-001</x:v>
      </x:c>
      <x:c r="B690" s="4" t="str">
        <x:v>Brazil COVID foreign land-entry restriction from Uruguay, March 2020</x:v>
      </x:c>
      <x:c r="C690" s="4" t="str">
        <x:v>Brazil; Uruguay</x:v>
      </x:c>
      <x:c r="D690" s="4" t="str">
        <x:v>Foreign persons entering Brazil by land from Uruguay, excluding stated exceptions</x:v>
      </x:c>
      <x:c r="E690" s="4" t="str">
        <x:v>Nonexempt foreign persons entering Brazil by land from Uruguay.
Direction: Uruguay into Brazil.
Exceptions under Portaria 132: Brazilian citizens; Uruguayan spouses/partners of Brazilians and Uruguayans with Brazilian children; foreign residents in Brazil; identified international-organization personnel and accredited foreign officials. Road freight, authorized humanitarian movements and documented border residents also remained permitted. Portaria 195 expressly preserved these conditions.</x:v>
      </x:c>
      <x:c r="F690" s="4" t="str">
        <x:v>C7-AM-001-P1 — Formal policy
Foreign persons entering Brazil by land from Uruguay, excluding stated exceptions
Start: 2020-03-22.
Confirmed under the original order and its explicit renewal: 2020-04-20. Portaria 195 extended the same restriction and exceptions for thirty days; its replacement on 29 April is not a reopening. The broad foreign land-entry restriction had ended by 2021-12-09; its exact earlier endpoint is not established.
Formal policy: dated evidence; numeric duration withheld; see qualification</x:v>
      </x:c>
      <x:c r="G690" s="4" t="str">
        <x:v>Health and biosecurity / Human disease control
Official stated reason
Applies to: Portaria 132 initial order
Separate Uruguay measure; not inferred from the eight-neighbour Portaria 125.</x:v>
      </x:c>
      <x:c r="H690" s="4" t="str">
        <x:v>C7-AM-001-P1: Portaria 132 specified thirty days and possible extension. Portaria 195, published on 20 April 2020, expressly renewed the restriction for thirty days with the same conditions and exceptions. Cargo, humanitarian movement, qualifying residents and specified other groups remained excepted. The original instrument was revoked by Portaria 204 of 29 April 2020, which is not proof of reopening. By 9 December 2021 Portaria 661 permitted general land admission with vaccination or testing. The intervening amendment chain, exact earlier ending and uninterrupted operational duration remain unestablished.</x:v>
      </x:c>
      <x:c r="I690" s="4" t="str">
        <x:v>Second full-register audit, 26 October 2026: additional source-audited corrections incorporated. See the phase, scope and qualification columns for the accepted findings.</x:v>
      </x:c>
      <x:c r="J690" s="18" t="d">
        <x:v>2026-10-26T00:00:00.000Z</x:v>
      </x:c>
      <x:c r="K690" s="21" t="str">
        <x:f>IFERROR(HYPERLINK("https://portaldeimigracao.mj.gov.br/images/portarias/PORTARIA_N%C2%BA_132_DE_22_DE_MAR%C3%87O_DE_2020.pdf","portaldeimigracao.mj.gov.br"),"portaldeimigracao.mj.gov.br")</x:f>
        <x:v>portaldeimigracao.mj.gov.br</x:v>
      </x:c>
      <x:c r="L690" s="21"/>
      <x:c r="M690" s="21"/>
      <x:c r="N690" s="4" t="str">
        <x:v>https://portaldeimigracao.mj.gov.br/images/portarias/PORTARIA_N%C2%BA_132_DE_22_DE_MAR%C3%87O_DE_2020.pdf
https://bibliotecadigital.mj.gov.br/bitstream/1/776/1/PRT_GM_2020_132.pdf
https://bibliotecadigital.mj.gov.br/handle/1/776?locale=pt_BR
https://portal.antt.gov.br/documents/363688/0/PORTARIA_INTERMINISTERIAL_N__661__DE_8_DE_dezembro_DE_2021___PORTARIA_INTERMINISTERIAL_N__661__DE_8_DE_dezembro_DE_2021___DOU___Imprensa_Nacional%2B%281%29.pdf/bee5bd2c-1d2c-d205-ee8e-2956e20d93f2?t=1640033290723
https://portaldeimigracao.mj.gov.br/images/portarias/PORTARIA_N%C2%BA_195_DE_20_DE_ABRIL_DE_2020.pdf
https://planalto.gov.br/ccivil_03/portaria/prt/portaria-661-21-ccv.htm</x:v>
      </x:c>
      <x:c r="O690" s="4" t="str">
        <x:v>Second full-register audit source access, 26 October 2026
https://bibliotecadigital.mj.gov.br/bitstream/1/776/1/PRT_GM_2020_132.pdf: full text (previously retrieved text re-examined)
https://bibliotecadigital.mj.gov.br/handle/1/776?locale=pt_BR: full text (previously retrieved text re-examined) — Repeal by replacement does not itself mean reopening.
https://portal.antt.gov.br/documents/363688/0/PORTARIA_INTERMINISTERIAL_N__661__DE_8_DE_dezembro_DE_2021___PORTARIA_INTERMINISTERIAL_N__661__DE_8_DE_dezembro_DE_2021___DOU___Imprensa_Nacional%2B%281%29.pdf/bee5bd2c-1d2c-d205-ee8e-2956e20d93f2?t=1640033290723: full text (previously retrieved text re-examined) — Same freshly inspected original used for AM019. Earlier repeal/relaxation chain remains incomplete.
https://portaldeimigracao.mj.gov.br/images/portarias/PORTARIA_N%C2%BA_195_DE_20_DE_ABRIL_DE_2020.pdf: full text (fresh retrieval)
https://planalto.gov.br/ccivil_03/portaria/prt/portaria-661-21-ccv.htm: full text (previously retrieved text re-examined)
Earlier URLs not separately inspected in this second assessment:
https://portaldeimigracao.mj.gov.br/images/portarias/PORTARIA_N%C2%BA_132_DE_22_DE_MAR%C3%87O_DE_2020.pdf
Prior audit access record
Full-register audit source access (evidence cutoff 25 October 2026)
https://bibliotecadigital.mj.gov.br/bitstream/1/776/1/PRT_GM_2020_132.pdf: full text
https://bibliotecadigital.mj.gov.br/handle/1/776?locale=pt_BR: full text — Repeal by replacement does not itself mean reopening.
https://portal.antt.gov.br/documents/363688/0/PORTARIA_INTERMINISTERIAL_N__661__DE_8_DE_dezembro_DE_2021___PORTARIA_INTERMINISTERIAL_N__661__DE_8_DE_dezembro_DE_2021___DOU___Imprensa_Nacional%2B%281%29.pdf/bee5bd2c-1d2c-d205-ee8e-2956e20d93f2?t=1640033290723: full text — Same freshly inspected original used for AM019. Earlier repeal/relaxation chain remains incomplete.
https://portaldeimigracao.mj.gov.br/images/portarias/PORTARIA_N%C2%BA_132_DE_22_DE_MAR%C3%87O_DE_2020.pdf: inaccessible — 502 on original URL.
Earlier recorded access
Source 1: access detail is retained in the source catalogue.</x:v>
      </x:c>
      <x:c r="P690" s="20" t="n">
        <x:v>1</x:v>
      </x:c>
      <x:c r="Q690" s="4" t="str">
        <x:v>Americas</x:v>
      </x:c>
      <x:c r="R690" s="4" t="str">
        <x:v>Included</x:v>
      </x:c>
    </x:row>
    <x:row r="691" ht="222" hidden="0" customHeight="1">
      <x:c r="A691" s="16" t="str">
        <x:v>C7-AM-002</x:v>
      </x:c>
      <x:c r="B691" s="4" t="str">
        <x:v>Peñas Blancas temporary denial of returning Nicaraguans, June 26–27 2020</x:v>
      </x:c>
      <x:c r="C691" s="4" t="str">
        <x:v>Nicaragua; Costa Rica</x:v>
      </x:c>
      <x:c r="D691" s="4" t="str">
        <x:v>Returning Nicaraguan group arriving from Panama via Costa Rica at Peñas Blancas</x:v>
      </x:c>
      <x:c r="E691" s="4" t="str">
        <x:v>Reported group of returning Nicaraguans
Direction: Costa Rica into Nicaragua</x:v>
      </x:c>
      <x:c r="F691" s="4" t="str">
        <x:v>C7-AM-002-P1 — Observed operation
Returning Nicaraguan group arriving from Panama via Costa Rica at Peñas Blancas
Start: 2020-06-26.
Observed scoped reopening: 2020-06-27.
dated evidence; numeric duration withheld; see qualification</x:v>
      </x:c>
      <x:c r="G691" s="4" t="str">
        <x:v>Uncoded / Unresolved rationale
Not assigned
Applies to: Not assigned
No additional motive inferred</x:v>
      </x:c>
      <x:c r="H691" s="4" t="str">
        <x:v>C7-AM-002-P1: Overnight event, reported in hours; retain it even though shorter than a day. Exact hour estimates and group counts differ. No border-wide closure, precise elapsed duration or health rationale is inferred.
clock precision: Exact hour estimates differ for the overnight returnee episode; a precise elapsed duration is not established.
group scope: The reports differ on the size of the returning Nicaraguan group.</x:v>
      </x:c>
      <x:c r="I691" s="4" t="str">
        <x:v>Second full-register audit, 26 October 2026: qualified. The returnee group’s overnight June 26–27 denial and later admission are supported, with inconsistent hour/count estimates retained. No evidence establishes an official health rationale or all-border closure.</x:v>
      </x:c>
      <x:c r="J691" s="18" t="d">
        <x:v>2026-10-26T00:00:00.000Z</x:v>
      </x:c>
      <x:c r="K691" s="21" t="str">
        <x:f>IFERROR(HYPERLINK("https://www.laprensani.com/2020/06/27/nacionales/2690248-regimen-finalmente-permite-el-ingreso-de-los-nicaraguenses-mantenia-bloqueados-en-la-frontera-de-penas-blancas","laprensani.com"),"laprensani.com")</x:f>
        <x:v>laprensani.com</x:v>
      </x:c>
      <x:c r="L691" s="21" t="str">
        <x:f>IFERROR(HYPERLINK("https://www.teletica.com/internacional/nicaragua-finalmente-permite-ingreso-a-su-pais-de-nicaraguenses_260451","teletica.com"),"teletica.com")</x:f>
        <x:v>teletica.com</x:v>
      </x:c>
      <x:c r="M691" s="21"/>
      <x:c r="N691" s="4" t="str">
        <x:v>https://www.laprensani.com/2020/06/27/nacionales/2690248-regimen-finalmente-permite-el-ingreso-de-los-nicaraguenses-mantenia-bloqueados-en-la-frontera-de-penas-blancas
https://www.teletica.com/internacional/nicaragua-finalmente-permite-ingreso-a-su-pais-de-nicaraguenses_260451</x:v>
      </x:c>
      <x:c r="O691" s="4" t="str">
        <x:v>Second full-register audit source access, 26 October 2026
https://www.laprensani.com/2020/06/27/nacionales/2690248-regimen-finalmente-permite-el-ingreso-de-los-nicaraguenses-mantenia-bloqueados-en-la-frontera-de-penas-blancas: full text (previously retrieved text re-examined)
https://www.teletica.com/internacional/nicaragua-finalmente-permite-ingreso-a-su-pais-de-nicaraguenses_260451: full text (fresh retrieval)
Prior audit access record
Full-register audit source access (evidence cutoff 25 October 2026)
https://www.laprensani.com/2020/06/27/nacionales/2690248-regimen-finalmente-permite-el-ingreso-de-los-nicaraguenses-mantenia-bloqueados-en-la-frontera-de-penas-blancas: full text
https://www.teletica.com/internacional/nicaragua-finalmente-permite-ingreso-a-su-pais-de-nicaraguenses_260451: full text
Earlier recorded access
Source 1: access detail is retained in the source catalogue.
Source 2: access detail is retained in the source catalogue.</x:v>
      </x:c>
      <x:c r="P691" s="20" t="n">
        <x:v>1</x:v>
      </x:c>
      <x:c r="Q691" s="4" t="str">
        <x:v>Americas</x:v>
      </x:c>
      <x:c r="R691" s="4" t="str">
        <x:v>Included</x:v>
      </x:c>
    </x:row>
    <x:row r="692" ht="409" hidden="0" customHeight="1">
      <x:c r="A692" s="16" t="str">
        <x:v>C7-EH-001</x:v>
      </x:c>
      <x:c r="B692" s="4" t="str">
        <x:v>Eritrea suspends Sudanese entry at Laffa amid accommodation pressure, November2023</x:v>
      </x:c>
      <x:c r="C692" s="4" t="str">
        <x:v>Eritrea; Sudan</x:v>
      </x:c>
      <x:c r="D692" s="4" t="str">
        <x:v>Reported Eritrean suspension of Sudanese entry at Laffa</x:v>
      </x:c>
      <x:c r="E692" s="4" t="str">
        <x:v>Sudanese passengers; freight and othernationality coverage unknown
Direction: Sudan to Eritrea</x:v>
      </x:c>
      <x:c r="F692" s="4" t="str">
        <x:v>C7-EH-001-P1 — Observed operation
Reported Eritrean suspension of Sudanese entry at Laffa
Start: unknown.
Last confirmed: 2023-11-20. Reopening is not established.
dated evidence; numeric duration withheld; see qualification</x:v>
      </x:c>
      <x:c r="G692" s="4" t="str">
        <x:v>Uncoded / Known reason outside taxonomy
Not assigned
Applies to: Not assigned
Accommodation overcrowding reported; no unreviewed taxonomy assignment inferred.</x:v>
      </x:c>
      <x:c r="H692" s="4" t="str">
        <x:v>C7-EH-001-P1: Observation date only. Neither initial enforcement nor lifting recovered. Gallabat’s Sunday onset is not borrowed, and the two Dabanga language versions are not independent origins. No all-traffic or continuous-duration inference. R37 endpoint check: December 2023 trade-opening preparations are prospective, the September Sudan-side reopening order predates this episode, and later movements into Sudan run in the opposite direction. None establishes restored Sudanese admission to Eritrea.
onset: The Laffa suspension has an observation date but no recovered initial enforcement date.
endpoint: No lifting of the reported Laffa restriction on Sudanese entry into Eritrea is established. December 2023 customs preparations are future-facing; the September Sudanese order predates the restriction; IOM’s later inbound-Sudan flow summary does not establish the reverse admission regime.
scope: Freight and other-nationality coverage are unknown in the phase movement field; no all-traffic restriction is established.
continuity: The dated report does not establish an uninterrupted Laffa closure before or after that observation; the two language versions share one origin.</x:v>
      </x:c>
      <x:c r="I692" s="4" t="str">
        <x:v>Second full-register audit, 26 October 2026: qualified. Fresh Arabic reporting confirms the November 20 Laffa observation and accommodation rationale. The Gallabat Sunday onset belongs to another crossing. December customs-opening preparations remain prospective and do not supply a Sudanese-entry reopening.</x:v>
      </x:c>
      <x:c r="J692" s="18" t="d">
        <x:v>2026-10-26T00:00:00.000Z</x:v>
      </x:c>
      <x:c r="K692" s="21" t="str">
        <x:f>IFERROR(HYPERLINK("https://www.dabangasudan.org/ar/all-news/article/%D8%B3%D9%84%D8%B7%D8%A7%D8%AA-%D8%A7%D9%84%D9%82%D8%B6%D8%A7%D8%B1%D9%81-%D8%AA%D8%BA%D9%84%D9%82-%D9%85%D8%B9%D8%A8%D8%B1-%D8%A7%D9%84%D9%82%D9%84%D8%A7%D8%A8%D8%A7%D8%AA-%D8%A7%D9%84%D8%A8%D8%B1","dabangasudan.org"),"dabangasudan.org")</x:f>
        <x:v>dabangasudan.org</x:v>
      </x:c>
      <x:c r="L692" s="21" t="str">
        <x:f>IFERROR(HYPERLINK("https://www.dabangasudan.org/en/all-news/article/ten-killed-and-over-6000-displaced-in-south-darfur","Dabanga Radio TV Online"),"Dabanga Radio TV Online")</x:f>
        <x:v>Dabanga Radio TV Online</x:v>
      </x:c>
      <x:c r="M692" s="21" t="str">
        <x:f>IFERROR(HYPERLINK("https://sudanevents.com/index.php/2023/12/06/opening-sudan-eritrea-border-crossing/","Sudan Events"),"Sudan Events")</x:f>
        <x:v>Sudan Events</x:v>
      </x:c>
      <x:c r="N692" s="4" t="str">
        <x:v>https://www.dabangasudan.org/ar/all-news/article/%D8%B3%D9%84%D8%B7%D8%A7%D8%AA-%D8%A7%D9%84%D9%82%D8%B6%D8%A7%D8%B1%D9%81-%D8%AA%D8%BA%D9%84%D9%82-%D9%85%D8%B9%D8%A8%D8%B1-%D8%A7%D9%84%D9%82%D9%84%D8%A7%D8%A8%D8%A7%D8%AA-%D8%A7%D9%84%D8%A8%D8%B1
https://www.dabangasudan.org/en/all-news/article/ten-killed-and-over-6000-displaced-in-south-darfur
https://sudanevents.com/index.php/2023/12/06/opening-sudan-eritrea-border-crossing/
https://dtm.iom.int/reports/dtm-sudan-cross-border-monitoring-report-6
https://www.aa.com.tr/en/africa/sudans-army-to-reopen-border-crossings-with-eritrea/2981925
https://dtm.iom.int/report-theme/migration-flows</x:v>
      </x:c>
      <x:c r="O692" s="4" t="str">
        <x:v>Second full-register audit source access, 26 October 2026
https://www.dabangasudan.org/ar/all-news/article/%D8%B3%D9%84%D8%B7%D8%A7%D8%AA-%D8%A7%D9%84%D9%82%D8%B6%D8%A7%D8%B1%D9%81-%D8%AA%D8%BA%D9%84%D9%82-%D9%85%D8%B9%D8%A8%D8%B1-%D8%A7%D9%84%D9%82%D9%84%D8%A7%D8%A8%D8%A7%D8%AA-%D8%A7%D9%84%D8%A8%D8%B1: full text (fresh retrieval)
https://www.dabangasudan.org/en/all-news/article/ten-killed-and-over-6000-displaced-in-south-darfur: full text (fresh retrieval) — Not an independent origin or new observed day
https://sudanevents.com/index.php/2023/12/06/opening-sudan-eritrea-border-crossing/: full text (fresh retrieval) — Does not establish actual opening
Earlier URLs not separately inspected in this second assessment:
https://dtm.iom.int/reports/dtm-sudan-cross-border-monitoring-report-6
https://www.aa.com.tr/en/africa/sudans-army-to-reopen-border-crossings-with-eritrea/2981925
https://dtm.iom.int/report-theme/migration-flows
Prior audit access record
Full-register audit source access (evidence cutoff 25 October 2026)
https://www.dabangasudan.org/ar/all-news/article/%D8%B3%D9%84%D8%B7%D8%A7%D8%AA-%D8%A7%D9%84%D9%82%D8%B6%D8%A7%D8%B1%D9%81-%D8%AA%D8%BA%D9%84%D9%82-%D9%85%D8%B9%D8%A8%D8%B1-%D8%A7%D9%84%D9%82%D9%84%D8%A7%D8%A8%D8%A7%D8%AA-%D8%A7%D9%84%D8%A8%D8%B1: full text — Supports named scope, not continuous closure.
https://sudanevents.com/index.php/2023/12/06/opening-sudan-eritrea-border-crossing/: full text — Supports named scope, not continuous closure.
https://dtm.iom.int/report-theme/migration-flows: search extract — Indexed substantive passage only; full document access failed.
Earlier source URLs not separately listed in this audit’s retrieval log (historical access notes below are not fresh verification):
https://www.dabangasudan.org/en/all-news/article/ten-killed-and-over-6000-displaced-in-south-darfur
https://dtm.iom.int/reports/dtm-sudan-cross-border-monitoring-report-6
https://www.aa.com.tr/en/africa/sudans-army-to-reopen-border-crossings-with-eritrea/2981925
Earlier recorded access
Source 1: access detail is retained in the source catalogue.
Source 2: full text
Source 3: full text</x:v>
      </x:c>
      <x:c r="P692" s="20" t="n">
        <x:v>1</x:v>
      </x:c>
      <x:c r="Q692" s="4" t="str">
        <x:v>Horn and eastern Africa</x:v>
      </x:c>
      <x:c r="R692" s="4" t="str">
        <x:v>Included</x:v>
      </x:c>
    </x:row>
    <x:row r="693" ht="198" hidden="0" customHeight="1">
      <x:c r="A693" s="16" t="str">
        <x:v>C7-ME-001</x:v>
      </x:c>
      <x:c r="B693" s="4" t="str">
        <x:v>Kerem Shalom goods interruptions after fire damage, May 2018</x:v>
      </x:c>
      <x:c r="C693" s="4" t="str">
        <x:v>Israel; Palestine (Gaza)</x:v>
      </x:c>
      <x:c r="D693" s="4" t="str">
        <x:v>May fire-related interruption envelope for palletized goods at Kerem Shalom, excluding case-by-case humanitarian loads
May fire-related fuel-entry disruption envelope at Kerem Shalom</x:v>
      </x:c>
      <x:c r="E693" s="4" t="str">
        <x:v>palletized goods; selected humanitarian loads excepted; fuel entry; exact fuel/pipeline types not established
Direction: into Gaza</x:v>
      </x:c>
      <x:c r="F693" s="4" t="str">
        <x:v>C7-ME-001-P1 — Intermittent regime
May fire-related interruption envelope for palletized goods at Kerem Shalom, excluding case-by-case humanitarian loads
Start: 2018-05-11.
Observed scoped reopening: 2018-05-16.
Intermittent regime envelope; total closed days unknown
C7-ME-001-P2 — Intermittent regime
May fire-related fuel-entry disruption envelope at Kerem Shalom
Start: 2018-05-11.
Observed scoped reopening: 2018-05-17.
Intermittent regime envelope; total closed days unknown</x:v>
      </x:c>
      <x:c r="G693" s="4" t="str">
        <x:v>Uncoded / Known reason outside taxonomy
Not assigned
Applies to: Not assigned
Physical damage to crossing equipment during protests is documented. No existing military/security subtype is imposed merely because the location is Gaza.</x:v>
      </x:c>
      <x:c r="H693" s="4" t="str">
        <x:v>C7-ME-001-P1: Envelope covers the fire related interruptions, not a continuous five-day full closure. Seven humanitarian trucks entered May 13. No exact first halt time or closed-hour total.
C7-ME-001-P2: OCHA fuel-entry endpoint does not establish restoration of every pipeline, fuel type or cooking gas. No continuous all-fuel closure or closed-day total inferred.
spell boundaries: The May envelope does not establish each halt/resumption time or total closed hours; humanitarian passage interrupts an all-goods interpretation.
fuel scope / endpoint: The fuel-entry endpoint does not establish restoration of every pipeline, fuel type or cooking-gas movement.</x:v>
      </x:c>
      <x:c r="I693" s="4" t="str">
        <x:v>Second full-register audit, 26 October 2026: qualified. Independent rereading confirms the current distinct palletized-goods and fuel reopening dates. Neither a complete continuous closure nor restoration of every fuel system is supported.</x:v>
      </x:c>
      <x:c r="J693" s="18" t="d">
        <x:v>2026-10-26T00:00:00.000Z</x:v>
      </x:c>
      <x:c r="K693" s="21" t="str">
        <x:f>IFERROR(HYPERLINK("https://www.ochaopt.org/content/concern-about-humanitarian-impact-prolonged-closure-kerem-shalom-crossing-goods-following","ochaopt.org"),"ochaopt.org")</x:f>
        <x:v>ochaopt.org</x:v>
      </x:c>
      <x:c r="L693" s="21" t="str">
        <x:f>IFERROR(HYPERLINK("https://www.ochaopt.org/content/protection-civilians-report-8-21-may-2018","ochaopt.org"),"ochaopt.org")</x:f>
        <x:v>ochaopt.org</x:v>
      </x:c>
      <x:c r="M693" s="21"/>
      <x:c r="N693" s="4" t="str">
        <x:v>https://www.ochaopt.org/content/concern-about-humanitarian-impact-prolonged-closure-kerem-shalom-crossing-goods-following
https://www.ochaopt.org/content/protection-civilians-report-8-21-may-2018</x:v>
      </x:c>
      <x:c r="O693" s="4" t="str">
        <x:v>Second full-register audit source access, 26 October 2026
https://www.ochaopt.org/content/concern-about-humanitarian-impact-prolonged-closure-kerem-shalom-crossing-goods-following: full text (fresh retrieval)
https://www.ochaopt.org/content/protection-civilians-report-8-21-may-2018: full text (fresh retrieval)
Prior audit access record
Full-register audit source access (evidence cutoff 25 October 2026)
https://www.ochaopt.org/content/concern-about-humanitarian-impact-prolonged-closure-kerem-shalom-crossing-goods-following: full text
https://www.ochaopt.org/content/protection-civilians-report-8-21-may-2018: full text
Earlier recorded access
Source 1: access detail is retained in the source catalogue.
Source 2: access detail is retained in the source catalogue.</x:v>
      </x:c>
      <x:c r="P693" s="20" t="n">
        <x:v>2</x:v>
      </x:c>
      <x:c r="Q693" s="4" t="str">
        <x:v>Middle East</x:v>
      </x:c>
      <x:c r="R693" s="4" t="str">
        <x:v>Included</x:v>
      </x:c>
    </x:row>
    <x:row r="694" ht="390" hidden="0" customHeight="1">
      <x:c r="A694" s="16" t="str">
        <x:v>C7-EU-001</x:v>
      </x:c>
      <x:c r="B694" s="4" t="str">
        <x:v>Turkish Cypriot-side suspension at three crossings before June2021 conditional reopening</x:v>
      </x:c>
      <x:c r="C694" s="4" t="str">
        <x:v>Cyprus</x:v>
      </x:c>
      <x:c r="D694" s="4" t="str">
        <x:v>Turkish Cypriot-side suspension at Lefka–Apliki, Deryneia and Kato Pyrgos–Karavostasi (Limnitis)</x:v>
      </x:c>
      <x:c r="E694" s="4" t="str">
        <x:v>Ordinary crossing passengers
Direction: Specified authority-side crossing access</x:v>
      </x:c>
      <x:c r="F694" s="4" t="str">
        <x:v>C7-EU-001-P1 — Observed operation
Turkish Cypriot-side suspension at Lefka–Apliki, Deryneia and Kato Pyrgos–Karavostasi (Limnitis)
Start: by 2021-01-01; earliest bound unknown.
Observed scoped reopening: 2021-06-04.
dated evidence; numeric duration withheld; see qualification</x:v>
      </x:c>
      <x:c r="G694" s="4" t="str">
        <x:v>Health and biosecurity / Human disease control
Attributed official justification
Applies to: New scoped episode; consult phase qualifications
All supported categories retained; no primary motive imposed.</x:v>
      </x:c>
      <x:c r="H694" s="4" t="str">
        <x:v>The European Commission’s 2021 report names Lefka–Apliki, Deryneia and Kato Pyrgos–Karavostasi as suspended by the Turkish Cypriot side at the beginning of the reporting period. January 1, 2021 remains a latest-onset bound, not an exact start. The June 2 UN statement set reopening for June 4 with health conditions; police-attributed first-day traffic counts corroborate passage at all three crossings, with Limnitis the alternative name for the Kato Pyrgos route. Health-document requirements continued. Earlier 2020 closure and reopening episodes must not be joined without evidence of continuity.</x:v>
      </x:c>
      <x:c r="I694" s="4" t="str">
        <x:v>Second full-register audit, 26 October 2026: qualified. Fresh police-attributed first-day counts corroborate the three named crossing reopenings; Commission evidence supports only a latest-onset bound at the beginning of 2021.</x:v>
      </x:c>
      <x:c r="J694" s="18" t="d">
        <x:v>2026-10-26T00:00:00.000Z</x:v>
      </x:c>
      <x:c r="K694" s="21" t="str">
        <x:f>IFERROR(HYPERLINK("https://eur-lex.europa.eu/legal-content/EN/TXT/?uri=celex%3A52022DC0258","eur-lex.europa.eu"),"eur-lex.europa.eu")</x:f>
        <x:v>eur-lex.europa.eu</x:v>
      </x:c>
      <x:c r="L694" s="21"/>
      <x:c r="M694" s="21"/>
      <x:c r="N694" s="4" t="str">
        <x:v>https://eur-lex.europa.eu/legal-content/EN/TXT/?uri=celex%3A52022DC0258
https://eur-lex.europa.eu/legal-content/EN/TXT/?uri=CELEX%3A52022DC0258
https://uncyprustalks.unmissions.org/en/cyprus/press-releases/statement-united-nations-spokesperson-cyprus-2nd-june-2021
https://en.famagusta.news/local/deryneia/deryneia-posoi-perasan-apo-ta-odofragmata-deryneias-kai-strovilion</x:v>
      </x:c>
      <x:c r="O694" s="4" t="str">
        <x:v>Second full-register audit source access, 26 October 2026
https://eur-lex.europa.eu/legal-content/EN/TXT/?uri=CELEX%3A52022DC0258: search extract (fresh retrieval) — Fresh direct page is a JavaScript challenge (turn1054view0); substantive indexed paragraphs inspected.
https://uncyprustalks.unmissions.org/en/cyprus/press-releases/statement-united-nations-spokesperson-cyprus-2nd-june-2021: search extract (fresh retrieval) — Direct 403; substantive indexed statement inspected. Permission alone is not observed passage.
https://en.famagusta.news/local/deryneia/deryneia-posoi-perasan-apo-ta-odofragmata-deryneias-kai-strovilion: full text (fresh retrieval) — 24-hour aggregate does not identify first individual crossing time.
Earlier URLs not separately inspected in this second assessment:
https://eur-lex.europa.eu/legal-content/EN/TXT/?uri=celex%3A52022DC0258
Prior audit access record
Full-register audit source access (evidence cutoff 25 October 2026)
https://eur-lex.europa.eu/legal-content/EN/TXT/?uri=CELEX%3A52022DC0258: search extract
https://uncyprustalks.unmissions.org/en/cyprus/press-releases/statement-united-nations-spokesperson-cyprus-2nd-june-2021: search extract
https://en.famagusta.news/local/deryneia/deryneia-posoi-perasan-apo-ta-odofragmata-deryneias-kai-strovilion: search extract
https://eur-lex.europa.eu/legal-content/EN/TXT/?uri=CELEX%3A52022DC0258: inaccessible
Earlier source URLs not separately listed in this audit’s retrieval log (historical access notes below are not fresh verification):
https://eur-lex.europa.eu/legal-content/EN/TXT/?uri=celex%3A52022DC0258
Earlier recorded access
Source 1: access detail is retained in the source catalogue.</x:v>
      </x:c>
      <x:c r="P694" s="20" t="n">
        <x:v>1</x:v>
      </x:c>
      <x:c r="Q694" s="4" t="str">
        <x:v>Europe</x:v>
      </x:c>
      <x:c r="R694" s="4" t="str">
        <x:v>Included</x:v>
      </x:c>
    </x:row>
    <x:row r="695" ht="409" hidden="0" customHeight="1">
      <x:c r="A695" s="16" t="str">
        <x:v>C7-EU-002</x:v>
      </x:c>
      <x:c r="B695" s="4" t="str">
        <x:v>Latvia restricts nonmotorized entry at Pāternieki, Terehova and Grebņeva, March2025</x:v>
      </x:c>
      <x:c r="C695" s="4" t="str">
        <x:v>Latvia; Belarus; Russia</x:v>
      </x:c>
      <x:c r="D695" s="4" t="str">
        <x:v>Pāternieki on the Latvia–Belarus border; Terehova and Grebņeva on the Latvia–Russia border. Entry is restricted to motor vehicles under Cabinet Order 166.</x:v>
      </x:c>
      <x:c r="E695" s="4" t="str">
        <x:v>Pedestrian and cycle entry into Latvia prohibited from 19 March 2025. Motorized entry remains permitted under applicable rules. The order is entry-specific and does not by itself establish an equivalent prohibition on departure.</x:v>
      </x:c>
      <x:c r="F695" s="4" t="str">
        <x:v>C7-EU-002-P1 — Formal policy
Pedestrian and cycle entry at Pāternieki/Terehova/Grebņeva
Start: 2025-03-19.
Last confirmed: 2025-03-21. Reopening is not established.
Formal policy: dated evidence; numeric duration withheld; see qualification</x:v>
      </x:c>
      <x:c r="G695" s="4" t="str">
        <x:v>Security / Espionage and hostile interference
Attributed official justification
Applies to: New scoped episode; consult phase qualifications
All supported categories retained; no primary motive imposed.
Migration / Entry and asylum control
Attributed official justification
Applies to: New scoped episode; consult phase qualifications
All supported categories retained; no primary motive imposed.</x:v>
      </x:c>
      <x:c r="H695" s="4" t="str">
        <x:v>C7-EU-002-P1: Formal entry restriction; the legal text is entry-specific although notices describe crossing more broadly. Motorized passage continues; no endpoint established. Brief March 16 Pāternieki episode not added without its own endpoints. R22 additionally recovered the full operative order and the Interior Ministry explanation reported by LSM. The ministry stated that asylum-examination duties remained, while an NGO questioned practical access; the latter is not independently established here. This is the existing C7-EU-002 episode, not an additional closure.
endpoint: No final lifting of the nonmotorized-entry restriction is established.
Reader scope and direction are now populated directly from Cabinet Order 166. The structured correction supplies the corresponding missing dimensions. Motorized admission remains permitted under applicable rules.</x:v>
      </x:c>
      <x:c r="I695" s="4" t="str">
        <x:v>Second full-register audit, 26 October 2026: qualified. Independent fresh LSM reporting confirms the entry-only reading, motorized exception and attributed rationale. Searches did not recover a fresh repeal or dated later operational observation.</x:v>
      </x:c>
      <x:c r="J695" s="18" t="d">
        <x:v>2026-10-26T00:00:00.000Z</x:v>
      </x:c>
      <x:c r="K695" s="21" t="str">
        <x:f>IFERROR(HYPERLINK("https://www.vestnesis.lv/op/2025/55B.1","Latvijas Vēstnesis / Cabinet of Ministers"),"Latvijas Vēstnesis / Cabinet of Ministers")</x:f>
        <x:v>Latvijas Vēstnesis / Cabinet of Ministers</x:v>
      </x:c>
      <x:c r="L695" s="21" t="str">
        <x:f>IFERROR(HYPERLINK("https://www.iem.gov.lv/en/article/19-march-traffic-border-crossing-points-paternieki-terehova-and-grebneva-will-be-restricted","Latvian Ministry of the Interior"),"Latvian Ministry of the Interior")</x:f>
        <x:v>Latvian Ministry of the Interior</x:v>
      </x:c>
      <x:c r="M695" s="21" t="str">
        <x:f>IFERROR(HYPERLINK("https://www.lsm.lv/raksts/zinas/latvija/18.03.2025-no-tresdienas-krievijas-un-baltkrievijas-robezu-laus-skersot-tikai-ar-automasinam.a591964/","LSM.lv"),"LSM.lv")</x:f>
        <x:v>LSM.lv</x:v>
      </x:c>
      <x:c r="N695" s="4" t="str">
        <x:v>https://www.vestnesis.lv/op/2025/55B.1
https://www.iem.gov.lv/en/article/19-march-traffic-border-crossing-points-paternieki-terehova-and-grebneva-will-be-restricted
https://www.lsm.lv/raksts/zinas/latvija/18.03.2025-no-tresdienas-krievijas-un-baltkrievijas-robezu-laus-skersot-tikai-ar-automasinam.a591964/
https://likumi.lv/ta/id/359394-par-prasibas-noteiksanu-iecelosanai-tikai-ar-mehaniskajiem-transportlidzekliem-robezskersosanas-vietas-paternieki-terehova-un-grebneva
https://www.vid.gov.lv/lv/muitas-kontroles-un-robezkontroles-punkti
https://dip.euaa.europa.eu/developments/latvia/state-border-guard-partially-closed-three-border-control-posts
https://www.rs.gov.lv/lv/jaunums/no-19-marta-ierobezos-kustibu-robezkontroles-punktos-paternieki-terehova-un-grebneva
https://m.likumi.lv/ta/id/359394-par-prasibas-noteiksanu-iecelosanai-tikai-ar-mehaniskajiem-transportlidzekliem-robezskersosanas-vietas-paternieki-terehova-un-grebneva
https://www.mfa.gov.lv/lv/krievija-celojumu-bridinajumi</x:v>
      </x:c>
      <x:c r="O695" s="4" t="str">
        <x:v>Second full-register audit source access, 26 October 2026
https://www.lsm.lv/raksts/zinas/latvija/18.03.2025-no-tresdienas-krievijas-un-baltkrievijas-robezu-laus-skersot-tikai-ar-automasinam.a591964/: full text (fresh retrieval)
https://likumi.lv/ta/id/359394-par-prasibas-noteiksanu-iecelosanai-tikai-ar-mehaniskajiem-transportlidzekliem-robezskersosanas-vietas-paternieki-terehova-un-grebneva: search extract (previously retrieved text re-examined) — Cached substantive indexed legal paragraph inspected; fresh desktop/mobile retrievals timed out. No fresh current legal-status observation.
https://dip.euaa.europa.eu/developments/latvia/state-border-guard-partially-closed-three-border-control-posts: search extract (fresh retrieval) — Secondary summary does not override entry-specific order.
https://www.vestnesis.lv/op/2025/55B.1: inaccessible (fresh retrieval) — Timed out.
https://www.iem.gov.lv/en/article/19-march-traffic-border-crossing-points-paternieki-terehova-and-grebneva-will-be-restricted: inaccessible (fresh retrieval) — Timed out.
https://www.vid.gov.lv/lv/muitas-kontroles-un-robezkontroles-punkti: inaccessible (fresh retrieval) — Timed out.
https://www.rs.gov.lv/lv/jaunums/no-19-marta-ierobezos-kustibu-robezkontroles-punktos-paternieki-terehova-un-grebneva: inaccessible (fresh retrieval) — Timed out.
https://m.likumi.lv/ta/id/359394-par-prasibas-noteiksanu-iecelosanai-tikai-ar-mehaniskajiem-transportlidzekliem-robezskersosanas-vietas-paternieki-terehova-un-grebneva: inaccessible (fresh retrieval) — Timed out.
https://www.mfa.gov.lv/lv/krievija-celojumu-bridinajumi: inaccessible (fresh retrieval) — Timed out.
Prior audit access record
Full-register audit source access (evidence cutoff 25 October 2026)
https://likumi.lv/ta/id/359394-par-prasibas-noteiksanu-iecelosanai-tikai-ar-mehaniskajiem-transportlidzekliem-robezskersosanas-vietas-paternieki-terehova-un-grebneva: search extract — Substantive indexed passage; not complete direct-page inspection.
Earlier source URLs not separately listed in this audit’s retrieval log (historical access notes below are not fresh verification):
https://www.vestnesis.lv/op/2025/55B.1
https://www.iem.gov.lv/en/article/19-march-traffic-border-crossing-points-paternieki-terehova-and-grebneva-will-be-restricted
https://www.lsm.lv/raksts/zinas/latvija/18.03.2025-no-tresdienas-krievijas-un-baltkrievijas-robezu-laus-skersot-tikai-ar-automasinam.a591964/
https://www.vid.gov.lv/lv/muitas-kontroles-un-robezkontroles-punkti
https://dip.euaa.europa.eu/developments/latvia/state-border-guard-partially-closed-three-border-control-posts
https://www.rs.gov.lv/lv/jaunums/no-19-marta-ierobezos-kustibu-robezkontroles-punktos-paternieki-terehova-un-grebneva
https://m.likumi.lv/ta/id/359394-par-prasibas-noteiksanu-iecelosanai-tikai-ar-mehaniskajiem-transportlidzekliem-robezskersosanas-vietas-paternieki-terehova-un-grebneva
Earlier recorded access
Source 1: full text
Source 2: partial metadata
Source 3: full text</x:v>
      </x:c>
      <x:c r="P695" s="20" t="n">
        <x:v>1</x:v>
      </x:c>
      <x:c r="Q695" s="4" t="str">
        <x:v>Europe</x:v>
      </x:c>
      <x:c r="R695" s="4" t="str">
        <x:v>Included</x:v>
      </x:c>
    </x:row>
    <x:row r="696" ht="342" hidden="0" customHeight="1">
      <x:c r="A696" s="16" t="str">
        <x:v>C7-EU-003</x:v>
      </x:c>
      <x:c r="B696" s="4" t="str">
        <x:v>Urziceni road crossing protest blockade, January17 2024</x:v>
      </x:c>
      <x:c r="C696" s="4" t="str">
        <x:v>Romania; Hungary</x:v>
      </x:c>
      <x:c r="D696" s="4" t="str">
        <x:v>Urziceni–Vállaj, Romania–Hungary frontier
Both-direction road blockage on DN1F at the Urziceni crossing approach; exact barrier coordinates not established.</x:v>
      </x:c>
      <x:c r="E696" s="4" t="str">
        <x:v>Road vehicles
Direction: Both directions</x:v>
      </x:c>
      <x:c r="F696" s="4" t="str">
        <x:v>C7-EU-003-P1 — Observed operation
Urziceni road crossing/approach blockage in both directions
Start: 2024-01-17.
Observed scoped reopening: 2024-01-17.
Same-day episode; no whole-day duration inferred</x:v>
      </x:c>
      <x:c r="G696" s="4" t="str">
        <x:v>Trade and protectionism / Trade and transport protests
Reported reason
Applies to: C7-EU-003-P1.
Farmers complained of declining grain prices, which they attributed to Ukrainian imports. This is their reported grievance, not an independently established causal finding.</x:v>
      </x:c>
      <x:c r="H696" s="4" t="str">
        <x:v>January 17, 2024 was a subday episode, reported as approximately two hours; exact start and reopening clocks remain unknown. Local reporting and Infotrafic identify both-direction blockage of DN1F at Urziceni. Romanian Border Police identifies Urziceni–Vállaj on the Hungarian frontier, and AGERPRES explicitly places this protest there. The Ukraine-frontier phrase in one Digi24 update is erroneous. The same update reports a local grievance over grain prices attributed by farmers to Ukrainian imports; this does not mean the crossing was on the Ukrainian border. No extension to other protest crossings is inferred.</x:v>
      </x:c>
      <x:c r="I696" s="4" t="str">
        <x:v>Second full-register audit, 26 October 2026: qualified. The January 17 Urziceni episode is consistently a same-afternoon blockade on the Hungarian frontier. The misleading Ukraine geography in Digi24 remains correctly rejected.</x:v>
      </x:c>
      <x:c r="J696" s="18" t="d">
        <x:v>2026-10-26T00:00:00.000Z</x:v>
      </x:c>
      <x:c r="K696" s="21" t="str">
        <x:f>IFERROR(HYPERLINK("https://www.satumareonline.ro/cp/7/33925/Vama-Urziceni-a-fost-blocata-complet-de-protestul-fermierilor-si-transportatorilor","satumareonline.ro"),"satumareonline.ro")</x:f>
        <x:v>satumareonline.ro</x:v>
      </x:c>
      <x:c r="L696" s="21" t="str">
        <x:f>IFERROR(HYPERLINK("https://www.digi24.ro/stiri/actualitate/protestele-transportatorilor-si-fermierilor-continua-la-afumati-si-vama-siret-in-zona-se-circula-dificil-2652691","digi24.ro"),"digi24.ro")</x:f>
        <x:v>digi24.ro</x:v>
      </x:c>
      <x:c r="M696" s="21"/>
      <x:c r="N696" s="4" t="str">
        <x:v>https://www.satumareonline.ro/cp/7/33925/Vama-Urziceni-a-fost-blocata-complet-de-protestul-fermierilor-si-transportatorilor
https://www.digi24.ro/stiri/actualitate/protestele-transportatorilor-si-fermierilor-continua-la-afumati-si-vama-siret-in-zona-se-circula-dificil-2652691
https://www.politiadefrontiera.ro/ro/oradea/i--30235.html
https://agerpres.ro/social/2024/01/19/satu-mare-a-doua-zi-de-proteste-in-vama-halmeu-multi-fermieri-si-au-lasat-tractoarele-peste-noapte--1235327</x:v>
      </x:c>
      <x:c r="O696" s="4" t="str">
        <x:v>Second full-register audit source access, 26 October 2026
https://www.satumareonline.ro/cp/7/33925/Vama-Urziceni-a-fost-blocata-complet-de-protestul-fermierilor-si-transportatorilor: full text (fresh retrieval)
https://www.digi24.ro/stiri/actualitate/protestele-transportatorilor-si-fermierilor-continua-la-afumati-si-vama-siret-in-zona-se-circula-dificil-2652691: full text (fresh retrieval) — The Ukraine-frontier wording is erroneous; update time is not an exact reopening clock.
https://www.politiadefrontiera.ro/ro/oradea/i--30235.html: full text (fresh retrieval) — Separate directory/traffic advice, not protest evidence.
https://agerpres.ro/social/2024/01/19/satu-mare-a-doua-zi-de-proteste-in-vama-halmeu-multi-fermieri-si-au-lasat-tractoarele-peste-noapte--1235327: full text (fresh retrieval) — Halmeu January 18–19 is a separate episode.
Prior audit access record
Full-register audit source access (evidence cutoff 25 October 2026)
https://www.satumareonline.ro/cp/7/33925/Vama-Urziceni-a-fost-blocata-complet-de-protestul-fermierilor-si-transportatorilor: full text
https://www.digi24.ro/stiri/actualitate/protestele-transportatorilor-si-fermierilor-continua-la-afumati-si-vama-siret-in-zona-se-circula-dificil-2652691: full text — Incorrect Ukraine-frontier phrase rejected using official geography and AGERPRES correction.
https://www.politiadefrontiera.ro/ro/oradea/i--30235.html: full text
https://agerpres.ro/social/2024/01/19/satu-mare-a-doua-zi-de-proteste-in-vama-halmeu-multi-fermieri-si-au-lasat-tractoarele-peste-noapte--1235327: full text
Earlier recorded access
Source 1: access detail is retained in the source catalogue.
Source 2: access detail is retained in the source catalogue.</x:v>
      </x:c>
      <x:c r="P696" s="20" t="n">
        <x:v>1</x:v>
      </x:c>
      <x:c r="Q696" s="4" t="str">
        <x:v>Europe</x:v>
      </x:c>
      <x:c r="R696" s="4" t="str">
        <x:v>Included</x:v>
      </x:c>
    </x:row>
    <x:row r="697" ht="282" hidden="0" customHeight="1">
      <x:c r="A697" s="16" t="str">
        <x:v>C7-EU-004</x:v>
      </x:c>
      <x:c r="B697" s="4" t="str">
        <x:v>Biriatou heavy-truck blockade, December22 2018</x:v>
      </x:c>
      <x:c r="C697" s="4" t="str">
        <x:v>France; Spain</x:v>
      </x:c>
      <x:c r="D697" s="4" t="str">
        <x:v>Heavy-truck obstruction at Biriatou on the A63 France–Spain approach</x:v>
      </x:c>
      <x:c r="E697" s="4" t="str">
        <x:v>Heavy trucks
Direction: Not separately established</x:v>
      </x:c>
      <x:c r="F697" s="4" t="str">
        <x:v>C7-EU-004-P1 — Observed operation
Heavy-truck obstruction at Biriatou on the A63 France–Spain approach
Start: 2018-12-22.
Observed scoped reopening: 2018-12-22.
Reported from approximately 03:00 until police clearance around 06:00; about three hours, not a whole-day closure.</x:v>
      </x:c>
      <x:c r="G697" s="4" t="str">
        <x:v>Uncoded / Unresolved rationale
Not assigned
Applies to: Not assigned
No additional motive inferred</x:v>
      </x:c>
      <x:c r="H697" s="4" t="str">
        <x:v>This December 22-only truck obstruction is reported from approximately 03:00 until police clearance around 06:00. These are reported rounded clocks, not exact first/last vehicle timestamps. Direction and event-specific demands remain unresolved; the national movement’s grievances are not automatically assigned. Earlier Le Boulou and other frontier actions remain separate.</x:v>
      </x:c>
      <x:c r="I697" s="4" t="str">
        <x:v>Second full-register audit, 26 October 2026: qualified. Fresh AFP copy and the Le Parisien live account support a roughly 03:00–06:00 truck obstruction at Biriatou on December 22, 2018; no longer continuous closure is supported.</x:v>
      </x:c>
      <x:c r="J697" s="18" t="d">
        <x:v>2026-10-26T00:00:00.000Z</x:v>
      </x:c>
      <x:c r="K697" s="21" t="str">
        <x:f>IFERROR(HYPERLINK("https://www.letemps.ch/monde/gilets-jaunes-lacte-vi-mobilise-un-dixieme-deces-perpignan","letemps.ch"),"letemps.ch")</x:f>
        <x:v>letemps.ch</x:v>
      </x:c>
      <x:c r="L697" s="21" t="str">
        <x:f>IFERROR(HYPERLINK("https://www.leparisien.fr/economie/direct-acte-6-des-gilets-jaunes-plusieurs-centaines-de-manifestants-a-paris-22-12-2018-7975002.php","leparisien.fr"),"leparisien.fr")</x:f>
        <x:v>leparisien.fr</x:v>
      </x:c>
      <x:c r="M697" s="21"/>
      <x:c r="N697" s="4" t="str">
        <x:v>https://www.letemps.ch/monde/gilets-jaunes-lacte-vi-mobilise-un-dixieme-deces-perpignan
https://www.leparisien.fr/economie/direct-acte-6-des-gilets-jaunes-plusieurs-centaines-de-manifestants-a-paris-22-12-2018-7975002.php
https://medias24.com/agence-presse/gilets-jaunes-lacte-vi-peu-mobilisateur-manifestation-surprise-dans-paris/</x:v>
      </x:c>
      <x:c r="O697" s="4" t="str">
        <x:v>Second full-register audit source access, 26 October 2026
https://www.letemps.ch/monde/gilets-jaunes-lacte-vi-mobilise-un-dixieme-deces-perpignan: full text (fresh retrieval) — Original December 22, 2018 publication; page modified June 10, 2023. AFP text is shared with Medias24.
https://www.leparisien.fr/economie/direct-acte-6-des-gilets-jaunes-plusieurs-centaines-de-manifestants-a-paris-22-12-2018-7975002.php: full text (fresh retrieval) — Report timestamp is not event clock.
https://medias24.com/agence-presse/gilets-jaunes-lacte-vi-peu-mobilisateur-manifestation-surprise-dans-paris/: full text (fresh retrieval) — Same agency origin, not independent corroboration.
Prior audit access record
Full-register audit source access (evidence cutoff 25 October 2026)
https://www.letemps.ch/monde/gilets-jaunes-lacte-vi-mobilise-un-dixieme-deces-perpignan: full text
https://www.leparisien.fr/economie/direct-acte-6-des-gilets-jaunes-plusieurs-centaines-de-manifestants-a-paris-22-12-2018-7975002.php: search extract
https://medias24.com/agence-presse/gilets-jaunes-lacte-vi-peu-mobilisateur-manifestation-surprise-dans-paris/: search extract
Earlier recorded access
Source 1: access detail is retained in the source catalogue.
Source 2: access detail is retained in the source catalogue.</x:v>
      </x:c>
      <x:c r="P697" s="20" t="n">
        <x:v>1</x:v>
      </x:c>
      <x:c r="Q697" s="4" t="str">
        <x:v>Europe</x:v>
      </x:c>
      <x:c r="R697" s="4" t="str">
        <x:v>Included</x:v>
      </x:c>
    </x:row>
    <x:row r="698" ht="258" hidden="0" customHeight="1">
      <x:c r="A698" s="16" t="str">
        <x:v>C7-SC-001</x:v>
      </x:c>
      <x:c r="B698" s="4" t="str">
        <x:v>Iran tourist-visa entry restriction at Islam Qala and Zaranj, December2021</x:v>
      </x:c>
      <x:c r="C698" s="4" t="str">
        <x:v>Afghanistan; Iran</x:v>
      </x:c>
      <x:c r="D698" s="4" t="str">
        <x:v>Tourist-visa entry into Iran via Islam Qala
Tourist-visa entry into Iran via Zaranj</x:v>
      </x:c>
      <x:c r="E698" s="4" t="str">
        <x:v>Tourist-visa holders
Direction: Afghanistan to Iran</x:v>
      </x:c>
      <x:c r="F698" s="4" t="str">
        <x:v>C7-SC-001-P1 — Observed operation
Tourist-visa entry into Iran via Islam Qala
Start: 2021-12-24 to 2021-12-25.
Scoped endpoint: 2022-01-10.
dated evidence; numeric duration withheld; see qualification
C7-SC-001-P2 — Observed operation
Tourist-visa entry into Iran via Zaranj
Start: 2021-12-25.
Scoped endpoint: 2022-01-10.
dated evidence; numeric duration withheld; see qualification</x:v>
      </x:c>
      <x:c r="G698" s="4" t="str">
        <x:v>Health and biosecurity / Human disease control
Reported reason
Applies to: Separately scoped new phase; see chronology qualifications
Broad categories follow the stated rationale and documented context.</x:v>
      </x:c>
      <x:c r="H698" s="4" t="str">
        <x:v>C7-SC-001-P1: Business-visa holders reportedly crossed. UNHCR supplies a terminal date, not first actual reopened passage or inclusive/exclusive timing. Announced15-day duration is not substituted for observed lifting; numeric duration withheld.
C7-SC-001-P2: Single retrospective monitoring source for this gate. Terminal-date meaning and first resumed passage are not supplied; no all-passenger or freight closure inferred.
endpoint semantics: January 10 is a retrospective closure boundary with unspecified inclusivity, not an observed first tourist admission at either post.
onset precision: The Islam Qala account reports a refusal one day earlier than the retrospective interval; the phase retains bounded onset dates.</x:v>
      </x:c>
      <x:c r="I698" s="4" t="str">
        <x:v>Second full-register audit, 26 October 2026: qualified. The current bounded onset and retrospective January endpoint survive independent review.</x:v>
      </x:c>
      <x:c r="J698" s="18" t="d">
        <x:v>2026-10-26T00:00:00.000Z</x:v>
      </x:c>
      <x:c r="K698" s="21" t="str">
        <x:f>IFERROR(HYPERLINK("https://pajhwok.com/2021/12/25/iranian-consulate-suspends-tourist-visa-service-for-15-days/","Pajhwok Afghan News"),"Pajhwok Afghan News")</x:f>
        <x:v>Pajhwok Afghan News</x:v>
      </x:c>
      <x:c r="L698" s="21" t="str">
        <x:f>IFERROR(HYPERLINK("https://www.tolonews.com/node/176062","TOLOnews"),"TOLOnews")</x:f>
        <x:v>TOLOnews</x:v>
      </x:c>
      <x:c r="M698" s="21" t="str">
        <x:f>IFERROR(HYPERLINK("https://data.unhcr.org/en/documents/download/100027","UNHCR Afghanistan"),"UNHCR Afghanistan")</x:f>
        <x:v>UNHCR Afghanistan</x:v>
      </x:c>
      <x:c r="N698" s="4" t="str">
        <x:v>https://pajhwok.com/2021/12/25/iranian-consulate-suspends-tourist-visa-service-for-15-days/
https://www.tolonews.com/node/176062
https://data.unhcr.org/en/documents/download/100027</x:v>
      </x:c>
      <x:c r="O698" s="4" t="str">
        <x:v>Second full-register audit source access, 26 October 2026
https://pajhwok.com/2021/12/25/iranian-consulate-suspends-tourist-visa-service-for-15-days/: full text (fresh retrieval)
https://www.tolonews.com/node/176062: full text (fresh retrieval) — Current body does not give an independently usable publication date.
https://data.unhcr.org/en/documents/download/100027: full text (fresh retrieval) — Boundary is not an observation of first resumed passage; see page 7 and raw 002 turn1056view5.
Prior audit access record
Full-register audit source access (evidence cutoff 25 October 2026)
https://pajhwok.com/2021/12/25/iranian-consulate-suspends-tourist-visa-service-for-15-days/: full text
https://www.tolonews.com/node/176062: full text — Publication date supplied by EUAA reference, absent from current article body
https://data.unhcr.org/en/documents/download/100027: full text
Earlier recorded access
Source 1: full text
Source 2: full text
Source 3: full text</x:v>
      </x:c>
      <x:c r="P698" s="20" t="n">
        <x:v>2</x:v>
      </x:c>
      <x:c r="Q698" s="4" t="str">
        <x:v>Central Asia and Caucasus</x:v>
      </x:c>
      <x:c r="R698" s="4" t="str">
        <x:v>Included</x:v>
      </x:c>
    </x:row>
    <x:row r="699" ht="258" hidden="0" customHeight="1">
      <x:c r="A699" s="16" t="str">
        <x:v>C7-SC-002</x:v>
      </x:c>
      <x:c r="B699" s="4" t="str">
        <x:v>Abresham passenger restriction and July2022 restoration</x:v>
      </x:c>
      <x:c r="C699" s="4" t="str">
        <x:v>Afghanistan; Iran</x:v>
      </x:c>
      <x:c r="D699" s="4" t="str">
        <x:v>Abresham passenger restriction ending with reported July18 restoration</x:v>
      </x:c>
      <x:c r="E699" s="4" t="str">
        <x:v>Legal passenger travel
Direction: Afghanistan to Iran as described</x:v>
      </x:c>
      <x:c r="F699" s="4" t="str">
        <x:v>C7-SC-002-P1 — Observed operation
Abresham passenger restriction ending with reported July18 restoration
Start: unknown.
Observed scoped reopening: 2022-07-18.
dated evidence; numeric duration withheld; see qualification
Separate temporary-access observation — 2022-07-06
Nimroz authorities reported Abresham opened that morning for documented passengers and transit vehicles on both sides until 21:00. This predates the July 18 restoration report; it does not prove permanent reopening or establish a subsequent reclosure date. The preceding weeks must not be represented as an uninterrupted closure.</x:v>
      </x:c>
      <x:c r="G699" s="4" t="str">
        <x:v>Security / Armed conflict and military confrontation
Reported reason
Applies to: Separately scoped new phase; see chronology qualifications
Broad categories follow the stated rationale and documented context.</x:v>
      </x:c>
      <x:c r="H699" s="4" t="str">
        <x:v>C7-SC-002-P1: Exact onset is unknown; an approximate two-week description is not converted into a date. Khaama Press reports a Nimroz official's statement that legal passenger travel into Iran resumed on 18 July 2022; independently witnessed first passage and Iranian counterpart corroboration remain unavailable.
Earlier temporary access: Salam Watandar reported on 6 July 2022 that Nimroz authorities had temporarily opened Abresham that morning for passengers with legal documents and transit vehicles on both sides until 21:00. This is an authority-reported temporary opening, not evidence of permanent restoration. A subsequent reclosure date is not established.
Continuity: Do not treat the period before 18 July as one uninterrupted closure. The earlier temporary opening, unknown onset and approximate retrospective duration require separate observations; numeric duration remains withheld. Freight and reverse-direction scope for the 18 July report remain unestablished.</x:v>
      </x:c>
      <x:c r="I699" s="4" t="str">
        <x:v>Second full-register audit, 26 October 2026: qualified. Independent sources confirm the July 6 temporary opening interrupts any putative continuous two-week closure before July 18.</x:v>
      </x:c>
      <x:c r="J699" s="18" t="d">
        <x:v>2026-10-26T00:00:00.000Z</x:v>
      </x:c>
      <x:c r="K699" s="21" t="str">
        <x:f>IFERROR(HYPERLINK("https://www.khaama.com/abresham-crossing-between-afghanistan-amp-iran-reopens-after-nearly-two-weeks-57459/","khaama.com"),"khaama.com")</x:f>
        <x:v>khaama.com</x:v>
      </x:c>
      <x:c r="L699" s="21"/>
      <x:c r="M699" s="21"/>
      <x:c r="N699" s="4" t="str">
        <x:v>https://www.khaama.com/abresham-crossing-between-afghanistan-amp-iran-reopens-after-nearly-two-weeks-57459/
https://swn.af/en/2022/07/the-silk-bridge-border-crossing-with-iran-temporarily-opened/
https://www.tolonews.com/index.php/node/178802</x:v>
      </x:c>
      <x:c r="O699" s="4" t="str">
        <x:v>Second full-register audit source access, 26 October 2026
https://www.khaama.com/abresham-crossing-between-afghanistan-amp-iran-reopens-after-nearly-two-weeks-57459/: full text (fresh retrieval) — Not independently witnessed first passage.
https://swn.af/en/2022/07/the-silk-bridge-border-crossing-with-iran-temporarily-opened/: full text (fresh retrieval)
https://www.tolonews.com/index.php/node/178802: search extract (fresh retrieval) — Indexed article has no usable event/publication date.
Prior audit access record
Full-register audit source access (evidence cutoff 25 October 2026)
https://www.khaama.com/abresham-crossing-between-afghanistan-amp-iran-reopens-after-nearly-two-weeks-57459/: full text — Approximate onset; no independent first-crossing observation
https://swn.af/en/2022/07/the-silk-bridge-border-crossing-with-iran-temporarily-opened/: full text — Official newsletter, not observed individual passage
https://www.tolonews.com/index.php/node/178802: full text — Current extracted page omits article date; not used to assign dates
Earlier recorded access
Source 1: access detail is retained in the source catalogue.</x:v>
      </x:c>
      <x:c r="P699" s="20" t="n">
        <x:v>1</x:v>
      </x:c>
      <x:c r="Q699" s="4" t="str">
        <x:v>Central Asia and Caucasus</x:v>
      </x:c>
      <x:c r="R699" s="4" t="str">
        <x:v>Included</x:v>
      </x:c>
    </x:row>
    <x:row r="700" ht="126" hidden="0" customHeight="1">
      <x:c r="A700" s="16" t="str">
        <x:v>C7-SC-003</x:v>
      </x:c>
      <x:c r="B700" s="4" t="str">
        <x:v>South Ossetian school-celebration civilian crossing order, May2019</x:v>
      </x:c>
      <x:c r="C700" s="4" t="str">
        <x:v>Georgia; South Ossetia (de facto territory)</x:v>
      </x:c>
      <x:c r="D700" s="4" t="str">
        <x:v>Civilian crossing order at South Ossetian ABL for school celebrations</x:v>
      </x:c>
      <x:c r="E700" s="4" t="str">
        <x:v>Civilian passage
Direction: Not directionally disaggregated</x:v>
      </x:c>
      <x:c r="F700" s="4" t="str">
        <x:v>C7-SC-003-P1 — Announced window
Civilian crossing order at the South Ossetian administrative boundary for school celebrations
Start: 2019-05-24 at 20:00.
Scheduled endpoint: 2019-05-26 at 06:00.
Announced window: 34 hours. Actual implementation and reopening are unverified.</x:v>
      </x:c>
      <x:c r="G700" s="4" t="str">
        <x:v>Security / Public order and immediate safety
Reported reason
Applies to: Separately scoped new phase; see chronology qualifications
Broad categories follow the stated rationale and documented context.</x:v>
      </x:c>
      <x:c r="H700" s="4" t="str">
        <x:v>C7-SC-003-P1: The KGB-announced window is 34 hours, from 20:00 on 24 May to 06:00 on 26 May 2019. Actual implementation at individual posts and completed reopening were not established. The duration describes the order, not verified elapsed closure.</x:v>
      </x:c>
      <x:c r="I700" s="4" t="str">
        <x:v>Second full-register audit, 26 October 2026: additional source-audited corrections incorporated. See the phase, scope and qualification columns for the accepted findings.</x:v>
      </x:c>
      <x:c r="J700" s="18" t="d">
        <x:v>2026-10-26T00:00:00.000Z</x:v>
      </x:c>
      <x:c r="K700" s="21" t="str">
        <x:f>IFERROR(HYPERLINK("https://www.eng.kavkaz-uzel.eu/articles/47275/","eng.kavkaz-uzel.eu"),"eng.kavkaz-uzel.eu")</x:f>
        <x:v>eng.kavkaz-uzel.eu</x:v>
      </x:c>
      <x:c r="L700" s="21"/>
      <x:c r="M700" s="21"/>
      <x:c r="N700" s="4" t="str">
        <x:v>https://www.eng.kavkaz-uzel.eu/articles/47275/</x:v>
      </x:c>
      <x:c r="O700" s="4" t="str">
        <x:v>Second full-register audit source access, 26 October 2026
https://www.eng.kavkaz-uzel.eu/articles/47275/: full text (fresh retrieval) — Announcement, not implementation evidence.
Prior audit access record
Full-register audit source access (evidence cutoff 25 October 2026)
https://www.eng.kavkaz-uzel.eu/articles/47275/: full text
Earlier recorded access
Source 1: access detail is retained in the source catalogue.</x:v>
      </x:c>
      <x:c r="P700" s="20" t="n">
        <x:v>1</x:v>
      </x:c>
      <x:c r="Q700" s="4" t="str">
        <x:v>Central Asia and Caucasus</x:v>
      </x:c>
      <x:c r="R700" s="4" t="str">
        <x:v>Included</x:v>
      </x:c>
    </x:row>
    <x:row r="701" ht="306" hidden="0" customHeight="1">
      <x:c r="A701" s="16" t="str">
        <x:v>C7-SC-004</x:v>
      </x:c>
      <x:c r="B701" s="4" t="str">
        <x:v>Darchula frontier election restriction order, October2019</x:v>
      </x:c>
      <x:c r="C701" s="4" t="str">
        <x:v>Nepal; India</x:v>
      </x:c>
      <x:c r="D701" s="4" t="str">
        <x:v>Darchula/Dharchula frontier order for later October2019 local polling</x:v>
      </x:c>
      <x:c r="E701" s="4" t="str">
        <x:v>Cross-border civilian passage
Direction: Both directions as ordered</x:v>
      </x:c>
      <x:c r="F701" s="4" t="str">
        <x:v>C7-SC-004-P1 — Announced window
Darchula/Dharchula frontier order for later October2019 local polling
Start: 2019-10-14.
Scheduled endpoint: 2019-10-16 to 2019-10-17.
Contested: Ordered window: dated evidence; numeric duration withheld; see qualification
Held evidence: excluded from numeric duration and animation displays.</x:v>
      </x:c>
      <x:c r="G701" s="4" t="str">
        <x:v>Security / Public order and immediate safety
Reported reason
Applies to: Separately scoped new phase; see chronology qualifications
Broad categories follow the stated rationale and documented context.
Electoral politics / Election administration and security
Reported reason
Applies to: Separately scoped new phase; see chronology qualifications
Broad categories follow the stated rationale and documented context.</x:v>
      </x:c>
      <x:c r="H701" s="4" t="str">
        <x:v>C7-SC-004-P1: Nepal-side notice and RSS reporting specify a planned 17:00 on 14 October to 17:00 on 16 October 2019 window. The Times of India quotes the Indian district magistrate giving 17 October as the planned reopening date. This conflict remains unresolved; neither scheduled endpoint is an observed first reopening.
A Kathmandu Post brief dated 16 October reports that the Pithoragarh-facing border had been sealed since Monday evening, supporting reported implementation from 14 October. This is available as an indexed extract; the epaper page now redirects to a dashboard. Continuous implementation and actual restoration remain unverified.
A separate 15 October report identifies the district-headquarters suspension bridge and Tigram Bridge, but its stated 48-hour duration conflicts with its same-day-to-Wednesday wording. That report is used only for the named planned scope, not to alter dates. Emergency passage could be permitted by mutual agreement. The episode remains distinct from the earlier Jhulaghat-area election restrictions.</x:v>
      </x:c>
      <x:c r="I701" s="4" t="str">
        <x:v>Second full-register audit, 26 October 2026: additional source-audited corrections incorporated. See the phase, scope and qualification columns for the accepted findings.</x:v>
      </x:c>
      <x:c r="J701" s="18" t="d">
        <x:v>2026-10-26T00:00:00.000Z</x:v>
      </x:c>
      <x:c r="K701" s="21" t="str">
        <x:f>IFERROR(HYPERLINK("https://www.sharesansar.com/newsdetail/nepal-india-border-in-baitadi-darchula-to-be-sealed-off-for-three-days","ShareSansar / RSS"),"ShareSansar / RSS")</x:f>
        <x:v>ShareSansar / RSS</x:v>
      </x:c>
      <x:c r="L701" s="21" t="str">
        <x:f>IFERROR(HYPERLINK("https://timesofindia.indiatimes.com/city/dehradun/indo-nepal-border-to-be-closed-for-panchayat-polls/amp_articleshow/71399045.cms","The Times of India"),"The Times of India")</x:f>
        <x:v>The Times of India</x:v>
      </x:c>
      <x:c r="M701" s="21"/>
      <x:c r="N701" s="4" t="str">
        <x:v>https://www.sharesansar.com/newsdetail/nepal-india-border-in-baitadi-darchula-to-be-sealed-off-for-three-days
https://timesofindia.indiatimes.com/city/dehradun/indo-nepal-border-to-be-closed-for-panchayat-polls/amp_articleshow/71399045.cms
https://daodarchula.moha.gov.np/en/post/border-seal-during-election-period-darchula-district
https://epaper.ekantipur.com/kathmandupost/2019-10-16/
https://enewspolar.com/border-transit-points-with-india-to-be-closed-for-48-hours/?cat=25</x:v>
      </x:c>
      <x:c r="O701" s="4" t="str">
        <x:v>Second full-register audit source access, 26 October 2026
https://www.sharesansar.com/newsdetail/nepal-india-border-in-baitadi-darchula-to-be-sealed-off-for-three-days: full text (fresh retrieval)
https://timesofindia.indiatimes.com/city/dehradun/indo-nepal-border-to-be-closed-for-panchayat-polls/amp_articleshow/71399045.cms: full text (fresh retrieval)
https://daodarchula.moha.gov.np/en/post/border-seal-during-election-period-darchula-district: search extract (fresh retrieval) — Direct opening returned 502 in raw 005.
https://epaper.ekantipur.com/kathmandupost/2019-10-16/: search extract (fresh retrieval) — Direct page redirects to dashboard in raw 004.
https://enewspolar.com/border-transit-points-with-india-to-be-closed-for-48-hours/?cat=25: search extract (fresh retrieval) — Relative dates contradict 48-hour duration; direct URL returns 404.
Prior audit access record
Full-register audit source access (evidence cutoff 25 October 2026)
https://www.sharesansar.com/newsdetail/nepal-india-border-in-baitadi-darchula-to-be-sealed-off-for-three-days: full text
https://timesofindia.indiatimes.com/city/dehradun/indo-nepal-border-to-be-closed-for-panchayat-polls/amp_articleshow/71399045.cms: full text
Earlier recorded access
Source 1: full text
Source 2: full text</x:v>
      </x:c>
      <x:c r="P701" s="20" t="n">
        <x:v>1</x:v>
      </x:c>
      <x:c r="Q701" s="4" t="str">
        <x:v>South Asia</x:v>
      </x:c>
      <x:c r="R701" s="4" t="str">
        <x:v>Included</x:v>
      </x:c>
    </x:row>
    <x:row r="702" ht="222" hidden="0" customHeight="1">
      <x:c r="A702" s="16" t="str">
        <x:v>C7-SC-005</x:v>
      </x:c>
      <x:c r="B702" s="4" t="str">
        <x:v>Torkham brief interruption of Afghan repatriation, October2026</x:v>
      </x:c>
      <x:c r="C702" s="4" t="str">
        <x:v>Pakistan; Afghanistan</x:v>
      </x:c>
      <x:c r="D702" s="4" t="str">
        <x:v>Torkham interruption of Afghan repatriation</x:v>
      </x:c>
      <x:c r="E702" s="4" t="str">
        <x:v>Returning Afghan families and their belongings
Direction: Pakistan to Afghanistan</x:v>
      </x:c>
      <x:c r="F702" s="4" t="str">
        <x:v>C7-SC-005-P1 — Observed operation
Torkham interruption of Afghan repatriation
Start: 2026-10-19.
Observed scoped reopening: 2026-10-19.
dated evidence; numeric duration withheld; see qualification</x:v>
      </x:c>
      <x:c r="G702" s="4" t="str">
        <x:v>Security / Public order and immediate safety
Reported reason
Applies to: Separately scoped new phase; see chronology qualifications
Broad categories follow the stated rationale and documented context.
Interstate disputes and pressure / Territorial and frontier disputes
Reported reason
Applies to: Separately scoped new phase; see chronology qualifications
Broad categories follow the stated rationale and documented context.</x:v>
      </x:c>
      <x:c r="H702" s="4" t="str">
        <x:v>C7-SC-005-P1: Clock times unknown. This returnee-only interruption is distinct from regular commercial restrictions; source-reported duration is not date subtraction.
clock precision: The repatriation interruption is reported as approximately two hours, with exact clock times unavailable.</x:v>
      </x:c>
      <x:c r="I702" s="4" t="str">
        <x:v>Second full-register audit, 26 October 2026: qualified. The current same-day scoped episode remains justified.</x:v>
      </x:c>
      <x:c r="J702" s="18" t="d">
        <x:v>2026-10-26T00:00:00.000Z</x:v>
      </x:c>
      <x:c r="K702" s="21" t="str">
        <x:f>IFERROR(HYPERLINK("https://tnnenglish.com/security-concerns-afghan-families-turned-back-at-torkham-border","tnnenglish.com"),"tnnenglish.com")</x:f>
        <x:v>tnnenglish.com</x:v>
      </x:c>
      <x:c r="L702" s="21" t="str">
        <x:f>IFERROR(HYPERLINK("https://www.dawn.com/news/2038427/dispute-over-zangali-checkpost-disrupts-torkham-operations","dawn.com"),"dawn.com")</x:f>
        <x:v>dawn.com</x:v>
      </x:c>
      <x:c r="M702" s="21"/>
      <x:c r="N702" s="4" t="str">
        <x:v>https://tnnenglish.com/security-concerns-afghan-families-turned-back-at-torkham-border
https://www.dawn.com/news/2038427/dispute-over-zangali-checkpost-disrupts-torkham-operations</x:v>
      </x:c>
      <x:c r="O702" s="4" t="str">
        <x:v>Second full-register audit source access, 26 October 2026
https://tnnenglish.com/security-concerns-afghan-families-turned-back-at-torkham-border: full text (fresh retrieval)
https://www.dawn.com/news/2038427/dispute-over-zangali-checkpost-disrupts-torkham-operations: full text (fresh retrieval) — Exact clocks unavailable; minimal paraphrase retained.
Prior audit access record
Full-register audit source access (evidence cutoff 25 October 2026)
https://tnnenglish.com/security-concerns-afghan-families-turned-back-at-torkham-border: full text
https://www.dawn.com/news/2038427/dispute-over-zangali-checkpost-disrupts-torkham-operations: full text — Low source word budget; detailed text not reproduced.
Earlier recorded access
Source 1: access detail is retained in the source catalogue.
Source 2: access detail is retained in the source catalogue.</x:v>
      </x:c>
      <x:c r="P702" s="20" t="n">
        <x:v>1</x:v>
      </x:c>
      <x:c r="Q702" s="4" t="str">
        <x:v>South Asia</x:v>
      </x:c>
      <x:c r="R702" s="4" t="str">
        <x:v>Included</x:v>
      </x:c>
    </x:row>
    <x:row r="703" ht="378" hidden="0" customHeight="1">
      <x:c r="A703" s="16" t="str">
        <x:v>REC50-R01-001</x:v>
      </x:c>
      <x:c r="B703" s="4" t="str">
        <x:v>Loyada formal asylum-access restriction reported in October 2017</x:v>
      </x:c>
      <x:c r="C703" s="4" t="str">
        <x:v>Djibouti; Somalia</x:v>
      </x:c>
      <x:c r="D703" s="4" t="str">
        <x:v>Loyada
Formal asylum admission/reception at Loyada; informal routes excluded</x:v>
      </x:c>
      <x:c r="E703" s="4" t="str">
        <x:v>Asylum-seekers arriving from Somalia
Direction: Somalia into Djibouti
Exceptions: Some asylum-seekers entered through informal routes; no general goods or passenger closure established</x:v>
      </x:c>
      <x:c r="F703" s="4" t="str">
        <x:v>REC50-R01-001-P1 — Formal policy
Formal admission/reception at Loyada for asylum-seekers arriving from Somalia
Start: 2014-05-24 to 2014-05-31, after the May 24 attack and within the reported suspension month.
Last confirmed reporting period: October 2017 (2017-10-01 to 2017-10-31); no exact observation day is established. Reopening is not established.
The sustained historical policy exceeds 24 hours; exact duration and interruptions remain unknown.</x:v>
      </x:c>
      <x:c r="G703" s="4" t="str">
        <x:v>Security / Armed attacks and terrorism
Source-attributed reason; see qualification
Applies to: Scope and phases stated below; no primary rationale or universal overlap inferred
UNHCR attributes the historical restriction to the May 2014 Al-Shabaab attack; asylum is the affected movement, not an inferred policy motive.</x:v>
      </x:c>
      <x:c r="H703" s="4" t="str">
        <x:v>REC50-R01-001-P1: UNHCR’s October 2017 submission reports the formal asylum route still closed after the May 2014 attack, while asylum-seekers continued entering through unofficial points. The month-level reporting interval is not an invented October day or an observed cessation. The 2014 account identifies the attack as May 24 and says reception/registration was suspended since May, yielding bounded rather than exact onset. No all-passenger or freight closure is established. Later migrant-response-centre funding changes and national refugee admissions do not establish reopening of the formal Loyada asylum route.</x:v>
      </x:c>
      <x:c r="I703" s="4" t="str">
        <x:v>Second full-register audit, 26 October 2026: additional source-audited corrections incorporated. See the phase, scope and qualification columns for the accepted findings.</x:v>
      </x:c>
      <x:c r="J703" s="18" t="d">
        <x:v>2026-10-26T00:00:00.000Z</x:v>
      </x:c>
      <x:c r="K703" s="21" t="str">
        <x:f>IFERROR(HYPERLINK("https://www.refworld.org/sites/default/files/legacy-pdf/en/2018-5/5b082d2e4.pdf","UNHCR"),"UNHCR")</x:f>
        <x:v>UNHCR</x:v>
      </x:c>
      <x:c r="L703" s="21" t="str">
        <x:f>IFERROR(HYPERLINK("https://reporting.unhcr.org/djibouti-refugees-6","UNHCR Global Focus"),"UNHCR Global Focus")</x:f>
        <x:v>UNHCR Global Focus</x:v>
      </x:c>
      <x:c r="M703" s="21" t="str">
        <x:f>IFERROR(HYPERLINK("https://www.openstreetmap.org/node/8405526244","OpenStreetMap contributors"),"OpenStreetMap contributors")</x:f>
        <x:v>OpenStreetMap contributors</x:v>
      </x:c>
      <x:c r="N703" s="4" t="str">
        <x:v>https://www.refworld.org/sites/default/files/legacy-pdf/en/2018-5/5b082d2e4.pdf
https://reporting.unhcr.org/djibouti-refugees-6
https://www.openstreetmap.org/node/8405526244
https://www.openstreetmap.org/way/778712166
https://2021-2025.state.gov/reports/2021-trafficking-in-persons-report/djibouti/</x:v>
      </x:c>
      <x:c r="O703" s="4" t="str">
        <x:v>Second full-register audit source access, 26 October 2026
https://www.refworld.org/sites/default/files/legacy-pdf/en/2018-5/5b082d2e4.pdf: full text (fresh retrieval)
https://reporting.unhcr.org/djibouti-refugees-6: search extract (fresh retrieval) — Indexed text; fresh direct request returned 429.
https://2021-2025.state.gov/reports/2021-trafficking-in-persons-report/djibouti/: search extract (fresh retrieval) — Indexed text; direct site returned technical error.
Earlier URLs not separately inspected in this second assessment:
https://www.openstreetmap.org/node/8405526244
https://www.openstreetmap.org/way/778712166
Prior audit access record
Full-register audit source access (evidence cutoff 25 October 2026)
https://www.refworld.org/sites/default/files/legacy-pdf/en/2018-5/5b082d2e4.pdf: full text
https://reporting.unhcr.org/djibouti-refugees-6: search extract — Indexed primary text inspected.
https://2021-2025.state.gov/reports/2021-trafficking-in-persons-report/djibouti/: search extract — Does not establish asylum-route access.
Earlier source URLs not separately listed in this audit’s retrieval log (historical access notes below are not fresh verification):
https://www.openstreetmap.org/node/8405526244
https://www.openstreetmap.org/way/778712166
Earlier recorded access
Source 1: full text
Source 2: indexed extract
Source 3: full text</x:v>
      </x:c>
      <x:c r="P703" s="20" t="n">
        <x:v>1</x:v>
      </x:c>
      <x:c r="Q703" s="4" t="str">
        <x:v>Horn of Africa</x:v>
      </x:c>
      <x:c r="R703" s="4" t="str">
        <x:v>Included</x:v>
      </x:c>
    </x:row>
    <x:row r="704" ht="409" hidden="0" customHeight="1">
      <x:c r="A704" s="16" t="str">
        <x:v>REC50-R01-002</x:v>
      </x:c>
      <x:c r="B704" s="4" t="str">
        <x:v>Moyale non-exempt passenger restriction in March 2020</x:v>
      </x:c>
      <x:c r="C704" s="4" t="str">
        <x:v>Kenya; Ethiopia</x:v>
      </x:c>
      <x:c r="D704" s="4" t="str">
        <x:v>Moyale; adjacent informal routes unlocated
Moyale crossing and adjacent informal entry routes; wider county border mentioned without verified full geometry</x:v>
      </x:c>
      <x:c r="E704" s="4" t="str">
        <x:v>Non-exempt passengers; unauthorised persons in cargo vehicles
Direction: Both directions as reported
Exceptions: Import/export goods, driver and turnboy excepted; cargo health screening applied</x:v>
      </x:c>
      <x:c r="F704" s="4" t="str">
        <x:v>REC50-R01-002-P1 — Observed operation
Non-exempt passenger crossing at Moyale and nearby unauthorised routes; goods and limited cargo crew exempt
Start: 2020-03-24 to 2020-03-29.
Last confirmed: 2020-03-29. Exact first reopening is not established.
confirmed through 2020-03-29; at least 0 calendar-day difference; exact first reopening unknown
Separate later access observation: international visitors entered Kenya through Moyale during 2023 (8,230 arrivals in official immigration statistics), establishing some Kenya-inbound visitor access by December 31, 2023. The year-end date is a conservative bound from an annual total, not an opening event. This does not establish a matching first reopening in both directions or at informal routes.
Separate later restriction observation: WFP status dated 2020-06-10, reproduced in the June 19 CIQP bulletin, still disallows passenger transport at Moyale while describing cargo transfer at the destination-side yards. This is an additional dated observation, not proof of uninterrupted March–June closure.</x:v>
      </x:c>
      <x:c r="G704" s="4" t="str">
        <x:v>Health and biosecurity / Human disease control
Source-attributed reason; see qualification
Applies to: Scope and phases stated below; no primary rationale or universal overlap inferred
Quoted authorities link the restriction to containing COVID-19; smuggling/trench context does not establish a separate additional rationale for the passenger policy.</x:v>
      </x:c>
      <x:c r="H704" s="4" t="str">
        <x:v>REC50-R01-002-P1: The source distinguishes freight from passengers: cargo allowed with driver plus turnboy. Nearby trench/patrol evidence does not locate every informal route. No continuous extension to later June regimes or 2021 OSBP operationalisation is inferred.
Kenya Tourism Research Institute’s 2023 performance report, Figure 6 on printed page 11, records 8,230 international visitor arrivals via Moyale, sourced to the Directorate of Immigration Services. The figure was visually inspected in the original PDF. It supports later official visitor admission into Kenya during 2023; it does not specify the first admission date, all passenger cohorts, opposite-direction access or repeal of the original COVID rule. No continuous March 2020–December 2023 interval is assigned.
The June 2020 bulletin separates passenger restriction from cargo-transfer arrangements. Its Moyale section is attributed to WFP on June 10; the June 19 bulletin date is not the observation date. The March cargo exception is not replaced by a claim that all goods were prohibited.</x:v>
      </x:c>
      <x:c r="I704" s="4" t="str">
        <x:v>Second full-register audit, 26 October 2026: additional source-audited corrections incorporated. See the phase, scope and qualification columns for the accepted findings.</x:v>
      </x:c>
      <x:c r="J704" s="18" t="d">
        <x:v>2026-10-26T00:00:00.000Z</x:v>
      </x:c>
      <x:c r="K704" s="21" t="str">
        <x:f>IFERROR(HYPERLINK("https://www.standardmedia.co.ke/amp/article/2001366170/state-deploys-army-to-dig-trenches-in-moyale-to-deter-illegal-entry","The Standard"),"The Standard")</x:f>
        <x:v>The Standard</x:v>
      </x:c>
      <x:c r="L704" s="21" t="str">
        <x:f>IFERROR(HYPERLINK("https://the-star.co.ke/sports/2020-04-02-ethiopian-forces-clash-with-kdf-officers-on-border","The Star"),"The Star")</x:f>
        <x:v>The Star</x:v>
      </x:c>
      <x:c r="M704" s="21" t="str">
        <x:f>IFERROR(HYPERLINK("https://au-pida.org/events/wp-content/uploads/2024/11/One-Stop-Border-Post-OSBP-Status-Report.pdf","African Union Programme for Infrastructure Development in Africa"),"African Union Programme for Infrastructure Development in Africa")</x:f>
        <x:v>African Union Programme for Infrastructure Development in Africa</x:v>
      </x:c>
      <x:c r="N704" s="4" t="str">
        <x:v>https://www.standardmedia.co.ke/amp/article/2001366170/state-deploys-army-to-dig-trenches-in-moyale-to-deter-illegal-entry
https://the-star.co.ke/sports/2020-04-02-ethiopian-forces-clash-with-kdf-officers-on-border
https://au-pida.org/events/wp-content/uploads/2024/11/One-Stop-Border-Post-OSBP-Status-Report.pdf
https://www.theeastafrican.co.ke/tea/business-tech/kenya-ethiopia-one-stop-border-post-at-moyale-opens-3430514
https://eastandhornofafrica.iom.int/sites/g/files/tmzbdl701/files/documents/2023-05/iom_rdh_southern-route-research_the-southern-dream_1.pdf
https://tri.go.ke/wp-content/uploads/2024/03/TOURISM-SECTOR-PERFORMANCE-REPORT-2023.pdf
https://wiki.unece.org/download/attachments/101548961/ETHIOPIA%20-%20COVID-19%20-%20CIQP%20Bulletin%201.pdf?api=v2&amp;modificationDate=1594995286601&amp;version=1
https://www.trademarkafrica.com/press-release/moyale-moyale-starts-operating-as-a-one-stop-border-crossing-point/</x:v>
      </x:c>
      <x:c r="O704" s="4" t="str">
        <x:v>Second full-register audit source access, 26 October 2026
https://www.standardmedia.co.ke/amp/article/2001366170/state-deploys-army-to-dig-trenches-in-moyale-to-deter-illegal-entry: full text (fresh retrieval)
https://wiki.unece.org/download/attachments/101548961/ETHIOPIA%20-%20COVID-19%20-%20CIQP%20Bulletin%201.pdf?api=v2&amp;modificationDate=1594995286601&amp;version=1: full text (fresh retrieval)
https://tri.go.ke/wp-content/uploads/2024/03/TOURISM-SECTOR-PERFORMANCE-REPORT-2023.pdf: full text (fresh retrieval) — Local original PDF and rendered kenya10.png freshly downloaded and inspected.
https://www.trademarkafrica.com/press-release/moyale-moyale-starts-operating-as-a-one-stop-border-crossing-point/: search extract (fresh retrieval) — Indexed primary release.
Earlier URLs not separately inspected in this second assessment:
https://the-star.co.ke/sports/2020-04-02-ethiopian-forces-clash-with-kdf-officers-on-border
https://au-pida.org/events/wp-content/uploads/2024/11/One-Stop-Border-Post-OSBP-Status-Report.pdf
https://www.theeastafrican.co.ke/tea/business-tech/kenya-ethiopia-one-stop-border-post-at-moyale-opens-3430514
https://eastandhornofafrica.iom.int/sites/g/files/tmzbdl701/files/documents/2023-05/iom_rdh_southern-route-research_the-southern-dream_1.pdf
Prior audit access record
Full-register audit source access (evidence cutoff 25 October 2026)
https://www.standardmedia.co.ke/amp/article/2001366170/state-deploys-army-to-dig-trenches-in-moyale-to-deter-illegal-entry: full text
https://the-star.co.ke/sports/2020-04-02-ethiopian-forces-clash-with-kdf-officers-on-border: full text
https://www.theeastafrican.co.ke/tea/business-tech/kenya-ethiopia-one-stop-border-post-at-moyale-opens-3430514: search extract — No identified first ordinary passenger journey.
https://eastandhornofafrica.iom.int/sites/g/files/tmzbdl701/files/documents/2023-05/iom_rdh_southern-route-research_the-southern-dream_1.pdf: search extract — Includes irregular crossings; not proof of formal passenger-rule repeal.
https://tri.go.ke/wp-content/uploads/2024/03/TOURISM-SECTOR-PERFORMANCE-REPORT-2023.pdf: full text — Original PDF downloaded and figure visually checked; annual aggregate supplies no individual passage dates.
https://au-pida.org/events/wp-content/uploads/2024/11/One-Stop-Border-Post-OSBP-Status-Report.pdf: inaccessible — Direct retrieval failed because the 11.9 MB response exceeded the content-size limit. The independently inspected Kenya Tourism Research Institute statistics support only the separately stated Kenya-inbound visitor observation.
Earlier recorded access
Source 1: full text
Source 2: full text
Source 3: full text</x:v>
      </x:c>
      <x:c r="P704" s="20" t="n">
        <x:v>1</x:v>
      </x:c>
      <x:c r="Q704" s="4" t="str">
        <x:v>Horn of Africa</x:v>
      </x:c>
      <x:c r="R704" s="4" t="str">
        <x:v>Included</x:v>
      </x:c>
    </x:row>
    <x:row r="705" ht="409" hidden="0" customHeight="1">
      <x:c r="A705" s="16" t="str">
        <x:v>REC50-R01-003</x:v>
      </x:c>
      <x:c r="B705" s="4" t="str">
        <x:v>Malaba Uganda-bound truck blockade in May 2020</x:v>
      </x:c>
      <x:c r="C705" s="4" t="str">
        <x:v>Kenya; Uganda</x:v>
      </x:c>
      <x:c r="D705" s="4" t="str">
        <x:v>Malaba
Kenyan truck exit at Malaba and highway approaches; no all-passenger international closure</x:v>
      </x:c>
      <x:c r="E705" s="4" t="str">
        <x:v>Uganda-bound cargo trucks
Direction: Kenya to Uganda
Exceptions: Pedestrians and boda bodas passed blocked approaches; other direction had separate queue-clearance timing</x:v>
      </x:c>
      <x:c r="F705" s="4" t="str">
        <x:v>REC50-R01-003-P1 — Observed operation
Initial May 2020 truck blockade of Kenya’s Malaba exit toward Uganda
Start: 2020-05-21.
Observed scoped reopening: 2020-05-26.
A multi-day blockade exceeding 24 hours is supported; exact uninterrupted 21–26 May duration remains unestablished.</x:v>
      </x:c>
      <x:c r="G705" s="4" t="str">
        <x:v>Policy and socioeconomic demands / Opposition to health policies
Source-attributed reason; see qualification
Applies to: Scope and phases stated below; no primary rationale or universal overlap inferred
Drivers stated opposition to harassment, testing delays and a detained colleague; minister’s competing incitement explanation retained in evidence.</x:v>
      </x:c>
      <x:c r="H705" s="4" t="str">
        <x:v>REC50-R01-003-P1: Contemporary 21–22 May reports establish the initial physical blockade. Daily Monitor reports reopening at about 15:00 on 26 May; a same-day report of minister Adan Mohammed independently records the blocking trucks removed and Uganda-bound traffic moving. The EastAfrican instead describes three days from Monday, so exact continuity across the entire 21–26 May interval remains unresolved. Both the shorter and longer accounts support a blockade exceeding 24 hours. Reverse-direction trucks still awaited queue clearance. Subsequent backlog, expected clearance time and a 28 May union call do not prove a continuing or renewed physical closure.</x:v>
      </x:c>
      <x:c r="I705" s="4" t="str">
        <x:v>Second full-register audit, 26 October 2026: additional source-audited corrections incorporated. See the phase, scope and qualification columns for the accepted findings.</x:v>
      </x:c>
      <x:c r="J705" s="18" t="d">
        <x:v>2026-10-26T00:00:00.000Z</x:v>
      </x:c>
      <x:c r="K705" s="21" t="str">
        <x:f>IFERROR(HYPERLINK("https://www.the-star.co.ke/business/kenya/2020-05-21-kenyan-truck-drivers-block-exit-to-uganda","The Star"),"The Star")</x:f>
        <x:v>The Star</x:v>
      </x:c>
      <x:c r="L705" s="21" t="str">
        <x:f>IFERROR(HYPERLINK("https://www.the-star.co.ke/news/2020-05-22-truckers-protest-uganda-harassment-block-highway","The Star"),"The Star")</x:f>
        <x:v>The Star</x:v>
      </x:c>
      <x:c r="M705" s="21" t="str">
        <x:f>IFERROR(HYPERLINK("https://www.monitor.co.ug/uganda/news/national/malaba-border-finally-reopens-1891894","Daily Monitor"),"Daily Monitor")</x:f>
        <x:v>Daily Monitor</x:v>
      </x:c>
      <x:c r="N705" s="4" t="str">
        <x:v>https://www.the-star.co.ke/business/kenya/2020-05-21-kenyan-truck-drivers-block-exit-to-uganda
https://www.the-star.co.ke/news/2020-05-22-truckers-protest-uganda-harassment-block-highway
https://www.monitor.co.ug/uganda/news/national/malaba-border-finally-reopens-1891894
https://www.kenyanews.go.ke/operations-at-malaba-border-post-to-resume-soon/
https://www.the-star.co.ke/news/2020-05-26-malaba-border-standoff-caused-by-inciters-cs-macharia
https://www.theeastafrican.co.ke/tea/news/east-africa/kenya-uganda-scramble-to-resolve-malaba-border-crisis--1442264
https://www.the-star.co.ke/news/2020-05-26-truckers-reject-transport-ministry-calls-to-resume-work
https://au-pida.org/events/wp-content/uploads/2024/11/One-Stop-Border-Post-OSBP-Status-Report.pdf
https://www.kenyanews.go.ke/drivers-warned-against-blocking-the-road-as-a-way-of-airing-grievances/
https://www.the-star.co.ke/news/2020-05-26-clearing-of-trucks-at-malaba-border-has-started-cs</x:v>
      </x:c>
      <x:c r="O705" s="4" t="str">
        <x:v>Second full-register audit source access, 26 October 2026
https://www.the-star.co.ke/business/kenya/2020-05-21-kenyan-truck-drivers-block-exit-to-uganda: full text (fresh retrieval)
https://www.the-star.co.ke/news/2020-05-22-truckers-protest-uganda-harassment-block-highway: full text (fresh retrieval)
https://www.monitor.co.ug/uganda/news/national/malaba-border-finally-reopens-1891894: full text (fresh retrieval) — Updated 19 July, event relative to original May publication.
https://www.the-star.co.ke/news/2020-05-26-clearing-of-trucks-at-malaba-border-has-started-cs: full text (fresh retrieval) — Five future days concern queue clearance.
https://www.theeastafrican.co.ke/tea/news/east-africa/kenya-uganda-scramble-to-resolve-malaba-border-crisis--1442264: full text (fresh retrieval)
Earlier URLs not separately inspected in this second assessment:
https://www.kenyanews.go.ke/operations-at-malaba-border-post-to-resume-soon/
https://www.the-star.co.ke/news/2020-05-26-malaba-border-standoff-caused-by-inciters-cs-macharia
https://www.the-star.co.ke/news/2020-05-26-truckers-reject-transport-ministry-calls-to-resume-work
https://au-pida.org/events/wp-content/uploads/2024/11/One-Stop-Border-Post-OSBP-Status-Report.pdf
https://www.kenyanews.go.ke/drivers-warned-against-blocking-the-road-as-a-way-of-airing-grievances/
Prior audit access record
Full-register audit source access (evidence cutoff 25 October 2026)
https://www.the-star.co.ke/business/kenya/2020-05-21-kenyan-truck-drivers-block-exit-to-uganda: full text — Website redirects to a sports path; article body remains the relevant historical report.
https://www.the-star.co.ke/news/2020-05-22-truckers-protest-uganda-harassment-block-highway: full text — Caption concerns the approach road, not a distinct permission for international passengers.
https://www.monitor.co.ug/uganda/news/national/malaba-border-finally-reopens-1891894: full text — Updated July 19; event timing is relative to original May 27 publication.
https://www.kenyanews.go.ke/operations-at-malaba-border-post-to-resume-soon/: search extract — Direct retrieval timed out; indexed substantive article inspected. Future wording is not a later exact reopening.
https://www.the-star.co.ke/news/2020-05-26-malaba-border-standoff-caused-by-inciters-cs-macharia: full text — Political attribution is not independent proof of motive.
https://www.theeastafrican.co.ke/tea/news/east-africa/kenya-uganda-scramble-to-resolve-malaba-border-crisis--1442264: full text — Conflicting duration retained; a recommendation to drivers is not observed closure.
https://www.the-star.co.ke/news/2020-05-26-truckers-reject-transport-ministry-calls-to-resume-work: full text — Published before the reported afternoon reopening; repeated driver accounts are not independent operational logs.
https://www.kenyanews.go.ke/drivers-warned-against-blocking-the-road-as-a-way-of-airing-grievances/: search extract — Indexed substantive article; various descriptions of four days and future clearance do not settle all continuity discrepancies.
Earlier source URLs not separately listed in this audit’s retrieval log (historical access notes below are not fresh verification):
https://au-pida.org/events/wp-content/uploads/2024/11/One-Stop-Border-Post-OSBP-Status-Report.pdf
Earlier recorded access
Source 1: full text
Source 2: full text
Source 3: full text</x:v>
      </x:c>
      <x:c r="P705" s="20" t="n">
        <x:v>1</x:v>
      </x:c>
      <x:c r="Q705" s="4" t="str">
        <x:v>Great Lakes</x:v>
      </x:c>
      <x:c r="R705" s="4" t="str">
        <x:v>Included</x:v>
      </x:c>
    </x:row>
    <x:row r="706" ht="318" hidden="0" customHeight="1">
      <x:c r="A706" s="16" t="str">
        <x:v>REC50-R01-004</x:v>
      </x:c>
      <x:c r="B706" s="4" t="str">
        <x:v>Busia traders and clearing agents freight protest on 23 March 2021</x:v>
      </x:c>
      <x:c r="C706" s="4" t="str">
        <x:v>Kenya; Uganda</x:v>
      </x:c>
      <x:c r="D706" s="4" t="str">
        <x:v>Busia
Busia freight passage and processing</x:v>
      </x:c>
      <x:c r="E706" s="4" t="str">
        <x:v>Freight trucks and customs-clearance documents
Direction: Both directions for affected freight
Exceptions: No evidence of universal passenger stoppage</x:v>
      </x:c>
      <x:c r="F706" s="4" t="str">
        <x:v>REC50-R01-004-P1 — Observed operation
Busia freight crossing and clearing paperwork disrupted by traders and clearing agents
Start: 2021-03-23.
Last confirmed: 2021-03-23. Reopening is not established.
confirmed through 2021-03-23; at least 0 calendar-day difference; reopening unknown
Separate later access observation: maize freight and associated clearance from Uganda into Kenya at Busia were operating by 2021-05-10. This is a later access bound for that direction and traffic, not the first ending of the March protest.</x:v>
      </x:c>
      <x:c r="G706" s="4" t="str">
        <x:v>Trade and protectionism / Trade and transport protests
Source-attributed reason; see qualification
Applies to: Scope and phases stated below; no primary rationale or universal overlap inferred
Protesters opposed continued maize restrictions and alleged police impounding/fines; these are their stated demands.</x:v>
      </x:c>
      <x:c r="H706" s="4" t="str">
        <x:v>REC50-R01-004-P1: Several hours describes reported disruption but is not an observed same-day reopening. Passenger restrictions not established. Separate from maize commodity holds.
A May 12, 2021 Daily Monitor report identifies actual maize-truck crossings into Kenya on May 10 and quotes a clearing agent on resumed work. It does not establish the first protest reopening, continuous closure since March 23, reverse-direction freight or passenger access.</x:v>
      </x:c>
      <x:c r="I706" s="4" t="str">
        <x:v>Second full-register audit, 26 October 2026: qualified. The March 23 protest and May 10 maize-freight access bound match the original reports; no first protest-ending date was found.</x:v>
      </x:c>
      <x:c r="J706" s="18" t="d">
        <x:v>2026-10-26T00:00:00.000Z</x:v>
      </x:c>
      <x:c r="K706" s="21" t="str">
        <x:f>IFERROR(HYPERLINK("https://www.monitor.co.ug/uganda/news/national/kenyans-block-border-over-maize-ban-3335844","Daily Monitor"),"Daily Monitor")</x:f>
        <x:v>Daily Monitor</x:v>
      </x:c>
      <x:c r="L706" s="21" t="str">
        <x:f>IFERROR(HYPERLINK("https://au-pida.org/events/wp-content/uploads/2024/11/One-Stop-Border-Post-OSBP-Status-Report.pdf","African Union Programme for Infrastructure Development in Africa"),"African Union Programme for Infrastructure Development in Africa")</x:f>
        <x:v>African Union Programme for Infrastructure Development in Africa</x:v>
      </x:c>
      <x:c r="M706" s="21"/>
      <x:c r="N706" s="4" t="str">
        <x:v>https://www.monitor.co.ug/uganda/news/national/kenyans-block-border-over-maize-ban-3335844
https://au-pida.org/events/wp-content/uploads/2024/11/One-Stop-Border-Post-OSBP-Status-Report.pdf
https://www.monitor.co.ug/uganda/news/national/joy-as-ban-on-ugandan-maize-is-lifted-3397656</x:v>
      </x:c>
      <x:c r="O706" s="4" t="str">
        <x:v>Second full-register audit source access, 26 October 2026
https://www.monitor.co.ug/uganda/news/national/kenyans-block-border-over-maize-ban-3335844: full text (fresh retrieval) — Substantive article body visible before registration wall.
https://www.monitor.co.ug/uganda/news/national/joy-as-ban-on-ugandan-maize-is-lifted-3397656: full text (fresh retrieval)
Earlier URLs not separately inspected in this second assessment:
https://au-pida.org/events/wp-content/uploads/2024/11/One-Stop-Border-Post-OSBP-Status-Report.pdf
Prior audit access record
Full-register audit source access (evidence cutoff 25 October 2026)
https://www.monitor.co.ug/uganda/news/national/kenyans-block-border-over-maize-ban-3335844: full text
https://www.monitor.co.ug/uganda/news/national/joy-as-ban-on-ugandan-maize-is-lifted-3397656: full text
Earlier source URLs not separately listed in this audit’s retrieval log (historical access notes below are not fresh verification):
https://au-pida.org/events/wp-content/uploads/2024/11/One-Stop-Border-Post-OSBP-Status-Report.pdf
Earlier recorded access
Source 1: full text
Source 2: full text</x:v>
      </x:c>
      <x:c r="P706" s="20" t="n">
        <x:v>1</x:v>
      </x:c>
      <x:c r="Q706" s="4" t="str">
        <x:v>Great Lakes</x:v>
      </x:c>
      <x:c r="R706" s="4" t="str">
        <x:v>Included</x:v>
      </x:c>
    </x:row>
    <x:row r="707" ht="409" hidden="0" customHeight="1">
      <x:c r="A707" s="16" t="str">
        <x:v>REC50-R01-005</x:v>
      </x:c>
      <x:c r="B707" s="4" t="str">
        <x:v>Kenyan maize import holds at Busia and Namanga in March–April 2021</x:v>
      </x:c>
      <x:c r="C707" s="4" t="str">
        <x:v>Kenya; Uganda; Tanzania</x:v>
      </x:c>
      <x:c r="D707" s="4" t="str">
        <x:v>Busia; Namanga
Commodity-specific observations at Busia and Namanga; not every crossing</x:v>
      </x:c>
      <x:c r="E707" s="4" t="str">
        <x:v>Maize consignments for Kenya import
Direction: Uganda/Tanzania into Kenya
Exceptions: Other goods and traffic not established as blocked; some consignments returned to origin</x:v>
      </x:c>
      <x:c r="F707" s="4" t="str">
        <x:v>REC50-R01-005-P1 — Observed operation
Ugandan maize stocks awaiting entry into Kenya at Busia
Start: unknown.
Last confirmed: 2021-03-23. Exact first reopening is not established.
dated evidence; numeric duration withheld; see qualification
REC50-R01-005-P2 — Observed operation
Kenyan-owned maize consignments held at Namanga for Kenya entry
Start: unknown.
Last confirmed: 2021-04-07. Exact first reopening is not established.
dated evidence; numeric duration withheld; see qualification
Additional observation: URN documented Busia maize holds and refused consignments on 2021-03-08; this is not a continuous onset inferred from the March 5 policy.
Later access bounds: Busia maize imports into Kenya were operating by 2021-05-10. AFA's director confirmed resumed imports at Namanga by 2021-05-17. Testing and conformity requirements remained. These bounds do not establish first clearance of every previously held consignment or continuous closure between observations.
Separate formal relaxation: Daily Monitor reproduces part of an AFA letter dated 2021-05-07 lifting the maize-import stoppage immediately, while retaining licensing, conformity and food-safety requirements. This policy date is distinct from observed clearances.</x:v>
      </x:c>
      <x:c r="G707" s="4" t="str">
        <x:v>Health and biosecurity / Food safety and contamination
Source-attributed reason
AFA attributed the maize controls to aflatoxin/mycotoxin contamination and food-safety standards. Reports about farmer protection or electoral incentives are not treated as the authority’s stated rationale.</x:v>
      </x:c>
      <x:c r="H707" s="4" t="str">
        <x:v>REC50-R01-005-P1: Do not backdate physical holds to everyday after 5 March policy; no continuous countrywide ban inferred from commodity stocks or ministerial wording.
REC50-R01-005-P2: Return to Tanzania is not Kenya-entry reopening. Minister’s late March denial of a blanket ban coexists with observed holds; no continuous linkage to Busia snapshot or all-goods restriction.
The complete original AFA measures, their implementation scope and first clearance of individual consignments remain unverified. The minister’s denial of a blanket ban and gaps between observations are retained.
The April 12 EastAfrican report's Wednesday spot check supplies an April 7 Namanga observation. The Star displays May 17 and describes a Monday interview despite May 18 in its URL. Later import observations are crossing-specific and retain the safety/certification conditions.</x:v>
      </x:c>
      <x:c r="I707" s="4" t="str">
        <x:v>Second full-register audit, 26 October 2026: additional source-audited corrections incorporated. See the phase, scope and qualification columns for the accepted findings.</x:v>
      </x:c>
      <x:c r="J707" s="18" t="d">
        <x:v>2026-10-26T00:00:00.000Z</x:v>
      </x:c>
      <x:c r="K707" s="21" t="str">
        <x:f>IFERROR(HYPERLINK("https://ugandaradionetwork.net/story/busia-traders-stuck-with-metric-tons-of-maize?districtId=732","Uganda Radio Network"),"Uganda Radio Network")</x:f>
        <x:v>Uganda Radio Network</x:v>
      </x:c>
      <x:c r="L707" s="21" t="str">
        <x:f>IFERROR(HYPERLINK("https://www.monitor.co.ug/uganda/news/national/kenyans-block-border-over-maize-ban-3335844","Daily Monitor"),"Daily Monitor")</x:f>
        <x:v>Daily Monitor</x:v>
      </x:c>
      <x:c r="M707" s="21" t="str">
        <x:f>IFERROR(HYPERLINK("https://www.theeastafrican.co.ke/tea/business-tech/trucks-namanga-maize-exports-3358772","The EastAfrican"),"The EastAfrican")</x:f>
        <x:v>The EastAfrican</x:v>
      </x:c>
      <x:c r="N707" s="4" t="str">
        <x:v>https://ugandaradionetwork.net/story/busia-traders-stuck-with-metric-tons-of-maize?districtId=732
https://www.monitor.co.ug/uganda/news/national/kenyans-block-border-over-maize-ban-3335844
https://www.theeastafrican.co.ke/tea/business-tech/trucks-namanga-maize-exports-3358772
https://www.standardmedia.co.ke/amp/news/article/2001408257/traders-decry-ban-on-maize-imports-from-tz
https://au-pida.org/events/wp-content/uploads/2024/11/One-Stop-Border-Post-OSBP-Status-Report.pdf
https://www.monitor.co.ug/uganda/news/national/joy-as-ban-on-ugandan-maize-is-lifted-3397656
https://www.the-star.co.ke/sports/2021-05-18-kenya-tanzania-uganda-cross-border-maize-trade-resumes
https://ugandaradionetwork.net/a/file.php?fileId=255470</x:v>
      </x:c>
      <x:c r="O707" s="4" t="str">
        <x:v>Second full-register audit source access, 26 October 2026
https://ugandaradionetwork.net/story/busia-traders-stuck-with-metric-tons-of-maize?districtId=732: full text (fresh retrieval)
https://www.monitor.co.ug/uganda/news/national/kenyans-block-border-over-maize-ban-3335844: full text (fresh retrieval)
https://www.theeastafrican.co.ke/tea/business-tech/trucks-namanga-maize-exports-3358772: full text (fresh retrieval)
https://www.monitor.co.ug/uganda/news/national/joy-as-ban-on-ugandan-maize-is-lifted-3397656: full text (fresh retrieval)
https://www.the-star.co.ke/sports/2021-05-18-kenya-tanzania-uganda-cross-border-maize-trade-resumes: full text (fresh retrieval)
Earlier URLs not separately inspected in this second assessment:
https://www.standardmedia.co.ke/amp/news/article/2001408257/traders-decry-ban-on-maize-imports-from-tz
https://au-pida.org/events/wp-content/uploads/2024/11/One-Stop-Border-Post-OSBP-Status-Report.pdf
https://ugandaradionetwork.net/a/file.php?fileId=255470
Prior audit access record
Full-register audit source access (evidence cutoff 25 October 2026)
https://ugandaradionetwork.net/story/busia-traders-stuck-with-metric-tons-of-maize?districtId=732: full text
https://www.standardmedia.co.ke/amp/news/article/2001408257/traders-decry-ban-on-maize-imports-from-tz: full text
https://www.theeastafrican.co.ke/tea/business-tech/trucks-namanga-maize-exports-3358772: full text
https://www.monitor.co.ug/uganda/news/national/joy-as-ban-on-ugandan-maize-is-lifted-3397656: full text
https://www.the-star.co.ke/sports/2021-05-18-kenya-tanzania-uganda-cross-border-maize-trade-resumes: search extract — Full substantive indexed article inspected; direct and alternate URL retrieval failed. Visible date and Monday interview differ from URL date.
https://ugandaradionetwork.net/a/file.php?fileId=255470: inaccessible — Document requires client login; not bypassed.
Earlier source URLs not separately listed in this audit’s retrieval log (historical access notes below are not fresh verification):
https://www.monitor.co.ug/uganda/news/national/kenyans-block-border-over-maize-ban-3335844
https://au-pida.org/events/wp-content/uploads/2024/11/One-Stop-Border-Post-OSBP-Status-Report.pdf
Earlier recorded access
Source 1: indexed extract
Source 2: full text
Source 3: full text</x:v>
      </x:c>
      <x:c r="P707" s="20" t="n">
        <x:v>2</x:v>
      </x:c>
      <x:c r="Q707" s="4" t="str">
        <x:v>East Africa</x:v>
      </x:c>
      <x:c r="R707" s="4" t="str">
        <x:v>Included</x:v>
      </x:c>
    </x:row>
    <x:row r="708" ht="409" hidden="0" customHeight="1">
      <x:c r="A708" s="16" t="str">
        <x:v>REC50-R02-001</x:v>
      </x:c>
      <x:c r="B708" s="4" t="str">
        <x:v>Nathu La pilgrimage cancellation in 2017 and observed resumption in 2018</x:v>
      </x:c>
      <x:c r="C708" s="4" t="str">
        <x:v>India; China</x:v>
      </x:c>
      <x:c r="D708" s="4" t="str">
        <x:v>Nathu La
Nathu La pilgrimage route only</x:v>
      </x:c>
      <x:c r="E708" s="4" t="str">
        <x:v>Indian Kailash Manasarovar pilgrimage groups
Direction: India to China
Exceptions: Other cohorts or traffic are not established as restricted; see current phase qualification.</x:v>
      </x:c>
      <x:c r="F708" s="4" t="str">
        <x:v>REC50-R02-001-P1 — Pilgrimage restriction and season cancellation
Indian officially organised pilgrims entering China through Nathu La
Onset: unknown; refused passage reported by 2017-06-20.
Official Chinese suspension explanation: 2017-06-26.
2017 season cancellation confirmed: 2017-06-30.
The sustained restriction exceeds 24 hours; no continuous winter closure duration is assigned.
REC50-R02-001-P2 — Observed operation
Actual first reported 2018 pilgrimage batch through Nathu La after the cancelled 2017 season
Start: unknown.
Observed scoped reopening: 2018-06-20.
dated evidence; numeric duration withheld; see qualification</x:v>
      </x:c>
      <x:c r="G708" s="4" t="str">
        <x:v>Security / Armed conflict and military confrontation
Attributed official justification
Applies to: REC50-R02-001-P1, the June 2017 suspension and ensuing cancelled pilgrimage season.
China’s Foreign Ministry explicitly stated on 26 June 2017 that officially organised Indian pilgrimage entry through Nathu La was postponed for security concerns in the Doklam standoff. This records China’s explanation without endorsing its contested territorial account. Earlier press accounts also cited bad weather and damaged roads; their relative causal role is unresolved.</x:v>
      </x:c>
      <x:c r="H708" s="4" t="str">
        <x:v>REC50-R02-001-P1: A pilgrim interviewed by NDTV reports the gate was not opened on 20 June and that the group waited two more days. PTI instead describes a weather-related failed attempt on 19 June and refused permission on 23 June. These establish an earlier June restriction, not an exact first legal onset. China’s 26 June Foreign Ministry statement supplies a direct official security explanation; the underlying border instruction remains unavailable. Cancellation of the 2017 season is confirmed on 30 June.
REC50-R02-001-P2: The first reported 2018 batch actually crossed on 20 June 2018. This is later access for pilgrims, not proof of uninterrupted closure between seasons. Other traffic and ordinary winter inactivity are excluded.</x:v>
      </x:c>
      <x:c r="I708" s="4" t="str">
        <x:v>Second full-register audit, 26 October 2026: additional source-audited corrections incorporated. See the phase, scope and qualification columns for the accepted findings.</x:v>
      </x:c>
      <x:c r="J708" s="18" t="d">
        <x:v>2026-10-26T00:00:00.000Z</x:v>
      </x:c>
      <x:c r="K708" s="21" t="str">
        <x:f>IFERROR(HYPERLINK("https://www.business-standard.com/amp/article/pti-stories/kailash-mansarovar-yatra-through-nathu-la-cancelled-official-117063000550_1.html","Business Standard / PTI"),"Business Standard / PTI")</x:f>
        <x:v>Business Standard / PTI</x:v>
      </x:c>
      <x:c r="L708" s="21" t="str">
        <x:f>IFERROR(HYPERLINK("https://cms.rajyasabha.nic.in/UploadedFiles/Debates/OfficialDebatesDatewise/Floor/244/F28.12.2017.pdf","Rajya Sabha / Government of India"),"Rajya Sabha / Government of India")</x:f>
        <x:v>Rajya Sabha / Government of India</x:v>
      </x:c>
      <x:c r="M708" s="21" t="str">
        <x:f>IFERROR(HYPERLINK("https://sansad.in/getFile/loksabhaquestions/annex/14/AU6205.pdf?source=pqals","Lok Sabha / Government of India"),"Lok Sabha / Government of India")</x:f>
        <x:v>Lok Sabha / Government of India</x:v>
      </x:c>
      <x:c r="N708" s="4" t="str">
        <x:v>https://www.business-standard.com/amp/article/pti-stories/kailash-mansarovar-yatra-through-nathu-la-cancelled-official-117063000550_1.html
https://cms.rajyasabha.nic.in/UploadedFiles/Debates/OfficialDebatesDatewise/Floor/244/F28.12.2017.pdf
https://sansad.in/getFile/loksabhaquestions/annex/14/AU6205.pdf?source=pqals
https://www.ndtv.com/india-news/kailash-mansarovar-pilgrims-cross-over-to-china-from-nathu-la-1870709
https://www.openstreetmap.org/node/3179568394
https://www.fmprc.gov.cn/eng./xw/fyrbt/fyrbt/202405/t20240530_11349535.html
https://www.ndtv.com/india-news/kailash-mansarovar-yatra-pilgrims-turn-back-after-china-denies-entry-1716800
https://www.newindianexpress.com/india/2017/Jun/24/china-denies-entry-to-kailash-mansarovar-pilgrims-from-india-1620470.html</x:v>
      </x:c>
      <x:c r="O708" s="4" t="str">
        <x:v>Second full-register audit source access, 26 October 2026
https://www.fmprc.gov.cn/eng./xw/fyrbt/fyrbt/202405/t20240530_11349535.html: full text (fresh retrieval) — URL migration contains 2024, but article displays 26 June 2017.
https://www.ndtv.com/india-news/kailash-mansarovar-yatra-pilgrims-turn-back-after-china-denies-entry-1716800: full text (fresh retrieval)
https://www.newindianexpress.com/india/2017/Jun/24/china-denies-entry-to-kailash-mansarovar-pilgrims-from-india-1620470.html: full text (fresh retrieval)
https://www.business-standard.com/amp/article/pti-stories/kailash-mansarovar-yatra-through-nathu-la-cancelled-official-117063000550_1.html: full text (fresh retrieval)
https://www.ndtv.com/india-news/kailash-mansarovar-pilgrims-cross-over-to-china-from-nathu-la-1870709: full text (fresh retrieval)
Earlier URLs not separately inspected in this second assessment:
https://cms.rajyasabha.nic.in/UploadedFiles/Debates/OfficialDebatesDatewise/Floor/244/F28.12.2017.pdf
https://sansad.in/getFile/loksabhaquestions/annex/14/AU6205.pdf?source=pqals
https://www.openstreetmap.org/node/3179568394
Prior audit access record
Full-register audit source access (evidence cutoff 25 October 2026)
https://www.business-standard.com/amp/article/pti-stories/kailash-mansarovar-yatra-through-nathu-la-cancelled-official-117063000550_1.html: full text — First refusal not dated exactly
https://cms.rajyasabha.nic.in/UploadedFiles/Debates/OfficialDebatesDatewise/Floor/244/F28.12.2017.pdf: full text — Retrospective; no underlying Chinese order
https://www.ndtv.com/india-news/kailash-mansarovar-pilgrims-cross-over-to-china-from-nathu-la-1870709: full text — Cohort-specific; not other freight/travel
https://sansad.in/getFile/loksabhaquestions/annex/14/AU6205.pdf?source=pqals: full text — Plan not actual crossing
Earlier source URLs not separately listed in this audit’s retrieval log (historical access notes below are not fresh verification):
https://www.openstreetmap.org/node/3179568394
Earlier recorded access
Source 1: full text
Source 2: full text
Source 3: full text</x:v>
      </x:c>
      <x:c r="P708" s="20" t="n">
        <x:v>2</x:v>
      </x:c>
      <x:c r="Q708" s="4" t="str">
        <x:v>South Asia</x:v>
      </x:c>
      <x:c r="R708" s="4" t="str">
        <x:v>Included</x:v>
      </x:c>
    </x:row>
    <x:row r="709" ht="409" hidden="0" customHeight="1">
      <x:c r="A709" s="16" t="str">
        <x:v>REC50-R02-002</x:v>
      </x:c>
      <x:c r="B709" s="4" t="str">
        <x:v>Nepal–China traditional border-point restrictions and staged restoration in May 2024</x:v>
      </x:c>
      <x:c r="C709" s="4" t="str">
        <x:v>Nepal; China</x:v>
      </x:c>
      <x:c r="D709" s="4" t="str">
        <x:v>Traditional points in six districts; Tiptala individually evidenced
Traditional local crossing network; one separately observed Tiptala phase</x:v>
      </x:c>
      <x:c r="E709" s="4" t="str">
        <x:v>Local residents and traditional traders
Direction: Point-specific; Tiptala observed Nepal to China
Exceptions: Other cohorts or traffic are not established as restricted; see current phase qualification.</x:v>
      </x:c>
      <x:c r="F709" s="4" t="str">
        <x:v>REC50-R02-002-P1 — Formal policy
Formal restoration announced for seven traditional Nepal–China points in six districts on May 25, 2024
Start: unknown.
Policy endpoint: 2024-05-25.
Formal policy: dated evidence; numeric duration withheld; see qualification
REC50-R02-002-P2 — Observed operation
Tiptala: observed entry into China by thirty Nepali traders on May 24, 2024
Start: unknown.
Observed scoped reopening: 2024-05-24.
dated evidence; numeric duration withheld; see qualification</x:v>
      </x:c>
      <x:c r="G709" s="4" t="str">
        <x:v>Health and biosecurity / Human disease control
Reported government COVID prevention explanation in retrospective reporting; original shutdown order not retrieved
Applies to: Read linked phase scopes; no extra rationale inferred for unobserved intervals.
Code the reported initial COVID restriction only. Do not extend a health explanation to every later delay or count a ceremony as universal implementation.</x:v>
      </x:c>
      <x:c r="H709" s="4" t="str">
        <x:v>REC50-R02-002-P1: The original shutdown is reported at month/year precision only and the full ministry PDF could not be fetched. No gate-by-gate operation or universal fourteen-point reopening is inferred.
REC50-R02-002-P2: Earlier reopening agreements are not actual passage. The exact prior shutdown date and uninterrupted duration are unestablished; the planned ten-day visit is not closure length.
Original onset, gate-specific implementation and source access: Seven-immediate wording is available only as an indexed official extract; individual implementation dates for the other traditional points are unresolved.</x:v>
      </x:c>
      <x:c r="I709" s="4" t="str">
        <x:v>Second full-register audit, 26 October 2026: qualified. The seven-immediate versus fourteen-announced distinction remains essential. Tiptala actual passage on 24 May is separately corroborated; exact shutdown and other gate implementations remain unresolved.</x:v>
      </x:c>
      <x:c r="J709" s="18" t="d">
        <x:v>2026-10-26T00:00:00.000Z</x:v>
      </x:c>
      <x:c r="K709" s="21" t="str">
        <x:f>IFERROR(HYPERLINK("https://giwmscdnone.gov.np/media/pdf_upload/Press%20Release%20on%20border%20reopening_iyxuait.pdf","Nepal Ministry of Foreign Affairs"),"Nepal Ministry of Foreign Affairs")</x:f>
        <x:v>Nepal Ministry of Foreign Affairs</x:v>
      </x:c>
      <x:c r="L709" s="21" t="str">
        <x:f>IFERROR(HYPERLINK("https://radionepalonline.com/en/2024/05/25/379280.html","Radio Nepal"),"Radio Nepal")</x:f>
        <x:v>Radio Nepal</x:v>
      </x:c>
      <x:c r="M709" s="21" t="str">
        <x:f>IFERROR(HYPERLINK("https://kathmandupost.com/national/2024/05/26/14-trading-points-along-nepal-china-border-reopen","The Kathmandu Post"),"The Kathmandu Post")</x:f>
        <x:v>The Kathmandu Post</x:v>
      </x:c>
      <x:c r="N709" s="4" t="str">
        <x:v>https://giwmscdnone.gov.np/media/pdf_upload/Press%20Release%20on%20border%20reopening_iyxuait.pdf
https://radionepalonline.com/en/2024/05/25/379280.html
https://kathmandupost.com/national/2024/05/26/14-trading-points-along-nepal-china-border-reopen
https://english.www.gov.cn/news/202405/26/content_WS665274ecc6d0868f4e8e774d.html
https://myrepublica.nagariknetwork.com/news/tiptala-border-transit-point-resumes-from-today/
https://www.openstreetmap.org/node/990378815
https://www.openstreetmap.org/way/886799978</x:v>
      </x:c>
      <x:c r="O709" s="4" t="str">
        <x:v>Second full-register audit source access, 26 October 2026
https://giwmscdnone.gov.np/media/pdf_upload/Press%20Release%20on%20border%20reopening_iyxuait.pdf: inaccessible (fresh retrieval) — Direct PDF and replacement ministry page timed out.
https://radionepalonline.com/en/2024/05/25/379280.html: search extract (fresh retrieval) — Direct page timeout; substantive indexed article.
https://kathmandupost.com/national/2024/05/26/14-trading-points-along-nepal-china-border-reopen: full text (fresh retrieval) — Headline and summary broader than seven immediate points.
https://myrepublica.nagariknetwork.com/news/tiptala-border-transit-point-resumes-from-today/: search extract (fresh retrieval) — Direct page 503; substantial indexed article.
Earlier URLs not separately inspected in this second assessment:
https://english.www.gov.cn/news/202405/26/content_WS665274ecc6d0868f4e8e774d.html
https://www.openstreetmap.org/node/990378815
https://www.openstreetmap.org/way/886799978
Prior audit access record
Full-register audit source access (evidence cutoff 25 October 2026)
https://giwmscdnone.gov.np/media/pdf_upload/Press%20Release%20on%20border%20reopening_iyxuait.pdf: search extract — Direct PDF timeout; substantive indexed text inspected
https://myrepublica.nagariknetwork.com/news/tiptala-border-transit-point-resumes-from-today/: full text — No exact original onset
https://radionepalonline.com/en/2024/05/25/379280.html: search extract — Headline broader than body; direct timeout
Earlier source URLs not separately listed in this audit’s retrieval log (historical access notes below are not fresh verification):
https://kathmandupost.com/national/2024/05/26/14-trading-points-along-nepal-china-border-reopen
https://english.www.gov.cn/news/202405/26/content_WS665274ecc6d0868f4e8e774d.html
https://www.openstreetmap.org/node/990378815
https://www.openstreetmap.org/way/886799978
Earlier recorded access
Source 1: indexed extract
Source 2: indexed extract
Source 3: full text</x:v>
      </x:c>
      <x:c r="P709" s="20" t="n">
        <x:v>2</x:v>
      </x:c>
      <x:c r="Q709" s="4" t="str">
        <x:v>South Asia</x:v>
      </x:c>
      <x:c r="R709" s="4" t="str">
        <x:v>Included</x:v>
      </x:c>
    </x:row>
    <x:row r="710" ht="409" hidden="0" customHeight="1">
      <x:c r="A710" s="16" t="str">
        <x:v>REC50-R02-003</x:v>
      </x:c>
      <x:c r="B710" s="4" t="str">
        <x:v>Hilsa restriction on Indian pilgrimage travel and observed restoration by July 2025</x:v>
      </x:c>
      <x:c r="C710" s="4" t="str">
        <x:v>Nepal; China</x:v>
      </x:c>
      <x:c r="D710" s="4" t="str">
        <x:v>Hilsa–Purang
Hilsa–Purang route for Indian pilgrimage travellers</x:v>
      </x:c>
      <x:c r="E710" s="4" t="str">
        <x:v>Indian Kailash–Mansarovar pilgrims
Direction: Nepal to China
Exceptions: Other cohorts or traffic are not established as restricted; see current phase qualification.</x:v>
      </x:c>
      <x:c r="F710" s="4" t="str">
        <x:v>REC50-R02-003-P1 — Pilgrimage access restriction and later observed return
Indian Kailash–Mansarovar pilgrims entering China through Hilsa
Reported onset: 2020-03-01 to 2020-03-31, month-level retrospective account.
Restriction confirmed: 2025-05-01.
Observed scoped reopening: by 2025-07-02; exact first crossing unknown.
The sustained pilgrimage restriction exceeds 24 hours. No continuous five-year operational total is assigned because the route is seasonal and reports mix permissions, airport arrivals and completed crossings.</x:v>
      </x:c>
      <x:c r="G710" s="4" t="str">
        <x:v>Health and biosecurity / Human disease control
Reported initial COVID explanation; later geopolitical context is journalistic attribution
Applies to: Read linked phase scopes; no extra rationale inferred for unobserved intervals.
Code the initial reported COVID restriction only. Do not assign interstate pressure as an official whole-period rationale or treat all Hilsa movements as prohibited.</x:v>
      </x:c>
      <x:c r="H710" s="4" t="str">
        <x:v>REC50-R02-003-P1: The Kathmandu Post’s 1 May 2025 report explicitly dates closure of the pilgrimage route to March 2020 and describes continuing exclusion of Indian pilgrims. This supplies a qualified month-level onset, not an exact day or a claim that every Hilsa movement was prohibited. Other Humla traffic was reported open in 2023. Completed Indian pilgrim passage is evidenced by 2 July 2025. Mid-March airport arrivals and June permission language do not establish the first Hilsa crossing. The route normally serves an April–September season, so no five-year uninterrupted operational duration or ordinary winter closure total is inferred. The original restriction order remains unavailable.</x:v>
      </x:c>
      <x:c r="I710" s="4" t="str">
        <x:v>Second full-register audit, 26 October 2026: additional source-audited corrections incorporated. See the phase, scope and qualification columns for the accepted findings.</x:v>
      </x:c>
      <x:c r="J710" s="18" t="d">
        <x:v>2026-10-26T00:00:00.000Z</x:v>
      </x:c>
      <x:c r="K710" s="21" t="str">
        <x:f>IFERROR(HYPERLINK("https://english.onlinekhabar.com/546-indian-pilgrims-visit-mount-kailash-via-humla-post-covid-photos.html","OnlineKhabar"),"OnlineKhabar")</x:f>
        <x:v>OnlineKhabar</x:v>
      </x:c>
      <x:c r="L710" s="21" t="str">
        <x:f>IFERROR(HYPERLINK("https://kathmandupost.com/nepali-diaspora/2025/07/14/kailash-pilgrims-breathe-new-life-into-nepal-s-mountain-economy","The Kathmandu Post"),"The Kathmandu Post")</x:f>
        <x:v>The Kathmandu Post</x:v>
      </x:c>
      <x:c r="M710" s="21" t="str">
        <x:f>IFERROR(HYPERLINK("https://kathmandupost.com/money/2023/11/12/beijing-to-reopen-fourth-border-point-with-nepal","The Kathmandu Post"),"The Kathmandu Post")</x:f>
        <x:v>The Kathmandu Post</x:v>
      </x:c>
      <x:c r="N710" s="4" t="str">
        <x:v>https://english.onlinekhabar.com/546-indian-pilgrims-visit-mount-kailash-via-humla-post-covid-photos.html
https://kathmandupost.com/nepali-diaspora/2025/07/14/kailash-pilgrims-breathe-new-life-into-nepal-s-mountain-economy
https://kathmandupost.com/money/2023/11/12/beijing-to-reopen-fourth-border-point-with-nepal
https://www.openstreetmap.org/node/2191097268
https://www.openstreetmap.org/node/7051099395
https://www.openstreetmap.org/node/7051099394
https://kathmandupost.com/sudurpaschim-province/2025/05/01/hilsa-border-quiet-for-fifth-year-as-manasarovar-pilgrimage-stays-closed</x:v>
      </x:c>
      <x:c r="O710" s="4" t="str">
        <x:v>Second full-register audit source access, 26 October 2026
https://kathmandupost.com/sudurpaschim-province/2025/05/01/hilsa-border-quiet-for-fifth-year-as-manasarovar-pilgrimage-stays-closed: full text (fresh retrieval) — Retrospective month, not original instruction.
https://english.onlinekhabar.com/546-indian-pilgrims-visit-mount-kailash-via-humla-post-covid-photos.html: full text (fresh retrieval) — Airport arrival date is not first border crossing.
https://kathmandupost.com/nepali-diaspora/2025/07/14/kailash-pilgrims-breathe-new-life-into-nepal-s-mountain-economy: full text (fresh retrieval) — Does not date first crossing.
https://kathmandupost.com/money/2023/11/12/beijing-to-reopen-fourth-border-point-with-nepal: full text (fresh retrieval) — Different cohort scope.
Earlier URLs not separately inspected in this second assessment:
https://www.openstreetmap.org/node/2191097268
https://www.openstreetmap.org/node/7051099395
https://www.openstreetmap.org/node/7051099394
Prior audit access record
Full-register audit source access (evidence cutoff 25 October 2026)
https://kathmandupost.com/sudurpaschim-province/2025/05/01/hilsa-border-quiet-for-fifth-year-as-manasarovar-pilgrimage-stays-closed: full text — Retrospective onset wording and separate claims about general reopening are not converted into exact operational dates.
https://english.onlinekhabar.com/546-indian-pilgrims-visit-mount-kailash-via-humla-post-covid-photos.html: full text — Does not date the first actual Hilsa crossing.
https://kathmandupost.com/nepali-diaspora/2025/07/14/kailash-pilgrims-breathe-new-life-into-nepal-s-mountain-economy: full text — Permission does not give an exact first crossing.
https://kathmandupost.com/money/2023/11/12/beijing-to-reopen-fourth-border-point-with-nepal: full text — Not the Indian pilgrimage cohort.
Earlier source URLs not separately listed in this audit’s retrieval log (historical access notes below are not fresh verification):
https://www.openstreetmap.org/node/2191097268
https://www.openstreetmap.org/node/7051099395
https://www.openstreetmap.org/node/7051099394
Earlier recorded access
Source 1: full text
Source 2: full text
Source 3: full text</x:v>
      </x:c>
      <x:c r="P710" s="20" t="n">
        <x:v>1</x:v>
      </x:c>
      <x:c r="Q710" s="4" t="str">
        <x:v>South Asia</x:v>
      </x:c>
      <x:c r="R710" s="4" t="str">
        <x:v>Included</x:v>
      </x:c>
    </x:row>
    <x:row r="711" ht="342" hidden="0" customHeight="1">
      <x:c r="A711" s="16" t="str">
        <x:v>REC50-R02-004</x:v>
      </x:c>
      <x:c r="B711" s="4" t="str">
        <x:v>Benapole–Petrapole freight strike over return of a driver’s body, October 12, 2023</x:v>
      </x:c>
      <x:c r="C711" s="4" t="str">
        <x:v>Bangladesh; India</x:v>
      </x:c>
      <x:c r="D711" s="4" t="str">
        <x:v>Benapole–Petrapole
Cross-border freight through Benapole–Petrapole only</x:v>
      </x:c>
      <x:c r="E711" s="4" t="str">
        <x:v>Cross-border freight trucks
Direction: Both freight directions as reported
Exceptions: Other cohorts or traffic are not established as restricted; see current phase qualification.</x:v>
      </x:c>
      <x:c r="F711" s="4" t="str">
        <x:v>REC50-R02-004-P1 — Observed operation
Benapole–Petrapole cross-border freight strike seeking return of a driver’s body on October 12, 2023
Start: 2023-10-12.
Observed scoped reopening: 2023-10-12.
dated evidence; numeric duration withheld; see qualification</x:v>
      </x:c>
      <x:c r="G711" s="4" t="str">
        <x:v>Policy and socioeconomic demands / Rights and other policy grievances
Workers’ and union representatives’ stated demand, reported by local correspondents
Applies to: Read linked phase scopes; no extra rationale inferred for unobserved intervals.
The stated demand was return of the deceased driver’s body. Do not label the action a state protectionist policy or infer a passenger closure.</x:v>
      </x:c>
      <x:c r="H711" s="4" t="str">
        <x:v>REC50-R02-004-P1: Freight was interrupted and resumed on October 12, 2023. Bengali reports differ between 09:00–17:00 and approximately 09:00–18:00; an English report also differs on onset and still describes an ongoing strike. Retain a same-day event, with no selected exact hours or whole-day duration. Passenger restriction is not established.
Clock onset and endpoint: Eight- and nine-hour restart accounts conflict; the Daily Star also describes a different onset and an ongoing state.</x:v>
      </x:c>
      <x:c r="I711" s="4" t="str">
        <x:v>Second full-register audit, 26 October 2026: qualified. Bengali restart accounts confirm a same-day freight strike on 12 October 2023. Their eight- versus nine-hour difference does not affect exclusion from the greater-than-24-hour subset.</x:v>
      </x:c>
      <x:c r="J711" s="18" t="d">
        <x:v>2026-10-26T00:00:00.000Z</x:v>
      </x:c>
      <x:c r="K711" s="21" t="str">
        <x:f>IFERROR(HYPERLINK("https://www.jagonews24.com/country/news/891791","Jago News24"),"Jago News24")</x:f>
        <x:v>Jago News24</x:v>
      </x:c>
      <x:c r="L711" s="21" t="str">
        <x:f>IFERROR(HYPERLINK("https://www.ajkerpatrika.com/bangladesh/khulna/ajpcwu0ito1nd","Ajker Patrika"),"Ajker Patrika")</x:f>
        <x:v>Ajker Patrika</x:v>
      </x:c>
      <x:c r="M711" s="21" t="str">
        <x:f>IFERROR(HYPERLINK("https://www.thedailystar.net/news/bangladesh/rights/news/truck-workers-strike-suspends-trade-benapole-port-3441536","The Daily Star"),"The Daily Star")</x:f>
        <x:v>The Daily Star</x:v>
      </x:c>
      <x:c r="N711" s="4" t="str">
        <x:v>https://www.jagonews24.com/country/news/891791
https://www.ajkerpatrika.com/bangladesh/khulna/ajpcwu0ito1nd
https://www.thedailystar.net/news/bangladesh/rights/news/truck-workers-strike-suspends-trade-benapole-port-3441536
https://www.openstreetmap.org/node/7557117257
https://www.lpai.gov.in/en/icp-petrapole</x:v>
      </x:c>
      <x:c r="O711" s="4" t="str">
        <x:v>Second full-register audit source access, 26 October 2026
https://www.jagonews24.com/country/news/891791: full text (fresh retrieval)
https://www.ajkerpatrika.com/bangladesh/khulna/ajpcwu0ito1nd: full text (fresh retrieval)
https://www.thedailystar.net/news/bangladesh/rights/news/truck-workers-strike-suspends-trade-benapole-port-3441536: full text (fresh retrieval) — Does not capture subsequent lifting.
Earlier URLs not separately inspected in this second assessment:
https://www.openstreetmap.org/node/7557117257
https://www.lpai.gov.in/en/icp-petrapole
Prior audit access record
Full-register audit source access (evidence cutoff 25 October 2026)
https://www.jagonews24.com/country/news/891791: full text
https://www.ajkerpatrika.com/bangladesh/khulna/ajpcwu0ito1nd: full text
https://www.thedailystar.net/news/bangladesh/rights/news/truck-workers-strike-suspends-trade-benapole-port-3441536: full text
Earlier source URLs not separately listed in this audit’s retrieval log (historical access notes below are not fresh verification):
https://www.openstreetmap.org/node/7557117257
https://www.lpai.gov.in/en/icp-petrapole
Earlier recorded access
Source 1: full text
Source 2: full text
Source 3: full text</x:v>
      </x:c>
      <x:c r="P711" s="20" t="n">
        <x:v>1</x:v>
      </x:c>
      <x:c r="Q711" s="4" t="str">
        <x:v>South Asia</x:v>
      </x:c>
      <x:c r="R711" s="4" t="str">
        <x:v>Included</x:v>
      </x:c>
    </x:row>
    <x:row r="712" ht="409" hidden="0" customHeight="1">
      <x:c r="A712" s="16" t="str">
        <x:v>REC50-R02-005</x:v>
      </x:c>
      <x:c r="B712" s="4" t="str">
        <x:v>Korala pandemic-era access restriction and local-passholder restoration in November 2023</x:v>
      </x:c>
      <x:c r="C712" s="4" t="str">
        <x:v>Nepal; China</x:v>
      </x:c>
      <x:c r="D712" s="4" t="str">
        <x:v>Korala
Korala crossing for eligible residents of two border municipalities</x:v>
      </x:c>
      <x:c r="E712" s="4" t="str">
        <x:v>Residents of Lo Manthang and Lo-Ghekar Damodar Kunda holding border-area passes
Direction: Nepal to China observed
Exceptions: Other cohorts or traffic are not established as restricted; see current phase qualification.</x:v>
      </x:c>
      <x:c r="F712" s="4" t="str">
        <x:v>REC50-R02-005-P1 — Observed operation
Korala local-passholder access for residents of Lo Manthang and Lo-Ghekar Damodar Kunda
Start: unknown.
Observed scoped reopening: 2023-11-13 to 2023-11-14.
dated evidence; numeric duration withheld; see qualification</x:v>
      </x:c>
      <x:c r="G712" s="4" t="str">
        <x:v>Health and biosecurity / Human disease control
Local-official and press accounts attribute the interruption to COVID; initial restriction order not retrieved
Applies to: Read linked phase scopes; no extra rationale inferred for unobserved intervals.
Retain the reported COVID explanation with attribution. Do not infer that routine off-season trade-fair gaps were pandemic closure-days.</x:v>
      </x:c>
      <x:c r="H712" s="4" t="str">
        <x:v>REC50-R02-005-P1: Korala’s November 13, 2023 inauguration is separate from evidence that residents with passes had begun visiting China by the November 14 report. The actual local-passholder endpoint is bounded November 13–14. Ordinary tourists and unrestricted freight are not established as reopened. Conflicting coarse onset accounts and pre-existing twice-yearly trading arrangements prevent a continuous four-year operational duration.
Onset and precise cohort implementation: Sources give 2076 BS, 2019 and early 2020 rather than a consistent exact shutdown day. Actual passage is reported after the formal opening, without a separately timestamped first traveller.</x:v>
      </x:c>
      <x:c r="I712" s="4" t="str">
        <x:v>Second full-register audit, 26 October 2026: qualified. Local-passholder restoration by 14 November 2023 is supported. The conflicting coarse onset accounts and earlier seasonal trade-fair regime still prevent a precise continuous duration.</x:v>
      </x:c>
      <x:c r="J712" s="18" t="d">
        <x:v>2026-10-26T00:00:00.000Z</x:v>
      </x:c>
      <x:c r="K712" s="21" t="str">
        <x:f>IFERROR(HYPERLINK("https://english.nepalpress.com/2023/11/14/korala-check-point-in-mustang-comes-into-operation-after-four-years/","Nepal Press"),"Nepal Press")</x:f>
        <x:v>Nepal Press</x:v>
      </x:c>
      <x:c r="L712" s="21" t="str">
        <x:f>IFERROR(HYPERLINK("https://kathmandupost.com/money/2023/11/12/beijing-to-reopen-fourth-border-point-with-nepal","The Kathmandu Post"),"The Kathmandu Post")</x:f>
        <x:v>The Kathmandu Post</x:v>
      </x:c>
      <x:c r="M712" s="21" t="str">
        <x:f>IFERROR(HYPERLINK("https://en.himalpress.com/korala-border-crossing-to-reopen-on-nov-13/","HimalPress / RSS"),"HimalPress / RSS")</x:f>
        <x:v>HimalPress / RSS</x:v>
      </x:c>
      <x:c r="N712" s="4" t="str">
        <x:v>https://english.nepalpress.com/2023/11/14/korala-check-point-in-mustang-comes-into-operation-after-four-years/
https://kathmandupost.com/money/2023/11/12/beijing-to-reopen-fourth-border-point-with-nepal
https://en.himalpress.com/korala-border-crossing-to-reopen-on-nov-13/
https://theannapurnaexpress.com/story/46615/
https://kathmandupost.com/national/2024/05/26/14-trading-points-along-nepal-china-border-reopen
https://giwmscdnone.gov.np/media/pdf_upload/Press%20Release%20on%20border%20reopening_iyxuait.pdf
https://www.openstreetmap.org/node/3572998512
https://www.openstreetmap.org/way/570690907
https://www.openstreetmap.org/way/351977110
https://www.openstreetmap.org/way/1447956050</x:v>
      </x:c>
      <x:c r="O712" s="4" t="str">
        <x:v>Second full-register audit source access, 26 October 2026
https://theannapurnaexpress.com/story/46615/: full text (fresh retrieval)
https://en.himalpress.com/korala-border-crossing-to-reopen-on-nov-13/: full text (fresh retrieval) — Prospective opening not itself implementation.
https://kathmandupost.com/money/2023/11/12/beijing-to-reopen-fourth-border-point-with-nepal: full text (fresh retrieval) — Prospective opening.
Earlier URLs not separately inspected in this second assessment:
https://english.nepalpress.com/2023/11/14/korala-check-point-in-mustang-comes-into-operation-after-four-years/
https://kathmandupost.com/national/2024/05/26/14-trading-points-along-nepal-china-border-reopen
https://giwmscdnone.gov.np/media/pdf_upload/Press%20Release%20on%20border%20reopening_iyxuait.pdf
https://www.openstreetmap.org/node/3572998512
https://www.openstreetmap.org/way/570690907
https://www.openstreetmap.org/way/351977110
https://www.openstreetmap.org/way/1447956050
Prior audit access record
Full-register audit source access (evidence cutoff 25 October 2026)
https://english.nepalpress.com/2023/11/14/korala-check-point-in-mustang-comes-into-operation-after-four-years/: inaccessible — 403; recovered same report through Annapurna
https://theannapurnaexpress.com/story/46615/: full text
https://en.himalpress.com/korala-border-crossing-to-reopen-on-nov-13/: full text
https://kathmandupost.com/money/2023/11/12/beijing-to-reopen-fourth-border-point-with-nepal: full text
Earlier source URLs not separately listed in this audit’s retrieval log (historical access notes below are not fresh verification):
https://kathmandupost.com/national/2024/05/26/14-trading-points-along-nepal-china-border-reopen
https://giwmscdnone.gov.np/media/pdf_upload/Press%20Release%20on%20border%20reopening_iyxuait.pdf
https://www.openstreetmap.org/node/3572998512
https://www.openstreetmap.org/way/570690907
https://www.openstreetmap.org/way/351977110
https://www.openstreetmap.org/way/1447956050
Earlier recorded access
Source 1: full text; unavailable
Source 2: full text
Source 3: full text</x:v>
      </x:c>
      <x:c r="P712" s="20" t="n">
        <x:v>1</x:v>
      </x:c>
      <x:c r="Q712" s="4" t="str">
        <x:v>South Asia</x:v>
      </x:c>
      <x:c r="R712" s="4" t="str">
        <x:v>Included</x:v>
      </x:c>
    </x:row>
    <x:row r="713" ht="409" hidden="0" customHeight="1">
      <x:c r="A713" s="16" t="str">
        <x:v>REC50-R03-001</x:v>
      </x:c>
      <x:c r="B713" s="4" t="str">
        <x:v>Ukraine wartime outward-travel restrictions for male-citizen cohorts, with August 2025 age exemption</x:v>
      </x:c>
      <x:c r="C713" s="4" t="str">
        <x:v>Ukraine</x:v>
      </x:c>
      <x:c r="D713" s="4" t="str">
        <x:v>National outward-travel cohort rule; applies to exit through land borders without establishing the operating status of each post</x:v>
      </x:c>
      <x:c r="E713" s="4" t="str">
        <x:v>Specified non-exempt male Ukrainian citizens
Direction: Outward from Ukraine
Exceptions: Exemptions for defined circumstances; from 28 August 2025 most 18–22-year-old men permitted with documents; specified office holders remain restricted</x:v>
      </x:c>
      <x:c r="F713" s="4" t="str">
        <x:v>REC50-R03-001-P1 — Formal policy
Ukrainian male citizens aged 18–60: general outward-travel restriction under martial law, with exemptions
Start: 2022-02-24.
Policy endpoint: 2025-08-28.
Formal policy: dated evidence; numeric duration withheld; see qualification
REC50-R03-001-P2 — Formal policy
Remaining general outward restriction for non-exempt Ukrainian male citizens aged 23–60 after the 18–22 exemption
Start: 2025-08-28.
Last confirmed: 2025-09-11. Reopening is not established.
Formal policy: dated evidence; numeric duration withheld; see qualification</x:v>
      </x:c>
      <x:c r="G713" s="4" t="str">
        <x:v>Security / Armed conflict and military confrontation
Source-attributed reason; see qualification
Applies to: Scope and phases stated below; no primary rationale or universal overlap inferred
Authorities explicitly connect the exit rule to martial law following the invasion; the exit-control mechanism is not separately inferred as an unstated motive.</x:v>
      </x:c>
      <x:c r="H713" s="4" t="str">
        <x:v>P1 began February 24, 2022 and ends only as a policy version on August 28, 2025, when the general 18–22 cohort exemption took effect. Resolution 1031 is the operative amendment; the district source’s 1030 reference is erroneous. This did not reopen travel for every male citizen or every crossing. P2 retains restrictions for non-exempt male citizens aged 23–60, with office-holder and other qualifications. April 1, 2026 official guidance confirms special permission procedures for male media professionals; September 29, 2026 reporting describes continuing older-cohort restrictions. These later observations do not reconstruct every exemption amendment or prove unchanged continuous operation. Mobilisation eligibility is distinct from permission to leave.</x:v>
      </x:c>
      <x:c r="I713" s="4" t="str">
        <x:v>Second full-register audit, 26 October 2026: qualified. Original February 24, 2022 onset and August 28, 2025 cohort change remain supported; later professional-exemption guidance is not a new general onset.</x:v>
      </x:c>
      <x:c r="J713" s="18" t="d">
        <x:v>2026-10-26T00:00:00.000Z</x:v>
      </x:c>
      <x:c r="K713" s="21" t="str">
        <x:f>IFERROR(HYPERLINK("https://mvs.gov.ua/en/news/shhodo-obmezen-v-peretini-kordonu-na-viyizd-z-ukrayini-okremoyu-kategorijeyu-gromadyan","Ministry of Internal Affairs of Ukraine / State Border Guard Service"),"Ministry of Internal Affairs of Ukraine / State Border Guard Service")</x:f>
        <x:v>Ministry of Internal Affairs of Ukraine / State Border Guard Service</x:v>
      </x:c>
      <x:c r="L713" s="21" t="str">
        <x:f>IFERROR(HYPERLINK("https://www.kmu.gov.ua/news/pro-osoblivosti-peretinannya-kordonu-pid-chas-diyi-pravovogo-rezhimu-voyennogo-stanu","Cabinet of Ministers / State Border Guard Service"),"Cabinet of Ministers / State Border Guard Service")</x:f>
        <x:v>Cabinet of Ministers / State Border Guard Service</x:v>
      </x:c>
      <x:c r="M713" s="21" t="str">
        <x:f>IFERROR(HYPERLINK("https://www.kmu.gov.ua/en/news/roziasnennia-mvs-shchodo-vyizdu-za-kordon-cholovikiv-vikom-18-22-rokiv-vkliuchno","Cabinet of Ministers / Ministry of Internal Affairs of Ukraine"),"Cabinet of Ministers / Ministry of Internal Affairs of Ukraine")</x:f>
        <x:v>Cabinet of Ministers / Ministry of Internal Affairs of Ukraine</x:v>
      </x:c>
      <x:c r="N713" s="4" t="str">
        <x:v>https://mvs.gov.ua/en/news/shhodo-obmezen-v-peretini-kordonu-na-viyizd-z-ukrayini-okremoyu-kategorijeyu-gromadyan
https://www.kmu.gov.ua/news/pro-osoblivosti-peretinannya-kordonu-pid-chas-diyi-pravovogo-rezhimu-voyennogo-stanu
https://www.kmu.gov.ua/en/news/roziasnennia-mvs-shchodo-vyizdu-za-kordon-cholovikiv-vikom-18-22-rokiv-vkliuchno
https://zakon.rada.gov.ua/laws/show/1031-2025-%D0%BF
https://koradm.cg.gov.ua/index.php?id=527904&amp;tp=page
https://www.gov.uk/government/publications/ukraine-country-policy-and-information-notes/country-policy-and-information-note-military-service-ukraine-june-2022-accessible
https://zakon.rada.gov.ua/laws/show/57-95-%D0%BF
https://comin.gov.ua/news/zminy-do-pravyl-peretynu-derzhavnoho-kordonu-cholovikamy-vikom-vid-23-do-60-rokiv-vstupyly-v-sylu
https://tsn.ua/other/khto-z-cholovikiv-moze-vyyikhaty-za-kordon-2026-roku-perelik-katehoriy-ta-dokumentiv-3175268.html</x:v>
      </x:c>
      <x:c r="O713" s="4" t="str">
        <x:v>Second full-register audit source access, 26 October 2026
https://mvs.gov.ua/en/news/shhodo-obmezen-v-peretini-kordonu-na-viyizd-z-ukrayini-okremoyu-kategorijeyu-gromadyan: full text (fresh retrieval)
https://www.kmu.gov.ua/en/news/roziasnennia-mvs-shchodo-vyizdu-za-kordon-cholovikiv-vikom-18-22-rokiv-vkliuchno: full text (fresh retrieval)
https://koradm.cg.gov.ua/index.php?id=527904&amp;tp=page: full text (fresh retrieval) — Mistaken resolution number 1030 in this notice; operative amendment is 1031.
https://comin.gov.ua/news/zminy-do-pravyl-peretynu-derzhavnoho-kordonu-cholovikamy-vikom-vid-23-do-60-rokiv-vstupyly-v-sylu: full text (fresh retrieval) — Publication date is not the effective date.
Earlier URLs not separately inspected in this second assessment:
https://www.kmu.gov.ua/news/pro-osoblivosti-peretinannya-kordonu-pid-chas-diyi-pravovogo-rezhimu-voyennogo-stanu
https://zakon.rada.gov.ua/laws/show/1031-2025-%D0%BF
https://www.gov.uk/government/publications/ukraine-country-policy-and-information-notes/country-policy-and-information-note-military-service-ukraine-june-2022-accessible
https://zakon.rada.gov.ua/laws/show/57-95-%D0%BF
https://tsn.ua/other/khto-z-cholovikiv-moze-vyyikhaty-za-kordon-2026-roku-perelik-katehoriy-ta-dokumentiv-3175268.html
Prior audit access record
Full-register audit source access (evidence cutoff 25 October 2026)
https://mvs.gov.ua/en/news/shhodo-obmezen-v-peretini-kordonu-na-viyizd-z-ukrayini-okremoyu-kategorijeyu-gromadyan: full text
https://www.kmu.gov.ua/en/news/roziasnennia-mvs-shchodo-vyizdu-za-kordon-cholovikiv-vikom-18-22-rokiv-vkliuchno: full text
https://zakon.rada.gov.ua/laws/show/1031-2025-%D0%BF: search extract
https://zakon.rada.gov.ua/laws/show/57-95-%D0%BF: search extract
https://comin.gov.ua/news/zminy-do-pravyl-peretynu-derzhavnoho-kordonu-cholovikamy-vikom-vid-23-do-60-rokiv-vstupyly-v-sylu: search extract
https://tsn.ua/other/khto-z-cholovikiv-moze-vyyikhaty-za-kordon-2026-roku-perelik-katehoriy-ta-dokumentiv-3175268.html: search extract — Secondary synthesis, not complete operative amendment history.
Earlier source URLs not separately listed in this audit’s retrieval log (historical access notes below are not fresh verification):
https://www.kmu.gov.ua/news/pro-osoblivosti-peretinannya-kordonu-pid-chas-diyi-pravovogo-rezhimu-voyennogo-stanu
https://koradm.cg.gov.ua/index.php?id=527904&amp;tp=page
https://www.gov.uk/government/publications/ukraine-country-policy-and-information-notes/country-policy-and-information-note-military-service-ukraine-june-2022-accessible
Earlier recorded access
Source 1: full text
Source 2: full text
Source 3: full text</x:v>
      </x:c>
      <x:c r="P713" s="20" t="n">
        <x:v>2</x:v>
      </x:c>
      <x:c r="Q713" s="4" t="str">
        <x:v>Europe</x:v>
      </x:c>
      <x:c r="R713" s="4" t="str">
        <x:v>Included</x:v>
      </x:c>
    </x:row>
    <x:row r="714" ht="409" hidden="0" customHeight="1">
      <x:c r="A714" s="16" t="str">
        <x:v>REC50-R03-002</x:v>
      </x:c>
      <x:c r="B714" s="4" t="str">
        <x:v>Repeated farmer blockades of Leuseni–Albita access in February 2024</x:v>
      </x:c>
      <x:c r="C714" s="4" t="str">
        <x:v>Moldova; Romania</x:v>
      </x:c>
      <x:c r="D714" s="4" t="str">
        <x:v>Leuseni–Albita
Crossing access road at Leuseni–Albita</x:v>
      </x:c>
      <x:c r="E714" s="4" t="str">
        <x:v>Vehicles affected by the access obstruction
Direction: Both directions
Exceptions: Pedestrian scope not established; separate pauses between episodes</x:v>
      </x:c>
      <x:c r="F714" s="4" t="str">
        <x:v>REC50-R03-002-P1 — Observed operation
Vehicles using the Leuseni–Albita crossing access road during a farmer blockade
Start: 2024-02-12.
Observed scoped reopening: 2024-02-12 to 2024-02-13.
0–1 calendar-day difference; scoped endpoint only
REC50-R03-002-P2 — Observed operation
Vehicles using the Leuseni–Albita crossing access road during a farmer blockade
Start: 2024-02-13.
Observed scoped reopening: 2024-02-13.
dated evidence; numeric duration withheld; see qualification
REC50-R03-002-P3 — Observed operation
Vehicles using the Leuseni–Albita crossing access road during a farmer blockade
Start: 2024-02-14.
Observed scoped reopening: 2024-02-14.
dated evidence; numeric duration withheld; see qualification
REC50-R03-002-P4 — Observed operation
Vehicles using the Leuseni–Albita crossing access road during a farmer blockade
Start: 2024-02-15.
Observed scoped reopening: 2024-02-15.
dated evidence; numeric duration withheld; see qualification
REC50-R03-002-P5 — Observed operation
Vehicles using the Leuseni–Albita crossing access road during a farmer blockade
Start: 2024-02-22.
Observed scoped reopening: 2024-02-22.
dated evidence; numeric duration withheld; see qualification
REC50-R03-002-P6 — Observed operation
Vehicles using the Leuseni–Albita crossing access road during a farmer blockade
Start: 2024-02-23.
Observed scoped reopening: 2024-02-23.
dated evidence; numeric duration withheld; see qualification
REC50-R03-002-AUDIT20261025-1 — Observed operation
Vehicle access obstruction at Leuseni–Albita during the separate 16 February farmer action
Start: 2024-02-16 (reported that morning; exact onset clock unknown).
Observed scoped reopening: 2024-02-16 (Customs Service update at 16:48 confirmed normal traffic).
Same-day episode lasting several hours; no whole-day duration inferred.</x:v>
      </x:c>
      <x:c r="G714" s="4" t="str">
        <x:v>Policy and socioeconomic demands / Jobs, services and livelihoods
Source-attributed reason; see qualification
Applies to: Scope and phases stated below; no primary rationale or universal overlap inferred
Reports attribute demands to farmer representatives seeking relief and government action; this is an attributed protest rationale, not a government closure rationale.
Applies also to REC50-R03-002-AUDIT20261025-1: PRO TV attributes the 16 February action to farmers seeking dialogue and fulfillment of promised agricultural support; no additional motive is inferred.
Specific demands reported on February 16 included delivery of Romanian diesel previously promised by the authorities and per-hectare compensation for maize and sunflower cultivated in 2023. These are farmer-attributed economic demands.</x:v>
      </x:c>
      <x:c r="H714" s="4" t="str">
        <x:v>REC50-R03-002-P1: Each phase is a separate protest episode. Do not bridge the gaps or treat the whole February period as continuously closed. No general pedestrian prohibition established.
REC50-R03-002-P2: Each phase is a separate protest episode. Do not bridge the gaps or treat the whole February period as continuously closed. No general pedestrian prohibition established.
REC50-R03-002-P3: Each phase is a separate protest episode. Do not bridge the gaps or treat the whole February period as continuously closed. No general pedestrian prohibition established.
REC50-R03-002-P4: Each phase is a separate protest episode. Do not bridge the gaps or treat the whole February period as continuously closed. No general pedestrian prohibition established.
REC50-R03-002-P5: Each phase is a separate protest episode. Do not bridge the gaps or treat the whole February period as continuously closed. No general pedestrian prohibition established.
REC50-R03-002-P6: Each phase is a separate protest episode. Do not bridge the gaps or treat the whole February period as continuously closed. No general pedestrian prohibition established.
reopening precision / repeated episodes: The first reopening is described near midnight in a 13 February report, so 12–13 February endpoint bounds are retained. Other phase clocks are incomplete and gaps between protests are not continuous closures.
REC50-R03-002-AUDIT20261025-1: This is an additional separate episode on 16 February, after the 15 February clearance. Exact onset and any selective-passage exceptions remain unresolved. An ambulance reportedly could not reach a patient; no blanket emergency exemption is established. The 16:48 notice confirms restoration by that time, not an independently timed first vehicle.
First-episode source limit: The IPN midnight report was inaccessible during this review. A 13 February account attributes restoration from about 22:00 on 12 February to drivers and video; this supports an overnight gap but does not justify replacing the retained 12–13 February bounds with a precise official endpoint.</x:v>
      </x:c>
      <x:c r="I714" s="4" t="str">
        <x:v>Second full-register audit, 26 October 2026: additional source-audited corrections incorporated. See the phase, scope and qualification columns for the accepted findings.</x:v>
      </x:c>
      <x:c r="J714" s="18" t="d">
        <x:v>2026-10-26T00:00:00.000Z</x:v>
      </x:c>
      <x:c r="K714" s="21" t="str">
        <x:f>IFERROR(HYPERLINK("https://www.old.ipn.md/en/leuseni-albita-border-crossing-point-blocked-by-farmers-7966_1102653.html","IPN"),"IPN")</x:f>
        <x:v>IPN</x:v>
      </x:c>
      <x:c r="L714" s="21" t="str">
        <x:f>IFERROR(HYPERLINK("https://www.old.ipn.md/ro/punctul-de-trecere-a-frontierei-leuseni-a-fost-deblocat-7967_1102669.html","IPN"),"IPN")</x:f>
        <x:v>IPN</x:v>
      </x:c>
      <x:c r="M714" s="21" t="str">
        <x:f>IFERROR(HYPERLINK("https://newsmaker.md/ro/video-fermierii-protestatari-au-blocat-vama-leuseni-cu-tractoare-pana-nu-vine-maia-cu-toata-banda-ei-aici","NewsMaker"),"NewsMaker")</x:f>
        <x:v>NewsMaker</x:v>
      </x:c>
      <x:c r="N714" s="4" t="str">
        <x:v>https://www.old.ipn.md/en/leuseni-albita-border-crossing-point-blocked-by-farmers-7966_1102653.html
https://www.old.ipn.md/ro/punctul-de-trecere-a-frontierei-leuseni-a-fost-deblocat-7967_1102669.html
https://newsmaker.md/ro/video-fermierii-protestatari-au-blocat-vama-leuseni-cu-tractoare-pana-nu-vine-maia-cu-toata-banda-ei-aici
https://radiomoldova.md/p/30280
https://moldova1.md/p/24424
https://www.moldova1.md/p/24472/drumul-de-acces-spre-ptf-leuseni-albita-a-fost-deblocat
https://www.moldova1.md/p/24888/drumul-de-acces-spre-postul-vamal-leuseni-deblocat-de-catre-agricultori
https://moldova1.md/p/24939
https://www.openstreetmap.org/node/316786543
https://www.openstreetmap.org/way/1087648209
https://www.openstreetmap.org/way/483683620
https://t.me/s/ServiciulVamalRM/10264
https://protv.md/actualitate/fermierii-au-deblocat-accesul-spre-vama-leuseni-dar-spun-ca-vor-reveni-marti-daca-promisiunile-nu-vor-fi-realizate-video---2681517.html
https://autoblog.md/s-a-circulat-fara-impedimente-spre-vama-leuseni-toata-noaptea-insa-nu-este-exclus-un-nou-blocaj-astazi/</x:v>
      </x:c>
      <x:c r="O714" s="4" t="str">
        <x:v>Second full-register audit source access, 26 October 2026
https://newsmaker.md/ro/video-fermierii-protestatari-au-blocat-vama-leuseni-cu-tractoare-pana-nu-vine-maia-cu-toata-banda-ei-aici: full text (fresh retrieval)
https://radiomoldova.md/p/30280: full text (fresh retrieval)
https://moldova1.md/p/24424: full text (fresh retrieval)
https://www.moldova1.md/p/24472/drumul-de-acces-spre-ptf-leuseni-albita-a-fost-deblocat: full text (fresh retrieval)
https://www.moldova1.md/p/24888/drumul-de-acces-spre-postul-vamal-leuseni-deblocat-de-catre-agricultori: full text (fresh retrieval)
https://moldova1.md/p/24939: full text (fresh retrieval)
https://t.me/s/ServiciulVamalRM/10264: full text (fresh retrieval)
https://protv.md/actualitate/fermierii-au-deblocat-accesul-spre-vama-leuseni-dar-spun-ca-vor-reveni-marti-daca-promisiunile-nu-vor-fi-realizate-video---2681517.html: full text (fresh retrieval)
https://autoblog.md/s-a-circulat-fara-impedimente-spre-vama-leuseni-toata-noaptea-insa-nu-este-exclus-un-nou-blocaj-astazi/: full text (fresh retrieval) — Not an independently timed official endpoint.
https://www.old.ipn.md/ro/punctul-de-trecere-a-frontierei-leuseni-a-fost-deblocat-7967_1102669.html: inaccessible (fresh retrieval) — Direct timeout; retained first-episode bounds are not newly confirmed from IPN.
Earlier URLs not separately inspected in this second assessment:
https://www.old.ipn.md/en/leuseni-albita-border-crossing-point-blocked-by-farmers-7966_1102653.html
https://www.openstreetmap.org/node/316786543
https://www.openstreetmap.org/way/1087648209
https://www.openstreetmap.org/way/483683620
Prior audit access record
Full-register audit source access (evidence cutoff 25 October 2026)
https://newsmaker.md/ro/video-fermierii-protestatari-au-blocat-vama-leuseni-cu-tractoare-pana-nu-vine-maia-cu-toata-banda-ei-aici: full text
https://radiomoldova.md/p/30280: full text
https://moldova1.md/p/24424: full text
https://www.moldova1.md/p/24472/drumul-de-acces-spre-ptf-leuseni-albita-a-fost-deblocat: full text
https://www.moldova1.md/p/24888/drumul-de-acces-spre-postul-vamal-leuseni-deblocat-de-catre-agricultori: full text
https://moldova1.md/p/24939: full text
https://t.me/s/ServiciulVamalRM/10264: full text
https://protv.md/actualitate/fermierii-au-deblocat-accesul-spre-vama-leuseni-dar-spun-ca-vor-reveni-marti-daca-promisiunile-nu-vor-fi-realizate-video---2681517.html: full text
https://autoblog.md/s-a-circulat-fara-impedimente-spre-vama-leuseni-toata-noaptea-insa-nu-este-exclus-un-nou-blocaj-astazi/: full text — Driver/social-video attribution, not an independently timed official clearance; does not displace conservative midnight bounds.
https://www.old.ipn.md/ro/punctul-de-trecere-a-frontierei-leuseni-a-fost-deblocat-7967_1102669.html: inaccessible — Timeout, alternate current-domain URL also failed.
Earlier source URLs not separately listed in this audit’s retrieval log (historical access notes below are not fresh verification):
https://www.old.ipn.md/en/leuseni-albita-border-crossing-point-blocked-by-farmers-7966_1102653.html
https://www.openstreetmap.org/node/316786543
https://www.openstreetmap.org/way/1087648209
https://www.openstreetmap.org/way/483683620
Earlier recorded access
Source 1: indexed extract
Source 2: indexed extract
Source 3: full text</x:v>
      </x:c>
      <x:c r="P714" s="20" t="n">
        <x:v>7</x:v>
      </x:c>
      <x:c r="Q714" s="4" t="str">
        <x:v>Europe</x:v>
      </x:c>
      <x:c r="R714" s="4" t="str">
        <x:v>Included</x:v>
      </x:c>
    </x:row>
    <x:row r="715" ht="402" hidden="0" customHeight="1">
      <x:c r="A715" s="16" t="str">
        <x:v>REC50-R03-003</x:v>
      </x:c>
      <x:c r="B715" s="4" t="str">
        <x:v>Greek customs strike restricts vehicles at Kakavija and Kapshtica, May 2018</x:v>
      </x:c>
      <x:c r="C715" s="4" t="str">
        <x:v>Albania; Greece</x:v>
      </x:c>
      <x:c r="D715" s="4" t="str">
        <x:v>Kakavija; Kapshtica
Two named Albania–Greece crossing points</x:v>
      </x:c>
      <x:c r="E715" s="4" t="str">
        <x:v>Cars and buses
Direction: Cross-border vehicle passage
Exceptions: Pedestrians / passengers without bags and medical emergencies were reported as exceptions; private cars and buses were stopped.</x:v>
      </x:c>
      <x:c r="F715" s="4" t="str">
        <x:v>REC50-R03-003-P1 — Observed operation
Cars and buses at Kakavija and Kapshtica during Greek customs strike
Start: 2018-05-30.
Last confirmed: 2018-05-30. Reopening is not established.
dated evidence; numeric duration withheld; see qualification
REC50-R03-003-P2 — Announced window
Announced Greek customs-strike window affecting vehicle passage at Albania crossings
Start: 2018-05-30.
Scheduled endpoint: 2018-05-31.
Ordered window: dated evidence; numeric duration withheld; see qualification</x:v>
      </x:c>
      <x:c r="G715" s="4" t="str">
        <x:v>Uncoded / Unresolved rationale
Source-attributed reason; see qualification
Applies to: Scope and phases stated below; no primary rationale or universal overlap inferred
A strike is established, but the workers’ specific underlying demands are not established by the inspected source. No socioeconomic motive is inferred solely from the interruption.</x:v>
      </x:c>
      <x:c r="H715" s="4" t="str">
        <x:v>P1 records actual vehicle suspension on May 30, 2018, with pedestrians without baggage and medical emergencies excepted. P2 is the overlapping announced 24-hour May 30–31 window and must not be added to P1. Ora News gives Kapshtica 06:00–06:00 and the Kakavija/Tre Urat police notice 07:00–07:00; the time-zone convention is not resolved, so one exact clock should not be applied to all posts. Actual May 31 vehicle resumption remains unverified. Specific workers’ demands are not established.</x:v>
      </x:c>
      <x:c r="I715" s="4" t="str">
        <x:v>Second full-register audit, 26 October 2026: qualified. Actual May 30 vehicle interruption is corroborated, but the announced 24-hour window remains distinct from an unverified actual reopening.</x:v>
      </x:c>
      <x:c r="J715" s="18" t="d">
        <x:v>2026-10-26T00:00:00.000Z</x:v>
      </x:c>
      <x:c r="K715" s="21" t="str">
        <x:f>IFERROR(HYPERLINK("https://www.balkanweb.com/en/24-hour-strike-in-Greece-paralyzes-movement-at-border-points-in-Albania/","BalkanWeb / News24"),"BalkanWeb / News24")</x:f>
        <x:v>BalkanWeb / News24</x:v>
      </x:c>
      <x:c r="L715" s="21"/>
      <x:c r="M715" s="21"/>
      <x:c r="N715" s="4" t="str">
        <x:v>https://www.balkanweb.com/en/24-hour-strike-in-Greece-paralyzes-movement-at-border-points-in-Albania/
https://www.openstreetmap.org/node/1441315814
https://www.openstreetmap.org/way/399555468
https://www.openstreetmap.org/node/1953023038
https://www.openstreetmap.org/node/295966541
https://www.oranews.tv/article/neser-greve-ne-greqi-kakavija-dhe-tre-urat-te-mbyllura-mjetet-motorike
https://abcnews.al/greva-greke-boshatiset-kakavija-dhe-kapshtica/</x:v>
      </x:c>
      <x:c r="O715" s="4" t="str">
        <x:v>Second full-register audit source access, 26 October 2026
https://www.balkanweb.com/en/24-hour-strike-in-Greece-paralyzes-movement-at-border-points-in-Albania/: full text (fresh retrieval)
https://abcnews.al/greva-greke-boshatiset-kakavija-dhe-kapshtica/: full text (fresh retrieval)
https://www.oranews.tv/article/neser-greve-ne-greqi-kakavija-dhe-tre-urat-te-mbyllura-mjetet-motorike: search extract (fresh retrieval) — Substantive indexed text only; direct retrieval failed.
Earlier URLs not separately inspected in this second assessment:
https://www.openstreetmap.org/node/1441315814
https://www.openstreetmap.org/way/399555468
https://www.openstreetmap.org/node/1953023038
https://www.openstreetmap.org/node/295966541
Prior audit access record
Full-register audit source access (evidence cutoff 25 October 2026)
https://www.balkanweb.com/en/24-hour-strike-in-Greece-paralyzes-movement-at-border-points-in-Albania/: full text
https://www.oranews.tv/article/neser-greve-ne-greqi-kakavija-dhe-tre-urat-te-mbyllura-mjetet-motorike: search extract
https://abcnews.al/greva-greke-boshatiset-kakavija-dhe-kapshtica/: search extract
Earlier source URLs not separately listed in this audit’s retrieval log (historical access notes below are not fresh verification):
https://www.openstreetmap.org/node/1441315814
https://www.openstreetmap.org/way/399555468
https://www.openstreetmap.org/node/1953023038
https://www.openstreetmap.org/node/295966541
Earlier recorded access
Source 1: full text</x:v>
      </x:c>
      <x:c r="P715" s="20" t="n">
        <x:v>2</x:v>
      </x:c>
      <x:c r="Q715" s="4" t="str">
        <x:v>Europe</x:v>
      </x:c>
      <x:c r="R715" s="4" t="str">
        <x:v>Included</x:v>
      </x:c>
    </x:row>
    <x:row r="716" ht="354" hidden="0" customHeight="1">
      <x:c r="A716" s="16" t="str">
        <x:v>REC50-R03-004</x:v>
      </x:c>
      <x:c r="B716" s="4" t="str">
        <x:v>Tompa–Kelebia security interruptions on 6–8 February 2020</x:v>
      </x:c>
      <x:c r="C716" s="4" t="str">
        <x:v>Hungary; Serbia</x:v>
      </x:c>
      <x:c r="D716" s="4" t="str">
        <x:v>Tompa–Kelebia
Tompa–Kelebia road crossing; narrower inbound-freight gate on 8 February</x:v>
      </x:c>
      <x:c r="E716" s="4" t="str">
        <x:v>Road traffic on 6–7 February; inbound freight only on 8 February
Direction: See separate phases
Exceptions: On 8 February passengers in both directions and outbound freight were unaffected</x:v>
      </x:c>
      <x:c r="F716" s="4" t="str">
        <x:v>REC50-R03-004-P1 — Observed operation
Tompa–Kelebia road crossing interruption on 6–7 February 2020
Start: 2020-02-06.
Observed scoped reopening: 2020-02-07.
About 15 elapsed hours (16:00 on February 6 to a few minutes after 07:00 on February 7); below 24 hours. Calendar dates differ by one day.
REC50-R03-004-P2 — Observed operation
Inbound freight gate at Tompa on 8 February 2020
Start: 2020-02-08.
Observed scoped reopening: 2020-02-08.
Police-reported operation: 10:30–11:16 on 8 February 2020 (46 minutes).</x:v>
      </x:c>
      <x:c r="G716" s="4" t="str">
        <x:v>Security / Public order and immediate safety
Source-attributed reason; see qualification
Applies to: Scope and phases stated below; no primary rationale or universal overlap inferred
Police explicitly cited safety/security and inability to maintain unobstructed crossing; the presence of migrants is context and is not used to infer an additional political motive.</x:v>
      </x:c>
      <x:c r="H716" s="4" t="str">
        <x:v>REC50-R03-004-P1: Exact reopening minute is unknown. This narrow crossing episode does not imply closure of the entire Hungary–Serbia frontier.
REC50-R03-004-P2: Police reported closure from 10:30 to 11:16 on 8 February 2020, a 46-minute interval. Passenger traffic in both directions and outbound freight were unaffected. This is a separate interruption from 6–7 February.
clock precision / scope continuity: The 6–7 February reopening was a few minutes after 07:00; exact minutes are unknown. About 15 elapsed hours differs from the one-calendar-day measure. Start/end reports share police origin.</x:v>
      </x:c>
      <x:c r="I716" s="4" t="str">
        <x:v>Second full-register audit, 26 October 2026: qualified. Fresh police and police-attributed notices match both separate Tompa interruptions, including the narrowly scoped 46-minute inbound-freight stoppage.</x:v>
      </x:c>
      <x:c r="J716" s="18" t="d">
        <x:v>2026-10-26T00:00:00.000Z</x:v>
      </x:c>
      <x:c r="K716" s="21" t="str">
        <x:f>IFERROR(HYPERLINK("https://24.hu/belfold/2020/02/06/lezartak-a-tompai-hataratkelot-a-tunteto-menekultek-miatt/","24.hu"),"24.hu")</x:f>
        <x:v>24.hu</x:v>
      </x:c>
      <x:c r="L716" s="21" t="str">
        <x:f>IFERROR(HYPERLINK("https://www.mkfe.hu/hu/mediamenu/hirek/belf%C3%B6ldi-h%C3%ADrek/10263-megnyitottak-a-tompai-hataratkelot-2020-februar-7.html","Hungarian Road Transport Association (MKFE)"),"Hungarian Road Transport Association (MKFE)")</x:f>
        <x:v>Hungarian Road Transport Association (MKFE)</x:v>
      </x:c>
      <x:c r="M716" s="21" t="str">
        <x:f>IFERROR(HYPERLINK("https://www.police.hu/hu/hirek-es-informaciok/legfrissebb-hireink/hatarrendeszet/szunetelt-a-belepo-teherforgalom-tompanal","Hungarian Police"),"Hungarian Police")</x:f>
        <x:v>Hungarian Police</x:v>
      </x:c>
      <x:c r="N716" s="4" t="str">
        <x:v>https://24.hu/belfold/2020/02/06/lezartak-a-tompai-hataratkelot-a-tunteto-menekultek-miatt/
https://www.mkfe.hu/hu/mediamenu/hirek/belf%C3%B6ldi-h%C3%ADrek/10263-megnyitottak-a-tompai-hataratkelot-2020-februar-7.html
https://www.police.hu/hu/hirek-es-informaciok/legfrissebb-hireink/hatarrendeszet/szunetelt-a-belepo-teherforgalom-tompanal
https://www.openstreetmap.org/node/5329297935</x:v>
      </x:c>
      <x:c r="O716" s="4" t="str">
        <x:v>Second full-register audit source access, 26 October 2026
https://24.hu/belfold/2020/02/06/lezartak-a-tompai-hataratkelot-a-tunteto-menekultek-miatt/: full text (fresh retrieval)
https://www.mkfe.hu/hu/mediamenu/hirek/belf%C3%B6ldi-h%C3%ADrek/10263-megnyitottak-a-tompai-hataratkelot-2020-februar-7.html: full text (fresh retrieval) — Police statement relayed by transport association.
https://www.police.hu/hu/hirek-es-informaciok/legfrissebb-hireink/hatarrendeszet/szunetelt-a-belepo-teherforgalom-tompanal: full text (fresh retrieval)
Earlier URLs not separately inspected in this second assessment:
https://www.openstreetmap.org/node/5329297935
Prior audit access record
Full-register audit source access (evidence cutoff 25 October 2026)
https://24.hu/belfold/2020/02/06/lezartak-a-tompai-hataratkelot-a-tunteto-menekultek-miatt/: full text
https://www.mkfe.hu/hu/mediamenu/hirek/belf%C3%B6ldi-h%C3%ADrek/10263-megnyitottak-a-tompai-hataratkelot-2020-februar-7.html: full text
https://www.police.hu/hu/hirek-es-informaciok/legfrissebb-hireink/hatarrendeszet/szunetelt-a-belepo-teherforgalom-tompanal: full text
Earlier source URLs not separately listed in this audit’s retrieval log (historical access notes below are not fresh verification):
https://www.openstreetmap.org/node/5329297935
Earlier recorded access
Source 1: full text
Source 2: full text
Source 3: full text</x:v>
      </x:c>
      <x:c r="P716" s="20" t="n">
        <x:v>2</x:v>
      </x:c>
      <x:c r="Q716" s="4" t="str">
        <x:v>Europe</x:v>
      </x:c>
      <x:c r="R716" s="4" t="str">
        <x:v>Included</x:v>
      </x:c>
    </x:row>
    <x:row r="717" ht="378" hidden="0" customHeight="1">
      <x:c r="A717" s="16" t="str">
        <x:v>REC50-R06-001</x:v>
      </x:c>
      <x:c r="B717" s="4" t="str">
        <x:v>Skilpadshek freight-service restrictions and reported restoration in July 2021</x:v>
      </x:c>
      <x:c r="C717" s="4" t="str">
        <x:v>South Africa; Botswana</x:v>
      </x:c>
      <x:c r="D717" s="4" t="str">
        <x:v>Skilpadshek
Skilpadshek; crossing-specific services or movement restriction only</x:v>
      </x:c>
      <x:c r="E717" s="4" t="str">
        <x:v>Road freight needing port-health/customs clearance
Direction: Route toward Botswana and Namibia; detailed bidirectional scope unresolved
Exceptions: The observed restoration retains daytime-only operation; passenger scope is not established.</x:v>
      </x:c>
      <x:c r="F717" s="4" t="str">
        <x:v>REC50-R06-001-P1 — Announced window
Skilpadshek intended customs-service interruption on 2–3 July 2021
Start: 2021-07-02.
Scheduled endpoint: 2021-07-03.
Ordered window: dated evidence; numeric duration withheld; see qualification
REC50-R06-001-P2 — Observed operation
Skilpadshek freight suspension restored for daytime trade on 9 July 2021
Start: unknown.
Observed scoped reopening: 2021-07-09.
dated evidence; numeric duration withheld; see qualification</x:v>
      </x:c>
      <x:c r="G717" s="4" t="str">
        <x:v>Administration and service operation / Temporary service suspension
See named authority or attributed report in cited sources
Applies to: Source-supported phase only; see qualification
C-BRTA explicitly attributes the recent suspension to unavailable port-health officials. Code temporary service suspension for that attributed operational reason; do not infer disease-control intent or apply it to every earlier scheduled interruption.</x:v>
      </x:c>
      <x:c r="H717" s="4" t="str">
        <x:v>REC50-R06-001-P1: An intended 11:00–06:00 window only. The next-morning reopening is not verified as an operational endpoint.
REC50-R06-001-P2: Actual restoration is reported on 9 July, but the first refusal day is unresolved. An eight-week period of service difficulty is not an eight-week continuous closure.
Timing / scope evidence: Recover the actual onset and scope of the later suspension, and verify whether the separate 2–3 July schedule was implemented.
Phase geography: Every proposed phase is intentionally unlocated.</x:v>
      </x:c>
      <x:c r="I717" s="4" t="str">
        <x:v>Second full-register audit, 26 October 2026: qualified. The separate July 2–3 schedule and July 9 reported daytime freight restoration are supported; eight weeks of disruption is not a continuous closure.</x:v>
      </x:c>
      <x:c r="J717" s="18" t="d">
        <x:v>2026-10-26T00:00:00.000Z</x:v>
      </x:c>
      <x:c r="K717" s="21" t="str">
        <x:f>IFERROR(HYPERLINK("https://www.sars.gov.za/latest-news/customs-borders-and-ports-closures-2/","South African Revenue Service"),"South African Revenue Service")</x:f>
        <x:v>South African Revenue Service</x:v>
      </x:c>
      <x:c r="L717" s="21" t="str">
        <x:f>IFERROR(HYPERLINK("https://www.freightnews.co.za/article/border-beat-skilpadshek-reopens-and-the-c-brta-wakes-up-finally","Freight News"),"Freight News")</x:f>
        <x:v>Freight News</x:v>
      </x:c>
      <x:c r="M717" s="21" t="str">
        <x:f>IFERROR(HYPERLINK("https://www.freightnews.co.za/article/border-beat-private-sector-intervention-saves-skilpadshek","Freight News"),"Freight News")</x:f>
        <x:v>Freight News</x:v>
      </x:c>
      <x:c r="N717" s="4" t="str">
        <x:v>https://www.sars.gov.za/latest-news/customs-borders-and-ports-closures-2/
https://www.freightnews.co.za/article/border-beat-skilpadshek-reopens-and-the-c-brta-wakes-up-finally
https://www.freightnews.co.za/article/border-beat-private-sector-intervention-saves-skilpadshek
https://au-pida.org/events/wp-content/uploads/2024/11/One-Stop-Border-Post-OSBP-Status-Report.pdf</x:v>
      </x:c>
      <x:c r="O717" s="4" t="str">
        <x:v>Second full-register audit source access, 26 October 2026
https://www.sars.gov.za/latest-news/customs-borders-and-ports-closures-2/: search extract (fresh retrieval)
https://www.freightnews.co.za/article/border-beat-skilpadshek-reopens-and-the-c-brta-wakes-up-finally: full text (fresh retrieval)
https://www.freightnews.co.za/article/border-beat-private-sector-intervention-saves-skilpadshek: search extract (fresh retrieval) — Direct inaccessible; substantial indexed article. Same reporter as July 9.
Earlier URLs not separately inspected in this second assessment:
https://au-pida.org/events/wp-content/uploads/2024/11/One-Stop-Border-Post-OSBP-Status-Report.pdf
Prior audit access record
Full-register audit source access (evidence cutoff 25 October 2026)
https://www.sars.gov.za/latest-news/customs-borders-and-ports-closures-2/: full text — See specific claim qualifications.
https://www.freightnews.co.za/article/border-beat-private-sector-intervention-saves-skilpadshek: search extract — See specific claim qualifications.
https://www.freightnews.co.za/article/border-beat-skilpadshek-reopens-and-the-c-brta-wakes-up-finally: full text — See specific claim qualifications.
Earlier source URLs not separately listed in this audit’s retrieval log (historical access notes below are not fresh verification):
https://au-pida.org/events/wp-content/uploads/2024/11/One-Stop-Border-Post-OSBP-Status-Report.pdf
Earlier recorded access
Source 1: full text
Source 2: full text
Source 3: indexed extract</x:v>
      </x:c>
      <x:c r="P717" s="20" t="n">
        <x:v>2</x:v>
      </x:c>
      <x:c r="Q717" s="4" t="str">
        <x:v>Southern Africa</x:v>
      </x:c>
      <x:c r="R717" s="4" t="str">
        <x:v>Included</x:v>
      </x:c>
    </x:row>
    <x:row r="718" ht="409" hidden="0" customHeight="1">
      <x:c r="A718" s="16" t="str">
        <x:v>REC50-R06-002</x:v>
      </x:c>
      <x:c r="B718" s="4" t="str">
        <x:v>Lebombo new cargo admission interruption for COVID-19 disinfection in July 2020</x:v>
      </x:c>
      <x:c r="C718" s="4" t="str">
        <x:v>South Africa; Mozambique</x:v>
      </x:c>
      <x:c r="D718" s="4" t="str">
        <x:v>Lebombo / Ressano Garcia
Lebombo / Ressano Garcia; crossing-specific services or movement restriction only</x:v>
      </x:c>
      <x:c r="E718" s="4" t="str">
        <x:v>Approaching cargo requiring South African customs services
Direction: Directions not separately established
Exceptions: Trucks already within the customs-control area continued to be processed with Mozambican assistance.</x:v>
      </x:c>
      <x:c r="F718" s="4" t="str">
        <x:v>REC50-R06-002-P1 — Observed operation
Lebombo interruption of admission to customs processing after a COVID-positive official
Start: 2020-07-15.
Observed scoped reopening: 2020-07-16.
1 calendar-day difference; scoped endpoint only</x:v>
      </x:c>
      <x:c r="G718" s="4" t="str">
        <x:v>Health and biosecurity / Human disease control
See named authority or attributed report in cited sources
Applies to: Source-supported phase only; see qualification
The SARS spokesperson explicitly describes decontamination after a positive staff test as protecting staff and users; code human disease control for the disinfection suspension.</x:v>
      </x:c>
      <x:c r="H718" s="4" t="str">
        <x:v>REC50-R06-002-P1: New cargo admission was interrupted on 15 July 2020 while trucks already in the customs area continued to be processed. A dated 16 July report records afternoon reopening and includes an operational-status update by 15:59. The calendar-date difference is one day; neither the exact first restored vehicle time nor an exact elapsed-hour duration is established.
Timing / scope evidence: Obtain direct gate or SARS records for actual resumption clocks and movement exceptions. The reopening day is reported as 16 July; exact first passage and complete operational scope remain qualified.
Phase geography: Every proposed phase is intentionally unlocated.</x:v>
      </x:c>
      <x:c r="I718" s="4" t="str">
        <x:v>Second full-register audit, 26 October 2026: qualified. July 15 closure and July 16 afternoon reopening are supported. Customs-yard truck processing continued, and no exact first restored crossing clock is established.</x:v>
      </x:c>
      <x:c r="J718" s="18" t="d">
        <x:v>2026-10-26T00:00:00.000Z</x:v>
      </x:c>
      <x:c r="K718" s="21" t="str">
        <x:f>IFERROR(HYPERLINK("https://clubofmozambique.com/news/lebombo-border-post-to-mozambique-temporary-closed-as-sars-staff-tests-positive-for-covid-19/","Club of Mozambique"),"Club of Mozambique")</x:f>
        <x:v>Club of Mozambique</x:v>
      </x:c>
      <x:c r="L718" s="21" t="str">
        <x:f>IFERROR(HYPERLINK("https://www.wylie.co.za/Articles/Read/39/URGENT-NOTICE-Lebombo-Border-is-Now-Open","Shepstone &amp; Wylie"),"Shepstone &amp; Wylie")</x:f>
        <x:v>Shepstone &amp; Wylie</x:v>
      </x:c>
      <x:c r="M718" s="21" t="str">
        <x:f>IFERROR(HYPERLINK("https://wiki.unece.org/spaces/CTRBSBC/pages/101549007/South%2BAfrica","UNECE Observatory on Border Crossings Status due to COVID-19"),"UNECE Observatory on Border Crossings Status due to COVID-19")</x:f>
        <x:v>UNECE Observatory on Border Crossings Status due to COVID-19</x:v>
      </x:c>
      <x:c r="N718" s="4" t="str">
        <x:v>https://clubofmozambique.com/news/lebombo-border-post-to-mozambique-temporary-closed-as-sars-staff-tests-positive-for-covid-19/
https://www.wylie.co.za/Articles/Read/39/URGENT-NOTICE-Lebombo-Border-is-Now-Open
https://wiki.unece.org/spaces/CTRBSBC/pages/101549007/South%2BAfrica
https://clubofmozambique.com/news/mozambique-south-africa-ressano-garcia-lebombo-border-reopens/
https://au-pida.org/events/wp-content/uploads/2024/11/One-Stop-Border-Post-OSBP-Status-Report.pdf</x:v>
      </x:c>
      <x:c r="O718" s="4" t="str">
        <x:v>Second full-register audit source access, 26 October 2026
https://clubofmozambique.com/news/lebombo-border-post-to-mozambique-temporary-closed-as-sars-staff-tests-positive-for-covid-19/: full text (fresh retrieval)
https://www.wylie.co.za/Articles/Read/39/URGENT-NOTICE-Lebombo-Border-is-Now-Open: full text (fresh retrieval)
https://clubofmozambique.com/news/mozambique-south-africa-ressano-garcia-lebombo-border-reopens/: full text (fresh retrieval) — Article includes older forecast text below updated actual reopening; use date-specific status.
Earlier URLs not separately inspected in this second assessment:
https://wiki.unece.org/spaces/CTRBSBC/pages/101549007/South%2BAfrica
https://au-pida.org/events/wp-content/uploads/2024/11/One-Stop-Border-Post-OSBP-Status-Report.pdf
Prior audit access record
Full-register audit source access (evidence cutoff 25 October 2026)
https://clubofmozambique.com/news/lebombo-border-post-to-mozambique-temporary-closed-as-sars-staff-tests-positive-for-covid-19/: full text — See specific claim qualifications.
https://www.wylie.co.za/Articles/Read/39/URGENT-NOTICE-Lebombo-Border-is-Now-Open: full text — See specific claim qualifications.
https://clubofmozambique.com/news/mozambique-south-africa-ressano-garcia-lebombo-border-reopens/: full text — See specific claim qualifications.
Earlier source URLs not separately listed in this audit’s retrieval log (historical access notes below are not fresh verification):
https://wiki.unece.org/spaces/CTRBSBC/pages/101549007/South%2BAfrica
https://au-pida.org/events/wp-content/uploads/2024/11/One-Stop-Border-Post-OSBP-Status-Report.pdf
Earlier recorded access
Source 1: full text
Source 2: full text
Source 3: indexed extract</x:v>
      </x:c>
      <x:c r="P718" s="20" t="n">
        <x:v>1</x:v>
      </x:c>
      <x:c r="Q718" s="4" t="str">
        <x:v>Southern Africa</x:v>
      </x:c>
      <x:c r="R718" s="4" t="str">
        <x:v>Included</x:v>
      </x:c>
    </x:row>
    <x:row r="719" ht="330" hidden="0" customHeight="1">
      <x:c r="A719" s="16" t="str">
        <x:v>REC50-R06-003</x:v>
      </x:c>
      <x:c r="B719" s="4" t="str">
        <x:v>Beitbridge Zimbabwe-side customs-service interruption for disinfection on 3 August 2020</x:v>
      </x:c>
      <x:c r="C719" s="4" t="str">
        <x:v>Zimbabwe; South Africa</x:v>
      </x:c>
      <x:c r="D719" s="4" t="str">
        <x:v>Beitbridge
Beitbridge; crossing-specific services or movement restriction only</x:v>
      </x:c>
      <x:c r="E719" s="4" t="str">
        <x:v>Movements requiring ZIMRA customs offices; the precise exception list is not specified
Direction: Zimbabwe-side services; full directional detail not supplied
Exceptions: No claim that every essential movement stopped, or that wider COVID passenger restrictions ended.</x:v>
      </x:c>
      <x:c r="F719" s="4" t="str">
        <x:v>REC50-R06-003-P1 — Announced window
Beitbridge ZIMRA office-disinfection closure scheduled for 3 August 2020
Start: 2020-08-03.
Scheduled endpoint: 2020-08-03.
Ordered window: dated evidence; numeric duration withheld; see qualification
REC50-R06-003-P2 — Observed operation
Reported same-day Beitbridge service interruption and restoration on 3 August 2020
Start: 2020-08-03.
Observed scoped reopening: 2020-08-03.
dated evidence; numeric duration withheld; see qualification</x:v>
      </x:c>
      <x:c r="G719" s="4" t="str">
        <x:v>Health and biosecurity / Human disease control
See named authority or attributed report in cited sources
Applies to: Source-supported phase only; see qualification
The primary ZIMRA notice explicitly gives COVID-19 office disinfection as the purpose. The later table supports a reported same-day operational event, not an independently measured six-hour duration.</x:v>
      </x:c>
      <x:c r="H719" s="4" t="str">
        <x:v>REC50-R06-003-P1: The official notice establishes only the intended window, not an observed six-hour interruption.
REC50-R06-003-P2: A logistics-company table reports same-day Beitbridge closure and reopening, without identifying the national service. The date matches the separate ZIMRA schedule, but the table alone does not certify reopening of those Zimbabwean offices. Actual clocks, movement exceptions and numerical closed days remain unverified or withheld.
Timing / scope evidence: Seek a dated ZIMRA reopening confirmation or gate-level account for actual clocks and movement exceptions; retain the industry table’s provenance and limitations.
Phase geography: Every proposed phase is intentionally unlocated.</x:v>
      </x:c>
      <x:c r="I719" s="4" t="str">
        <x:v>Second full-register audit, 26 October 2026: qualified. The ZIMRA six-hour planned disinfection window and industry same-day Beitbridge reopening entry are supported, but the latter does not explicitly identify Zimbabwe-side offices.</x:v>
      </x:c>
      <x:c r="J719" s="18" t="d">
        <x:v>2026-10-26T00:00:00.000Z</x:v>
      </x:c>
      <x:c r="K719" s="21" t="str">
        <x:f>IFERROR(HYPERLINK("https://www.zimra.co.zw/public-notices?download=684:public-notice-41of-2020-on-border-closure-covid-19","Zimbabwe Revenue Authority"),"Zimbabwe Revenue Authority")</x:f>
        <x:v>Zimbabwe Revenue Authority</x:v>
      </x:c>
      <x:c r="L719" s="21" t="str">
        <x:f>IFERROR(HYPERLINK("https://www.globaltradesolution.co.za/assets/Border%20Post%20Status%20Summary%20-%2011-09-2020.pdf","Global Trade Solution"),"Global Trade Solution")</x:f>
        <x:v>Global Trade Solution</x:v>
      </x:c>
      <x:c r="M719" s="21" t="str">
        <x:f>IFERROR(HYPERLINK("https://au-pida.org/events/wp-content/uploads/2024/11/One-Stop-Border-Post-OSBP-Status-Report.pdf","African Union Programme for Infrastructure Development in Africa"),"African Union Programme for Infrastructure Development in Africa")</x:f>
        <x:v>African Union Programme for Infrastructure Development in Africa</x:v>
      </x:c>
      <x:c r="N719" s="4" t="str">
        <x:v>https://www.zimra.co.zw/public-notices?download=684:public-notice-41of-2020-on-border-closure-covid-19
https://www.globaltradesolution.co.za/assets/Border%20Post%20Status%20Summary%20-%2011-09-2020.pdf
https://au-pida.org/events/wp-content/uploads/2024/11/One-Stop-Border-Post-OSBP-Status-Report.pdf</x:v>
      </x:c>
      <x:c r="O719" s="4" t="str">
        <x:v>Second full-register audit source access, 26 October 2026
https://www.zimra.co.zw/public-notices?download=684:public-notice-41of-2020-on-border-closure-covid-19: full text (fresh retrieval)
https://www.globaltradesolution.co.za/assets/Border%20Post%20Status%20Summary%20-%2011-09-2020.pdf: full text (fresh retrieval) — Retrospective industry table, not a Zimbabwe-side reopening notice.
Earlier URLs not separately inspected in this second assessment:
https://au-pida.org/events/wp-content/uploads/2024/11/One-Stop-Border-Post-OSBP-Status-Report.pdf
Prior audit access record
Full-register audit source access (evidence cutoff 25 October 2026)
https://www.zimra.co.zw/public-notices?download=684:public-notice-41of-2020-on-border-closure-covid-19: full text — See specific claim qualifications.
https://www.globaltradesolution.co.za/assets/Border%20Post%20Status%20Summary%20-%2011-09-2020.pdf: full text — See specific claim qualifications.
Earlier source URLs not separately listed in this audit’s retrieval log (historical access notes below are not fresh verification):
https://au-pida.org/events/wp-content/uploads/2024/11/One-Stop-Border-Post-OSBP-Status-Report.pdf
Earlier recorded access
Source 1: full text
Source 2: full text
Source 3: full text</x:v>
      </x:c>
      <x:c r="P719" s="20" t="n">
        <x:v>2</x:v>
      </x:c>
      <x:c r="Q719" s="4" t="str">
        <x:v>Southern Africa</x:v>
      </x:c>
      <x:c r="R719" s="4" t="str">
        <x:v>Included</x:v>
      </x:c>
    </x:row>
    <x:row r="720" ht="409" hidden="0" customHeight="1">
      <x:c r="A720" s="16" t="str">
        <x:v>REC50-R06-004</x:v>
      </x:c>
      <x:c r="B720" s="4" t="str">
        <x:v>Beitbridge exceptional night-time passenger curfews in December 2020</x:v>
      </x:c>
      <x:c r="C720" s="4" t="str">
        <x:v>Zimbabwe; South Africa</x:v>
      </x:c>
      <x:c r="D720" s="4" t="str">
        <x:v>Beitbridge
Beitbridge; crossing-specific services or movement restriction only</x:v>
      </x:c>
      <x:c r="E720" s="4" t="str">
        <x:v>Non-exempt general passengers during reported night curfew hours
Direction: General crossing rule; source-specific direction detail retained in phases
Exceptions: Cargo/commercial trucks and, in the 20 December account, other essential service providers are exempt.</x:v>
      </x:c>
      <x:c r="F720" s="4" t="str">
        <x:v>REC50-R06-004-P1 — Intermittent regime
Beitbridge non-exempt passenger curfew, 22:00–06:00, reported on 20 December 2020
Start: unknown.
Last confirmed: 2020-12-20. Exact curfew end is not established; later passenger access is confirmed by 2022-12-24.
Intermittent regime envelope; total closed days unknown
REC50-R06-004-P2 — Intermittent regime
Beitbridge revised non-exempt passenger curfew, 21:00–06:00, reported on 31 December 2020
Start: unknown.
Last confirmed: 2020-12-31. Exact curfew end is not established; later passenger access is confirmed by 2022-12-24.
Intermittent regime envelope; total closed days unknown
Later access bound for both phases: by 24 December 2022, the official festive passenger plan and SABC reporting described Beitbridge operating around the clock, with more than 20,000 travellers crossing in the preceding 24 hours. This establishes later passenger access, not the first night the December 2020 curfew ceased. Intervening restrictions and intermittent operation remain unresolved.</x:v>
      </x:c>
      <x:c r="G720" s="4" t="str">
        <x:v>Health and biosecurity / Human disease control
See named authority or attributed report in cited sources
Applies to: Source-supported phase only; see qualification
The named immigration official ties the newly applied night restriction to South Africa’s COVID curfew, and the later report places the revised schedule under pandemic regulations. This is an exceptional documented pandemic restriction, not routine overnight opening hours.</x:v>
      </x:c>
      <x:c r="H720" s="4" t="str">
        <x:v>REC50-R06-004-P1: 20 December is a dated enforcement account, not the first curfew night or a reopening. Cargo and other essential service providers remain exempt.
REC50-R06-004-P2: 31 December confirms the revised schedule, not its first night or an end of the restriction. Later staffing plans do not supply the curfew’s expiry.
Timing / scope evidence: The exact first implemented night, the date of the change to the 21:00 schedule, and the final end or superseding rule remain unresolved. Neither schedule represents continuous 24-hour closure.
Later access bound for both phases: by 24 December 2022, the official festive passenger plan and SABC reporting described Beitbridge operating around the clock, with more than 20,000 travellers crossing in the preceding 24 hours. This establishes later passenger access, not the first night the December 2020 curfew ceased. Intervening restrictions and intermittent operation remain unresolved.</x:v>
      </x:c>
      <x:c r="I720" s="4" t="str">
        <x:v>Second full-register audit, 26 October 2026: qualified. The two December 2020 Beitbridge passenger-night schedules and later December 2022 access are supported; no full-day continuous closure is implied.</x:v>
      </x:c>
      <x:c r="J720" s="18" t="d">
        <x:v>2026-10-26T00:00:00.000Z</x:v>
      </x:c>
      <x:c r="K720" s="21" t="str">
        <x:f>IFERROR(HYPERLINK("https://www.zimlive.com/zimbabwe-closes-border-with-south-africa-between-10pm-and-6am/","ZimLive / Zimbabwe News Now"),"ZimLive / Zimbabwe News Now")</x:f>
        <x:v>ZimLive / Zimbabwe News Now</x:v>
      </x:c>
      <x:c r="L720" s="21" t="str">
        <x:f>IFERROR(HYPERLINK("https://www.heraldonline.co.zw/sa-not-closing-borders-in-revised-level-3/","Chronicle / Herald Online"),"Chronicle / Herald Online")</x:f>
        <x:v>Chronicle / Herald Online</x:v>
      </x:c>
      <x:c r="M720" s="21"/>
      <x:c r="N720" s="4" t="str">
        <x:v>https://www.zimlive.com/zimbabwe-closes-border-with-south-africa-between-10pm-and-6am/
https://www.heraldonline.co.zw/sa-not-closing-borders-in-revised-level-3/
https://au-pida.org/events/wp-content/uploads/2024/11/One-Stop-Border-Post-OSBP-Status-Report.pdf
https://www.gov.za/af/news/media-advisories/government-activities/home-affairs-leads-implementation-202223-border-law
https://www.thezimbabwemail.com/zimbabwe/over-20-000-cross-into-zimbabwe-from-south-africa-at-beitbridge-for-festive/</x:v>
      </x:c>
      <x:c r="O720" s="4" t="str">
        <x:v>Second full-register audit source access, 26 October 2026
https://www.zimlive.com/zimbabwe-closes-border-with-south-africa-between-10pm-and-6am/: full text (fresh retrieval)
https://www.heraldonline.co.zw/sa-not-closing-borders-in-revised-level-3/: full text (fresh retrieval)
https://www.gov.za/af/news/media-advisories/government-activities/home-affairs-leads-implementation-202223-border-law: full text (fresh retrieval)
https://www.thezimbabwemail.com/zimbabwe/over-20-000-cross-into-zimbabwe-from-south-africa-at-beitbridge-for-festive/: full text (fresh retrieval) — Fresh first open recovered substantive report; subsequent reopen failed.
Earlier URLs not separately inspected in this second assessment:
https://au-pida.org/events/wp-content/uploads/2024/11/One-Stop-Border-Post-OSBP-Status-Report.pdf
Prior audit access record
Full-register audit source access (evidence cutoff 25 October 2026)
https://www.zimlive.com/zimbabwe-closes-border-with-south-africa-between-10pm-and-6am/: full text — See specific claim qualifications.
https://www.heraldonline.co.zw/sa-not-closing-borders-in-revised-level-3/: full text — See specific claim qualifications.
https://www.gov.za/af/news/media-advisories/government-activities/home-affairs-leads-implementation-202223-border-law: full text — See specific claim qualifications.
https://www.thezimbabwemail.com/zimbabwe/over-20-000-cross-into-zimbabwe-from-south-africa-at-beitbridge-for-festive/: search extract — See specific claim qualifications.
Earlier source URLs not separately listed in this audit’s retrieval log (historical access notes below are not fresh verification):
https://au-pida.org/events/wp-content/uploads/2024/11/One-Stop-Border-Post-OSBP-Status-Report.pdf
Earlier recorded access
Source 1: full text
Source 2: full text</x:v>
      </x:c>
      <x:c r="P720" s="20" t="n">
        <x:v>2</x:v>
      </x:c>
      <x:c r="Q720" s="4" t="str">
        <x:v>Southern Africa</x:v>
      </x:c>
      <x:c r="R720" s="4" t="str">
        <x:v>Included</x:v>
      </x:c>
    </x:row>
    <x:row r="721" ht="409" hidden="0" customHeight="1">
      <x:c r="A721" s="16" t="str">
        <x:v>REC50-R07-001</x:v>
      </x:c>
      <x:c r="B721" s="4" t="str">
        <x:v>Guatemala–Mexico named-crossing blockades during October 2023 protests</x:v>
      </x:c>
      <x:c r="C721" s="4" t="str">
        <x:v>Guatemala; Mexico</x:v>
      </x:c>
      <x:c r="D721" s="4" t="str">
        <x:v>El Ceibo; Tecun Uman; El Carmen; La Mesilla
Four named crossings with distinct dated and movement-specific observations</x:v>
      </x:c>
      <x:c r="E721" s="4" t="str">
        <x:v>See phase-specific road and customs/freight scope
Direction: See individual phase observations
Exceptions: No uniform exception list established; passenger closure is not inferred from freight logistics</x:v>
      </x:c>
      <x:c r="F721" s="4" t="str">
        <x:v>REC50-R07-001-P1 — Observed operation
El Ceibo border-post or access restriction, as attributed in the dated report
Start: unknown.
Last confirmed: 2023-10-07. Reopening is not established.
dated evidence; numeric duration withheld; see qualification
REC50-R07-001-P2 — Observed operation
Tecun Uman border-post or access restriction, as attributed in the dated report
Start: unknown.
Last confirmed: 2023-10-07. Reopening is not established.
dated evidence; numeric duration withheld; see qualification
REC50-R07-001-P3 — Observed operation
El Carmen border-post or access restriction, as attributed in the dated report
Start: unknown.
Last confirmed: 2023-10-09. Reopening is not established.
dated evidence; numeric duration withheld; see qualification
REC50-R07-001-P4 — Observed operation
La Mesilla border-post or access restriction, as attributed in the dated report
Start: unknown.
Last confirmed: 2023-10-09. Reopening is not established.
dated evidence; numeric duration withheld; see qualification</x:v>
      </x:c>
      <x:c r="G721" s="4" t="str">
        <x:v>Power and regime politics
Source-attributed reason; see qualification
Applies to: Scope and phases stated below; no primary rationale or universal overlap inferred
The reports attribute the campaign to demands for resignations of senior prosecutors. This is source-attributed campaign rationale, not an inferred personal motivation of every participant.</x:v>
      </x:c>
      <x:c r="H721" s="4" t="str">
        <x:v>REC50-R07-001-P1: No exact onset, restoration or uninterrupted interval is established. The October 7 post descriptions and October 9 customs observations are separate; earlier and later road bulletins are context only. No uniform passenger/freight or whole-boundary closure is inferred.
REC50-R07-001-P2: No exact onset, restoration or uninterrupted interval is established. The October 7 post descriptions and October 9 customs observations are separate; earlier and later road bulletins are context only. No uniform passenger/freight or whole-boundary closure is inferred.
REC50-R07-001-P3: No exact onset, restoration or uninterrupted interval is established. The October 7 post descriptions and October 9 customs observations are separate; earlier and later road bulletins are context only. No uniform passenger/freight or whole-boundary closure is inferred.
REC50-R07-001-P4: No exact onset, restoration or uninterrupted interval is established. The October 7 post descriptions and October 9 customs observations are separate; earlier and later road bulletins are context only. No uniform passenger/freight or whole-boundary closure is inferred.
Scope, onset, restoration and geography: Site-specific customs restoration and barrier locations remain unresolved. El Ceibo road kilometre labels are not automatically assigned to the customs gate.
Later road observations, kept separate from customs operations: A road-status bulletin dated October 14 at 21:04 lists La Mesilla, CA-1 km 338, as passable in both directions with a 20:30 clearance entry, while the Tecún Umán frontier road at CA-2 km 256 remained blocked in both directions. Publinews, citing Provial on October 20 around 06:00, again lists the La Mesilla km 338 road as blocked. These observations demonstrate changing road access; they do not establish uninterrupted customs closure from October 7 or 9, an exact first reopening, or a final settlement.</x:v>
      </x:c>
      <x:c r="I721" s="4" t="str">
        <x:v>Second full-register audit, 26 October 2026: additional source-audited corrections incorporated. See the phase, scope and qualification columns for the accepted findings.</x:v>
      </x:c>
      <x:c r="J721" s="18" t="d">
        <x:v>2026-10-26T00:00:00.000Z</x:v>
      </x:c>
      <x:c r="K721" s="21" t="str">
        <x:f>IFERROR(HYPERLINK("https://centroamerica360.com/politica/laberinto-de-bloqueos-se-mantiene-en-guatemala-por-sexto-dia/?noamp=mobile","Centroamérica360"),"Centroamérica360")</x:f>
        <x:v>Centroamérica360</x:v>
      </x:c>
      <x:c r="L721" s="21" t="str">
        <x:f>IFERROR(HYPERLINK("https://www.prensalibre.com/economia/se-reportan-problemas-con-las-exportaciones-e-importaciones-de-guatemala-y-el-comercio-terrestre-con-el-salvador-ya-se-interrumpio/","Prensa Libre / Urias Gamarro"),"Prensa Libre / Urias Gamarro")</x:f>
        <x:v>Prensa Libre / Urias Gamarro</x:v>
      </x:c>
      <x:c r="M721" s="21" t="str">
        <x:f>IFERROR(HYPERLINK("https://www.prensalibre.com/guatemala/elecciones-generales-guatemala-2023/horarios-de-bloqueos-hoy-manana-en-guatemala-octubre-2023-carreteras/","Prensa Libre live reporting"),"Prensa Libre live reporting")</x:f>
        <x:v>Prensa Libre live reporting</x:v>
      </x:c>
      <x:c r="N721" s="4" t="str">
        <x:v>https://centroamerica360.com/politica/laberinto-de-bloqueos-se-mantiene-en-guatemala-por-sexto-dia/?noamp=mobile
https://www.prensalibre.com/economia/se-reportan-problemas-con-las-exportaciones-e-importaciones-de-guatemala-y-el-comercio-terrestre-con-el-salvador-ya-se-interrumpio/
https://www.prensalibre.com/guatemala/elecciones-generales-guatemala-2023/horarios-de-bloqueos-hoy-manana-en-guatemala-octubre-2023-carreteras/
https://dataexport.com.gt/bloqueos-13-octubre/
https://www.prensalibre.com/ahora/economia/sat-publica-reforma-sobre-restricciones-de-peso-de-transporte-en-aduana-el-ceibo/
https://www.openstreetmap.org/node/5457825751
https://www.openstreetmap.org/way/570196979
https://www.openstreetmap.org/way/1253749042
https://www.openstreetmap.org/node/3485479359
https://www.openstreetmap.org/way/1321905356
https://www.openstreetmap.org/way/1030566731
https://www.openstreetmap.org/node/4699302038
https://www.openstreetmap.org/way/47608614
https://www.openstreetmap.org/way/191467615
https://www.openstreetmap.org/way/406492344
https://www.openstreetmap.org/way/1020053368
https://dca.gob.gt/noticias-guatemala-diario-centro-america/intervencion-de-la-pnc-finaliza-142-bloqueos/
https://www.prensalibre.com/wp-content/uploads/2023/10/SITUACION-DE-CARRETERAS-BLOQUEOS-2023-10-14T210426.324.pdf
https://www.publinews.gt/gt/noticias/2023/10/20/estos-bloqueos-permanecen-activos-en-el-pais-octubre-2023.html</x:v>
      </x:c>
      <x:c r="O721" s="4" t="str">
        <x:v>Second full-register audit source access, 26 October 2026
https://centroamerica360.com/politica/laberinto-de-bloqueos-se-mantiene-en-guatemala-por-sexto-dia/?noamp=mobile: full text (fresh retrieval)
https://www.prensalibre.com/economia/se-reportan-problemas-con-las-exportaciones-e-importaciones-de-guatemala-y-el-comercio-terrestre-con-el-salvador-ya-se-interrumpio/: full text (fresh retrieval)
https://www.prensalibre.com/wp-content/uploads/2023/10/SITUACION-DE-CARRETERAS-BLOQUEOS-2023-10-14T210426.324.pdf: full text (fresh retrieval) — PDF table visually checked in raw161; road access points, not proof of all customs movements.
https://www.publinews.gt/gt/noticias/2023/10/20/estos-bloqueos-permanecen-activos-en-el-pais-octubre-2023.html: full text (fresh retrieval)
https://dca.gob.gt/noticias-guatemala-diario-centro-america/intervencion-de-la-pnc-finaliza-142-bloqueos/: inaccessible (fresh retrieval) — 403; no national-total endpoint adopted.
Earlier URLs not separately inspected in this second assessment:
https://www.prensalibre.com/guatemala/elecciones-generales-guatemala-2023/horarios-de-bloqueos-hoy-manana-en-guatemala-octubre-2023-carreteras/
https://dataexport.com.gt/bloqueos-13-octubre/
https://www.prensalibre.com/ahora/economia/sat-publica-reforma-sobre-restricciones-de-peso-de-transporte-en-aduana-el-ceibo/
https://www.openstreetmap.org/node/5457825751
https://www.openstreetmap.org/way/570196979
https://www.openstreetmap.org/way/1253749042
https://www.openstreetmap.org/node/3485479359
https://www.openstreetmap.org/way/1321905356
https://www.openstreetmap.org/way/1030566731
https://www.openstreetmap.org/node/4699302038
https://www.openstreetmap.org/way/47608614
https://www.openstreetmap.org/way/191467615
https://www.openstreetmap.org/way/406492344
https://www.openstreetmap.org/way/1020053368
Prior audit access record
Full-register audit source access (evidence cutoff 25 October 2026)
https://centroamerica360.com/politica/laberinto-de-bloqueos-se-mantiene-en-guatemala-por-sexto-dia/?noamp=mobile: full text
https://www.prensalibre.com/economia/se-reportan-problemas-con-las-exportaciones-e-importaciones-de-guatemala-y-el-comercio-terrestre-con-el-salvador-ya-se-interrumpio/: full text
https://dca.gob.gt/noticias-guatemala-diario-centro-america/intervencion-de-la-pnc-finaliza-142-bloqueos/: search extract
Earlier source URLs not separately listed in this audit’s retrieval log (historical access notes below are not fresh verification):
https://www.prensalibre.com/guatemala/elecciones-generales-guatemala-2023/horarios-de-bloqueos-hoy-manana-en-guatemala-octubre-2023-carreteras/
https://dataexport.com.gt/bloqueos-13-octubre/
https://www.prensalibre.com/ahora/economia/sat-publica-reforma-sobre-restricciones-de-peso-de-transporte-en-aduana-el-ceibo/
https://www.openstreetmap.org/node/5457825751
https://www.openstreetmap.org/way/570196979
https://www.openstreetmap.org/way/1253749042
https://www.openstreetmap.org/node/3485479359
https://www.openstreetmap.org/way/1321905356
https://www.openstreetmap.org/way/1030566731
https://www.openstreetmap.org/node/4699302038
https://www.openstreetmap.org/way/47608614
https://www.openstreetmap.org/way/191467615
https://www.openstreetmap.org/way/406492344
https://www.openstreetmap.org/way/1020053368
Earlier recorded access
Source 1: full text
Source 2: full text
Source 3: full text</x:v>
      </x:c>
      <x:c r="P721" s="20" t="n">
        <x:v>4</x:v>
      </x:c>
      <x:c r="Q721" s="4" t="str">
        <x:v>Americas</x:v>
      </x:c>
      <x:c r="R721" s="4" t="str">
        <x:v>Included</x:v>
      </x:c>
    </x:row>
    <x:row r="722" ht="409" hidden="0" customHeight="1">
      <x:c r="A722" s="16" t="str">
        <x:v>REC50-R07-002</x:v>
      </x:c>
      <x:c r="B722" s="4" t="str">
        <x:v>Agua Caliente integrated-post suspension for bridge works, September–December 2021</x:v>
      </x:c>
      <x:c r="C722" s="4" t="str">
        <x:v>Guatemala; Honduras</x:v>
      </x:c>
      <x:c r="D722" s="4" t="str">
        <x:v>Agua Caliente–Nueva Ocotepeque
Integrated post and its bridge approach</x:v>
      </x:c>
      <x:c r="E722" s="4" t="str">
        <x:v>Customs operations and heavy freight, as specified
Direction: Both-country freight movements
Exceptions: Alternative heavy-freight route through Corinto; no complete passenger exception list established</x:v>
      </x:c>
      <x:c r="F722" s="4" t="str">
        <x:v>REC50-R07-002-P1 — Formal policy
Agua Caliente integrated-post customs suspension for Bailey-bridge works; heavy freight diverted through Corinto.
Start: 2021-09-20.
Service-policy endpoint: 2021-12-09.
Restoration was announced effective at noon on 9 December. Same-day reporting describes resumed services for light and heavy vehicles. The policy-date difference is 80 days; exact first and last affected vehicles are not established.</x:v>
      </x:c>
      <x:c r="G722" s="4" t="str">
        <x:v>Administration and service operation
Source-attributed reason; see qualification
Applies to: Scope and phases stated below; no primary rationale or universal overlap inferred
Authorities attribute the suspension to bridge installation and associated infrastructure works.</x:v>
      </x:c>
      <x:c r="H722" s="4" t="str">
        <x:v>The formal customs suspension began on 20 September 2021 and restoration was announced effective at noon on 9 December. Same-day reporting describes resumed services, but does not independently establish the first processed vehicle or uninterrupted closure for all movements. The 80-day policy-date difference is not 80 verified continuously closed operational days. Corinto's extended hours through January 2022 were a separate measure and are not the Agua Caliente reopening date.</x:v>
      </x:c>
      <x:c r="I722" s="4" t="str">
        <x:v>Second full-register audit, 26 October 2026: additional source-audited corrections incorporated. See the phase, scope and qualification columns for the accepted findings.</x:v>
      </x:c>
      <x:c r="J722" s="18" t="d">
        <x:v>2026-10-26T00:00:00.000Z</x:v>
      </x:c>
      <x:c r="K722" s="21" t="str">
        <x:f>IFERROR(HYPERLINK("https://agexporthoy.export.com.gt/agexport/suspension-temporal-de-las-operaciones-en-puesto-fronterizo-integrado-de-agua-caliente/","AGEXPORT"),"AGEXPORT")</x:f>
        <x:v>AGEXPORT</x:v>
      </x:c>
      <x:c r="L722" s="21" t="str">
        <x:f>IFERROR(HYPERLINK("https://agexporthoy.export.com.gt/wp-content/uploads/2021/09/SUSPENSION-PUENTE-FRONTERIZO-AGUA-CALIENTE-Actualizado.pdf","AGEXPORT / SAT-attributed circular"),"AGEXPORT / SAT-attributed circular")</x:f>
        <x:v>AGEXPORT / SAT-attributed circular</x:v>
      </x:c>
      <x:c r="M722" s="21" t="str">
        <x:f>IFERROR(HYPERLINK("https://proceso.hn/continua-cierre-temporal-punto-fronterizo-de-agua-caliente/","Proceso Digital"),"Proceso Digital")</x:f>
        <x:v>Proceso Digital</x:v>
      </x:c>
      <x:c r="N722" s="4" t="str">
        <x:v>https://agexporthoy.export.com.gt/agexport/suspension-temporal-de-las-operaciones-en-puesto-fronterizo-integrado-de-agua-caliente/
https://agexporthoy.export.com.gt/wp-content/uploads/2021/09/SUSPENSION-PUENTE-FRONTERIZO-AGUA-CALIENTE-Actualizado.pdf
https://proceso.hn/continua-cierre-temporal-punto-fronterizo-de-agua-caliente/
https://www.openstreetmap.org/node/13099237846
https://www.openstreetmap.org/way/742745126
https://www.openstreetmap.org/way/882312803
https://www.openstreetmap.org/way/1425110754
https://www.openstreetmap.org/node/3784049876
https://www.openstreetmap.org/node/3804076609
https://agn.gt/migracion-anuncia-cierre-temporal-en-puesto-fronterizo-integrado-de-agua-caliente-nueva-ocotepeque/
https://proceso.hn/aduana-agua-caliente-reanuda-operaciones-aduaneras/
https://www.tunota.com/honduras-hoy/reanudan-operaciones-aduana-agua-caliente-honduras-guatemala-instalacion-de-puente-bailey</x:v>
      </x:c>
      <x:c r="O722" s="4" t="str">
        <x:v>Second full-register audit source access, 26 October 2026
https://agexporthoy.export.com.gt/agexport/suspension-temporal-de-las-operaciones-en-puesto-fronterizo-integrado-de-agua-caliente/: full text (fresh retrieval)
https://proceso.hn/continua-cierre-temporal-punto-fronterizo-de-agua-caliente/: full text (fresh retrieval)
https://proceso.hn/aduana-agua-caliente-reanuda-operaciones-aduaneras/: full text (fresh retrieval)
https://www.tunota.com/honduras-hoy/reanudan-operaciones-aduana-agua-caliente-honduras-guatemala-instalacion-de-puente-bailey: full text (fresh retrieval) — Published at 11:11 with completed-action wording before the announced noon; exact first movement not independently established.
Earlier URLs not separately inspected in this second assessment:
https://agexporthoy.export.com.gt/wp-content/uploads/2021/09/SUSPENSION-PUENTE-FRONTERIZO-AGUA-CALIENTE-Actualizado.pdf
https://www.openstreetmap.org/node/13099237846
https://www.openstreetmap.org/way/742745126
https://www.openstreetmap.org/way/882312803
https://www.openstreetmap.org/way/1425110754
https://www.openstreetmap.org/node/3784049876
https://www.openstreetmap.org/node/3804076609
https://agn.gt/migracion-anuncia-cierre-temporal-en-puesto-fronterizo-integrado-de-agua-caliente-nueva-ocotepeque/
Prior audit access record
Full-register audit source access (evidence cutoff 25 October 2026)
https://agexporthoy.export.com.gt/agexport/suspension-temporal-de-las-operaciones-en-puesto-fronterizo-integrado-de-agua-caliente/: full text
https://proceso.hn/continua-cierre-temporal-punto-fronterizo-de-agua-caliente/: full text
https://proceso.hn/aduana-agua-caliente-reanuda-operaciones-aduaneras/: full text
https://www.tunota.com/honduras-hoy/reanudan-operaciones-aduana-agua-caliente-honduras-guatemala-instalacion-de-puente-bailey: full text — 11:11 timestamp precedes planned noon; independent first vehicle not observed.
Earlier source URLs not separately listed in this audit’s retrieval log (historical access notes below are not fresh verification):
https://agexporthoy.export.com.gt/wp-content/uploads/2021/09/SUSPENSION-PUENTE-FRONTERIZO-AGUA-CALIENTE-Actualizado.pdf
https://www.openstreetmap.org/node/13099237846
https://www.openstreetmap.org/way/742745126
https://www.openstreetmap.org/way/882312803
https://www.openstreetmap.org/way/1425110754
https://www.openstreetmap.org/node/3784049876
https://www.openstreetmap.org/node/3804076609
https://agn.gt/migracion-anuncia-cierre-temporal-en-puesto-fronterizo-integrado-de-agua-caliente-nueva-ocotepeque/
Earlier recorded access
Source 1: full text
Source 2: full text
Source 3: full text</x:v>
      </x:c>
      <x:c r="P722" s="20" t="n">
        <x:v>1</x:v>
      </x:c>
      <x:c r="Q722" s="4" t="str">
        <x:v>Americas</x:v>
      </x:c>
      <x:c r="R722" s="4" t="str">
        <x:v>Included</x:v>
      </x:c>
    </x:row>
    <x:row r="723" ht="402" hidden="0" customHeight="1">
      <x:c r="A723" s="16" t="str">
        <x:v>REC50-R07-003</x:v>
      </x:c>
      <x:c r="B723" s="4" t="str">
        <x:v>Agua Caliente planned maintenance closure, May 2025</x:v>
      </x:c>
      <x:c r="C723" s="4" t="str">
        <x:v>Guatemala; Honduras</x:v>
      </x:c>
      <x:c r="D723" s="4" t="str">
        <x:v>Agua Caliente–Nueva Ocotepeque
Named integrated crossing and bridge works</x:v>
      </x:c>
      <x:c r="E723" s="4" t="str">
        <x:v>Announced full entry and exit restriction
Direction: Both directions
Exceptions: Alternative crossings recommended; early restoration was possible but not observed</x:v>
      </x:c>
      <x:c r="F723" s="4" t="str">
        <x:v>REC50-R07-003-P1 — Announced window
Announced complete Agua Caliente–Nueva Ocotepeque entry/exit suspension for paving works
Start: 2025-05-24.
Scheduled endpoint: 2025-05-26.
Ordered window: 2 calendar-day difference; actual end not established</x:v>
      </x:c>
      <x:c r="G723" s="4" t="str">
        <x:v>Administration and service operation
Source-attributed reason; see qualification
Applies to: Scope and phases stated below; no primary rationale or universal overlap inferred
Officially attributed to road/bridge-entrance maintenance.</x:v>
      </x:c>
      <x:c r="H723" s="4" t="str">
        <x:v>REC50-R07-003-P1: May 24 at 18:00 to May 26 at 06:00 is an announced 36-hour window with a two-day calendar-date difference. The inspected reports were published before the scheduled start. Actual enforcement, any early completion and first reopened passage remain unestablished; neither measure is treated as an observed operational duration.</x:v>
      </x:c>
      <x:c r="I723" s="4" t="str">
        <x:v>Second full-register audit, 26 October 2026: additional source-audited corrections incorporated. See the phase, scope and qualification columns for the accepted findings.</x:v>
      </x:c>
      <x:c r="J723" s="18" t="d">
        <x:v>2026-10-26T00:00:00.000Z</x:v>
      </x:c>
      <x:c r="K723" s="21" t="str">
        <x:f>IFERROR(HYPERLINK("https://agn.gt/migracion-anuncia-cierre-temporal-en-puesto-fronterizo-integrado-de-agua-caliente-nueva-ocotepeque/","Coordinate evidence source"),"Coordinate evidence source")</x:f>
        <x:v>Coordinate evidence source</x:v>
      </x:c>
      <x:c r="L723" s="21" t="str">
        <x:f>IFERROR(HYPERLINK("https://www.emisorasunidas.com/nacional/2025/05/24/cerraran-el-paso-fronterizo-agua-caliente-chiquimula/","Emisoras Unidas / Eliseo de León"),"Emisoras Unidas / Eliseo de León")</x:f>
        <x:v>Emisoras Unidas / Eliseo de León</x:v>
      </x:c>
      <x:c r="M723" s="21"/>
      <x:c r="N723" s="4" t="str">
        <x:v>https://agn.gt/migracion-anuncia-cierre-temporal-en-puesto-fronterizo-integrado-de-agua-caliente-nueva-ocotepeque/
https://www.emisorasunidas.com/nacional/2025/05/24/cerraran-el-paso-fronterizo-agua-caliente-chiquimula/
https://www.openstreetmap.org/node/13099237846
https://www.openstreetmap.org/way/742745126
https://www.openstreetmap.org/way/882312803
https://www.openstreetmap.org/way/1425110754
https://www.openstreetmap.org/node/3784049876
https://www.openstreetmap.org/node/3804076609</x:v>
      </x:c>
      <x:c r="O723" s="4" t="str">
        <x:v>Second full-register audit source access, 26 October 2026
https://agn.gt/migracion-anuncia-cierre-temporal-en-puesto-fronterizo-integrado-de-agua-caliente-nueva-ocotepeque/: full text (fresh retrieval)
https://www.emisorasunidas.com/nacional/2025/05/24/cerraran-el-paso-fronterizo-agua-caliente-chiquimula/: full text (fresh retrieval)
Earlier URLs not separately inspected in this second assessment:
https://www.openstreetmap.org/node/13099237846
https://www.openstreetmap.org/way/742745126
https://www.openstreetmap.org/way/882312803
https://www.openstreetmap.org/way/1425110754
https://www.openstreetmap.org/node/3784049876
https://www.openstreetmap.org/node/3804076609
Prior audit access record
Full-register audit source access (evidence cutoff 25 October 2026)
https://agn.gt/migracion-anuncia-cierre-temporal-en-puesto-fronterizo-integrado-de-agua-caliente-nueva-ocotepeque/: full text
Earlier source URLs not separately listed in this audit’s retrieval log (historical access notes below are not fresh verification):
https://www.emisorasunidas.com/nacional/2025/05/24/cerraran-el-paso-fronterizo-agua-caliente-chiquimula/
https://www.openstreetmap.org/node/13099237846
https://www.openstreetmap.org/way/742745126
https://www.openstreetmap.org/way/882312803
https://www.openstreetmap.org/way/1425110754
https://www.openstreetmap.org/node/3784049876
https://www.openstreetmap.org/node/3804076609
Earlier recorded access
Source 1: full text
Source 2: full text</x:v>
      </x:c>
      <x:c r="P723" s="20" t="n">
        <x:v>1</x:v>
      </x:c>
      <x:c r="Q723" s="4" t="str">
        <x:v>Americas</x:v>
      </x:c>
      <x:c r="R723" s="4" t="str">
        <x:v>Included</x:v>
      </x:c>
    </x:row>
    <x:row r="724" ht="409" hidden="0" customHeight="1">
      <x:c r="A724" s="16" t="str">
        <x:v>REC50-R08-001</x:v>
      </x:c>
      <x:c r="B724" s="4" t="str">
        <x:v>Narva 2 / Parusinka pedestrian-post suspension from November 2022</x:v>
      </x:c>
      <x:c r="C724" s="4" t="str">
        <x:v>Estonia; Russia</x:v>
      </x:c>
      <x:c r="D724" s="4" t="str">
        <x:v>Narva 2 / Parusinka
One pedestrian bridge/post, distinct from the main Narva road crossing</x:v>
      </x:c>
      <x:c r="E724" s="4" t="str">
        <x:v>Eligible pedestrians using Narva 2
Direction: Both directions at Narva 2
Exceptions: Narva 1 remained an alternative; no whole-frontier or main-road-post closure is implied.</x:v>
      </x:c>
      <x:c r="F724" s="4" t="str">
        <x:v>REC50-R08-001-P1 — Observed operation
Narva 2 / Parusinka pedestrian crossing closed; Narva 1 remains an alternative
Start: 2022-11-28.
Last confirmed: 2026-06-03. Reopening is not established.
confirmed through 2026-06-03; at least 1283 calendar-day difference; reopening unknown</x:v>
      </x:c>
      <x:c r="G724" s="4" t="str">
        <x:v>Administration and service operation / Checkpoint authorisation and consolidation
Interior Minister Lauri Läänemets in S001/S002; later ministerial account in S004
Applies to: P1
The attributed reason is consolidation and staff/facility use during reconstruction. The initiating minister explicitly rejected security as the closure rationale.</x:v>
      </x:c>
      <x:c r="H724" s="4" t="str">
        <x:v>REC50-R08-001-P1: Closure is reported on 28 November 2022 and the same post is still described as closed on 3 June 2026. The 1,283-day difference is a qualified censored lower bound, not a complete duration or evidence beyond that confirmation.
Endpoint, continuity and geography as scoped: Seek a scoped reopening or later dated confirmation and any material exceptional-access evidence.</x:v>
      </x:c>
      <x:c r="I724" s="4" t="str">
        <x:v>Second full-register audit, 26 October 2026: qualified. Fresh contemporary and retrospective reporting supports the same Narva 2 closure from November 2022 through June 2026; Narva 1 is a separate route.</x:v>
      </x:c>
      <x:c r="J724" s="18" t="d">
        <x:v>2026-10-26T00:00:00.000Z</x:v>
      </x:c>
      <x:c r="K724" s="21" t="str">
        <x:f>IFERROR(HYPERLINK("https://www.siseministeerium.ee/uudised/riik-sulgeb-narvas-jalakaijate-piiripunkti","Coordinate evidence source"),"Coordinate evidence source")</x:f>
        <x:v>Coordinate evidence source</x:v>
      </x:c>
      <x:c r="L724" s="21" t="str">
        <x:f>IFERROR(HYPERLINK("https://www.err.ee/1608793015/narva-2-piiripunkt-laheb-kinni-28-novembril","ERR"),"ERR")</x:f>
        <x:v>ERR</x:v>
      </x:c>
      <x:c r="M724" s="21" t="str">
        <x:f>IFERROR(HYPERLINK("https://www.err.ee/1608803317/ppa-sulges-narva-2-piiripunkti","ERR"),"ERR")</x:f>
        <x:v>ERR</x:v>
      </x:c>
      <x:c r="N724" s="4" t="str">
        <x:v>https://www.siseministeerium.ee/uudised/riik-sulgeb-narvas-jalakaijate-piiripunkti
https://www.err.ee/1608793015/narva-2-piiripunkt-laheb-kinni-28-novembril
https://www.err.ee/1608803317/ppa-sulges-narva-2-piiripunkti
https://news.err.ee/1610045215/interior-minister-currently-impossible-to-speed-up-border-crossing-in-narva
https://www.openstreetmap.org/node/323161952
https://www.openstreetmap.org/way/93931782
https://www.openstreetmap.org/way/29391585
https://news.err.ee/1608803359/ppa-temporarily-closes-narva-2-pedestrian-border-bridge</x:v>
      </x:c>
      <x:c r="O724" s="4" t="str">
        <x:v>Second full-register audit source access, 26 October 2026
https://news.err.ee/1608803359/ppa-temporarily-closes-narva-2-pedestrian-border-bridge: full text (fresh retrieval)
https://news.err.ee/1610045215/interior-minister-currently-impossible-to-speed-up-border-crossing-in-narva: full text (fresh retrieval)
Earlier URLs not separately inspected in this second assessment:
https://www.siseministeerium.ee/uudised/riik-sulgeb-narvas-jalakaijate-piiripunkti
https://www.err.ee/1608793015/narva-2-piiripunkt-laheb-kinni-28-novembril
https://www.err.ee/1608803317/ppa-sulges-narva-2-piiripunkti
https://www.openstreetmap.org/node/323161952
https://www.openstreetmap.org/way/93931782
https://www.openstreetmap.org/way/29391585
Prior audit access record
Full-register audit source access (evidence cutoff 25 October 2026)
https://news.err.ee/1608803359/ppa-temporarily-closes-narva-2-pedestrian-border-bridge: full text
https://news.err.ee/1608803359/ppa-temporarily-closes-narva-2-pedestrian-border-bridge: full text
https://news.err.ee/1610045215/interior-minister-currently-impossible-to-speed-up-border-crossing-in-narva: search extract
https://news.err.ee/1610045215/interior-minister-currently-impossible-to-speed-up-border-crossing-in-narva: full text
Earlier source URLs not separately listed in this audit’s retrieval log (historical access notes below are not fresh verification):
https://www.siseministeerium.ee/uudised/riik-sulgeb-narvas-jalakaijate-piiripunkti
https://www.err.ee/1608793015/narva-2-piiripunkt-laheb-kinni-28-novembril
https://www.err.ee/1608803317/ppa-sulges-narva-2-piiripunkti
https://www.openstreetmap.org/node/323161952
https://www.openstreetmap.org/way/93931782
https://www.openstreetmap.org/way/29391585
Earlier recorded access
Source 1: full text
Source 2: full text
Source 3: full text</x:v>
      </x:c>
      <x:c r="P724" s="20" t="n">
        <x:v>1</x:v>
      </x:c>
      <x:c r="Q724" s="4" t="str">
        <x:v>Europe</x:v>
      </x:c>
      <x:c r="R724" s="4" t="str">
        <x:v>Included</x:v>
      </x:c>
    </x:row>
    <x:row r="725" ht="409" hidden="0" customHeight="1">
      <x:c r="A725" s="16" t="str">
        <x:v>REC50-R08-002</x:v>
      </x:c>
      <x:c r="B725" s="4" t="str">
        <x:v>Narva 1 / Ivangorod vehicle restriction and separate pedestrian night schedules</x:v>
      </x:c>
      <x:c r="C725" s="4" t="str">
        <x:v>Estonia; Russia</x:v>
      </x:c>
      <x:c r="D725" s="4" t="str">
        <x:v>Narva 1 / Ivangorod
Narva 1 / Ivangorod road crossing only; rail and Narva 2 are separate</x:v>
      </x:c>
      <x:c r="E725" s="4" t="str">
        <x:v>Vehicles in P1; overnight pedestrian passage in P2/P3
Direction: Both directions
Exceptions: Foot passage remains possible during the stated hours. The initial vehicle notice also excepts rail; no claim about later rail operation is inferred.</x:v>
      </x:c>
      <x:c r="F725" s="4" t="str">
        <x:v>REC50-R08-002-P1 — Formal policy
All road vehicles excluded through Narva 1 / Ivangorod; pedestrian crossing retained
Start: 2024-02-01.
Last confirmed: 2026-02-23. Reopening is not established.
Formal policy: confirmed through 2026-02-23; at least 753 calendar-day difference; reopening unknown
REC50-R08-002-P2 — Intermittent regime
Narva 1 pedestrian crossing unavailable overnight under the 07:00–23:00 operating schedule
Start: 2024-05-01.
Policy endpoint: 2026-06-15.
Intermittent regime envelope; total closed days unknown
REC50-R08-002-P3 — Intermittent regime
Narva 1 pedestrian operating hours reduced to 07:00–19:00
Start: 2026-06-15.
Last confirmed: 2026-08-13. Reopening is not established.
Intermittent regime envelope; total closed days unknown
P3 continuation: the August 13, 2026 decision makes 07:00–19:00 operation indefinite from September 1, 2026. Current government guidance checked October 25, 2026 retains pedestrian-only operation and these hours; this is a later observation, not a new onset.</x:v>
      </x:c>
      <x:c r="G725" s="4" t="str">
        <x:v>Administration and service operation / Temporary service suspension
Russian reconstruction explanation reported by Estonian customs in S005
Applies to: P1 only
Use the stated reconstruction reason for the vehicle restriction. Do not substitute migration pressure or general war context.
Administration and service operation / Checkpoint authorisation and consolidation
ERR attributes the night-hours proposal to reduced traffic; government and ministry describe staffing allocation
Applies to: P2 and P3, as separately supported
Reduced hours and staff deployment are attributed operational reasons. These do not imply a permanent closure of the crossing.
Security / Unspecified security
Interior Minister Igor Taro and government/ministry notices
Applies to: P3 only
Border security, incident response and customs enforcement are explicitly stated. The sources do not establish a narrower security subcategory for this schedule.</x:v>
      </x:c>
      <x:c r="H725" s="4" t="str">
        <x:v>P1 is the February 1, 2024 announced vehicle rule; later official guidance confirms pedestrian-only operation. The end-2025 construction target was not a reopening. P2 is the recurring 07:00–23:00 schedule from May 1, 2024 to June 15, 2026. P3 is the recurring 07:00–19:00 schedule from June 15, 2026; its indefinite continuation was announced August 13 and took effect September 1. Standing government guidance checked October 25 still gives pedestrian-only 07:00–19:00 access. This later observation is not a new onset or proof of unchanged daily enforcement. The original August legal instrument and exact vehicle-reopening endpoint remain unavailable; recurring closed hours must not be counted as continuous closure days.</x:v>
      </x:c>
      <x:c r="I725" s="4" t="str">
        <x:v>Second full-register audit, 26 October 2026: qualified. Original onsets and later recurring-hours extensions are supported; current guidance does not create a new onset.</x:v>
      </x:c>
      <x:c r="J725" s="18" t="d">
        <x:v>2026-10-26T00:00:00.000Z</x:v>
      </x:c>
      <x:c r="K725" s="21" t="str">
        <x:f>IFERROR(HYPERLINK("https://www.emta.ee/en/news/1-february-narva-border-crossing-point-open-only-pedestrians","Coordinate evidence source"),"Coordinate evidence source")</x:f>
        <x:v>Coordinate evidence source</x:v>
      </x:c>
      <x:c r="L725" s="21" t="str">
        <x:f>IFERROR(HYPERLINK("https://kriis.ee/en/news/may-1-narva-border-crossing-point-closed-night","Estonian government crisis-information service"),"Estonian government crisis-information service")</x:f>
        <x:v>Estonian government crisis-information service</x:v>
      </x:c>
      <x:c r="M725" s="21" t="str">
        <x:f>IFERROR(HYPERLINK("https://www.emta.ee/en/news/luhamaa-and-koidula-border-crossing-points-closed-night-24-february","Estonian Tax and Customs Board"),"Estonian Tax and Customs Board")</x:f>
        <x:v>Estonian Tax and Customs Board</x:v>
      </x:c>
      <x:c r="N725" s="4" t="str">
        <x:v>https://www.emta.ee/en/news/1-february-narva-border-crossing-point-open-only-pedestrians
https://kriis.ee/en/news/may-1-narva-border-crossing-point-closed-night
https://www.emta.ee/en/news/luhamaa-and-koidula-border-crossing-points-closed-night-24-february
https://news.err.ee/1609329171/narva-border-closing-overnight-from-may
https://valitsus.ee/en/news/border-crossing-points-remain-closed-night-during-summer
https://www.siseministeerium.ee/en/news/ministry-interior-proposes-extend-restriction-border-crossing-opening-hours
https://news.err.ee/1610109211/estonia-extends-overnight-russia-border-closures-indefinitely
https://www.openstreetmap.org/node/3700730158
https://www.openstreetmap.org/node/3700718877
https://www.openstreetmap.org/way/64320346
https://www.emta.ee/uudised/eesti-vene-piiripunktide-oine-sulgemine-muudeti-tahtajatuks
https://www.kriis.ee/en/travelling-crossing-state-border/travelling-abroad-estonia/travelling-abroad-estonia-russia</x:v>
      </x:c>
      <x:c r="O725" s="4" t="str">
        <x:v>Second full-register audit source access, 26 October 2026
https://www.emta.ee/uudised/eesti-vene-piiripunktide-oine-sulgemine-muudeti-tahtajatuks: full text (fresh retrieval)
https://www.kriis.ee/en/travelling-crossing-state-border/travelling-abroad-estonia/travelling-abroad-estonia-russia: full text (fresh retrieval) — Standing guidance retrieved October 26; old construction-target FAQ is stale and not an actual reopening date.
https://www.emta.ee/en/news/1-february-narva-border-crossing-point-open-only-pedestrians: full text (fresh retrieval)
https://kriis.ee/en/news/may-1-narva-border-crossing-point-closed-night: full text (fresh retrieval)
https://valitsus.ee/en/news/border-crossing-points-remain-closed-night-during-summer: full text (fresh retrieval) — Header and body differ over publication/meeting date; explicit effective date is clear.
Earlier URLs not separately inspected in this second assessment:
https://www.emta.ee/en/news/luhamaa-and-koidula-border-crossing-points-closed-night-24-february
https://news.err.ee/1609329171/narva-border-closing-overnight-from-may
https://www.siseministeerium.ee/en/news/ministry-interior-proposes-extend-restriction-border-crossing-opening-hours
https://news.err.ee/1610109211/estonia-extends-overnight-russia-border-closures-indefinitely
https://www.openstreetmap.org/node/3700730158
https://www.openstreetmap.org/node/3700718877
https://www.openstreetmap.org/way/64320346
Prior audit access record
Full-register audit source access (evidence cutoff 25 October 2026)
https://www.emta.ee/en/news/1-february-narva-border-crossing-point-open-only-pedestrians: full text
https://kriis.ee/en/news/may-1-narva-border-crossing-point-closed-night: full text
https://valitsus.ee/en/news/border-crossing-points-remain-closed-night-during-summer: full text
https://www.emta.ee/uudised/eesti-vene-piiripunktide-oine-sulgemine-muudeti-tahtajatuks: full text
https://www.kriis.ee/en/travelling-crossing-state-border/travelling-abroad-estonia/travelling-abroad-estonia-russia: full text
Earlier source URLs not separately listed in this audit’s retrieval log (historical access notes below are not fresh verification):
https://www.emta.ee/en/news/luhamaa-and-koidula-border-crossing-points-closed-night-24-february
https://news.err.ee/1609329171/narva-border-closing-overnight-from-may
https://www.siseministeerium.ee/en/news/ministry-interior-proposes-extend-restriction-border-crossing-opening-hours
https://news.err.ee/1610109211/estonia-extends-overnight-russia-border-closures-indefinitely
https://www.openstreetmap.org/node/3700730158
https://www.openstreetmap.org/node/3700718877
https://www.openstreetmap.org/way/64320346
Earlier recorded access
Source 1: full text
Source 2: full text
Source 3: full text</x:v>
      </x:c>
      <x:c r="P725" s="20" t="n">
        <x:v>3</x:v>
      </x:c>
      <x:c r="Q725" s="4" t="str">
        <x:v>Europe</x:v>
      </x:c>
      <x:c r="R725" s="4" t="str">
        <x:v>Included</x:v>
      </x:c>
    </x:row>
    <x:row r="726" ht="409" hidden="0" customHeight="1">
      <x:c r="A726" s="16" t="str">
        <x:v>REC50-R08-003</x:v>
      </x:c>
      <x:c r="B726" s="4" t="str">
        <x:v>Stasylos–Benekainys incoming freight-train restriction from February 2023</x:v>
      </x:c>
      <x:c r="C726" s="4" t="str">
        <x:v>Lithuania; Belarus</x:v>
      </x:c>
      <x:c r="D726" s="4" t="str">
        <x:v>Stasylos–Benekainys railway crossing
Stasylos–Benekainys railway crossing; incoming freight only</x:v>
      </x:c>
      <x:c r="E726" s="4" t="str">
        <x:v>Freight trains entering Lithuania from Belarus
Direction: Belarus to Lithuania
Exceptions: Incoming freight is rerouted to Kena. The regulator’s later decision distinguishes a broader cross-border train restriction from the domestic Stasylos station, which continued operating. The current phase remains limited to incoming freight; outbound phase details and passenger scope require follow-up.</x:v>
      </x:c>
      <x:c r="F726" s="4" t="str">
        <x:v>REC50-R08-003-P1 — Formal policy
Freight trains arriving in Lithuania from Belarus diverted from Stasylos to Kena
Start: 2023-02-16.
Last confirmed: 2023-04-26. Reopening is not established.
Formal policy: confirmed through 2023-04-26; at least 69 calendar-day difference; reopening unknown
Later policy observation: 2025-03-04 network-statement revision confirms a broader bidirectional cross-border train suspension through Stasylos, with Kena diversion.
Scheduled extension limit: 2026-06-01; this is not an observed reopening.
The original incoming-freight onset is retained; broader-scope commencement remains unresolved.
Separate formal-status observation, 2026-10-26: the consolidated border-post schedule still diverts trains in both directions via Kena and suspends Stasylos inspections. Its replacement Stasylos row is scheduled for 2026-12-14. This supersedes the former June 1 scheduled limit; neither date is an observed reopening.</x:v>
      </x:c>
      <x:c r="G726" s="4" t="str">
        <x:v>Security / Smuggling and illicit trafficking
Lithuanian Ministry of the Interior and State Border Guard Service
Applies to: P1
The authorities explicitly attribute the restriction to contraband cigarette flows and associated security concerns. No separate economic-protection motive is inferred.</x:v>
      </x:c>
      <x:c r="H726" s="4" t="str">
        <x:v>The incoming-freight rule began February 16, 2023 and was confirmed April 26. LTG Infra’s March 4, 2025 revision describes the broader bidirectional suspension via Stasylos and diversion to Kena, then scheduled until June 1, 2026. The consolidated legal schedule inspected October 26, 2026 still lists that diversion and suspended inspections, with a replacement row scheduled for December 14, 2026. The official text was available through a substantive indexed extract and corroborated by a directly readable legal reproduction. Neither scheduled date nor domestic station activity proves international reopening. The broader-scope original commencement and actual resumption remain unestablished; no complete operational duration is inferred.</x:v>
      </x:c>
      <x:c r="I726" s="4" t="str">
        <x:v>Second full-register audit, 26 October 2026: additional source-audited corrections incorporated. See the phase, scope and qualification columns for the accepted findings.</x:v>
      </x:c>
      <x:c r="J726" s="18" t="d">
        <x:v>2026-10-26T00:00:00.000Z</x:v>
      </x:c>
      <x:c r="K726" s="21" t="str">
        <x:f>IFERROR(HYPERLINK("https://vrm.lrv.lt/en/news/freight-trains-from-stasylos-will-be-diverted-to-kena-as-part-of-lithuanias-smuggling-crackdown/","Coordinate evidence source"),"Coordinate evidence source")</x:f>
        <x:v>Coordinate evidence source</x:v>
      </x:c>
      <x:c r="L726" s="21" t="str">
        <x:f>IFERROR(HYPERLINK("https://vsat.lrv.lt/lt/naujienos/apribojus-krovininiu-traukiniu-vykima-per-stasylas-smarkiai-sumazejo-i-lietuva-gabenamos-kontrabandos/","Lithuanian State Border Guard Service"),"Lithuanian State Border Guard Service")</x:f>
        <x:v>Lithuanian State Border Guard Service</x:v>
      </x:c>
      <x:c r="M726" s="21" t="str">
        <x:f>IFERROR(HYPERLINK("https://www.rrt.lt/wp-content/uploads/2024/07/2024-07-04-Nr.-TN-470.pdf","Lithuanian Communications Regulatory Authority"),"Lithuanian Communications Regulatory Authority")</x:f>
        <x:v>Lithuanian Communications Regulatory Authority</x:v>
      </x:c>
      <x:c r="N726" s="4" t="str">
        <x:v>https://vrm.lrv.lt/en/news/freight-trains-from-stasylos-will-be-diverted-to-kena-as-part-of-lithuanias-smuggling-crackdown/
https://vsat.lrv.lt/lt/naujienos/apribojus-krovininiu-traukiniu-vykima-per-stasylas-smarkiai-sumazejo-i-lietuva-gabenamos-kontrabandos/
https://www.rrt.lt/wp-content/uploads/2024/07/2024-07-04-Nr.-TN-470.pdf
https://eur-lex.europa.eu/legal-content/EN/TXT/?uri=CELEX%3A52025XC06236
https://rrt.lt/upload/legacy/legislations/2024/07/2024-07-04-Nr.-TN-470.pdf
https://www.openstreetmap.org/node/159923493
https://www.openstreetmap.org/way/132961651
https://www.openstreetmap.org/way/217776913
https://doc.ltginfra.lt/en/infrastructure/MAP/Network_Statement/24-25_Network_statement_and_annexes-2025-10-13.pdf
https://www.e-tar.lt/portal/lt/legalActPrint?actualEditionId=ZrUIsfCMQT&amp;documentId=ccc8790054ee11e884cbc4327e55f3ca
https://www.temidy.lt/teises-aktas/437619</x:v>
      </x:c>
      <x:c r="O726" s="4" t="str">
        <x:v>Second full-register audit source access, 26 October 2026
https://vrm.lrv.lt/en/news/freight-trains-from-stasylos-will-be-diverted-to-kena-as-part-of-lithuanias-smuggling-crackdown/: full text (fresh retrieval)
https://vsat.lrv.lt/lt/naujienos/apribojus-krovininiu-traukiniu-vykima-per-stasylas-smarkiai-sumazejo-i-lietuva-gabenamos-kontrabandos/: full text (fresh retrieval)
https://doc.ltginfra.lt/en/infrastructure/MAP/Network_Statement/24-25_Network_statement_and_annexes-2025-10-13.pdf: full text (fresh retrieval) — Not actual reopening evidence.
https://www.e-tar.lt/portal/lt/legalActPrint?actualEditionId=ZrUIsfCMQT&amp;documentId=ccc8790054ee11e884cbc4327e55f3ca: search extract (fresh retrieval) — Substantive indexed official text; direct access returns 403.
https://www.temidy.lt/teises-aktas/437619: full text (fresh retrieval) — Secondary legal reproduction; current-status observation, not train-operation log.
Earlier URLs not separately inspected in this second assessment:
https://www.rrt.lt/wp-content/uploads/2024/07/2024-07-04-Nr.-TN-470.pdf
https://eur-lex.europa.eu/legal-content/EN/TXT/?uri=CELEX%3A52025XC06236
https://rrt.lt/upload/legacy/legislations/2024/07/2024-07-04-Nr.-TN-470.pdf
https://www.openstreetmap.org/node/159923493
https://www.openstreetmap.org/way/132961651
https://www.openstreetmap.org/way/217776913
Prior audit access record
Full-register audit source access (evidence cutoff 25 October 2026)
https://vrm.lrv.lt/en/news/freight-trains-from-stasylos-will-be-diverted-to-kena-as-part-of-lithuanias-smuggling-crackdown/: full text
https://vsat.lrv.lt/lt/naujienos/apribojus-krovininiu-traukiniu-vykima-per-stasylas-smarkiai-sumazejo-i-lietuva-gabenamos-kontrabandos/: full text
https://doc.ltginfra.lt/en/infrastructure/MAP/Network_Statement/24-25_Network_statement_and_annexes-2025-10-13.pdf: full text
https://doc.ltginfra.lt/en/infrastructure/MAP/Network_Statement/24-25_Network_statement_and_annexes-2025-10-13.pdf: full text
https://www.rrt.lt/wp-content/uploads/2024/07/2024-07-04-Nr.-TN-470.pdf: inaccessible
https://rrt.lt/upload/legacy/legislations/2024/07/2024-07-04-Nr.-TN-470.pdf: inaccessible
Earlier source URLs not separately listed in this audit’s retrieval log (historical access notes below are not fresh verification):
https://eur-lex.europa.eu/legal-content/EN/TXT/?uri=CELEX%3A52025XC06236
https://www.openstreetmap.org/node/159923493
https://www.openstreetmap.org/way/132961651
https://www.openstreetmap.org/way/217776913
Earlier recorded access
Source 1: full text
Source 2: full text
Source 3: indexed extract</x:v>
      </x:c>
      <x:c r="P726" s="20" t="n">
        <x:v>1</x:v>
      </x:c>
      <x:c r="Q726" s="4" t="str">
        <x:v>Europe</x:v>
      </x:c>
      <x:c r="R726" s="4" t="str">
        <x:v>Included</x:v>
      </x:c>
    </x:row>
    <x:row r="727" ht="409" hidden="0" customHeight="1">
      <x:c r="A727" s="16" t="str">
        <x:v>REC50-R08-004</x:v>
      </x:c>
      <x:c r="B727" s="4" t="str">
        <x:v>Koidula and Luhamaa road-post overnight restrictions from February 2026</x:v>
      </x:c>
      <x:c r="C727" s="4" t="str">
        <x:v>Estonia; Russia</x:v>
      </x:c>
      <x:c r="D727" s="4" t="str">
        <x:v>Koidula; Luhamaa
Two named road crossing points; no whole-country outline or rail-terminal inclusion</x:v>
      </x:c>
      <x:c r="E727" s="4" t="str">
        <x:v>Pedestrian and vehicle crossings during closed night hours
Direction: Both directions
Exceptions: Daytime passage remains available. Narva’s distinct schedule is represented in its own parent.</x:v>
      </x:c>
      <x:c r="F727" s="4" t="str">
        <x:v>REC50-R08-004-P1 — Intermittent regime
Koidula and Luhamaa road crossings unavailable at night while daytime foot and vehicle passage continues
Start: 2026-02-24.
Last confirmed: 2026-08-13. Reopening is not established.
Intermittent regime envelope; total closed days unknown
Indefinite continuation effective: 2026-09-01, announced 2026-08-13.
Current government guidance checked: 2026-10-25, still 07:00–19:00 daytime operation.</x:v>
      </x:c>
      <x:c r="G727" s="4" t="str">
        <x:v>Security / Unspecified security
Estonian customs, government and Interior Minister Igor Taro
Applies to: P1
Border incidents attributed to Russia, border security and response capacity are the stated reasons. A full border closure is expressly distinguished from this night schedule.
Administration and service operation / Checkpoint authorisation and consolidation
Government and ministry explanations of staff deployment
Applies to: P1
The government describes using staff more effectively and strengthening daytime customs capacity. This is an attributed service-allocation reason overlapping the stated security reason.</x:v>
      </x:c>
      <x:c r="H727" s="4" t="str">
        <x:v>The recurring 07:00–19:00 road-post schedule began February 24, 2026 and continued through summer. The August 13 decision made the same schedule indefinite from September 1, 2026; it did not close the posts for the first time. Current government guidance checked October 25 retains these daytime hours. No total closed days or continuous operational duration is calculated. The original August legal instrument and any exceptional temporary access remain incompletely audited.</x:v>
      </x:c>
      <x:c r="I727" s="4" t="str">
        <x:v>Second full-register audit, 26 October 2026: qualified. Original onsets and later recurring-hours extensions are supported; current guidance does not create a new onset.</x:v>
      </x:c>
      <x:c r="J727" s="18" t="d">
        <x:v>2026-10-26T00:00:00.000Z</x:v>
      </x:c>
      <x:c r="K727" s="21" t="str">
        <x:f>IFERROR(HYPERLINK("https://www.emta.ee/en/news/luhamaa-and-koidula-border-crossing-points-closed-night-24-february","Coordinate evidence source"),"Coordinate evidence source")</x:f>
        <x:v>Coordinate evidence source</x:v>
      </x:c>
      <x:c r="L727" s="21" t="str">
        <x:f>IFERROR(HYPERLINK("https://valitsus.ee/en/news/border-crossing-points-remain-closed-night-during-summer","Estonian Government"),"Estonian Government")</x:f>
        <x:v>Estonian Government</x:v>
      </x:c>
      <x:c r="M727" s="21" t="str">
        <x:f>IFERROR(HYPERLINK("https://www.siseministeerium.ee/en/news/ministry-interior-proposes-extend-restriction-border-crossing-opening-hours","Estonian Ministry of the Interior"),"Estonian Ministry of the Interior")</x:f>
        <x:v>Estonian Ministry of the Interior</x:v>
      </x:c>
      <x:c r="N727" s="4" t="str">
        <x:v>https://www.emta.ee/en/news/luhamaa-and-koidula-border-crossing-points-closed-night-24-february
https://valitsus.ee/en/news/border-crossing-points-remain-closed-night-during-summer
https://www.siseministeerium.ee/en/news/ministry-interior-proposes-extend-restriction-border-crossing-opening-hours
https://news.err.ee/1610109211/estonia-extends-overnight-russia-border-closures-indefinitely
https://www.openstreetmap.org/node/2418799005
https://www.openstreetmap.org/way/186654382
https://www.openstreetmap.org/way/233502257
https://www.openstreetmap.org/node/4830198225
https://www.openstreetmap.org/way/180605402
https://www.openstreetmap.org/way/81894020
https://www.emta.ee/uudised/eesti-vene-piiripunktide-oine-sulgemine-muudeti-tahtajatuks
https://www.kriis.ee/en/travelling-crossing-state-border/travelling-abroad-estonia/travelling-abroad-estonia-russia</x:v>
      </x:c>
      <x:c r="O727" s="4" t="str">
        <x:v>Second full-register audit source access, 26 October 2026
https://www.emta.ee/uudised/eesti-vene-piiripunktide-oine-sulgemine-muudeti-tahtajatuks: full text (fresh retrieval)
https://www.kriis.ee/en/travelling-crossing-state-border/travelling-abroad-estonia/travelling-abroad-estonia-russia: full text (fresh retrieval) — Standing guidance retrieved October 26; old construction-target FAQ is stale and not an actual reopening date.
https://www.emta.ee/en/news/luhamaa-and-koidula-border-crossing-points-closed-night-24-february: full text (fresh retrieval)
Earlier URLs not separately inspected in this second assessment:
https://valitsus.ee/en/news/border-crossing-points-remain-closed-night-during-summer
https://www.siseministeerium.ee/en/news/ministry-interior-proposes-extend-restriction-border-crossing-opening-hours
https://news.err.ee/1610109211/estonia-extends-overnight-russia-border-closures-indefinitely
https://www.openstreetmap.org/node/2418799005
https://www.openstreetmap.org/way/186654382
https://www.openstreetmap.org/way/233502257
https://www.openstreetmap.org/node/4830198225
https://www.openstreetmap.org/way/180605402
https://www.openstreetmap.org/way/81894020
Prior audit access record
Full-register audit source access (evidence cutoff 25 October 2026)
https://www.emta.ee/en/news/luhamaa-and-koidula-border-crossing-points-closed-night-24-february: full text
https://valitsus.ee/en/news/border-crossing-points-remain-closed-night-during-summer: full text
https://www.emta.ee/uudised/eesti-vene-piiripunktide-oine-sulgemine-muudeti-tahtajatuks: full text
https://www.kriis.ee/en/travelling-crossing-state-border/travelling-abroad-estonia/travelling-abroad-estonia-russia: full text
Earlier source URLs not separately listed in this audit’s retrieval log (historical access notes below are not fresh verification):
https://www.siseministeerium.ee/en/news/ministry-interior-proposes-extend-restriction-border-crossing-opening-hours
https://news.err.ee/1610109211/estonia-extends-overnight-russia-border-closures-indefinitely
https://www.openstreetmap.org/node/2418799005
https://www.openstreetmap.org/way/186654382
https://www.openstreetmap.org/way/233502257
https://www.openstreetmap.org/node/4830198225
https://www.openstreetmap.org/way/180605402
https://www.openstreetmap.org/way/81894020
Earlier recorded access
Source 1: full text
Source 2: full text
Source 3: full text</x:v>
      </x:c>
      <x:c r="P727" s="20" t="n">
        <x:v>1</x:v>
      </x:c>
      <x:c r="Q727" s="4" t="str">
        <x:v>Europe</x:v>
      </x:c>
      <x:c r="R727" s="4" t="str">
        <x:v>Included</x:v>
      </x:c>
    </x:row>
    <x:row r="728" ht="409" hidden="0" customHeight="1">
      <x:c r="A728" s="16" t="str">
        <x:v>REC50-R11-001</x:v>
      </x:c>
      <x:c r="B728" s="4" t="str">
        <x:v>Khorgos cross-border cooperation-centre visitor suspension during COVID-19</x:v>
      </x:c>
      <x:c r="C728" s="4" t="str">
        <x:v>Kazakhstan; China</x:v>
      </x:c>
      <x:c r="D728" s="4" t="str">
        <x:v>Khorgos International Centre for Border Cooperation
The enclosed bilateral International Centre for Border Cooperation, not the whole frontier</x:v>
      </x:c>
      <x:c r="E728" s="4" t="str">
        <x:v>Visitors to the cross-border tourism and shopping centre
Direction: Visitor access across the centre boundary; first observed return is Kazakhstan to the Chinese section
Exceptions: Ordinary road/rail freight and commercial-cargo clearance follow separate rules; the first observed visitor cohort does not prove every access category resumed.</x:v>
      </x:c>
      <x:c r="F728" s="4" t="str">
        <x:v>REC50-R11-001-P1 — Observed operation
Kazakh visitor passage into the Chinese section of the Khorgos International Centre for Border Cooperation
Start: by 2020-01-27; earliest bound unknown.
Observed scoped reopening: 2023-04-17.
dated evidence; numeric duration withheld; see qualification</x:v>
      </x:c>
      <x:c r="G728" s="4" t="str">
        <x:v>Health and biosecurity / Human disease control
Regional administration pandemic-closure explanation reported by The Astana Times and Zakon; one shared official announcement origin
Applies to: REC50-R11-001-P1
The sources attribute the initiating restriction to COVID-19 control. This is an attributed official rationale, not a claim that underlying motives are exhaustively established.</x:v>
      </x:c>
      <x:c r="H728" s="4" t="str">
        <x:v>REC50-R11-001-P1: The centre was already reported closed for coronavirus prevention by 27 January 2020; this is a latest-onset bound, not an exact observed start. The report distinguishes an earlier holiday closure from 22 January, whose onset is not imported into this COVID phase. The earliest COVID-related onset and uninterrupted continuity are not established, so numeric duration remains withheld. Kazakh visitors were observed entering the Chinese section on 17 April 2023. The abandoned 8 January plan and the separate 24 April normal-operations announcement are not substituted for that scoped observed return. Ordinary road freight, rail traffic and commercial import permissions are outside this phase.
Onset and visitor-cohort endpoint: The centre was already closed for coronavirus prevention by 27 January 2020, but the exact onset and transition from its earlier holiday shutdown remain unresolved. The 17 April 2023 observed Kazakh visitor return remains distinct from the 24 April normal-operations announcement.</x:v>
      </x:c>
      <x:c r="I728" s="4" t="str">
        <x:v>Second full-register audit, 26 October 2026: qualified. The centre-specific COVID onset bound and actual Kazakh visitor return remain supported. The 17 April observation precedes the separate 24 April normal-operation announcement.</x:v>
      </x:c>
      <x:c r="J728" s="18" t="d">
        <x:v>2026-10-26T00:00:00.000Z</x:v>
      </x:c>
      <x:c r="K728" s="21" t="str">
        <x:f>IFERROR(HYPERLINK("https://astanatimes.com/2023/04/khorgos-international-center-to-resume-work-this-month/","The Astana Times"),"The Astana Times")</x:f>
        <x:v>The Astana Times</x:v>
      </x:c>
      <x:c r="L728" s="21" t="str">
        <x:f>IFERROR(HYPERLINK("https://www.zakon.kz/ekonomika-biznes/6390998-mtsps-khorgos-vozobnovlyaet-rabotu-spustya-tri-goda.html","Zakon.kz"),"Zakon.kz")</x:f>
        <x:v>Zakon.kz</x:v>
      </x:c>
      <x:c r="M728" s="21" t="str">
        <x:f>IFERROR(HYPERLINK("https://www.xinjiang.gov.cn/xinjiang/dzdt/202304/a8ef818460fb4d2aaf1d525b9c1545fb.shtml","Xinjiang government / Xinjiang Daily"),"Xinjiang government / Xinjiang Daily")</x:f>
        <x:v>Xinjiang government / Xinjiang Daily</x:v>
      </x:c>
      <x:c r="N728" s="4" t="str">
        <x:v>https://astanatimes.com/2023/04/khorgos-international-center-to-resume-work-this-month/
https://www.zakon.kz/ekonomika-biznes/6390998-mtsps-khorgos-vozobnovlyaet-rabotu-spustya-tri-goda.html
https://www.xinjiang.gov.cn/xinjiang/dzdt/202304/a8ef818460fb4d2aaf1d525b9c1545fb.shtml
https://www.zakon.kz/ekonomika-biznes/6391032-mtsps-khorgos-otkroyut-24-aprelya-no-ne-dlya-vsekh.html
https://www.zakon.kz/sobytiia/6380696-khorgos-ne-smozhet-vozobnovit-rabotu-v-namechennyy-srok.html
https://tengrinews.kz/kazakhstan_news/xorgos-budet-zakryt-do-15-fevralia-389805/
https://tengrinews.kz/kazakhstan_news/horgos-rekomenduyut-zakryit-do-1-marta-391231/
https://tengrinews.kz/kazakhstan_news/horgos-zakryit-do-osobogo-rasporyajeniya-392759/amp/
https://www.zakon.kz/redaktsiia-zakonkz/5011560-informatsiyu-o-vozmozhnom-otkrytii.html
https://mcps.kz/news/news_post/8-yanvarya-planiruetsya-vozobnovit-rabotu-mcps-horgos
https://english.ts.cn/system/2023/04/20/036853869.shtml</x:v>
      </x:c>
      <x:c r="O728" s="4" t="str">
        <x:v>Second full-register audit source access, 26 October 2026
https://tengrinews.kz/kazakhstan_news/xorgos-budet-zakryt-do-15-fevralia-389805/: full text (fresh retrieval)
https://english.ts.cn/system/2023/04/20/036853869.shtml: full text (fresh retrieval) — URL has 20 April but page publication displays 26 April.
https://astanatimes.com/2023/04/khorgos-international-center-to-resume-work-this-month/: full text (fresh retrieval)
Earlier URLs not separately inspected in this second assessment:
https://www.zakon.kz/ekonomika-biznes/6390998-mtsps-khorgos-vozobnovlyaet-rabotu-spustya-tri-goda.html
https://www.xinjiang.gov.cn/xinjiang/dzdt/202304/a8ef818460fb4d2aaf1d525b9c1545fb.shtml
https://www.zakon.kz/ekonomika-biznes/6391032-mtsps-khorgos-otkroyut-24-aprelya-no-ne-dlya-vsekh.html
https://www.zakon.kz/sobytiia/6380696-khorgos-ne-smozhet-vozobnovit-rabotu-v-namechennyy-srok.html
https://tengrinews.kz/kazakhstan_news/horgos-rekomenduyut-zakryit-do-1-marta-391231/
https://tengrinews.kz/kazakhstan_news/horgos-zakryit-do-osobogo-rasporyajeniya-392759/amp/
https://www.zakon.kz/redaktsiia-zakonkz/5011560-informatsiyu-o-vozmozhnom-otkrytii.html
https://mcps.kz/news/news_post/8-yanvarya-planiruetsya-vozobnovit-rabotu-mcps-horgos
Prior audit access record
Full-register audit source access (evidence cutoff 25 October 2026)
https://tengrinews.kz/kazakhstan_news/xorgos-budet-zakryt-do-15-fevralia-389805/: full text — Use only for described time and movement scope.
https://english.ts.cn/system/2023/04/20/036853869.shtml: full text — Use only for described time and movement scope.
https://astanatimes.com/2023/04/khorgos-international-center-to-resume-work-this-month/: full text — Use only for described time and movement scope.
https://www.zakon.kz/sobytiia/6380696-khorgos-ne-smozhet-vozobnovit-rabotu-v-namechennyy-srok.html: full text — Use only for described time and movement scope.
Earlier source URLs not separately listed in this audit’s retrieval log (historical access notes below are not fresh verification):
https://www.zakon.kz/ekonomika-biznes/6390998-mtsps-khorgos-vozobnovlyaet-rabotu-spustya-tri-goda.html
https://www.xinjiang.gov.cn/xinjiang/dzdt/202304/a8ef818460fb4d2aaf1d525b9c1545fb.shtml
https://www.zakon.kz/ekonomika-biznes/6391032-mtsps-khorgos-otkroyut-24-aprelya-no-ne-dlya-vsekh.html
https://tengrinews.kz/kazakhstan_news/horgos-rekomenduyut-zakryit-do-1-marta-391231/
https://tengrinews.kz/kazakhstan_news/horgos-zakryit-do-osobogo-rasporyajeniya-392759/amp/
https://www.zakon.kz/redaktsiia-zakonkz/5011560-informatsiyu-o-vozmozhnom-otkrytii.html
https://mcps.kz/news/news_post/8-yanvarya-planiruetsya-vozobnovit-rabotu-mcps-horgos
Earlier recorded access
Source 1: full text
Source 2: full text
Source 3: full text</x:v>
      </x:c>
      <x:c r="P728" s="20" t="n">
        <x:v>1</x:v>
      </x:c>
      <x:c r="Q728" s="4" t="str">
        <x:v>Central Asia and Caucasus</x:v>
      </x:c>
      <x:c r="R728" s="4" t="str">
        <x:v>Included</x:v>
      </x:c>
    </x:row>
    <x:row r="729" ht="409" hidden="0" customHeight="1">
      <x:c r="A729" s="16" t="str">
        <x:v>REC50-R11-002</x:v>
      </x:c>
      <x:c r="B729" s="4" t="str">
        <x:v>Manzhouli selected rail-import and road-export suspensions during the late-2021 COVID outbreak</x:v>
      </x:c>
      <x:c r="C729" s="4" t="str">
        <x:v>Russia; China</x:v>
      </x:c>
      <x:c r="D729" s="4" t="str">
        <x:v>Manzhouli road port; Manzhouli railway port
Separate Manzhouli road-export and rail-import facilities under one local outbreak response</x:v>
      </x:c>
      <x:c r="E729" s="4" t="str">
        <x:v>Road-export freight and selected manually handled non-container rail imports
Direction: Road exports China to Russia; selected rail imports Russia to China
Exceptions: The cited order targets selected non-container rail imports; it does not establish an all-rail suspension or an uninterrupted container-service history. Passenger traffic belongs to EA005, and restoration dates for other commodities are not assumed to match the timber/mineral-powder endpoint.</x:v>
      </x:c>
      <x:c r="F729" s="4" t="str">
        <x:v>REC50-R11-002-P1 — Observed operation
Manzhouli non-container timber and mineral-powder rail imports requiring manual handling, to their reported return on 14 January 2022
Start: 2021-12-01.
Observed scoped reopening: 2022-01-14.
44 calendar-day difference; scoped endpoint only
REC50-R11-002-P2 — Formal policy
Manzhouli road-port goods export suspension, to effective authorisation for trailer-exchange exports
Start: 2021-12-03.
Policy endpoint: 2022-01-14.
Formal policy: 42 calendar-day difference; operational continuity not established
REC50-R11-002-AUDIT20261025-1 — Formal policy
Selected non-container rail imports of bulk grain and fertilizer.
Start: 2021-12-01. Permission/business restoration reported from 2021-12-30.
The December 30 date is a separately reported commodity restoration, not a recovered first arriving grain/fertilizer train. LPG is also named in the restoration report but its initial suspension is not established, so it is excluded from this phase. Numeric operational duration withheld.</x:v>
      </x:c>
      <x:c r="G729" s="4" t="str">
        <x:v>Health and biosecurity / Human disease control
Local epidemic-control authority rationale reported by China Daily and the local-government notice in the China News Service dispatch
Applies to: REC50-R11-002-P1; REC50-R11-002-P2; REC50-R11-002-AUDIT20261025-1
The sources attribute the initiating restriction to COVID-19 control. This is an attributed official rationale, not a claim that underlying motives are exhaustively established.</x:v>
      </x:c>
      <x:c r="H729" s="4" t="str">
        <x:v>REC50-R11-002-P1: CNR’s substantive indexed report gives the December onset and matching timber/mineral-powder arrivals on 14 January. Direct page access failed. The 44-day operational phase is limited to that returning cargo. Container traffic lies outside the cited selected non-container restriction; no uninterrupted container-service history or uniform endpoint for other commodities is inferred.
REC50-R11-002-P2: The 13 January dispatch announces permission from 14 January midnight and describes preparations. Its republication on 14 January is not operational observation. Passenger restrictions under EA005 and rail cargo under P1 remain separate.
The first actual road-export passage is unverified. Selected rail commodities have different restoration dates, as specified below.
The January 17, 2022 Inner Mongolia Daily report hosted by People’s Daily states that bulk grain and fertilizer import business had resumed on December 30, 2021. This earlier commodity transition leaves timber/mineral-powder January 14 and road-export permission unchanged. LPG’s initial suspension remains unestablished. Direct People’s Daily access failed; substantive indexed text was inspected.</x:v>
      </x:c>
      <x:c r="I729" s="4" t="str">
        <x:v>Second full-register audit, 26 October 2026: qualified. All three current phases remain supported, with distinct commodity dates and road permission separated from observed returning trains.</x:v>
      </x:c>
      <x:c r="J729" s="18" t="d">
        <x:v>2026-10-26T00:00:00.000Z</x:v>
      </x:c>
      <x:c r="K729" s="21" t="str">
        <x:f>IFERROR(HYPERLINK("https://en.nhc.gov.cn/2021-12/06/c_85287.htm","China National Health Commission, republishing China Daily"),"China National Health Commission, republishing China Daily")</x:f>
        <x:v>China National Health Commission, republishing China Daily</x:v>
      </x:c>
      <x:c r="L729" s="21" t="str">
        <x:f>IFERROR(HYPERLINK("https://inews.nmgnews.com.cn/system/2022/01/14/013253397.shtml","Inner Mongolia News, republishing CNR"),"Inner Mongolia News, republishing CNR")</x:f>
        <x:v>Inner Mongolia News, republishing CNR</x:v>
      </x:c>
      <x:c r="M729" s="21" t="str">
        <x:f>IFERROR(HYPERLINK("https://city.cri.cn/20220114/2a3bae4b-2377-c8b6-2210-1c42f3e0ceeb.html","China News Service via CRI"),"China News Service via CRI")</x:f>
        <x:v>China News Service via CRI</x:v>
      </x:c>
      <x:c r="N729" s="4" t="str">
        <x:v>https://en.nhc.gov.cn/2021-12/06/c_85287.htm
https://inews.nmgnews.com.cn/system/2022/01/14/013253397.shtml
https://city.cri.cn/20220114/2a3bae4b-2377-c8b6-2210-1c42f3e0ceeb.html
https://www.sohu.com/a/638000746_121106854
https://www.sohu.com/a/680328619_120817739
https://nm.people.com.cn/n2/2022/0117/c347199-35098234.html</x:v>
      </x:c>
      <x:c r="O729" s="4" t="str">
        <x:v>Second full-register audit source access, 26 October 2026
https://en.nhc.gov.cn/2021-12/06/c_85287.htm: full text (fresh retrieval)
https://inews.nmgnews.com.cn/system/2022/01/14/013253397.shtml: search extract (fresh retrieval) — Direct page redirect failed; substantial indexed body inspected.
https://city.cri.cn/20220114/2a3bae4b-2377-c8b6-2210-1c42f3e0ceeb.html: search extract (fresh retrieval) — Article dispatch is January 13; indexed body inspected.
https://nm.people.com.cn/n2/2022/0117/c347199-35098234.html: search extract (fresh retrieval) — Direct page failed; indexed body inspected.
https://www.sohu.com/a/638000746_121106854: full text (fresh retrieval)
Earlier URLs not separately inspected in this second assessment:
https://www.sohu.com/a/680328619_120817739
Prior audit access record
Full-register audit source access (evidence cutoff 25 October 2026)
https://en.nhc.gov.cn/2021-12/06/c_85287.htm: full text — Claim scope as stated
https://inews.nmgnews.com.cn/system/2022/01/14/013253397.shtml: search extract — Direct page unavailable or article only substantively recovered via index.
https://city.cri.cn/20220114/2a3bae4b-2377-c8b6-2210-1c42f3e0ceeb.html: search extract — Direct page unavailable or article only substantively recovered via index.
https://nm.people.com.cn/n2/2022/0117/c347199-35098234.html: search extract — Direct page unavailable or article only substantively recovered via index.
Earlier source URLs not separately listed in this audit’s retrieval log (historical access notes below are not fresh verification):
https://www.sohu.com/a/638000746_121106854
https://www.sohu.com/a/680328619_120817739
Earlier recorded access
Source 1: full text
Source 2: indexed extract
Source 3: full text</x:v>
      </x:c>
      <x:c r="P729" s="20" t="n">
        <x:v>3</x:v>
      </x:c>
      <x:c r="Q729" s="4" t="str">
        <x:v>East and Southeast Asia and Oceania</x:v>
      </x:c>
      <x:c r="R729" s="4" t="str">
        <x:v>Included</x:v>
      </x:c>
    </x:row>
    <x:row r="730" ht="390" hidden="0" customHeight="1">
      <x:c r="A730" s="16" t="str">
        <x:v>REC50-R11-003</x:v>
      </x:c>
      <x:c r="B730" s="4" t="str">
        <x:v>Suifenhe selected non-container rail-import controls in late 2021</x:v>
      </x:c>
      <x:c r="C730" s="4" t="str">
        <x:v>Russia; China</x:v>
      </x:c>
      <x:c r="D730" s="4" t="str">
        <x:v>Suifenhe railway station / border port
Selected incoming rail cargo at Suifenhe station</x:v>
      </x:c>
      <x:c r="E730" s="4" t="str">
        <x:v>Selected non-container rail imports requiring manual handling
Direction: Russia to China
Exceptions: Not all container rail traffic; the reported December permission retained covered and temperature-controlled wagon restrictions. Road passengers under EA006 are separate.</x:v>
      </x:c>
      <x:c r="F730" s="4" t="str">
        <x:v>REC50-R11-003-P1 — Formal policy
Suifenhe selected non-container rail imports requiring manual handling, with subsequent permission for selected cargo and continuing wagon exceptions.
Start: 2021-11-30, explicitly dated in the Russian Railways statement reported by Interfax.
Reported scoped policy endpoint: 2021-12-06 for coal, iron ore, wood, mineral fertilizers and sawn timber; covered and temperature-controlled wagons remained restricted.
6 calendar-day difference between the reported policy dates; a restriction longer than 24 hours is supported. The first returning train and exact operational duration are not established.</x:v>
      </x:c>
      <x:c r="G730" s="4" t="str">
        <x:v>Health and biosecurity / Human disease control
Suifenhe epidemic-control authorities as reported through local media/CCTV in Reuters and the indexed SCMP report
Applies to: REC50-R11-003-P1
The sources attribute the initiating restriction to COVID-19 control. This is an attributed official rationale, not a claim that underlying motives are exhaustively established.</x:v>
      </x:c>
      <x:c r="H730" s="4" t="str">
        <x:v>REC50-R11-003-P1: Reuters describes the 29–30 November midnight boundary; Interfax reports Russian Railways explicitly dating the Suifenhe suspension to 30 November 2021. A 9 December Logirus report, attributed to Russia’s Ministry of Industry and Trade and trade representation in China, corroborates 6 December permission for specified goods, retaining covered and temperature-controlled wagon restrictions. EastRussia independently reports the same permission date through Biang. Original Chinese notices and the first matching returning train remain unavailable, so this is a reported policy interval, not a verified operational reopening. The Logirus article contains an impossible retrospective reference to 30 December in its final paragraph; that date is not used. Container traffic and EA006 road-passenger restrictions are separate.</x:v>
      </x:c>
      <x:c r="I730" s="4" t="str">
        <x:v>Second full-register audit, 26 October 2026: additional source-audited corrections incorporated. See the phase, scope and qualification columns for the accepted findings.</x:v>
      </x:c>
      <x:c r="J730" s="18" t="d">
        <x:v>2026-10-26T00:00:00.000Z</x:v>
      </x:c>
      <x:c r="K730" s="21" t="str">
        <x:f>IFERROR(HYPERLINK("https://www.thestandard.com.hk/china/article/183682/Chinese-city-on-Russian-border-halts-rail-imports-over-Covid-fears","Reuters / The Standard"),"Reuters / The Standard")</x:f>
        <x:v>Reuters / The Standard</x:v>
      </x:c>
      <x:c r="L730" s="21" t="str">
        <x:f>IFERROR(HYPERLINK("https://www.scmp.com/news/article/3157860/2-border-cities-northern-china-limit-rail-imports-over-covid-19-outbreak","South China Morning Post"),"South China Morning Post")</x:f>
        <x:v>South China Morning Post</x:v>
      </x:c>
      <x:c r="M730" s="21" t="str">
        <x:f>IFERROR(HYPERLINK("https://www.mucaizhijia.com/news/details/1122_1.html","木材之家 / 木头云 (MuCaiZhiJia / Mutouyun)"),"木材之家 / 木头云 (MuCaiZhiJia / Mutouyun)")</x:f>
        <x:v>木材之家 / 木头云 (MuCaiZhiJia / Mutouyun)</x:v>
      </x:c>
      <x:c r="N730" s="4" t="str">
        <x:v>https://www.thestandard.com.hk/china/article/183682/Chinese-city-on-Russian-border-halts-rail-imports-over-Covid-fears
https://www.scmp.com/news/article/3157860/2-border-cities-northern-china-limit-rail-imports-over-covid-19-outbreak
https://www.mucaizhijia.com/news/details/1122_1.html
https://www.interfax.ru/business/805805
https://logirus.ru/news/infrastructure/grodekovo-_tronulos_v_storonu_kitaya.html
https://www.eastrussia.ru/news/v-suyfenkhe-vozobnovili-vvoz-gruzov-ne-v-konteynerakh/</x:v>
      </x:c>
      <x:c r="O730" s="4" t="str">
        <x:v>Second full-register audit source access, 26 October 2026
https://www.thestandard.com.hk/china/article/183682/Chinese-city-on-Russian-border-halts-rail-imports-over-Covid-fears: full text (fresh retrieval)
https://www.mucaizhijia.com/news/details/1122_1.html: full text (fresh retrieval)
https://www.interfax.ru/business/805805: full text (fresh retrieval)
https://logirus.ru/news/infrastructure/grodekovo-_tronulos_v_storonu_kitaya.html: full text (fresh retrieval) — Final paragraph contains an anachronistic December 30 onset; excluded.
https://www.eastrussia.ru/news/v-suyfenkhe-vozobnovili-vvoz-gruzov-ne-v-konteynerakh/: search extract (fresh retrieval) — Substantive indexed article; original Biang report not retrieved.
Earlier URLs not separately inspected in this second assessment:
https://www.scmp.com/news/article/3157860/2-border-cities-northern-china-limit-rail-imports-over-covid-19-outbreak
Prior audit access record
Full-register audit source access (evidence cutoff 25 October 2026)
https://www.thestandard.com.hk/china/article/183682/Chinese-city-on-Russian-border-halts-rail-imports-over-Covid-fears: full text — See specific claim qualifications.
https://www.mucaizhijia.com/news/details/1122_1.html: search extract — Direct page now a missing-page template; indexed passage inspected.
https://www.scmp.com/news/article/3157860/2-border-cities-northern-china-limit-rail-imports-over-covid-19-outbreak: inaccessible — See specific claim qualifications.
Earlier recorded access
Source 1: full text
Source 2: indexed extract
Source 3: full text</x:v>
      </x:c>
      <x:c r="P730" s="20" t="n">
        <x:v>1</x:v>
      </x:c>
      <x:c r="Q730" s="4" t="str">
        <x:v>East and Southeast Asia and Oceania</x:v>
      </x:c>
      <x:c r="R730" s="4" t="str">
        <x:v>Included</x:v>
      </x:c>
    </x:row>
    <x:row r="731" ht="378" hidden="0" customHeight="1">
      <x:c r="A731" s="16" t="str">
        <x:v>REC50-R11-004</x:v>
      </x:c>
      <x:c r="B731" s="4" t="str">
        <x:v>Erenhot selected non-container rail-import suspension from November 2021</x:v>
      </x:c>
      <x:c r="C731" s="4" t="str">
        <x:v>Mongolia; China</x:v>
      </x:c>
      <x:c r="D731" s="4" t="str">
        <x:v>Erenhot railway port / Zamyn-Uud rail route
Selected rail imports at the Erenhot–Zamyn-Uud railway crossing</x:v>
      </x:c>
      <x:c r="E731" s="4" t="str">
        <x:v>Selected manually handled non-container rail imports; permission endpoint scoped to iron ore, coal and bagged goods in open wagons
Direction: Mongolia to China
Exceptions: Container rail traffic, passengers and road freight have different measures. Other commodity restoration is not assumed to match the January permission.</x:v>
      </x:c>
      <x:c r="F731" s="4" t="str">
        <x:v>REC50-R11-004-P1 — Formal policy
Erenhot rail imports of selected non-container cargo, scoped to iron ore, coal and bagged goods in open wagons covered by the January permission
Start: 2021-11-28.
Policy endpoint: 2022-01-27.
Formal policy: 60 calendar-day difference; operational continuity not established</x:v>
      </x:c>
      <x:c r="G731" s="4" t="str">
        <x:v>Health and biosecurity / Human disease control
Epidemic-control directions described in contemporary reporting and railway disinfection/agency-review explanation in Xinhua Finance
Applies to: REC50-R11-004-P1
The sources attribute the initiating restriction to COVID-19 control. This is an attributed official rationale, not a claim that underlying motives are exhaustively established.</x:v>
      </x:c>
      <x:c r="H731" s="4" t="str">
        <x:v>REC50-R11-004-P1: Selected non-container rail imports were suspended from 28 November 2021, with permission for iron ore, coal and bagged goods in open wagons from 27 January 2022. This is a 60-day policy-date difference. An ore train was reported to have recently arrived by 7 February; its exact first arrival day remains unknown. EA029 concerns the separate China-to-Mongolia road-freight phase; its December dates are not rail endpoints. Container traffic and other commodity restoration dates are not generalised.
Observed rail endpoint and commodity scope: Find the exact first returning qualifying train and any distinct restoration dates for other restricted commodities; keep the road-freight episode separate.</x:v>
      </x:c>
      <x:c r="I731" s="4" t="str">
        <x:v>Second full-register audit, 26 October 2026: qualified. Xinhua Finance confirms the Erenhot selected-rail November 28 restriction, January 27 permission and an ore-train arrival reported by February 7.</x:v>
      </x:c>
      <x:c r="J731" s="18" t="d">
        <x:v>2026-10-26T00:00:00.000Z</x:v>
      </x:c>
      <x:c r="K731" s="21" t="str">
        <x:f>IFERROR(HYPERLINK("https://www.cnfin.com/cy-lb/detail/20220210/3532683_1.html","Xinhua Finance / CNFIN"),"Xinhua Finance / CNFIN")</x:f>
        <x:v>Xinhua Finance / CNFIN</x:v>
      </x:c>
      <x:c r="L731" s="21" t="str">
        <x:f>IFERROR(HYPERLINK("https://www.sohu.com/a/504751675_120545367","Sohu account 地一眼蒙古"),"Sohu account 地一眼蒙古")</x:f>
        <x:v>Sohu account 地一眼蒙古</x:v>
      </x:c>
      <x:c r="M731" s="21" t="str">
        <x:f>IFERROR(HYPERLINK("https://www.scmp.com/news/article/3157860/2-border-cities-northern-china-limit-rail-imports-over-covid-19-outbreak","South China Morning Post"),"South China Morning Post")</x:f>
        <x:v>South China Morning Post</x:v>
      </x:c>
      <x:c r="N731" s="4" t="str">
        <x:v>https://www.cnfin.com/cy-lb/detail/20220210/3532683_1.html
https://www.sohu.com/a/504751675_120545367
https://www.scmp.com/news/article/3157860/2-border-cities-northern-china-limit-rail-imports-over-covid-19-outbreak
https://www.mucaizhijia.com/news/details/1122_1.html
https://m.cctat.cn/public/index.php/index/shows?catid=52&amp;id=21260</x:v>
      </x:c>
      <x:c r="O731" s="4" t="str">
        <x:v>Second full-register audit source access, 26 October 2026
https://www.cnfin.com/cy-lb/detail/20220210/3532683_1.html: full text (fresh retrieval) — February 10 publication quotes February 7 railway information; recent arrival has no exact day.
Earlier URLs not separately inspected in this second assessment:
https://www.sohu.com/a/504751675_120545367
https://www.scmp.com/news/article/3157860/2-border-cities-northern-china-limit-rail-imports-over-covid-19-outbreak
https://www.mucaizhijia.com/news/details/1122_1.html
https://m.cctat.cn/public/index.php/index/shows?catid=52&amp;id=21260
Prior audit access record
Full-register audit source access (evidence cutoff 25 October 2026)
https://www.cnfin.com/cy-lb/detail/20220210/3532683_1.html: search extract — See specific claim qualifications.
https://www.sohu.com/a/504751675_120545367: full text — See specific claim qualifications.
https://m.cctat.cn/public/index.php/index/shows?catid=52&amp;id=21260: inaccessible — See specific claim qualifications.
Earlier source URLs not separately listed in this audit’s retrieval log (historical access notes below are not fresh verification):
https://www.scmp.com/news/article/3157860/2-border-cities-northern-china-limit-rail-imports-over-covid-19-outbreak
https://www.mucaizhijia.com/news/details/1122_1.html
Earlier recorded access
Source 1: full text
Source 2: full text
Source 3: indexed extract</x:v>
      </x:c>
      <x:c r="P731" s="20" t="n">
        <x:v>1</x:v>
      </x:c>
      <x:c r="Q731" s="4" t="str">
        <x:v>East and Southeast Asia and Oceania</x:v>
      </x:c>
      <x:c r="R731" s="4" t="str">
        <x:v>Included</x:v>
      </x:c>
    </x:row>
    <x:row r="732" ht="282" hidden="0" customHeight="1">
      <x:c r="A732" s="16" t="str">
        <x:v>REC50-R12-001</x:v>
      </x:c>
      <x:c r="B732" s="4" t="str">
        <x:v>Petrapole–Benapole freight strike, December 2020</x:v>
      </x:c>
      <x:c r="C732" s="4" t="str">
        <x:v>India; Bangladesh</x:v>
      </x:c>
      <x:c r="D732" s="4" t="str">
        <x:v>Petrapole / Benapole
Only the named international land-port goods interchange, at the stated phase scope</x:v>
      </x:c>
      <x:c r="E732" s="4" t="str">
        <x:v>Cross-border goods traffic
Direction: Both freight directions unless the phase states otherwise
Exceptions: Passport-holder movement and internal customs/port activity reported normal</x:v>
      </x:c>
      <x:c r="F732" s="4" t="str">
        <x:v>REC50-R12-001-P1 — Observed operation
Bilateral road-freight exchange at Petrapole–Benapole during the December 2020 workers strike
Start: 2020-12-21.
Observed scoped reopening: 2020-12-22, morning.
One calendar-day difference; exact elapsed hours and strict greater-than-24-hour eligibility are unestablished.</x:v>
      </x:c>
      <x:c r="G732" s="4" t="str">
        <x:v>Policy and socioeconomic demands / Jobs, services and livelihoods
Source-attributed reason; see qualification
Applies to: Scope and phases stated below; no primary rationale or universal overlap inferred
The documented part of the five-point demand concerned working conditions and port facilities; unspecified demands are not inferred.
Trade and protectionism / Trade and transport protests
Attributed union and port-association demands, reported by Bangla Tribune
Applies to: REC50-R12-001-P1, alongside the existing workers’ conditions rationale.
The strike also protested restrictions on C&amp;F staff access, alleged BSF harassment and delays handling commercial consignments. Security allegations remain attributed, not independently established wrongdoing.</x:v>
      </x:c>
      <x:c r="H732" s="4" t="str">
        <x:v>REC50-R12-001-P1: Bangla Tribune’s 22 December 2020 report records actual freight resumption that morning, confirmed by acting port traffic director Abdul Jalil. It dates the stoppage to Monday and reports no trucks entered during that day. Daily Star describes a morning onset; Dhaka Post instead specifies 16:00, so exact elapsed hours remain uncertain. Passengers and internal port work were reported normal. The complete original five-point written demand was not recovered, but staff-access, handling and worker-facility grievances are documented. The later February 2021 strike is separate.</x:v>
      </x:c>
      <x:c r="I732" s="4" t="str">
        <x:v>Second full-register audit, 26 October 2026: additional source-audited corrections incorporated. See the phase, scope and qualification columns for the accepted findings.</x:v>
      </x:c>
      <x:c r="J732" s="18" t="d">
        <x:v>2026-10-26T00:00:00.000Z</x:v>
      </x:c>
      <x:c r="K732" s="21" t="str">
        <x:f>IFERROR(HYPERLINK("https://www.thedailystar.net/country/news/strike-indias-petrapole-import-export-through-benapole-suspended-2014941","The Daily Star"),"The Daily Star")</x:f>
        <x:v>The Daily Star</x:v>
      </x:c>
      <x:c r="L732" s="21"/>
      <x:c r="M732" s="21"/>
      <x:c r="N732" s="4" t="str">
        <x:v>https://www.thedailystar.net/country/news/strike-indias-petrapole-import-export-through-benapole-suspended-2014941
https://www.dhakatribune.com/amp/bangladesh/237443/trade-resumes-through-benapole-port-after-2-days%E2%80%99
https://www.banglatribune.com/amp/country/658625/পেট্রাপোল-বন্দরের-ধর্মঘট-প্রত্যাহার-বেনাপোল-দিয়ে
https://www.dhakapost.com/country/1352</x:v>
      </x:c>
      <x:c r="O732" s="4" t="str">
        <x:v>Second full-register audit source access, 26 October 2026
https://www.thedailystar.net/country/news/strike-indias-petrapole-import-export-through-benapole-suspended-2014941: search extract (fresh retrieval) — Substantial indexed article; direct page opened too.
https://www.banglatribune.com/amp/country/658625/পেট্রাপোল-বন্দরের-ধর্মঘট-প্রত্যাহার-বেনাপোল-দিয়ে: full text (fresh retrieval)
https://www.dhakapost.com/country/1352: full text (fresh retrieval)
Earlier URLs not separately inspected in this second assessment:
https://www.dhakatribune.com/amp/bangladesh/237443/trade-resumes-through-benapole-port-after-2-days%E2%80%99
Prior audit access record
Full-register audit source access (evidence cutoff 25 October 2026)
https://www.thedailystar.net/country/news/strike-indias-petrapole-import-export-through-benapole-suspended-2014941: full text — Full demand list and lifting absent
https://www.dhakatribune.com/amp/bangladesh/237443/trade-resumes-through-benapole-port-after-2-days%E2%80%99: full text — Different strike; upper bound only
Earlier recorded access
Source 1: full text</x:v>
      </x:c>
      <x:c r="P732" s="20" t="n">
        <x:v>1</x:v>
      </x:c>
      <x:c r="Q732" s="4" t="str">
        <x:v>South Asia</x:v>
      </x:c>
      <x:c r="R732" s="4" t="str">
        <x:v>Included</x:v>
      </x:c>
    </x:row>
    <x:row r="733" ht="409" hidden="0" customHeight="1">
      <x:c r="A733" s="16" t="str">
        <x:v>REC50-R12-002</x:v>
      </x:c>
      <x:c r="B733" s="4" t="str">
        <x:v>Petrapole–Benapole freight strike over staff access and handling rules, January–February 2021</x:v>
      </x:c>
      <x:c r="C733" s="4" t="str">
        <x:v>India; Bangladesh</x:v>
      </x:c>
      <x:c r="D733" s="4" t="str">
        <x:v>Petrapole / Benapole
Only the named international land-port goods interchange, at the stated phase scope</x:v>
      </x:c>
      <x:c r="E733" s="4" t="str">
        <x:v>Cross-border goods traffic
Direction: Both freight directions unless the phase states otherwise
Exceptions: Most reports say passport holders and internal handling continued; one contradictory sentence retained as uncertainty</x:v>
      </x:c>
      <x:c r="F733" s="4" t="str">
        <x:v>REC50-R12-002-P1 — Observed operation
Bilateral road-freight exchange during the January–February 2021 port-user strike
Start: 2021-01-30 to 2021-01-31.
Observed scoped reopening: 2021-02-02.
2–3 calendar-day difference; scoped endpoint only</x:v>
      </x:c>
      <x:c r="G733" s="4" t="str">
        <x:v>Trade and protectionism / Trade and transport protests
Source-attributed reason; see qualification
Applies to: Scope and phases stated below; no primary rationale or universal overlap inferred
Commercial actors stated demands about cross-border staff access, truck searches and handling; BSF security explanations are attributed context, not assigned as the strike’s rationale.
Policy and socioeconomic demands / Jobs, services and livelihoods
Benapole C&amp;F Staff Association general secretary Sajedur Rahman’s account of the committee demands, reported by UNB
Applies to: REC50-R12-002-P1; overlaps the trade and transport protest rationale, with no primary rationale assigned
UNB expressly includes protection of port workers from layoffs during modernisation among the strike demands. This employment aim is retained alongside commercial access and handling demands. The written original five-point notice was not independently retrieved.</x:v>
      </x:c>
      <x:c r="H733" s="4" t="str">
        <x:v>REC50-R12-002-P1: Explicit reports put onset at 31 January morning; one page dated 31 January/updated 1 February says the previous morning. Retain 30–31 January bounds. Actual freight resumed 2 February morning. Passenger wording conflicts, so this phase claims goods only; 20 February staff permission is not the endpoint.
scope / exact timing / source limitations / geography: Resolve the relative-date metadata discrepancy and passenger wording using dated port logs; do not turn a calendar range into exact hours.</x:v>
      </x:c>
      <x:c r="I733" s="4" t="str">
        <x:v>Second full-register audit, 26 October 2026: qualified. Fresh UNB and restart reporting confirm a multi-day goods strike, worker-job concerns and 2 February 2021 return. Existing onset and passenger qualifications remain defensible.</x:v>
      </x:c>
      <x:c r="J733" s="18" t="d">
        <x:v>2026-10-26T00:00:00.000Z</x:v>
      </x:c>
      <x:c r="K733" s="21" t="str">
        <x:f>IFERROR(HYPERLINK("https://www.thedailystar.net/business/news/trade-thru-benapole-land-port-suspended-2037137","The Daily Star"),"The Daily Star")</x:f>
        <x:v>The Daily Star</x:v>
      </x:c>
      <x:c r="L733" s="21" t="str">
        <x:f>IFERROR(HYPERLINK("https://www.thedailystar.net/business/port-and-shipping/news/import-export-through-benapole-suspended-due-petrapole-port-workers-strike-2036929","The Daily Star"),"The Daily Star")</x:f>
        <x:v>The Daily Star</x:v>
      </x:c>
      <x:c r="M733" s="21" t="str">
        <x:f>IFERROR(HYPERLINK("https://www.unb.com.bd/category/Bangladesh/trade-hallted-for-day-2-in-benapole-port/64245","United News of Bangladesh"),"United News of Bangladesh")</x:f>
        <x:v>United News of Bangladesh</x:v>
      </x:c>
      <x:c r="N733" s="4" t="str">
        <x:v>https://www.thedailystar.net/business/news/trade-thru-benapole-land-port-suspended-2037137
https://www.thedailystar.net/business/port-and-shipping/news/import-export-through-benapole-suspended-due-petrapole-port-workers-strike-2036929
https://www.unb.com.bd/category/Bangladesh/trade-hallted-for-day-2-in-benapole-port/64245
https://www.dhakatribune.com/amp/bangladesh/237443/trade-resumes-through-benapole-port-after-2-days%E2%80%99
https://unb.com.bd/category/Bangladesh/trade-hallted-for-day-2-in-benapole-port/64245</x:v>
      </x:c>
      <x:c r="O733" s="4" t="str">
        <x:v>Second full-register audit source access, 26 October 2026
https://www.thedailystar.net/business/news/trade-thru-benapole-land-port-suspended-2037137: full text (fresh retrieval) — Updated 1 February; relative-date ambiguity.
https://unb.com.bd/category/Bangladesh/trade-hallted-for-day-2-in-benapole-port/64245: full text (fresh retrieval)
https://www.dhakatribune.com/amp/bangladesh/237443/trade-resumes-through-benapole-port-after-2-days%E2%80%99: full text (fresh retrieval)
Earlier URLs not separately inspected in this second assessment:
https://www.thedailystar.net/business/port-and-shipping/news/import-export-through-benapole-suspended-due-petrapole-port-workers-strike-2036929
https://www.unb.com.bd/category/Bangladesh/trade-hallted-for-day-2-in-benapole-port/64245
Prior audit access record
Full-register audit source access (evidence cutoff 25 October 2026)
https://www.thedailystar.net/business/news/trade-thru-benapole-land-port-suspended-2037137: full text
https://unb.com.bd/category/Bangladesh/trade-hallted-for-day-2-in-benapole-port/64245: full text
https://www.dhakatribune.com/amp/bangladesh/237443/trade-resumes-through-benapole-port-after-2-days%E2%80%99: full text
Earlier source URLs not separately listed in this audit’s retrieval log (historical access notes below are not fresh verification):
https://www.thedailystar.net/business/port-and-shipping/news/import-export-through-benapole-suspended-due-petrapole-port-workers-strike-2036929
https://www.unb.com.bd/category/Bangladesh/trade-hallted-for-day-2-in-benapole-port/64245
Earlier recorded access
Source 1: full text
Source 2: full text
Source 3: indexed extract</x:v>
      </x:c>
      <x:c r="P733" s="20" t="n">
        <x:v>1</x:v>
      </x:c>
      <x:c r="Q733" s="4" t="str">
        <x:v>South Asia</x:v>
      </x:c>
      <x:c r="R733" s="4" t="str">
        <x:v>Included</x:v>
      </x:c>
    </x:row>
    <x:row r="734" ht="409" hidden="0" customHeight="1">
      <x:c r="A734" s="16" t="str">
        <x:v>REC50-R12-003</x:v>
      </x:c>
      <x:c r="B734" s="4" t="str">
        <x:v>Petrapole–Benapole port-user freight strike, January–February 2022</x:v>
      </x:c>
      <x:c r="C734" s="4" t="str">
        <x:v>India; Bangladesh</x:v>
      </x:c>
      <x:c r="D734" s="4" t="str">
        <x:v>Petrapole / Benapole
Only the named international land-port goods interchange, at the stated phase scope</x:v>
      </x:c>
      <x:c r="E734" s="4" t="str">
        <x:v>Cross-border goods traffic
Direction: Both freight directions unless the phase states otherwise
Exceptions: Internal loading, unloading and goods delivery continued; passenger treatment unestablished</x:v>
      </x:c>
      <x:c r="F734" s="4" t="str">
        <x:v>REC50-R12-003-P1 — Observed operation
Bilateral freight exchange at Petrapole–Benapole during the January–February 2022 port-user strike
Start: 2022-01-31.
Observed scoped reopening: 2022-02-05.
5 calendar-day difference; scoped endpoint only</x:v>
      </x:c>
      <x:c r="G734" s="4" t="str">
        <x:v>Trade and protectionism / Trade and transport protests
Source-attributed reason; see qualification
Applies to: Scope and phases stated below; no primary rationale or universal overlap inferred
Port users protested entry-document requirements and alleged manager harassment affecting commercial access; no state protectionist motive is inferred.</x:v>
      </x:c>
      <x:c r="H734" s="4" t="str">
        <x:v>REC50-R12-003-P1: Retain the 31 January morning to 5 February morning goods-service interval: contemporary Daily Star onset and actual resumption are corroborated by Times of India’s Monday chronology and Petrapole manager’s Saturday truck counts. Indian Awaaz instead retrospectively says since 1 February and reports most unions called off on Thursday, with Friday a holiday before Saturday trade. That alternative wording remains disclosed; formal strike withdrawal is not first resumed passage. Five calendar days is not five active strike days, five scheduled trading days lost or a measured 120 hours. Internal loading/unloading continued; passenger closure is not established. Daily Star reports share one interview channel; the TOI manager is a different named official.
scope / exact timing / source limitations / geography: Day-level actual goods onset and restoration remain supported as 31 January and 5 February. Indian Awaaz retrospectively dates suspension from 1 February and separates Thursday union withdrawal from Saturday resumption after Friday’s holiday; exact active-strike time, lost operating days, passenger treatment and detailed exceptions remain unestablished.</x:v>
      </x:c>
      <x:c r="I734" s="4" t="str">
        <x:v>Second full-register audit, 26 October 2026: qualified. The 31 January–5 February 2022 goods-service interruption remains supported, including actual two-way truck counts. Formal strike withdrawal and the intervening holiday remain distinct.</x:v>
      </x:c>
      <x:c r="J734" s="18" t="d">
        <x:v>2026-10-26T00:00:00.000Z</x:v>
      </x:c>
      <x:c r="K734" s="21" t="str">
        <x:f>IFERROR(HYPERLINK("https://www.thedailystar.net/business/economy/industries/ports-and-shipping/news/trade-through-benapole-suspended-indefinitely-2951426","The Daily Star"),"The Daily Star")</x:f>
        <x:v>The Daily Star</x:v>
      </x:c>
      <x:c r="L734" s="21" t="str">
        <x:f>IFERROR(HYPERLINK("https://www.thedailystar.net/business/news/strike-petrapole-trade-through-benapole-port-resumes-after-5-days-2954821","The Daily Star"),"The Daily Star")</x:f>
        <x:v>The Daily Star</x:v>
      </x:c>
      <x:c r="M734" s="21" t="str">
        <x:f>IFERROR(HYPERLINK("https://theindianawaaz.com/export-import-resumes-at-india-bangladesh-border-point-at-benapole/","The Indian Awaaz"),"The Indian Awaaz")</x:f>
        <x:v>The Indian Awaaz</x:v>
      </x:c>
      <x:c r="N734" s="4" t="str">
        <x:v>https://www.thedailystar.net/business/economy/industries/ports-and-shipping/news/trade-through-benapole-suspended-indefinitely-2951426
https://www.thedailystar.net/business/news/strike-petrapole-trade-through-benapole-port-resumes-after-5-days-2954821
https://theindianawaaz.com/export-import-resumes-at-india-bangladesh-border-point-at-benapole/
https://timesofindia.indiatimes.com/city/kolkata/trucks-roll-out-as-petrapole-strike-ends/articleshow/89375090.cms
https://timesofindia.indiatimes.com/city/kolkata/high-level-meet-held-to-end-petrapole-stir/amp_articleshow/89309209.cms</x:v>
      </x:c>
      <x:c r="O734" s="4" t="str">
        <x:v>Second full-register audit source access, 26 October 2026
https://www.thedailystar.net/business/economy/industries/ports-and-shipping/news/trade-through-benapole-suspended-indefinitely-2951426: search extract (fresh retrieval) — Indexed text inspected; page freshly opened.
https://timesofindia.indiatimes.com/city/kolkata/trucks-roll-out-as-petrapole-strike-ends/articleshow/89375090.cms: full text (fresh retrieval)
https://theindianawaaz.com/export-import-resumes-at-india-bangladesh-border-point-at-benapole/: full text (fresh retrieval)
Earlier URLs not separately inspected in this second assessment:
https://www.thedailystar.net/business/news/strike-petrapole-trade-through-benapole-port-resumes-after-5-days-2954821
https://timesofindia.indiatimes.com/city/kolkata/high-level-meet-held-to-end-petrapole-stir/amp_articleshow/89309209.cms
Prior audit access record
Full-register audit source access (evidence cutoff 25 October 2026)
https://www.thedailystar.net/business/economy/industries/ports-and-shipping/news/trade-through-benapole-suspended-indefinitely-2951426: full text
https://www.thedailystar.net/business/news/strike-petrapole-trade-through-benapole-port-resumes-after-5-days-2954821: full text
https://timesofindia.indiatimes.com/city/kolkata/trucks-roll-out-as-petrapole-strike-ends/articleshow/89375090.cms: full text
https://theindianawaaz.com/export-import-resumes-at-india-bangladesh-border-point-at-benapole/: full text
Earlier source URLs not separately listed in this audit’s retrieval log (historical access notes below are not fresh verification):
https://timesofindia.indiatimes.com/city/kolkata/high-level-meet-held-to-end-petrapole-stir/amp_articleshow/89309209.cms
Earlier recorded access
Source 1: full text
Source 2: full text
Source 3: full text</x:v>
      </x:c>
      <x:c r="P734" s="20" t="n">
        <x:v>1</x:v>
      </x:c>
      <x:c r="Q734" s="4" t="str">
        <x:v>South Asia</x:v>
      </x:c>
      <x:c r="R734" s="4" t="str">
        <x:v>Included</x:v>
      </x:c>
    </x:row>
    <x:row r="735" ht="409" hidden="0" customHeight="1">
      <x:c r="A735" s="16" t="str">
        <x:v>REC50-R12-004</x:v>
      </x:c>
      <x:c r="B735" s="4" t="str">
        <x:v>Petrapole–Benapole truck-association freight strike, late July 2019</x:v>
      </x:c>
      <x:c r="C735" s="4" t="str">
        <x:v>India; Bangladesh</x:v>
      </x:c>
      <x:c r="D735" s="4" t="str">
        <x:v>Petrapole / Benapole
Only the named international land-port goods interchange, at the stated phase scope</x:v>
      </x:c>
      <x:c r="E735" s="4" t="str">
        <x:v>Cross-border goods traffic
Direction: Both freight directions unless the phase states otherwise
Exceptions: Travellers and internal goods delivery reported unaffected</x:v>
      </x:c>
      <x:c r="F735" s="4" t="str">
        <x:v>REC50-R12-004-P1 — Observed operation
Late-July 2019 truck-association stoppage of Petrapole–Benapole goods exchange
Start: 2019-07-30, morning; Jago reports 07:00.
Observed scoped reopening: 2019-07-31, afternoon; reports differ between 16:00 and 17:00.
Reported duration approximately 34 hours; the recovered clocks imply about 33–34 hours. Strictly greater than 24 hours.</x:v>
      </x:c>
      <x:c r="G735" s="4" t="str">
        <x:v>Trade and protectionism / Trade and transport protests
Source-attributed reason; see qualification
Applies to: Scope and phases stated below; no primary rationale or universal overlap inferred
Truck associations attributed their refusal to alleged harassment of drivers and handling problems; these are attributed commercial grievances, not established wrongdoing by every named group.</x:v>
      </x:c>
      <x:c r="H735" s="4" t="str">
        <x:v>REC50-R12-004-P1: Contemporary Bengali restart reporting closes this episode on 31 July 2019. Jago reports continuous suspension from Tuesday at 07:00 until Wednesday around 17:00 and quotes customs assistant commissioner Uttam Chakma confirming afternoon trade. Ittefaq also reports about 34 hours but gives 16:00 in its online account, so no exact preferred reopening clock is selected. UNB and the contemporary Daily Star report corroborate 30 July onset, the same crossing and truck-association grievances; Daily Star’s publication/update and relative-day wording remain a metadata limitation. Passengers and internal port work continued. February 2021 is a separate strike, not this episode’s end.</x:v>
      </x:c>
      <x:c r="I735" s="4" t="str">
        <x:v>Second full-register audit, 26 October 2026: additional source-audited corrections incorporated. See the phase, scope and qualification columns for the accepted findings.</x:v>
      </x:c>
      <x:c r="J735" s="18" t="d">
        <x:v>2026-10-26T00:00:00.000Z</x:v>
      </x:c>
      <x:c r="K735" s="21" t="str">
        <x:f>IFERROR(HYPERLINK("https://www.thedailystar.net/business/news/indian-strike-halts-trade-benapole-1779451","The Daily Star"),"The Daily Star")</x:f>
        <x:v>The Daily Star</x:v>
      </x:c>
      <x:c r="L735" s="21" t="str">
        <x:f>IFERROR(HYPERLINK("https://sawtee.org/newsletters/07_Trade_Climate_Change_and_Development_Monitor-July_2019.pdf","SAWTEE"),"SAWTEE")</x:f>
        <x:v>SAWTEE</x:v>
      </x:c>
      <x:c r="M735" s="21" t="str">
        <x:f>IFERROR(HYPERLINK("https://www.unb.com.bd/category/Bangladesh/export-import-through-benapole-suspended-over-indian-truckers-strike/24820","United News of Bangladesh"),"United News of Bangladesh")</x:f>
        <x:v>United News of Bangladesh</x:v>
      </x:c>
      <x:c r="N735" s="4" t="str">
        <x:v>https://www.thedailystar.net/business/news/indian-strike-halts-trade-benapole-1779451
https://sawtee.org/newsletters/07_Trade_Climate_Change_and_Development_Monitor-July_2019.pdf
https://www.unb.com.bd/category/Bangladesh/export-import-through-benapole-suspended-over-indian-truckers-strike/24820
https://www.dhakatribune.com/amp/bangladesh/237443/trade-resumes-through-benapole-port-after-2-days%E2%80%99
https://www.jagonews24.com/country/news/517446
https://www.ittefaq.com.bd/amp/76544/বেনাপোল-বন্দর-দিয়ে-আমদানি-রফতানি-পুনরায়-শুরু</x:v>
      </x:c>
      <x:c r="O735" s="4" t="str">
        <x:v>Second full-register audit source access, 26 October 2026
https://www.thedailystar.net/business/news/indian-strike-halts-trade-benapole-1779451: full text (fresh retrieval) — Updated 31 July; relative-day wording.
https://www.unb.com.bd/category/Bangladesh/export-import-through-benapole-suspended-over-indian-truckers-strike/24820: full text (fresh retrieval) — Extract omits year; matched to dated contemporary sources.
https://www.jagonews24.com/country/news/517446: full text (fresh retrieval)
https://www.ittefaq.com.bd/amp/76544/বেনাপোল-বন্দর-দিয়ে-আমদানি-রফতানি-পুনরায়-শুরু: search extract (fresh retrieval) — Direct page disabled; indexed excerpt inspected.
Earlier URLs not separately inspected in this second assessment:
https://sawtee.org/newsletters/07_Trade_Climate_Change_and_Development_Monitor-July_2019.pdf
https://www.dhakatribune.com/amp/bangladesh/237443/trade-resumes-through-benapole-port-after-2-days%E2%80%99
Prior audit access record
Full-register audit source access (evidence cutoff 25 October 2026)
https://www.unb.com.bd/category/Bangladesh/export-import-through-benapole-suspended-over-indian-truckers-strike/24820: full text — Year absent in extracted dispatch; contemporary corroboration needed
https://www.thedailystar.net/business/news/indian-strike-halts-trade-benapole-1779451: full text — Publication/update relative-day ambiguity
https://www.dhakatribune.com/amp/bangladesh/237443/trade-resumes-through-benapole-port-after-2-days%E2%80%99: full text — Different strike; upper bound only
Earlier source URLs not separately listed in this audit’s retrieval log (historical access notes below are not fresh verification):
https://sawtee.org/newsletters/07_Trade_Climate_Change_and_Development_Monitor-July_2019.pdf
Earlier recorded access
Source 1: full text
Source 2: full text
Source 3: full text</x:v>
      </x:c>
      <x:c r="P735" s="20" t="n">
        <x:v>1</x:v>
      </x:c>
      <x:c r="Q735" s="4" t="str">
        <x:v>South Asia</x:v>
      </x:c>
      <x:c r="R735" s="4" t="str">
        <x:v>Included</x:v>
      </x:c>
    </x:row>
    <x:row r="736" ht="306" hidden="0" customHeight="1">
      <x:c r="A736" s="16" t="str">
        <x:v>REC50-R12-005</x:v>
      </x:c>
      <x:c r="B736" s="4" t="str">
        <x:v>Hili goods strike over trading permissions and facilities, August–September 2026</x:v>
      </x:c>
      <x:c r="C736" s="4" t="str">
        <x:v>India; Bangladesh</x:v>
      </x:c>
      <x:c r="D736" s="4" t="str">
        <x:v>Hili
Only the named international land-port goods interchange, at the stated phase scope</x:v>
      </x:c>
      <x:c r="E736" s="4" t="str">
        <x:v>Cross-border goods traffic
Direction: Both freight directions unless the phase states otherwise
Exceptions: Passport holders continued to cross according to immigration and trade reports</x:v>
      </x:c>
      <x:c r="F736" s="4" t="str">
        <x:v>REC50-R12-005-P1 — Observed operation
Bilateral goods interchange at Hili during the August–September 2026 exporters strike
Start: 2026-08-30.
Observed scoped reopening: 2026-09-05.
6 calendar-day difference; scoped endpoint only</x:v>
      </x:c>
      <x:c r="G736" s="4" t="str">
        <x:v>Trade and protectionism / Trade and transport protests
Source-attributed reason; see qualification
Applies to: Scope and phases stated below; no primary rationale or universal overlap inferred
The association sought broader commodity permissions and parity in trading facilities; no unrelated national security or health rationale is assigned.</x:v>
      </x:c>
      <x:c r="H736" s="4" t="str">
        <x:v>REC50-R12-005-P1: 30 August to 5 September gives six-calendar-day difference. One report calls it five days and morning resumption; others say noon/12:15. Retain the common calendar dates but do not select an exact clock duration. Passport-holder passage remained normal.
scope / exact timing / source limitations / geography: Reconcile conflicting first-truck clock and retrospective day-count descriptions; customs and association logs would establish a more precise duration.</x:v>
      </x:c>
      <x:c r="I736" s="4" t="str">
        <x:v>Second full-register audit, 26 October 2026: qualified. Fresh onset and reopening accounts support the existing Hili freight interval; the five/six-day and morning/noon discrepancies remain explicit.</x:v>
      </x:c>
      <x:c r="J736" s="18" t="d">
        <x:v>2026-10-26T00:00:00.000Z</x:v>
      </x:c>
      <x:c r="K736" s="21" t="str">
        <x:f>IFERROR(HYPERLINK("https://unb.com.bd/category/Bangladesh/indian-exporters-strike-halts-trade-at-hili-land-port/194189","United News of Bangladesh"),"United News of Bangladesh")</x:f>
        <x:v>United News of Bangladesh</x:v>
      </x:c>
      <x:c r="L736" s="21" t="str">
        <x:f>IFERROR(HYPERLINK("https://www.bssnews.net/others/421339","Bangladesh Sangbad Sangstha"),"Bangladesh Sangbad Sangstha")</x:f>
        <x:v>Bangladesh Sangbad Sangstha</x:v>
      </x:c>
      <x:c r="M736" s="21" t="str">
        <x:f>IFERROR(HYPERLINK("https://bdnews24.com/business/26136f913446","bdnews24.com"),"bdnews24.com")</x:f>
        <x:v>bdnews24.com</x:v>
      </x:c>
      <x:c r="N736" s="4" t="str">
        <x:v>https://unb.com.bd/category/Bangladesh/indian-exporters-strike-halts-trade-at-hili-land-port/194189
https://www.bssnews.net/others/421339
https://bdnews24.com/business/26136f913446
https://en.sarabangla.net/news/post-25578/hili-land-port-resumes-trade-after-5-day-halt/</x:v>
      </x:c>
      <x:c r="O736" s="4" t="str">
        <x:v>Second full-register audit source access, 26 October 2026
https://unb.com.bd/category/Bangladesh/indian-exporters-strike-halts-trade-at-hili-land-port/194189: full text (fresh retrieval)
https://www.bssnews.net/others/421339: full text (fresh retrieval)
https://en.sarabangla.net/news/post-25578/hili-land-port-resumes-trade-after-5-day-halt/: full text (fresh retrieval) — Morning and five-day description conflicts with BSS
Earlier URLs not separately inspected in this second assessment:
https://bdnews24.com/business/26136f913446
Prior audit access record
Full-register audit source access (evidence cutoff 25 October 2026)
https://unb.com.bd/category/Bangladesh/indian-exporters-strike-halts-trade-at-hili-land-port/194189: full text
https://www.bssnews.net/others/421339: full text
https://bdnews24.com/business/26136f913446: full text — Updated September 16; clock not independently reconciled
https://en.sarabangla.net/news/post-25578/hili-land-port-resumes-trade-after-5-day-halt/: full text
Earlier recorded access
Source 1: full text
Source 2: full text
Source 3: full text</x:v>
      </x:c>
      <x:c r="P736" s="20" t="n">
        <x:v>1</x:v>
      </x:c>
      <x:c r="Q736" s="4" t="str">
        <x:v>South Asia</x:v>
      </x:c>
      <x:c r="R736" s="4" t="str">
        <x:v>Included</x:v>
      </x:c>
    </x:row>
    <x:row r="737" ht="150" hidden="0" customHeight="1">
      <x:c r="A737" s="16" t="str">
        <x:v>REC50-R12-006</x:v>
      </x:c>
      <x:c r="B737" s="4" t="str">
        <x:v>NBR reform-strike freight shutdown at Sonamasjid and Benapole, June 2025</x:v>
      </x:c>
      <x:c r="C737" s="4" t="str">
        <x:v>India; Bangladesh</x:v>
      </x:c>
      <x:c r="D737" s="4" t="str">
        <x:v>Sonamasjid / Mahadipur; Benapole / Petrapole
Only the named international land-port goods interchange, at the stated phase scope</x:v>
      </x:c>
      <x:c r="E737" s="4" t="str">
        <x:v>Named land-port freight operations
Direction: Both freight directions unless the phase states otherwise
Exceptions: Passenger treatment is not established; earlier partial work stoppages and later backlog clearance differ from the complete shutdown</x:v>
      </x:c>
      <x:c r="F737" s="4" t="str">
        <x:v>REC50-R12-006-P1 — Observed operation
Sonamasjid / Mahadipur freight operations during the complete NBR strike shutdown of 28–30 June 2025
Start: 2025-06-28.
Observed scoped reopening: 2025-06-30.
2 calendar-day difference; scoped endpoint only
REC50-R12-006-P2 — Observed operation
Benapole / Petrapole freight operations during the complete NBR strike shutdown of 28–30 June 2025
Start: 2025-06-28.
Observed scoped reopening: 2025-06-30.
2 calendar-day difference; scoped endpoint only</x:v>
      </x:c>
      <x:c r="G737" s="4" t="str">
        <x:v>Policy and socioeconomic demands / Jobs, services and livelihoods
Source-attributed reason; see qualification
Applies to: Scope and phases stated below; no primary rationale or universal overlap inferred
Sources attribute staff reform, promotion, neutrality and dignity demands to the NBR movement. The shared campaign is one parent with two separately sourced facility phases; no national all-border geometry.</x:v>
      </x:c>
      <x:c r="H737" s="4" t="str">
        <x:v>REC50-R12-006-P1: Saturday and Sunday immediately before Monday 30 June are 28–29 June. Two-calendar-day difference covers the reported complete shutdown. Earlier partial pen-down hours are not extended into a continuously closed week. No passenger restriction or all-port coverage is inferred.
REC50-R12-006-P2: Saturday and Sunday immediately before Monday 30 June are 28–29 June. Two-calendar-day difference covers the reported complete shutdown. Earlier partial pen-down hours are not extended into a continuously closed week. No passenger restriction or all-port coverage is inferred.
scope / exact timing / source limitations / geography: Primary strike/port logs could confirm precise hours and traffic exceptions; any earlier partial stoppages require separate evidence and must not inflate the two-day spells.</x:v>
      </x:c>
      <x:c r="I737" s="4" t="str">
        <x:v>Second full-register audit, 26 October 2026: qualified. Fresh port-specific accounts confirm the two 28–30 June 2025 freight shutdowns, separating earlier partial strikes from the full stoppage.</x:v>
      </x:c>
      <x:c r="J737" s="18" t="d">
        <x:v>2026-10-26T00:00:00.000Z</x:v>
      </x:c>
      <x:c r="K737" s="21" t="str">
        <x:f>IFERROR(HYPERLINK("https://www.bssnews.net/others/287703","Bangladesh Sangbad Sangstha"),"Bangladesh Sangbad Sangstha")</x:f>
        <x:v>Bangladesh Sangbad Sangstha</x:v>
      </x:c>
      <x:c r="L737" s="21" t="str">
        <x:f>IFERROR(HYPERLINK("https://www.jagonews24.com/en/biz-econ/news/83763","Jago News 24"),"Jago News 24")</x:f>
        <x:v>Jago News 24</x:v>
      </x:c>
      <x:c r="M737" s="21"/>
      <x:c r="N737" s="4" t="str">
        <x:v>https://www.bssnews.net/others/287703
https://www.jagonews24.com/en/biz-econ/news/83763</x:v>
      </x:c>
      <x:c r="O737" s="4" t="str">
        <x:v>Second full-register audit source access, 26 October 2026
https://www.bssnews.net/others/287703: full text (fresh retrieval)
https://www.jagonews24.com/en/biz-econ/news/83763: full text (fresh retrieval)
Prior audit access record
Full-register audit source access (evidence cutoff 25 October 2026)
https://www.bssnews.net/others/287703: full text
https://www.jagonews24.com/en/biz-econ/news/83763: full text
Earlier recorded access
Source 1: full text
Source 2: full text</x:v>
      </x:c>
      <x:c r="P737" s="20" t="n">
        <x:v>2</x:v>
      </x:c>
      <x:c r="Q737" s="4" t="str">
        <x:v>South Asia</x:v>
      </x:c>
      <x:c r="R737" s="4" t="str">
        <x:v>Included</x:v>
      </x:c>
    </x:row>
    <x:row r="738" ht="246" hidden="0" customHeight="1">
      <x:c r="A738" s="16" t="str">
        <x:v>REC50-R13-001</x:v>
      </x:c>
      <x:c r="B738" s="4" t="str">
        <x:v>Dehiba/Wazen mourning-related service suspension, April 2018</x:v>
      </x:c>
      <x:c r="C738" s="4" t="str">
        <x:v>Libya; Tunisia</x:v>
      </x:c>
      <x:c r="D738" s="4" t="str">
        <x:v>Dehiba / Wazen
Dehiba / Wazen; named crossing and stated cohort only</x:v>
      </x:c>
      <x:c r="E738" s="4" t="str">
        <x:v>Ordinary crossing users; detailed passenger and freight categories not enumerated
Direction: Not separately specified
Exceptions: Exceptional and urgent cases were allowed during the mourning closure, according to the 16 April afternoon report.</x:v>
      </x:c>
      <x:c r="F738" s="4" t="str">
        <x:v>REC50-R13-001-P1 — Observed operation
Ordinary crossing service at Dehiba/Wazen during mourning for the crossing commander, excluding exceptional and urgent passage
Start: 2018-04-13.
Observed scoped reopening: 2018-04-16.
3 calendar-day difference; scoped endpoint only</x:v>
      </x:c>
      <x:c r="G738" s="4" t="str">
        <x:v>Administration and service operation / Temporary service suspension
Source-attributed reason or explicitly unresolved, as described below
Applies to: REC50-R13-001-P1
The stated occasion is mourning after the crossing commander’s death. Existing temporary-service-suspension coding covers this administrative occasion; the pursuit context is not converted into a security or smuggling rationale.</x:v>
      </x:c>
      <x:c r="H738" s="4" t="str">
        <x:v>REC50-R13-001-P1: Ordinary crossing service was reportedly suspended from Friday 13 April until restoration on Monday 16 April 2018, while exceptional and urgent passage remained possible. The date difference is three calendar days, not measured 72 hours. Detailed passenger/freight categories and exact first-passage clocks remain unspecified.
Timing / scope / rationale: Recover a movement-specific notice or gate account to enumerate ordinary passenger/freight cohorts and the admitted exceptional or urgent cases; no precise first-passage clock is established.
Phase geography: All proposed phases remain unlocated.</x:v>
      </x:c>
      <x:c r="I738" s="4" t="str">
        <x:v>Second full-register audit, 26 October 2026: qualified. The April 13–16 mourning suspension and urgent/exceptional passage are supported by two same-day reports.</x:v>
      </x:c>
      <x:c r="J738" s="18" t="d">
        <x:v>2026-10-26T00:00:00.000Z</x:v>
      </x:c>
      <x:c r="K738" s="21" t="str">
        <x:f>IFERROR(HYPERLINK("https://www.mosaiquefm.net/mobile/fr/actualite-regional-tunisie/326244/reouverture-du-passage-de-dehiba-wazen","Mosaïque FM / TAP"),"Mosaïque FM / TAP")</x:f>
        <x:v>Mosaïque FM / TAP</x:v>
      </x:c>
      <x:c r="L738" s="21" t="str">
        <x:f>IFERROR(HYPERLINK("https://www.mosaiquefm.net/fr/actualite-regional-tunisie/325994/le-passage-du-dehiba-wazen-ferme-pour-le-4e-jour-consecutif","Mosaïque FM"),"Mosaïque FM")</x:f>
        <x:v>Mosaïque FM</x:v>
      </x:c>
      <x:c r="M738" s="21"/>
      <x:c r="N738" s="4" t="str">
        <x:v>https://www.mosaiquefm.net/mobile/fr/actualite-regional-tunisie/326244/reouverture-du-passage-de-dehiba-wazen
https://www.mosaiquefm.net/fr/actualite-regional-tunisie/325994/le-passage-du-dehiba-wazen-ferme-pour-le-4e-jour-consecutif</x:v>
      </x:c>
      <x:c r="O738" s="4" t="str">
        <x:v>Second full-register audit source access, 26 October 2026
https://www.mosaiquefm.net/mobile/fr/actualite-regional-tunisie/326244/reouverture-du-passage-de-dehiba-wazen: search extract (fresh retrieval) — Fresh direct attempt timed out; indexed substantive report inspected.
https://www.mosaiquefm.net/fr/actualite-regional-tunisie/325994/le-passage-du-dehiba-wazen-ferme-pour-le-4e-jour-consecutif: search extract (fresh retrieval) — Direct timeout; full substantive indexed text available.
Prior audit access record
Full-register audit source access (evidence cutoff 25 October 2026)
https://www.mosaiquefm.net/mobile/fr/actualite-regional-tunisie/326244/reouverture-du-passage-de-dehiba-wazen: search extract — Repeated direct timeouts.
https://www.mosaiquefm.net/fr/actualite-regional-tunisie/325994/le-passage-du-dehiba-wazen-ferme-pour-le-4e-jour-consecutif: search extract — Direct page failed.
Earlier recorded access
Source 1: full text
Source 2: indexed extract</x:v>
      </x:c>
      <x:c r="P738" s="20" t="n">
        <x:v>1</x:v>
      </x:c>
      <x:c r="Q738" s="4" t="str">
        <x:v>North Africa</x:v>
      </x:c>
      <x:c r="R738" s="4" t="str">
        <x:v>Included</x:v>
      </x:c>
    </x:row>
    <x:row r="739" ht="282" hidden="0" customHeight="1">
      <x:c r="A739" s="16" t="str">
        <x:v>REC50-R13-002</x:v>
      </x:c>
      <x:c r="B739" s="4" t="str">
        <x:v>Dehiba/Wazen protest-related interruption and restoration, August 2018</x:v>
      </x:c>
      <x:c r="C739" s="4" t="str">
        <x:v>Libya; Tunisia</x:v>
      </x:c>
      <x:c r="D739" s="4" t="str">
        <x:v>Dehiba / Wazen
Dehiba / Wazen; named crossing and stated cohort only</x:v>
      </x:c>
      <x:c r="E739" s="4" t="str">
        <x:v>Passengers and goods in the reopening account.
Direction: Not separately specified for the mayor’s August 12 restoration observation.
Exceptions: During the earlier August 8 Libyan-side interruption, a TAP account reported Tunisian returnees, Libyans returning home and urgent cases continuing through the Tunisian side; identical exception coverage across the later road obstruction is not established.</x:v>
      </x:c>
      <x:c r="F739" s="4" t="str">
        <x:v>REC50-R13-002-P1 — Observed operation
Passenger and goods passage through Wazen/Dehiba interrupted during Tunisian-side protests
Start: unknown.
Observed scoped reopening: by 2018-08-12; earliest bound unknown.
dated evidence; numeric duration withheld; see qualification
Separate contemporary onset observation: Libyan-side Wazen service was reported interrupted on 2018-08-08, described as afternoon by Mosaïque and evening by TAP. The relationship between that gate interruption and the road-protest closure described by the mayor on August 12 is not sufficiently resolved to combine them into one continuous interval.</x:v>
      </x:c>
      <x:c r="G739" s="4" t="str">
        <x:v>Attributed explanations differ. Mosaïque and TAP associate the August 8 gate interruption with an altercation involving travellers and crossing staff. On August 9, council member Munir Said attributed closure to concern about violence and reprisals against Libyan travellers in the context of cargo/customs disputes; a Tunisian security source disputed that linkage. The August 12 mayor’s account refers to ended Tunisian protests and a secured road, without specifying demands. No single motive is imposed across these potentially distinct mechanisms.</x:v>
      </x:c>
      <x:c r="H739" s="4" t="str">
        <x:v>REC50-R13-002-P1: Normal passenger and goods movement is confirmed by the mayor by August 12, 2018 after a reported three-day closure. Separate contemporary accounts now locate a Libyan-side gate interruption on August 8, with returning-national and urgent exceptions reported on the Tunisian side. Gate altercation and approach-road protest accounts may describe related stages, but identical cohorts, uninterrupted continuity and the exact first reopening are not established. Numeric duration remains withheld. The additional August 8 accounts are available as substantive indexed extracts, and the August 9 Libya Observer and August 12 LANA accounts were read in full. Phase geography remains unlocated in the existing phase table.</x:v>
      </x:c>
      <x:c r="I739" s="4" t="str">
        <x:v>Second full-register audit, 26 October 2026: qualified. The August 12 mayor’s restoration observation remains valid; contradictory gate/road movement accounts prevent a single reconstructed onset.</x:v>
      </x:c>
      <x:c r="J739" s="18" t="d">
        <x:v>2026-10-26T00:00:00.000Z</x:v>
      </x:c>
      <x:c r="K739" s="21" t="str">
        <x:f>IFERROR(HYPERLINK("https://lana.gov.ly/post.php?id=135759&amp;lang=en","Libyan News Agency"),"Libyan News Agency")</x:f>
        <x:v>Libyan News Agency</x:v>
      </x:c>
      <x:c r="L739" s="21"/>
      <x:c r="M739" s="21"/>
      <x:c r="N739" s="4" t="str">
        <x:v>https://lana.gov.ly/post.php?id=135759&amp;lang=en
https://www.mosaiquefm.net/amp/fr/actualite-regional-tunisie/389644/fermeture-du-passage-de-dehiba-wazen-du-cote-libyen
https://libyaobserver.ly/news/libyan-authorities-close-dehiba-wazen-border-crossing
https://www.webdo.tn/fr/?p=153950</x:v>
      </x:c>
      <x:c r="O739" s="4" t="str">
        <x:v>Second full-register audit source access, 26 October 2026
https://lana.gov.ly/post.php?id=135759&amp;lang=en: full text (fresh retrieval)
https://libyaobserver.ly/news/libyan-authorities-close-dehiba-wazen-border-crossing: full text (fresh retrieval)
https://www.webdo.tn/fr/?p=153950: inaccessible (fresh retrieval) — Restricted URL; not fresh verification.
Earlier URLs not separately inspected in this second assessment:
https://www.mosaiquefm.net/amp/fr/actualite-regional-tunisie/389644/fermeture-du-passage-de-dehiba-wazen-du-cote-libyen
Prior audit access record
Full-register audit source access (evidence cutoff 25 October 2026)
https://lana.gov.ly/post.php?id=135759&amp;lang=en: full text
https://www.mosaiquefm.net/amp/fr/actualite-regional-tunisie/389644/fermeture-du-passage-de-dehiba-wazen-du-cote-libyen: search extract — Direct timeout.
https://libyaobserver.ly/news/libyan-authorities-close-dehiba-wazen-border-crossing: full text
https://www.webdo.tn/fr/?p=153950: search extract — Direct URL rejected.
Earlier recorded access
Source 1: full text</x:v>
      </x:c>
      <x:c r="P739" s="20" t="n">
        <x:v>1</x:v>
      </x:c>
      <x:c r="Q739" s="4" t="str">
        <x:v>North Africa</x:v>
      </x:c>
      <x:c r="R739" s="4" t="str">
        <x:v>Included</x:v>
      </x:c>
    </x:row>
    <x:row r="740" ht="258" hidden="0" customHeight="1">
      <x:c r="A740" s="16" t="str">
        <x:v>REC50-R13-003</x:v>
      </x:c>
      <x:c r="B740" s="4" t="str">
        <x:v>Dehiba/Wazen same-day travel restriction with returning-national exceptions, August 2023</x:v>
      </x:c>
      <x:c r="C740" s="4" t="str">
        <x:v>Libya; Tunisia</x:v>
      </x:c>
      <x:c r="D740" s="4" t="str">
        <x:v>Dehiba / Wazen
Dehiba / Wazen; named crossing and stated cohort only</x:v>
      </x:c>
      <x:c r="E740" s="4" t="str">
        <x:v>Passenger travel other than the stated returning nationals
Direction: Libya to Tunisia and Tunisia to Libya, depending on nationality
Exceptions: Tunisians returning to Tunisia; Libyans leaving Tunisia for Libya</x:v>
      </x:c>
      <x:c r="F740" s="4" t="str">
        <x:v>REC50-R13-003-P1 — Observed operation
Dehiba/Wazen travel other than Tunisians returning to Tunisia and Libyans returning to Libya
Start: 2023-08-10.
Observed scoped reopening: 2023-08-10.
dated evidence; numeric duration withheld; see qualification</x:v>
      </x:c>
      <x:c r="G740" s="4" t="str">
        <x:v>Uncoded
Source-attributed reason or explicitly unresolved, as described below
Applies to: REC50-R13-003-P1
The report gives no stated reason. Nationality exceptions do not establish migration-control purpose.</x:v>
      </x:c>
      <x:c r="H740" s="4" t="str">
        <x:v>REC50-R13-003-P1: The full Mosaïque report was recovered and confirms a 14:00–22:00 interruption on August 10, 2023, with Tunisians returning to Tunisia and Libyans returning to Libya allowed to pass. Le Temps independently relays a TAP crossing-official account of restored traffic late Thursday and normal operation Friday morning. The reason remains unstated, and the reports do not enumerate all freight or third-country categories. The eight-hour difference is based on reported clocks, not gate logs; no whole-day duration is inferred. Phase geography remains unlocated in the existing phase table.</x:v>
      </x:c>
      <x:c r="I740" s="4" t="str">
        <x:v>Second full-register audit, 26 October 2026: qualified. Fresh onset report and indexed Mosaïque reopening confirm an eight-hour August 10 episode with returning-national exceptions.</x:v>
      </x:c>
      <x:c r="J740" s="18" t="d">
        <x:v>2026-10-26T00:00:00.000Z</x:v>
      </x:c>
      <x:c r="K740" s="21" t="str">
        <x:f>IFERROR(HYPERLINK("https://www.mosaiquefm.net/mobile/fr/national-tunisie/1183304/dhehiba-ouazen-reprise-du-trafic","Mosaïque FM"),"Mosaïque FM")</x:f>
        <x:v>Mosaïque FM</x:v>
      </x:c>
      <x:c r="L740" s="21"/>
      <x:c r="M740" s="21"/>
      <x:c r="N740" s="4" t="str">
        <x:v>https://www.mosaiquefm.net/mobile/fr/national-tunisie/1183304/dhehiba-ouazen-reprise-du-trafic
https://letemps.news/2023/08/11/poste-frontalier-dhehiba-wazen-reprise-du-trafic-du-cote-libyen/
https://businessnews.com.tn/2023/08/10/article-1199676/1199676/</x:v>
      </x:c>
      <x:c r="O740" s="4" t="str">
        <x:v>Second full-register audit source access, 26 October 2026
https://www.mosaiquefm.net/mobile/fr/national-tunisie/1183304/dhehiba-ouazen-reprise-du-trafic: search extract (fresh retrieval) — Fresh direct mobile page timed out; substantive indexed text supplies clocks.
https://businessnews.com.tn/2023/08/10/article-1199676/1199676/: full text (fresh retrieval)
https://letemps.news/2023/08/11/poste-frontalier-dhehiba-wazen-reprise-du-trafic-du-cote-libyen/: inaccessible (fresh retrieval) — Direct access rejected; not fresh corroboration.
Prior audit access record
Full-register audit source access (evidence cutoff 25 October 2026)
https://www.mosaiquefm.net/mobile/fr/national-tunisie/1183304/dhehiba-ouazen-reprise-du-trafic: full text
https://letemps.news/2023/08/11/poste-frontalier-dhehiba-wazen-reprise-du-trafic-du-cote-libyen/: full text
https://businessnews.com.tn/2023/08/10/article-1199676/1199676/: search extract — Direct timeout.
Earlier recorded access
Source 1: indexed extract</x:v>
      </x:c>
      <x:c r="P740" s="20" t="n">
        <x:v>1</x:v>
      </x:c>
      <x:c r="Q740" s="4" t="str">
        <x:v>North Africa</x:v>
      </x:c>
      <x:c r="R740" s="4" t="str">
        <x:v>Included</x:v>
      </x:c>
    </x:row>
    <x:row r="741" ht="210" hidden="0" customHeight="1">
      <x:c r="A741" s="16" t="str">
        <x:v>REC50-R13-004</x:v>
      </x:c>
      <x:c r="B741" s="4" t="str">
        <x:v>Dehiba/Wazen reported commercial interruption, December 2023</x:v>
      </x:c>
      <x:c r="C741" s="4" t="str">
        <x:v>Libya; Tunisia</x:v>
      </x:c>
      <x:c r="D741" s="4" t="str">
        <x:v>Dehiba / Wazen
Dehiba / Wazen; named crossing and stated cohort only</x:v>
      </x:c>
      <x:c r="E741" s="4" t="str">
        <x:v>Commercial traffic; specific commodities and direction not enumerated
Direction: Not separately specified
Exceptions: Ordinary passenger traffic was unaffected, according to Business News.</x:v>
      </x:c>
      <x:c r="F741" s="4" t="str">
        <x:v>REC50-R13-004-P1 — Observed operation
Commercial traffic through Dehiba/Wazen interrupted by the Libyan side; ordinary passenger traffic unaffected
Start: unknown.
Observed scoped reopening: 2023-12-30.
dated evidence; numeric duration withheld; see qualification
Reported duration: two days. This supports reported &gt;24-hour eligibility for commercial traffic, but does not supply an exact onset or forty-eight measured hours.</x:v>
      </x:c>
      <x:c r="G741" s="4" t="str">
        <x:v>Uncoded
Source-attributed reason or explicitly unresolved, as described below
Applies to: REC50-R13-004-P1
The article explicitly says no official explanation was given. Commercial consequences do not imply a trade-protection purpose.</x:v>
      </x:c>
      <x:c r="H741" s="4" t="str">
        <x:v>REC50-R13-004-P1: Commercial traffic was reported restored on December 30, 2023, with Tunisie Numérique specifying Saturday morning. Both reports describe a two-day interruption; this supports reported &gt;24-hour eligibility, while exact onset and numeric elapsed duration remain unresolved. Business News explicitly says ordinary passenger traffic was unaffected. Commodity, direction, underlying informants and official reason remain unspecified; repeated coverage may share one lineage. No continuous interval is animated from an invented onset. Existing phase-table geography remains unlocated.</x:v>
      </x:c>
      <x:c r="I741" s="4" t="str">
        <x:v>Second full-register audit, 26 October 2026: additional source-audited corrections incorporated. See the phase, scope and qualification columns for the accepted findings.</x:v>
      </x:c>
      <x:c r="J741" s="18" t="d">
        <x:v>2026-10-26T00:00:00.000Z</x:v>
      </x:c>
      <x:c r="K741" s="21" t="str">
        <x:f>IFERROR(HYPERLINK("https://www.tunisienumerique.com/reprise-de-lactivite-commerciale-au-poste-frontalier-de-dhehiba/","Tunisie Numérique"),"Tunisie Numérique")</x:f>
        <x:v>Tunisie Numérique</x:v>
      </x:c>
      <x:c r="L741" s="21" t="str">
        <x:f>IFERROR(HYPERLINK("https://businessnews.com.tn/2023/12/30/article-1202984/1202984/","Business News Tunisia"),"Business News Tunisia")</x:f>
        <x:v>Business News Tunisia</x:v>
      </x:c>
      <x:c r="M741" s="21"/>
      <x:c r="N741" s="4" t="str">
        <x:v>https://www.tunisienumerique.com/reprise-de-lactivite-commerciale-au-poste-frontalier-de-dhehiba/
https://businessnews.com.tn/2023/12/30/article-1202984/1202984/</x:v>
      </x:c>
      <x:c r="O741" s="4" t="str">
        <x:v>Second full-register audit source access, 26 October 2026
https://www.tunisienumerique.com/reprise-de-lactivite-commerciale-au-poste-frontalier-de-dhehiba/: search extract (fresh retrieval) — Substantive opening paragraph visible; remainder subscription-limited.
https://businessnews.com.tn/2023/12/30/article-1202984/1202984/: full text (fresh retrieval)
Prior audit access record
Full-register audit source access (evidence cutoff 25 October 2026)
https://www.tunisienumerique.com/reprise-de-lactivite-commerciale-au-poste-frontalier-de-dhehiba/: full text — Remaining article is behind subscription; no additional body credited.
https://businessnews.com.tn/2023/12/30/article-1202984/1202984/: full text
Earlier recorded access
Source 1: full text; partial metadata
Source 2: full text</x:v>
      </x:c>
      <x:c r="P741" s="20" t="n">
        <x:v>1</x:v>
      </x:c>
      <x:c r="Q741" s="4" t="str">
        <x:v>North Africa</x:v>
      </x:c>
      <x:c r="R741" s="4" t="str">
        <x:v>Included</x:v>
      </x:c>
    </x:row>
    <x:row r="742" ht="258" hidden="0" customHeight="1">
      <x:c r="A742" s="16" t="str">
        <x:v>REC50-R13-005</x:v>
      </x:c>
      <x:c r="B742" s="4" t="str">
        <x:v>Rafah passenger closure with staged directional restoration, August 2021</x:v>
      </x:c>
      <x:c r="C742" s="4" t="str">
        <x:v>Egypt; Palestine (Gaza)</x:v>
      </x:c>
      <x:c r="D742" s="4" t="str">
        <x:v>Rafah
Rafah; named crossing and stated cohort only</x:v>
      </x:c>
      <x:c r="E742" s="4" t="str">
        <x:v>Passenger movement, split by direction
Direction: Egypt to Gaza; Gaza to Egypt
Exceptions: Incoming stranded Palestinians allowed from 26 August; separate aid and Salah Ad Din commercial routes are not treated as closed by these phases.</x:v>
      </x:c>
      <x:c r="F742" s="4" t="str">
        <x:v>REC50-R13-005-P1 — Observed operation
Rafah Egypt-to-Gaza entry of Palestinians stranded in Egypt
Start: 2021-08-23.
Observed scoped reopening: 2021-08-26.
3 calendar-day difference; scoped endpoint only
REC50-R13-005-P2 — Observed operation
Rafah outgoing passenger passage from Gaza to Egypt
Start: 2021-08-23.
Observed scoped reopening: 2021-08-29.
6 calendar-day difference; scoped endpoint only</x:v>
      </x:c>
      <x:c r="G742" s="4" t="str">
        <x:v>Uncoded
Source-attributed reason or explicitly unresolved, as described below
Applies to: REC50-R13-005-P1; REC50-R13-005-P2
AFP reports that Egypt supplied no official reason. Political-punishment context is not promoted into an official rationale.</x:v>
      </x:c>
      <x:c r="H742" s="4" t="str">
        <x:v>REC50-R13-005-P1: Three calendar-date days to scoped incoming return; not unrestricted access for all passenger categories or a closure of Salah Ad Din goods traffic.
REC50-R13-005-P2: Six calendar-date days to reported outgoing restoration, not six lost scheduled operating days. The intermediate weekend schedule was not separately audited. AA’s relative-date phrase about incoming reopening conflicts with the more explicit OCHA/AFP 26 August date; no continuous daily gate tally is claimed.
Timing / scope / rationale: If analysing lost operating days, obtain the exceptional order and daily schedule; reconcile AA’s relative-date wording without changing the explicit 26 August incoming date.
Phase geography: All proposed phases remain unlocated.</x:v>
      </x:c>
      <x:c r="I742" s="4" t="str">
        <x:v>Second full-register audit, 26 October 2026: qualified. OCHA and observed AFP movement support August 26 incoming restoration; August 29 outgoing restoration remains separate.</x:v>
      </x:c>
      <x:c r="J742" s="18" t="d">
        <x:v>2026-10-26T00:00:00.000Z</x:v>
      </x:c>
      <x:c r="K742" s="21" t="str">
        <x:f>IFERROR(HYPERLINK("https://www.ochaopt.org/content/response-escalation-opt-situation-report-no-9-august-2021","UN OCHA oPt"),"UN OCHA oPt")</x:f>
        <x:v>UN OCHA oPt</x:v>
      </x:c>
      <x:c r="L742" s="21" t="str">
        <x:f>IFERROR(HYPERLINK("https://www.timesofisrael.com/egypt-reopens-gaza-crossing-after-4-days-as-israel-eases-restrictions/","The Times of Israel / AFP"),"The Times of Israel / AFP")</x:f>
        <x:v>The Times of Israel / AFP</x:v>
      </x:c>
      <x:c r="M742" s="21" t="str">
        <x:f>IFERROR(HYPERLINK("https://www.aa.com.tr/en/middle-east/egypt-reopens-gaza-crossing-after-closure/2349650","Anadolu Agency"),"Anadolu Agency")</x:f>
        <x:v>Anadolu Agency</x:v>
      </x:c>
      <x:c r="N742" s="4" t="str">
        <x:v>https://www.ochaopt.org/content/response-escalation-opt-situation-report-no-9-august-2021
https://www.timesofisrael.com/egypt-reopens-gaza-crossing-after-4-days-as-israel-eases-restrictions/
https://www.aa.com.tr/en/middle-east/egypt-reopens-gaza-crossing-after-closure/2349650</x:v>
      </x:c>
      <x:c r="O742" s="4" t="str">
        <x:v>Second full-register audit source access, 26 October 2026
https://www.ochaopt.org/content/response-escalation-opt-situation-report-no-9-august-2021: full text (fresh retrieval)
https://www.timesofisrael.com/egypt-reopens-gaza-crossing-after-4-days-as-israel-eases-restrictions/: full text (fresh retrieval)
https://www.aa.com.tr/en/middle-east/egypt-reopens-gaza-crossing-after-closure/2349650: full text (fresh retrieval)
Prior audit access record
Full-register audit source access (evidence cutoff 25 October 2026)
https://www.ochaopt.org/content/response-escalation-opt-situation-report-no-9-august-2021: full text
https://www.timesofisrael.com/egypt-reopens-gaza-crossing-after-4-days-as-israel-eases-restrictions/: full text
https://www.aa.com.tr/en/middle-east/egypt-reopens-gaza-crossing-after-closure/2349650: full text
Earlier recorded access
Source 1: full text
Source 2: full text
Source 3: full text</x:v>
      </x:c>
      <x:c r="P742" s="20" t="n">
        <x:v>2</x:v>
      </x:c>
      <x:c r="Q742" s="4" t="str">
        <x:v>North Africa</x:v>
      </x:c>
      <x:c r="R742" s="4" t="str">
        <x:v>Included</x:v>
      </x:c>
    </x:row>
    <x:row r="743" ht="258" hidden="0" customHeight="1">
      <x:c r="A743" s="16" t="str">
        <x:v>REC50-R13-006</x:v>
      </x:c>
      <x:c r="B743" s="4" t="str">
        <x:v>Kerem Shalom commercial closure during tunnel destruction, January 2018</x:v>
      </x:c>
      <x:c r="C743" s="4" t="str">
        <x:v>Israel; Palestine (Gaza)</x:v>
      </x:c>
      <x:c r="D743" s="4" t="str">
        <x:v>Kerem Shalom / Karm Abu Salem
Kerem Shalom / Karm Abu Salem; named crossing and stated cohort only</x:v>
      </x:c>
      <x:c r="E743" s="4" t="str">
        <x:v>Commercial goods, aid and fuel entering Gaza
Direction: Israel to Gaza
Exceptions: No item-specific exception established; no passenger scope claimed</x:v>
      </x:c>
      <x:c r="F743" s="4" t="str">
        <x:v>REC50-R13-006-P1 — Observed operation
Kerem Shalom / Karm Abu Salem commercial entry from Israel into Gaza during a tunnel-neutralisation operation
Start: 2018-01-14.
Observed scoped reopening: 2018-01-16.
2 calendar-day difference; scoped endpoint only</x:v>
      </x:c>
      <x:c r="G743" s="4" t="str">
        <x:v>Security / Public order and immediate safety
Source-attributed reason or explicitly unresolved, as described below
Applies to: REC50-R13-006-P1
The IDF explicitly states maintaining safety around the crossing. Allegations about the tunnel and actor responsibility remain attributed; no unrecorded additional rationale is inferred.</x:v>
      </x:c>
      <x:c r="H743" s="4" t="str">
        <x:v>REC50-R13-006-P1: Reported Kerem Shalom commercial closure from 14 January to reopening on 16 January 2018 gives a two-day calendar difference. The army’s 15 January plan is supported by WAFA’s subsequent reopening report; no passenger or exact-hour inference is made.
Phase geography: All proposed phases remain unlocated.</x:v>
      </x:c>
      <x:c r="I743" s="4" t="str">
        <x:v>Second full-register audit, 26 October 2026: qualified. The January 14 closure and January 16 commercial reopening remain supported by attributed military and Palestinian reporting.</x:v>
      </x:c>
      <x:c r="J743" s="18" t="d">
        <x:v>2026-10-26T00:00:00.000Z</x:v>
      </x:c>
      <x:c r="K743" s="21" t="str">
        <x:f>IFERROR(HYPERLINK("https://www.idf.il/en/mini-sites/hamas/thwarting-hamas-terror-one-tunnel-at-a-time/","Israel Defense Forces"),"Israel Defense Forces")</x:f>
        <x:v>Israel Defense Forces</x:v>
      </x:c>
      <x:c r="L743" s="21" t="str">
        <x:f>IFERROR(HYPERLINK("https://www.timesofisrael.com/liveblog_entry/idf-says-gaza-crossing-to-reopen-after-closure-during-tunnel-destruction/","The Times of Israel"),"The Times of Israel")</x:f>
        <x:v>The Times of Israel</x:v>
      </x:c>
      <x:c r="M743" s="21" t="str">
        <x:f>IFERROR(HYPERLINK("https://english.wafa.ps/Pages/Details/92324","WAFA"),"WAFA")</x:f>
        <x:v>WAFA</x:v>
      </x:c>
      <x:c r="N743" s="4" t="str">
        <x:v>https://www.idf.il/en/mini-sites/hamas/thwarting-hamas-terror-one-tunnel-at-a-time/
https://www.timesofisrael.com/liveblog_entry/idf-says-gaza-crossing-to-reopen-after-closure-during-tunnel-destruction/
https://english.wafa.ps/Pages/Details/92324</x:v>
      </x:c>
      <x:c r="O743" s="4" t="str">
        <x:v>Second full-register audit source access, 26 October 2026
https://www.idf.il/en/mini-sites/hamas/thwarting-hamas-terror-one-tunnel-at-a-time/: full text (fresh retrieval)
https://english.wafa.ps/Pages/Details/92324: full text (fresh retrieval)
Earlier URLs not separately inspected in this second assessment:
https://www.timesofisrael.com/liveblog_entry/idf-says-gaza-crossing-to-reopen-after-closure-during-tunnel-destruction/
Prior audit access record
Full-register audit source access (evidence cutoff 25 October 2026)
https://www.idf.il/en/mini-sites/hamas/thwarting-hamas-terror-one-tunnel-at-a-time/: full text
https://www.timesofisrael.com/liveblog_entry/idf-says-gaza-crossing-to-reopen-after-closure-during-tunnel-destruction/: full text
https://english.wafa.ps/Pages/Details/92324: full text
Earlier recorded access
Source 1: full text
Source 2: indexed extract; full text
Source 3: full text</x:v>
      </x:c>
      <x:c r="P743" s="20" t="n">
        <x:v>1</x:v>
      </x:c>
      <x:c r="Q743" s="4" t="str">
        <x:v>Middle East</x:v>
      </x:c>
      <x:c r="R743" s="4" t="str">
        <x:v>Included</x:v>
      </x:c>
    </x:row>
    <x:row r="744" ht="409" hidden="0" customHeight="1">
      <x:c r="A744" s="16" t="str">
        <x:v>REC50-R13-007</x:v>
      </x:c>
      <x:c r="B744" s="4" t="str">
        <x:v>Kerem Shalom power-plant fuel suspension, June 2019</x:v>
      </x:c>
      <x:c r="C744" s="4" t="str">
        <x:v>Israel; Palestine (Gaza)</x:v>
      </x:c>
      <x:c r="D744" s="4" t="str">
        <x:v>Kerem Shalom / Karm Abu Salem
Kerem Shalom / Karm Abu Salem; named crossing and stated cohort only</x:v>
      </x:c>
      <x:c r="E744" s="4" t="str">
        <x:v>Fuel destined for Gaza’s sole power plant
Direction: Israel to Gaza
Exceptions: Other cargo and fuel destinations are not asserted to be restricted by this phase.</x:v>
      </x:c>
      <x:c r="F744" s="4" t="str">
        <x:v>REC50-R13-007-P1 — Observed operation
Fuel through Kerem Shalom for Gaza’s sole power plant
Start: 2019-06-25.
Observed scoped reopening: 2019-06-28.
3 calendar-day difference; scoped endpoint only</x:v>
      </x:c>
      <x:c r="G744" s="4" t="str">
        <x:v>Security / Armed attacks and terrorism
Source-attributed reason or explicitly unresolved, as described below
Applies to: REC50-R13-007-P1
COGAT-attributed reporting and the contemporaneous news accounts link the measure to incendiary-balloon attacks. The broad security/attack rationale is attributed, with no inference of an additional interstate or economic purpose.</x:v>
      </x:c>
      <x:c r="H744" s="4" t="str">
        <x:v>REC50-R13-007-P1: Power-plant fuel deliveries through Kerem Shalom were interrupted from June 25 morning and reported restored on June 28, 2019, giving a three-day calendar difference for that commodity and destination. A full contemporary AFP report quotes COGAT on the crossing-specific June 25 suspension; AA quotes the electricity supplier on actual restored supplies and generator operation, and AP reports Israeli confirmation. The original COGAT post and exact truck-passage clocks remain unrecovered. Other goods, fuel users, passenger travel and the separate fishing-zone measure are outside scope. Phase geography remains unlocated in the existing phase table.</x:v>
      </x:c>
      <x:c r="I744" s="4" t="str">
        <x:v>Second full-register audit, 26 October 2026: qualified. June 25 morning Kerem Shalom fuel suspension and June 28 power-plant supply restoration are supported.</x:v>
      </x:c>
      <x:c r="J744" s="18" t="d">
        <x:v>2026-10-26T00:00:00.000Z</x:v>
      </x:c>
      <x:c r="K744" s="21" t="str">
        <x:f>IFERROR(HYPERLINK("https://www.aa.com.tr/en/middle-east/israel-allows-fuel-to-enter-gaza-after-3-day-hiatus-/1518180","Anadolu Agency"),"Anadolu Agency")</x:f>
        <x:v>Anadolu Agency</x:v>
      </x:c>
      <x:c r="L744" s="21" t="str">
        <x:f>IFERROR(HYPERLINK("https://www.voanews.com/a/middle-east_israel-eases-some-restrictions-gaza-unofficial-truce/6170781.html","Voice of America / Associated Press"),"Voice of America / Associated Press")</x:f>
        <x:v>Voice of America / Associated Press</x:v>
      </x:c>
      <x:c r="M744" s="21" t="str">
        <x:f>IFERROR(HYPERLINK("https://www.terrorism-info.org.il/en/news-terrorism-israeli-palestinian-conflict-june-19-25-2019/","Meir Amit Intelligence and Terrorism Information Center"),"Meir Amit Intelligence and Terrorism Information Center")</x:f>
        <x:v>Meir Amit Intelligence and Terrorism Information Center</x:v>
      </x:c>
      <x:c r="N744" s="4" t="str">
        <x:v>https://www.aa.com.tr/en/middle-east/israel-allows-fuel-to-enter-gaza-after-3-day-hiatus-/1518180
https://www.voanews.com/a/middle-east_israel-eases-some-restrictions-gaza-unofficial-truce/6170781.html
https://www.terrorism-info.org.il/en/news-terrorism-israeli-palestinian-conflict-june-19-25-2019/
https://www.terrorism-info.org.il/app/uploads/2019/06/E_138_19.pdf
https://www.jpost.com/breaking-news/israel-stops-fuel-supply-for-gaza-power-plant-through-kerem-shalom-593601/
https://www.arabnews.com/middle-east/israel-blocks-gaza-fuel-supply-over-fire-balloons-1515901</x:v>
      </x:c>
      <x:c r="O744" s="4" t="str">
        <x:v>Second full-register audit source access, 26 October 2026
https://www.arabnews.com/middle-east/israel-blocks-gaza-fuel-supply-over-fire-balloons-1515901: full text (fresh retrieval)
https://www.aa.com.tr/en/middle-east/israel-allows-fuel-to-enter-gaza-after-3-day-hiatus-/1518180: full text (fresh retrieval)
Earlier URLs not separately inspected in this second assessment:
https://www.voanews.com/a/middle-east_israel-eases-some-restrictions-gaza-unofficial-truce/6170781.html
https://www.terrorism-info.org.il/en/news-terrorism-israeli-palestinian-conflict-june-19-25-2019/
https://www.terrorism-info.org.il/app/uploads/2019/06/E_138_19.pdf
https://www.jpost.com/breaking-news/israel-stops-fuel-supply-for-gaza-power-plant-through-kerem-shalom-593601/
Prior audit access record
Full-register audit source access (evidence cutoff 25 October 2026)
https://www.aa.com.tr/en/middle-east/israel-allows-fuel-to-enter-gaza-after-3-day-hiatus-/1518180: full text
https://www.voanews.com/a/middle-east_israel-eases-some-restrictions-gaza-unofficial-truce/6170781.html: full text
https://www.arabnews.com/middle-east/israel-blocks-gaza-fuel-supply-over-fire-balloons-1515901: full text
https://www.jpost.com/breaking-news/israel-stops-fuel-supply-for-gaza-power-plant-through-kerem-shalom-593601/: inaccessible — Article body not returned.
Earlier source URLs not separately listed in this audit’s retrieval log (historical access notes below are not fresh verification):
https://www.terrorism-info.org.il/en/news-terrorism-israeli-palestinian-conflict-june-19-25-2019/
https://www.terrorism-info.org.il/app/uploads/2019/06/E_138_19.pdf
Earlier recorded access
Source 1: full text
Source 2: full text
Source 3: indexed extract</x:v>
      </x:c>
      <x:c r="P744" s="20" t="n">
        <x:v>1</x:v>
      </x:c>
      <x:c r="Q744" s="4" t="str">
        <x:v>Middle East</x:v>
      </x:c>
      <x:c r="R744" s="4" t="str">
        <x:v>Included</x:v>
      </x:c>
    </x:row>
    <x:row r="745" ht="409" hidden="0" customHeight="1">
      <x:c r="A745" s="16" t="str">
        <x:v>REC50-R17-001</x:v>
      </x:c>
      <x:c r="B745" s="4" t="str">
        <x:v>Kaplanbek–Navoi reconstruction closure with limited passenger restoration in January 2025</x:v>
      </x:c>
      <x:c r="C745" s="4" t="str">
        <x:v>Kazakhstan; Uzbekistan</x:v>
      </x:c>
      <x:c r="D745" s="4" t="str">
        <x:v>Kaplanbek–Navoi (also Zangiota)</x:v>
      </x:c>
      <x:c r="E745" s="4" t="str">
        <x:v>Initial whole-post closure; phase limited to restored ordinary personal passage
Direction: Not directionally disaggregated in inspected sources
Exceptions: Passenger permission was initially limited; freight restoration remains separate.</x:v>
      </x:c>
      <x:c r="F745" s="4" t="str">
        <x:v>REC50-R17-001-P1 — Observed operation
Ordinary personal passage at Kaplanbek–Navoi/Zangiota; partial passenger restoration only
Start: by 2022-12-06; earliest bound unknown.
Observed scoped reopening: 2025-01-27 to 2025-01-29.
dated evidence; numeric duration withheld; see qualification</x:v>
      </x:c>
      <x:c r="G745" s="4" t="str">
        <x:v>Administration and service operation
Named government/customs authority notice or attributed statement
Applies to: REC50-R17-001-P1
Reconstruction/modernization and safety during those works are explicitly stated. Broad administrative code retained; no narrower new subcategory or inferred political motive.</x:v>
      </x:c>
      <x:c r="H745" s="4" t="str">
        <x:v>REC50-R17-001-P1: Closed by 6 December 2022; the earlier December 1 announcement is not an observed exact onset. Limited personal passage is supported between the January 27 technical opening and the January 29 report of a first passenger. February 5 full capacity was prospective, and freight restoration is separate. Unknown onset prevents a numeric duration.
Operational onset and phased passenger/freight restoration: Closed by 6 December 2022; the earlier December 1 announcement is not an observed exact onset. Limited personal passage is supported between the January 27 technical opening and the January 29 report of a first passenger. February 5 full capacity was prospective, and freight restoration is separate. Unknown onset prevents a numeric duration.</x:v>
      </x:c>
      <x:c r="I745" s="4" t="str">
        <x:v>Second full-register audit, 26 October 2026: qualified. Fresh contemporary closure and customs reopening accounts support the existing bounded Kaplanbek passenger interval; advertised dates are not substituted for observed operation.</x:v>
      </x:c>
      <x:c r="J745" s="18" t="d">
        <x:v>2026-10-26T00:00:00.000Z</x:v>
      </x:c>
      <x:c r="K745" s="21" t="str">
        <x:f>IFERROR(HYPERLINK("https://www.zakon.kz/sobytiia/6031000-kgd-punkt-propuska-kaplanbek--zangiota-budet-polnostyu-zakryt-s-1-dekabrya.html","Zakon.kz"),"Zakon.kz")</x:f>
        <x:v>Zakon.kz</x:v>
      </x:c>
      <x:c r="L745" s="21" t="str">
        <x:f>IFERROR(HYPERLINK("https://kazpravda.kz/n/kaplanbek-zakryt-vremenno/","Kazakhstanskaya Pravda"),"Kazakhstanskaya Pravda")</x:f>
        <x:v>Kazakhstanskaya Pravda</x:v>
      </x:c>
      <x:c r="M745" s="21" t="str">
        <x:f>IFERROR(HYPERLINK("https://t.me/s/kgdmfrk/8534","Kazakhstan State Revenue Committee official Telegram channel"),"Kazakhstan State Revenue Committee official Telegram channel")</x:f>
        <x:v>Kazakhstan State Revenue Committee official Telegram channel</x:v>
      </x:c>
      <x:c r="N745" s="4" t="str">
        <x:v>https://www.zakon.kz/sobytiia/6031000-kgd-punkt-propuska-kaplanbek--zangiota-budet-polnostyu-zakryt-s-1-dekabrya.html
https://kazpravda.kz/n/kaplanbek-zakryt-vremenno/
https://t.me/s/kgdmfrk/8534
https://uz.kursiv.media/2025-01-29/kpp-navoi-vozobnovil-rabotu-foto/
https://t.me/customschannel/42573
https://www.inform.kz/amp/nazvana-data-otkritiya-punkta-propuska-zhibek-zholi-na-granitse-s-suzbekistanom-310ac2</x:v>
      </x:c>
      <x:c r="O745" s="4" t="str">
        <x:v>Second full-register audit source access, 26 October 2026
https://kazpravda.kz/n/kaplanbek-zakryt-vremenno/: full text (fresh retrieval)
https://t.me/s/kgdmfrk/8534: full text (fresh retrieval) — Publication date not exposed; effective schedule explicit
https://uz.kursiv.media/2025-01-29/kpp-navoi-vozobnovil-rabotu-foto/: full text (fresh retrieval)
Earlier URLs not separately inspected in this second assessment:
https://www.zakon.kz/sobytiia/6031000-kgd-punkt-propuska-kaplanbek--zangiota-budet-polnostyu-zakryt-s-1-dekabrya.html
https://t.me/customschannel/42573
https://www.inform.kz/amp/nazvana-data-otkritiya-punkta-propuska-zhibek-zholi-na-granitse-s-suzbekistanom-310ac2
Prior audit access record
Full-register audit source access (evidence cutoff 25 October 2026)
https://www.zakon.kz/sobytiia/6031000-kgd-punkt-propuska-kaplanbek--zangiota-budet-polnostyu-zakryt-s-1-dekabrya.html: full text
https://kazpravda.kz/n/kaplanbek-zakryt-vremenno/: full text
https://t.me/s/kgdmfrk/8534: full text
https://uz.kursiv.media/2025-01-29/kpp-navoi-vozobnovil-rabotu-foto/: search extract — Direct extraction omitted latter paragraphs; recovered indexed full article
Earlier source URLs not separately listed in this audit’s retrieval log (historical access notes below are not fresh verification):
https://t.me/customschannel/42573
https://www.inform.kz/amp/nazvana-data-otkritiya-punkta-propuska-zhibek-zholi-na-granitse-s-suzbekistanom-310ac2
Earlier recorded access
Source 1: full text
Source 2: full text
Source 3: full text</x:v>
      </x:c>
      <x:c r="P745" s="20" t="n">
        <x:v>1</x:v>
      </x:c>
      <x:c r="Q745" s="4" t="str">
        <x:v>Central Asia and Caucasus</x:v>
      </x:c>
      <x:c r="R745" s="4" t="str">
        <x:v>Included</x:v>
      </x:c>
    </x:row>
    <x:row r="746" ht="390" hidden="0" customHeight="1">
      <x:c r="A746" s="16" t="str">
        <x:v>REC50-R17-002</x:v>
      </x:c>
      <x:c r="B746" s="4" t="str">
        <x:v>Zhibek Zholy–Gishtkuprik reconstruction closure from February 2025</x:v>
      </x:c>
      <x:c r="C746" s="4" t="str">
        <x:v>Kazakhstan; Uzbekistan</x:v>
      </x:c>
      <x:c r="D746" s="4" t="str">
        <x:v>Zhibek Zholy–Gishtkuprik (Chernyaevka)</x:v>
      </x:c>
      <x:c r="E746" s="4" t="str">
        <x:v>Pedestrians and road vehicles using the paired post
Direction: Not directionally disaggregated in inspected sources
Exceptions: Alternative road crossings and rail remained distinct; no entire-national-frontier closure is inferred.</x:v>
      </x:c>
      <x:c r="F746" s="4" t="str">
        <x:v>REC50-R17-002-P1 — Observed operation
Zhibek Zholy–Gishtkuprik road crossing, pedestrians and vehicles
Start: 2025-02-05.
Last confirmed: 2026-10-23. Reopening is not established.
confirmed through 2026-10-23; at least 625 calendar-day difference; reopening unknown</x:v>
      </x:c>
      <x:c r="G746" s="4" t="str">
        <x:v>Administration and service operation
Named government/customs authority notice or attributed statement
Applies to: REC50-R17-002-P1
Reconstruction/modernization and safety during those works are explicitly stated. Broad administrative code retained; no narrower new subcategory or inferred political motive.</x:v>
      </x:c>
      <x:c r="H746" s="4" t="str">
        <x:v>REC50-R17-002-P1: Closure from 5 February 2025 is recalled in September 2026 reporting. On 23 October 2026, Uzbek and Kazakh representatives were still coordinating simultaneous reopening: construction completion and readiness did not establish restored paired passage. The 625-day calendar separation to that later status report is a lower bound for the reported continuing restriction, not an exact elapsed-hour total or a reopening date. No operational reopening is established by the evidence cutoff of 26 October 2026.</x:v>
      </x:c>
      <x:c r="I746" s="4" t="str">
        <x:v>Second full-register audit, 26 October 2026: additional source-audited corrections incorporated. See the phase, scope and qualification columns for the accepted findings.</x:v>
      </x:c>
      <x:c r="J746" s="18" t="d">
        <x:v>2026-10-26T00:00:00.000Z</x:v>
      </x:c>
      <x:c r="K746" s="21" t="str">
        <x:f>IFERROR(HYPERLINK("https://qazinform.com/news/kazakhstan-closes-zhibek-zholy-checkpoint-on-border-with-uzbekistan-0d2d25","Qazinform"),"Qazinform")</x:f>
        <x:v>Qazinform</x:v>
      </x:c>
      <x:c r="L746" s="21" t="str">
        <x:f>IFERROR(HYPERLINK("https://www.inform.kz/amp/nazvana-data-otkritiya-punkta-propuska-zhibek-zholi-na-granitse-s-suzbekistanom-310ac2","Kazinform"),"Kazinform")</x:f>
        <x:v>Kazinform</x:v>
      </x:c>
      <x:c r="M746" s="21" t="str">
        <x:f>IFERROR(HYPERLINK("https://kun.uz/en/news/2026/09/29/gishtkuprik-border-crossing-with-kazakhstan-to-reopen-by-year-end","Kun.uz"),"Kun.uz")</x:f>
        <x:v>Kun.uz</x:v>
      </x:c>
      <x:c r="N746" s="4" t="str">
        <x:v>https://qazinform.com/news/kazakhstan-closes-zhibek-zholy-checkpoint-on-border-with-uzbekistan-0d2d25
https://www.inform.kz/amp/nazvana-data-otkritiya-punkta-propuska-zhibek-zholi-na-granitse-s-suzbekistanom-310ac2
https://kun.uz/en/news/2026/09/29/gishtkuprik-border-crossing-with-kazakhstan-to-reopen-by-year-end
https://www.uzdaily.uz/en/uzbekistan-and-kazakhstan-coordinate-border-crossing-reopening/</x:v>
      </x:c>
      <x:c r="O746" s="4" t="str">
        <x:v>Second full-register audit source access, 26 October 2026
https://qazinform.com/news/kazakhstan-closes-zhibek-zholy-checkpoint-on-border-with-uzbekistan-0d2d25: full text (fresh retrieval) — Initial notice prospective; later recall corroborates implementation
https://kun.uz/en/news/2026/09/29/gishtkuprik-border-crossing-with-kazakhstan-to-reopen-by-year-end: full text (fresh retrieval)
https://www.uzdaily.uz/en/uzbekistan-and-kazakhstan-coordinate-border-crossing-reopening/: full text (fresh retrieval)
Earlier URLs not separately inspected in this second assessment:
https://www.inform.kz/amp/nazvana-data-otkritiya-punkta-propuska-zhibek-zholi-na-granitse-s-suzbekistanom-310ac2
Prior audit access record
Full-register audit source access (evidence cutoff 25 October 2026)
https://qazinform.com/news/kazakhstan-closes-zhibek-zholy-checkpoint-on-border-with-uzbekistan-0d2d25: full text — Initial four-month plan was not realised
https://kun.uz/en/news/2026/09/29/gishtkuprik-border-crossing-with-kazakhstan-to-reopen-by-year-end: full text — Not completed opening
https://www.uzdaily.uz/en/uzbekistan-and-kazakhstan-coordinate-border-crossing-reopening/: full text — Readiness not first passage
Earlier source URLs not separately listed in this audit’s retrieval log (historical access notes below are not fresh verification):
https://www.inform.kz/amp/nazvana-data-otkritiya-punkta-propuska-zhibek-zholi-na-granitse-s-suzbekistanom-310ac2
Earlier recorded access
Source 1: full text
Source 2: full text
Source 3: full text</x:v>
      </x:c>
      <x:c r="P746" s="20" t="n">
        <x:v>1</x:v>
      </x:c>
      <x:c r="Q746" s="4" t="str">
        <x:v>Central Asia and Caucasus</x:v>
      </x:c>
      <x:c r="R746" s="4" t="str">
        <x:v>Included</x:v>
      </x:c>
    </x:row>
    <x:row r="747" ht="409" hidden="0" customHeight="1">
      <x:c r="A747" s="16" t="str">
        <x:v>REC50-R17-003</x:v>
      </x:c>
      <x:c r="B747" s="4" t="str">
        <x:v>Tazhen–Daut Ata passenger and light-vehicle reconstruction restriction</x:v>
      </x:c>
      <x:c r="C747" s="4" t="str">
        <x:v>Kazakhstan; Uzbekistan</x:v>
      </x:c>
      <x:c r="D747" s="4" t="str">
        <x:v>Tazhen–Daut Ata</x:v>
      </x:c>
      <x:c r="E747" s="4" t="str">
        <x:v>Persons, passenger cars and buses; initial notice also covered freight vehicles up to 3.5 tonnes
Direction: Not directionally disaggregated in inspected sources
Exceptions: Heavy freight continued. The later numeric phase does not assume continuity of the under-3.5-tonne freight restriction.</x:v>
      </x:c>
      <x:c r="F747" s="4" t="str">
        <x:v>REC50-R17-003-P1 — Observed operation
Ordinary persons, passenger cars and buses at Tazhen–Daut Ata
Start: 2025-02-01.
Last confirmed: 2025-12-29. Reopening is not established.
confirmed through 2025-12-29; at least 331 calendar-day difference; reopening unknown</x:v>
      </x:c>
      <x:c r="G747" s="4" t="str">
        <x:v>Administration and service operation
Named government/customs authority notice or attributed statement
Applies to: REC50-R17-003-P1
Reconstruction/modernization and safety during those works are explicitly stated. Broad administrative code retained; no narrower new subcategory or inferred political motive.</x:v>
      </x:c>
      <x:c r="H747" s="4" t="str">
        <x:v>REC50-R17-003-P1: People, passenger cars and buses are reported restricted from 1 February through 29 December 2025. Tazhen technical commissioning did not restore paired passage because Daut Ata still restricted this cohort. Heavy freight continued. The original light-freight restriction is not silently carried into the later scoped phase. An undated retrieved NewTimes account is not used to advance the numeric last-confirmed date.
Paired passenger reopening and dated later observation: People, passenger cars and buses are reported restricted from 1 February through 29 December 2025. Tazhen technical commissioning did not restore paired passage because Daut Ata still restricted this cohort. Heavy freight continued. The original light-freight restriction is not silently carried into the later scoped phase. An undated retrieved NewTimes account is not used to advance the numeric last-confirmed date.</x:v>
      </x:c>
      <x:c r="I747" s="4" t="str">
        <x:v>Second full-register audit, 26 October 2026: qualified. The existing 2025 passenger bound remains sound. A fresh publisher-index search suggests the later traveller story date, but the opened listing differs and its article still exposes no date; no unsupported numeric extension is made.</x:v>
      </x:c>
      <x:c r="J747" s="18" t="d">
        <x:v>2026-10-26T00:00:00.000Z</x:v>
      </x:c>
      <x:c r="K747" s="21" t="str">
        <x:f>IFERROR(HYPERLINK("https://www.gov.kz/org/kgd/press/news/details/927631?lang=ru","Kazakhstan State Revenue Committee"),"Kazakhstan State Revenue Committee")</x:f>
        <x:v>Kazakhstan State Revenue Committee</x:v>
      </x:c>
      <x:c r="L747" s="21" t="str">
        <x:f>IFERROR(HYPERLINK("https://www.gov.kz/org/kgd/press/news/details/998331?lang=ru","Kazakhstan State Revenue Committee"),"Kazakhstan State Revenue Committee")</x:f>
        <x:v>Kazakhstan State Revenue Committee</x:v>
      </x:c>
      <x:c r="M747" s="21" t="str">
        <x:f>IFERROR(HYPERLINK("https://www.inform.kz/amp/nazvana-data-otkritiya-punkta-propuska-zhibek-zholi-na-granitse-s-suzbekistanom-310ac2","Kazinform"),"Kazinform")</x:f>
        <x:v>Kazinform</x:v>
      </x:c>
      <x:c r="N747" s="4" t="str">
        <x:v>https://www.gov.kz/org/kgd/press/news/details/927631?lang=ru
https://www.gov.kz/org/kgd/press/news/details/998331?lang=ru
https://www.inform.kz/amp/nazvana-data-otkritiya-punkta-propuska-zhibek-zholi-na-granitse-s-suzbekistanom-310ac2
https://www.inform.kz/ru/uzbekistan-prodlevaet-ogranichenie-v-punkte-propuska-daut-ata-na-granitse-s-kazahstanom-1da583
https://newtimes.kz/obshchestvo/223184-nas-vysadili-iz-poezda-inostrantsy-s-velosipedami-zastriali-v-beineu
https://oxusroad.com/ru/destinations/nukus/
https://www.gov.kz/org/kgd/press/news/details/1134521?lang=ru
https://www.caj.uz/en/borders
https://newtimes.kz/novosti?page=22</x:v>
      </x:c>
      <x:c r="O747" s="4" t="str">
        <x:v>Second full-register audit source access, 26 October 2026
https://www.gov.kz/org/kgd/press/news/details/927631?lang=ru: full text (fresh retrieval) — Effective date explicit; publication date absent
https://www.inform.kz/ru/uzbekistan-prodlevaet-ogranichenie-v-punkte-propuska-daut-ata-na-granitse-s-kazahstanom-1da583: full text (fresh retrieval)
https://newtimes.kz/obshchestvo/223184-nas-vysadili-iz-poezda-inostrantsy-s-velosipedami-zastriali-v-beineu: full text (fresh retrieval) — Undated body; traveller video not separately inspected
https://newtimes.kz/novosti?page=22: search extract (fresh retrieval) — Fresh page body differs; date remains provisional
https://newtimes.kz/novosti?page=22: full text (fresh retrieval) — Does not freshly locate target story
Earlier URLs not separately inspected in this second assessment:
https://www.gov.kz/org/kgd/press/news/details/998331?lang=ru
https://www.inform.kz/amp/nazvana-data-otkritiya-punkta-propuska-zhibek-zholi-na-granitse-s-suzbekistanom-310ac2
https://oxusroad.com/ru/destinations/nukus/
https://www.gov.kz/org/kgd/press/news/details/1134521?lang=ru
https://www.caj.uz/en/borders
Prior audit access record
Full-register audit source access (evidence cutoff 25 October 2026)
https://www.gov.kz/org/kgd/press/news/details/927631?lang=ru: full text — Initial three-month plan only
https://www.gov.kz/org/kgd/press/news/details/1134521?lang=ru: full text — Late-2025 content; page has no clear visible date
https://www.inform.kz/ru/uzbekistan-prodlevaet-ogranichenie-v-punkte-propuska-daut-ata-na-granitse-s-kazahstanom-1da583: full text — Not final reopening
https://www.caj.uz/en/borders: full text — Operator guidance, no independent dated operation log
Earlier source URLs not separately listed in this audit’s retrieval log (historical access notes below are not fresh verification):
https://www.gov.kz/org/kgd/press/news/details/998331?lang=ru
https://www.inform.kz/amp/nazvana-data-otkritiya-punkta-propuska-zhibek-zholi-na-granitse-s-suzbekistanom-310ac2
https://newtimes.kz/obshchestvo/223184-nas-vysadili-iz-poezda-inostrantsy-s-velosipedami-zastriali-v-beineu
https://oxusroad.com/ru/destinations/nukus/
Earlier recorded access
Source 1: full text
Source 2: full text
Source 3: full text</x:v>
      </x:c>
      <x:c r="P747" s="20" t="n">
        <x:v>1</x:v>
      </x:c>
      <x:c r="Q747" s="4" t="str">
        <x:v>Central Asia and Caucasus</x:v>
      </x:c>
      <x:c r="R747" s="4" t="str">
        <x:v>Included</x:v>
      </x:c>
    </x:row>
    <x:row r="748" ht="409" hidden="0" customHeight="1">
      <x:c r="A748" s="16" t="str">
        <x:v>REC50-R17-004</x:v>
      </x:c>
      <x:c r="B748" s="4" t="str">
        <x:v>Atameken–Gulistan/Syrdarya and Kazygurt–S. Nazhimov shared reconstruction passenger restriction</x:v>
      </x:c>
      <x:c r="C748" s="4" t="str">
        <x:v>Kazakhstan; Uzbekistan</x:v>
      </x:c>
      <x:c r="D748" s="4" t="str">
        <x:v>Atameken–Gulistan/Uzbek Syrdarya; Kazygurt–S. Nadzhimov/Nazhimov</x:v>
      </x:c>
      <x:c r="E748" s="4" t="str">
        <x:v>Shared initial ban on persons, cars, buses and light freight; post-specific phases retain ordinary passenger scope
Direction: Not directionally disaggregated in inspected sources
Exceptions: Heavy freight remained permitted; unilateral commissioning did not establish paired passenger restoration.</x:v>
      </x:c>
      <x:c r="F748" s="4" t="str">
        <x:v>REC50-R17-004-P1 — Observed operation
Atameken–Gulistan/Uzbek Syrdarya ordinary personal passage under the shared reconstruction measure
Start: 2023-02-15.
Observed scoped reopening: by 2026-03-24; earliest bound unknown.
Last confirmed observation: 2025-11-25.
Sustained passenger restriction qualifies as longer than 24 hours. Exact continuous duration remains unquantified; see qualification.
REC50-R17-004-P2 — Observed operation
Kazygurt–S. Nadzhimov/Nazhimov ordinary persons, cars and buses under the shared reconstruction measure
Start: 2023-02-15.
Last confirmed: 2025-11-25. Reopening is not established.
Sustained passenger restriction qualifies as longer than 24 hours. Exact continuous duration remains unquantified; see qualification.</x:v>
      </x:c>
      <x:c r="G748" s="4" t="str">
        <x:v>Administration and service operation
Named government/customs authority notice or attributed statement
Applies to: REC50-R17-004-P1; REC50-R17-004-P2
Reconstruction/modernization and safety during those works are explicitly stated. Broad administrative code retained; no narrower new subcategory or inferred political motive.</x:v>
      </x:c>
      <x:c r="H748" s="4" t="str">
        <x:v>REC50-R17-004-P1 and P2: The specific official passenger suspension effective 15 February 2023, later checkpoint-specific reporting, and the March 2026 account of the reconstruction restriction establish real sustained restrictions above 24 hours. These scoped accounts take precedence over the December 2025 commissioning article’s broad statement that passenger and freight traffic was uninterrupted across the modernization programme. That broad statement remains a conflicting description, not a basis for erasing the documented passenger bans. Precise uninterrupted elapsed durations remain unquantified.
P1: Kazakh Atameken commissioning on 16 April 2025 did not restore paired personal passage while Uzbek bridge works continued. Actual personal and passenger-vehicle restoration at Uzbek Syrdarya is reported by 24 March 2026; the first day remains unknown.
P2: Kazygurt’s December 2025 commissioning does not independently establish first restored paired ordinary passenger passage. The November account describes construction starting in March 2023; the contemporaneous official measure specifies passenger suspension from 15 February 2023. Heavy freight continued, and no network-wide closure is asserted.</x:v>
      </x:c>
      <x:c r="I748" s="4" t="str">
        <x:v>Second full-register audit, 26 October 2026: additional source-audited corrections incorporated. See the phase, scope and qualification columns for the accepted findings.</x:v>
      </x:c>
      <x:c r="J748" s="18" t="d">
        <x:v>2026-10-26T00:00:00.000Z</x:v>
      </x:c>
      <x:c r="K748" s="21" t="str">
        <x:f>IFERROR(HYPERLINK("https://www.gov.kz/org/kgd/press/news/details/508408?lang=ru","Kazakhstan State Revenue Committee"),"Kazakhstan State Revenue Committee")</x:f>
        <x:v>Kazakhstan State Revenue Committee</x:v>
      </x:c>
      <x:c r="L748" s="21" t="str">
        <x:f>IFERROR(HYPERLINK("https://www.gov.kz/org/kgd/press/news/details/542671?lang=ru","Kazakhstan State Revenue Committee"),"Kazakhstan State Revenue Committee")</x:f>
        <x:v>Kazakhstan State Revenue Committee</x:v>
      </x:c>
      <x:c r="M748" s="21" t="str">
        <x:f>IFERROR(HYPERLINK("https://www.inform.kz/amp/nazvana-data-otkritiya-punkta-propuska-zhibek-zholi-na-granitse-s-suzbekistanom-310ac2","Kazinform"),"Kazinform")</x:f>
        <x:v>Kazinform</x:v>
      </x:c>
      <x:c r="N748" s="4" t="str">
        <x:v>https://www.gov.kz/org/kgd/press/news/details/508408?lang=ru
https://www.gov.kz/org/kgd/press/news/details/542671?lang=ru
https://www.inform.kz/amp/nazvana-data-otkritiya-punkta-propuska-zhibek-zholi-na-granitse-s-suzbekistanom-310ac2
https://primeminister.kz/en/news/new-high-tech-border-crossing-points-kazygurt-and-temir-baba-opened-30844
https://daryo.uz/en/2026/03/24/syrdarya-customs-post-in-uzbekistan-reopens-after-kazakh-checkpoint-reconstruction/
https://t.me/customschannel/61214</x:v>
      </x:c>
      <x:c r="O748" s="4" t="str">
        <x:v>Second full-register audit source access, 26 October 2026
https://www.gov.kz/org/kgd/press/news/details/508408?lang=ru: full text (fresh retrieval)
https://www.inform.kz/amp/nazvana-data-otkritiya-punkta-propuska-zhibek-zholi-na-granitse-s-suzbekistanom-310ac2: full text (fresh retrieval) — Body has later-looking July 2026 schedule; do not rely on that forecast
https://primeminister.kz/en/news/new-high-tech-border-crossing-points-kazygurt-and-temir-baba-opened-30844: full text (fresh retrieval)
https://daryo.uz/en/2026/03/24/syrdarya-customs-post-in-uzbekistan-reopens-after-kazakh-checkpoint-reconstruction/: full text (fresh retrieval)
Earlier URLs not separately inspected in this second assessment:
https://www.gov.kz/org/kgd/press/news/details/542671?lang=ru
https://t.me/customschannel/61214
Prior audit access record
Full-register audit source access (evidence cutoff 25 October 2026)
https://www.gov.kz/org/kgd/press/news/details/508408?lang=ru: full text — Initial order, not implementation log
https://www.inform.kz/amp/nazvana-data-otkritiya-punkta-propuska-zhibek-zholi-na-granitse-s-suzbekistanom-310ac2: full text — Aggregate article includes later-looking text; preserve qualification
https://daryo.uz/en/2026/03/24/syrdarya-customs-post-in-uzbekistan-reopens-after-kazakh-checkpoint-reconstruction/: full text — First actual day not specified
https://primeminister.kz/en/news/new-high-tech-border-crossing-points-kazygurt-and-temir-baba-opened-30844: full text — Broad statement conflicts with specific passenger restrictions
Earlier source URLs not separately listed in this audit’s retrieval log (historical access notes below are not fresh verification):
https://www.gov.kz/org/kgd/press/news/details/542671?lang=ru
https://t.me/customschannel/61214
Earlier recorded access
Source 1: full text
Source 2: indexed extract
Source 3: full text</x:v>
      </x:c>
      <x:c r="P748" s="20" t="n">
        <x:v>2</x:v>
      </x:c>
      <x:c r="Q748" s="4" t="str">
        <x:v>Central Asia and Caucasus</x:v>
      </x:c>
      <x:c r="R748" s="4" t="str">
        <x:v>Included</x:v>
      </x:c>
    </x:row>
    <x:row r="749" ht="409" hidden="0" customHeight="1">
      <x:c r="A749" s="16" t="str">
        <x:v>REC50-R17-006</x:v>
      </x:c>
      <x:c r="B749" s="4" t="str">
        <x:v>Ken-Sai–Uch-Kurgan inherited interruption and September 2024 reopening</x:v>
      </x:c>
      <x:c r="C749" s="4" t="str">
        <x:v>Kyrgyzstan; Uzbekistan</x:v>
      </x:c>
      <x:c r="D749" s="4" t="str">
        <x:v>Ken-Sai (Kensai)–Uch-Kurgan/Uch-Kurgon</x:v>
      </x:c>
      <x:c r="E749" s="4" t="str">
        <x:v>Multilateral road-post passage of people, vehicles, goods and animals at restoration
Direction: Not directionally disaggregated in inspected sources
Exceptions: Kara-Suu bilateral/daytime pedestrian rules do not apply to Ken-Sai. Intermediate historical openings remain unresolved.</x:v>
      </x:c>
      <x:c r="F749" s="4" t="str">
        <x:v>REC50-R17-006-P1 — Observed operation
Ken-Sai–Uch-Kurgan multilateral road-post traffic restored in September 2024
Start: unknown.
Observed scoped reopening: 2024-09-12.
Contested: dated evidence; numeric duration withheld; see qualification
Held evidence: excluded from numeric duration and animation displays.</x:v>
      </x:c>
      <x:c r="G749" s="4" t="str">
        <x:v>Uncoded
Original reason not established
Applies to: REC50-R17-006-P1
The sources establish interruption and restoration but do not establish the original official reason.</x:v>
      </x:c>
      <x:c r="H749" s="4" t="str">
        <x:v>REC50-R17-006-P1: A September 12, 2024 correspondent report documents Ken-Sai/Uch-Kurgan operating again and retrospectively describes non-operation since 2009. A guide gives intermediate 2016–2018 closures/reopenings, whose underlying identity and events remain unresolved. Exact onset and uninterrupted total duration are withheld; the September restoration is not transferred from Kara-Suu. The original official rationale is uncoded.
Inherited onset, intermediate openings and original rationale: A September 12, 2024 correspondent report documents Ken-Sai/Uch-Kurgan operating again and retrospectively describes non-operation since 2009. A guide gives intermediate 2016–2018 closures/reopenings, whose underlying identity and events remain unresolved. Exact onset and uninterrupted total duration are withheld; the September restoration is not transferred from Kara-Suu. The original official rationale is uncoded.</x:v>
      </x:c>
      <x:c r="I749" s="4" t="str">
        <x:v>Second full-register audit, 26 October 2026: qualified. The 12 September 2024 actual reopening is corroborated by a fresh Uzbek government account. Earlier traveller accounts still prevent an unqualified 2009–2024 continuous closure.</x:v>
      </x:c>
      <x:c r="J749" s="18" t="d">
        <x:v>2026-10-26T00:00:00.000Z</x:v>
      </x:c>
      <x:c r="K749" s="21" t="str">
        <x:f>IFERROR(HYPERLINK("https://www.azattyqasia.org/a/33117179.html","Azattyq / RFE-RL"),"Azattyq / RFE-RL")</x:f>
        <x:v>Azattyq / RFE-RL</x:v>
      </x:c>
      <x:c r="L749" s="21" t="str">
        <x:f>IFERROR(HYPERLINK("https://24.kg/english/304889_Ken-Sai_-_Avtodorozhny_checkpoint_resumes_work/","24.kg"),"24.kg")</x:f>
        <x:v>24.kg</x:v>
      </x:c>
      <x:c r="M749" s="21" t="str">
        <x:f>IFERROR(HYPERLINK("https://www.gov.kg/index.php/ru/post/s/24531-kyrgyzstan-menen-ozbekstandyn-mamlekettik-cek-arasyndagy-kairadan-zanydan-kurulgan-ken-sai-unaazol-zana-uc-kurgan-unaazol-kozomoldoo-otkoruu-punktary-acylyp-isi-zandandy","Kyrgyz Cabinet of Ministers"),"Kyrgyz Cabinet of Ministers")</x:f>
        <x:v>Kyrgyz Cabinet of Ministers</x:v>
      </x:c>
      <x:c r="N749" s="4" t="str">
        <x:v>https://www.azattyqasia.org/a/33117179.html
https://24.kg/english/304889_Ken-Sai_-_Avtodorozhny_checkpoint_resumes_work/
https://www.gov.kg/index.php/ru/post/s/24531-kyrgyzstan-menen-ozbekstandyn-mamlekettik-cek-arasyndagy-kairadan-zanydan-kurulgan-ken-sai-unaazol-zana-uc-kurgan-unaazol-kozomoldoo-otkoruu-punktary-acylyp-isi-zandandy
https://caravanistan.com/border-crossings/kyrgyzstan/
https://ucentralasia.edu.kg/media/efknojxr/uca-msri-briefuzbek-kr-border-areasrus.pdf
https://24.kg/obschestvo/304872_kontrolno-propusknoy_punkt_ken-say_avtodorojnyiy_vozobnovil_rabotu/
https://caravanistan.com/forum/viewtopic.php?f=9&amp;p=68756&amp;sid=53828b1fe834bada00d847ac5719a187&amp;t=25112
https://ru.archive.kabar.kg/news/na-granitce-kyrgyzstana-i-uzbekistana-otkroetsia-novyi-punkt-propuska-kensai-uchkurgan/
https://gov.uz/ru/namangan/news/view/21316
https://caravanistan.com/forum/viewtopic.php?f=9&amp;sid=486fc933535d72f8ab5990fca5487ecc&amp;t=2011</x:v>
      </x:c>
      <x:c r="O749" s="4" t="str">
        <x:v>Second full-register audit source access, 26 October 2026
https://www.azattyqasia.org/a/33117179.html: full text (fresh retrieval) — Retrospective continuity conflicts with traveller testimony
https://ru.archive.kabar.kg/news/na-granitce-kyrgyzstana-i-uzbekistana-otkroetsia-novyi-punkt-propuska-kensai-uchkurgan/: full text (fresh retrieval)
https://gov.uz/ru/namangan/news/view/21316: full text (fresh retrieval)
https://caravanistan.com/forum/viewtopic.php?f=9&amp;sid=486fc933535d72f8ab5990fca5487ecc&amp;t=2011: search extract (fresh retrieval) — Individual testimony and geographical identity unresolved
Earlier URLs not separately inspected in this second assessment:
https://24.kg/english/304889_Ken-Sai_-_Avtodorozhny_checkpoint_resumes_work/
https://www.gov.kg/index.php/ru/post/s/24531-kyrgyzstan-menen-ozbekstandyn-mamlekettik-cek-arasyndagy-kairadan-zanydan-kurulgan-ken-sai-unaazol-zana-uc-kurgan-unaazol-kozomoldoo-otkoruu-punktary-acylyp-isi-zandandy
https://caravanistan.com/border-crossings/kyrgyzstan/
https://ucentralasia.edu.kg/media/efknojxr/uca-msri-briefuzbek-kr-border-areasrus.pdf
https://24.kg/obschestvo/304872_kontrolno-propusknoy_punkt_ken-say_avtodorojnyiy_vozobnovil_rabotu/
https://caravanistan.com/forum/viewtopic.php?f=9&amp;p=68756&amp;sid=53828b1fe834bada00d847ac5719a187&amp;t=25112
Prior audit access record
Full-register audit source access (evidence cutoff 25 October 2026)
https://www.azattyqasia.org/a/33117179.html: full text
https://24.kg/obschestvo/304872_kontrolno-propusknoy_punkt_ken-say_avtodorojnyiy_vozobnovil_rabotu/: search extract — Direct English article 403; Russian indexed extract
https://caravanistan.com/border-crossings/kyrgyzstan/: search extract — Guide; direct 403; cannot resolve historical identity
https://caravanistan.com/forum/viewtopic.php?f=9&amp;p=68756&amp;sid=53828b1fe834bada00d847ac5719a187&amp;t=25112: search extract — Unverified individual testimony; direct 403; no general policy or continuity inference
Earlier source URLs not separately listed in this audit’s retrieval log (historical access notes below are not fresh verification):
https://24.kg/english/304889_Ken-Sai_-_Avtodorozhny_checkpoint_resumes_work/
https://www.gov.kg/index.php/ru/post/s/24531-kyrgyzstan-menen-ozbekstandyn-mamlekettik-cek-arasyndagy-kairadan-zanydan-kurulgan-ken-sai-unaazol-zana-uc-kurgan-unaazol-kozomoldoo-otkoruu-punktary-acylyp-isi-zandandy
https://ucentralasia.edu.kg/media/efknojxr/uca-msri-briefuzbek-kr-border-areasrus.pdf
Earlier recorded access
Source 1: full text
Source 2: indexed extract
Source 3: indexed extract</x:v>
      </x:c>
      <x:c r="P749" s="20" t="n">
        <x:v>1</x:v>
      </x:c>
      <x:c r="Q749" s="4" t="str">
        <x:v>Central Asia and Caucasus</x:v>
      </x:c>
      <x:c r="R749" s="4" t="str">
        <x:v>Included</x:v>
      </x:c>
    </x:row>
    <x:row r="750" ht="409" hidden="0" customHeight="1">
      <x:c r="A750" s="16" t="str">
        <x:v>REC50-R18-001</x:v>
      </x:c>
      <x:c r="B750" s="4" t="str">
        <x:v>Cristo Redentor truckers’ protest obstruction during COVID testing delays, January 2022</x:v>
      </x:c>
      <x:c r="C750" s="4" t="str">
        <x:v>Argentina; Chile</x:v>
      </x:c>
      <x:c r="D750" s="4" t="str">
        <x:v>Cristo Redentor–Los Libertadores road corridor, tunnel approach and Uspallata integrated-control area on the Argentine access route
Named cross-border freight route and documented approach obstruction; no whole-country outline is inferred.</x:v>
      </x:c>
      <x:c r="E750" s="4" t="str">
        <x:v>Freight vehicles deliberately obstructed by protesting truckers.
Direction: Chile-bound freight obstruction from January 17; a separate obstruction of freight arriving from Chile began January 20. The phases overlap without sharing one onset.
Exceptions: Passenger restrictions, health-control queues and any customs-staff stoppage are separate mechanisms. Exact first restored passage for either protest direction remains unknown.</x:v>
      </x:c>
      <x:c r="F750" s="4" t="str">
        <x:v>REC50-R18-001-P1 — Observed protest obstruction
Freight entering Argentina from Chile, deliberately obstructed by protesting truckers
Start: 2022-01-20.
Last confirmed: 2022-01-26, when Radio Nacional still reported that incoming trucks could not pass.
The protest was reported settled by 2022-01-31; exact first restored passage is not established. This multi-day obstruction supports &gt;24-hour eligibility, but no exact completed duration is assigned.
REC50-R18-001-R2P2 — Observed protest obstruction
Chile-bound freight leaving the Uspallata integrated-control area on the Argentine approach to Cristo Redentor
Start: 2022-01-17, in the afternoon, from contemporary January 18 reporting.
Last confirmed: 2022-01-26, when direct participant interviews described the continuing blockade toward Chile.
Radio Nacional described more than a week of truck-traffic protest on January 26; &gt;24-hour eligibility is supported. The protest was reported settled by 2022-01-31, but exact first restored passage and total completed duration remain unknown.
The two directional phases overlap and their durations must not be added.</x:v>
      </x:c>
      <x:c r="G750" s="4" t="str">
        <x:v>Policy and socioeconomic demands / Opposition to health policies
Reported participant reason
Truckers objected to testing arrangements, long delays and resulting effects on their work. The attribution applies to both protest-obstruction phases; it does not present allegations as established facts or replace the different rationale for government health controls.</x:v>
      </x:c>
      <x:c r="H750" s="4" t="str">
        <x:v>The January 17 outbound obstruction is evidenced by physical blockage at the Uspallata control-area exit, not inferred from testing queues. The separate January 20 incoming-freight obstruction remains a later phase. January 25–26 reporting describes continuation and supports multi-day duration eligibility; minute-by-minute closure of every movement or one common bidirectional interval is not asserted. The La Nación clipping hosted by CERA also describes the incoming-truck blockade being maintained; its January 27 date is supplied by the clipping filename rather than a printed date in the article body.
The January 29 protocol change and January 30 general traffic-clearance report are distinct from a direction-matched first protest reopening. Radio Nacional’s January 31 participant-interview summary reports settlement, providing a later bound but not an exact operational endpoint. Its January 14 conflict date concerns the wider health-policy dispute, not the physical protest onset. A threatened customs-staff stoppage and separate tourist restrictions are excluded.</x:v>
      </x:c>
      <x:c r="I750" s="4" t="str">
        <x:v>Second full-register audit, 26 October 2026: additional source-audited corrections incorporated. See the phase, scope and qualification columns for the accepted findings.</x:v>
      </x:c>
      <x:c r="J750" s="18" t="d">
        <x:v>2026-10-26T00:00:00.000Z</x:v>
      </x:c>
      <x:c r="K750" s="21" t="str">
        <x:f>IFERROR(HYPERLINK("https://www.elterritorio.com.ar/noticias/2022/01/21/735100-paralizados-en-el-paso-cristo-redentor","El Territorio"),"El Territorio")</x:f>
        <x:v>El Territorio</x:v>
      </x:c>
      <x:c r="L750" s="21" t="str">
        <x:f>IFERROR(HYPERLINK("https://www.diariouno.com.ar/politica/chile-duplicaria-la-atencion-la-aduana-pero-los-camioneros-no-cesaran-el-bloqueo-n992891","Diario UNO"),"Diario UNO")</x:f>
        <x:v>Diario UNO</x:v>
      </x:c>
      <x:c r="M750" s="21" t="str">
        <x:f>IFERROR(HYPERLINK("https://www.argentina.gob.ar/noticias/situacion-de-transportistas-en-paso-cristo-redentor-los-libertadores","Argentina Ministry of Security"),"Argentina Ministry of Security")</x:f>
        <x:v>Argentina Ministry of Security</x:v>
      </x:c>
      <x:c r="N750" s="4" t="str">
        <x:v>https://www.elterritorio.com.ar/noticias/2022/01/21/735100-paralizados-en-el-paso-cristo-redentor
https://www.diariouno.com.ar/politica/chile-duplicaria-la-atencion-la-aduana-pero-los-camioneros-no-cesaran-el-bloqueo-n992891
https://www.argentina.gob.ar/noticias/situacion-de-transportistas-en-paso-cristo-redentor-los-libertadores
https://www.emol.com/noticias/Internacional/2022/01/30/1045425/desbloquean-paso-camiones-vehiculos-detenidos.html
https://cdn-sp.radionacional.com.ar/se-regularizo-la-situacion-pero-hay-amenaza-de-paro-en-la-aduana-chilena/
https://www.diariouno.com.ar/sociedad/camioneros-bloquearon-la-ruta-chile-un-piquete-las-demoras-la-aduana-chilena-n991350
https://www.diariouno.com.ar/economia/transportistas-calcularon-que-cada-dia-detencion-un-camion-frontera-cuesta-us700-extra-n992670
https://cdn02.radionacional.com.ar/diario-de-radio-nacional-26-1-2022/
https://www.cera.org.ar/sites/default/files/prensa/documentos/2022-07/CERA%20EN%20LN%2027-01-22.pdf</x:v>
      </x:c>
      <x:c r="O750" s="4" t="str">
        <x:v>Second full-register audit source access, 26 October 2026
https://www.diariouno.com.ar/sociedad/camioneros-bloquearon-la-ruta-chile-un-piquete-las-demoras-la-aduana-chilena-n991350: full text (fresh retrieval)
https://www.diariouno.com.ar/economia/transportistas-calcularon-que-cada-dia-detencion-un-camion-frontera-cuesta-us700-extra-n992670: full text (fresh retrieval)
https://www.diariouno.com.ar/politica/chile-duplicaria-la-atencion-la-aduana-pero-los-camioneros-no-cesaran-el-bloqueo-n992891: full text (fresh retrieval)
https://www.elterritorio.com.ar/noticias/2022/01/21/735100-paralizados-en-el-paso-cristo-redentor: full text (fresh retrieval)
https://cdn02.radionacional.com.ar/diario-de-radio-nacional-26-1-2022/: full text (fresh retrieval)
https://www.cera.org.ar/sites/default/files/prensa/documentos/2022-07/CERA%20EN%20LN%2027-01-22.pdf: full text (fresh retrieval) — Date from CERA clipping filename, not printed in article body; last-confirmed phase retained at January 26.
https://www.emol.com/noticias/Internacional/2022/01/30/1045425/desbloquean-paso-camiones-vehiculos-detenidos.html: full text (fresh retrieval) — Does not isolate each protest direction’s first reopening.
https://cdn-sp.radionacional.com.ar/se-regularizo-la-situacion-pero-hay-amenaza-de-paro-en-la-aduana-chilena/: full text (fresh retrieval)
Earlier URLs not separately inspected in this second assessment:
https://www.argentina.gob.ar/noticias/situacion-de-transportistas-en-paso-cristo-redentor-los-libertadores
Prior audit access record
Full-register audit source access (evidence cutoff 25 October 2026)
https://www.elterritorio.com.ar/noticias/2022/01/21/735100-paralizados-en-el-paso-cristo-redentor: full text
https://www.diariouno.com.ar/politica/chile-duplicaria-la-atencion-la-aduana-pero-los-camioneros-no-cesaran-el-bloqueo-n992891: full text
https://cdn-sp.radionacional.com.ar/se-regularizo-la-situacion-pero-hay-amenaza-de-paro-en-la-aduana-chilena/: full text — Written summary only; audio not independently transcribed. Broad conflict since January 14 is not proof of blockade onset.
Earlier source URLs not separately listed in this audit’s retrieval log (historical access notes below are not fresh verification):
https://www.argentina.gob.ar/noticias/situacion-de-transportistas-en-paso-cristo-redentor-los-libertadores
https://www.emol.com/noticias/Internacional/2022/01/30/1045425/desbloquean-paso-camiones-vehiculos-detenidos.html
Earlier recorded access
Source 1: full text
Source 2: full text
Source 3: full text</x:v>
      </x:c>
      <x:c r="P750" s="20" t="n">
        <x:v>2</x:v>
      </x:c>
      <x:c r="Q750" s="4" t="str">
        <x:v>Americas</x:v>
      </x:c>
      <x:c r="R750" s="4" t="str">
        <x:v>Included</x:v>
      </x:c>
    </x:row>
    <x:row r="751" ht="198" hidden="0" customHeight="1">
      <x:c r="A751" s="16" t="str">
        <x:v>REC50-R18-002</x:v>
      </x:c>
      <x:c r="B751" s="4" t="str">
        <x:v>Yacuiba–Salvador Mazza bridge blockade over a sewer project, 29 May 2023</x:v>
      </x:c>
      <x:c r="C751" s="4" t="str">
        <x:v>Bolivia; Argentina</x:v>
      </x:c>
      <x:c r="D751" s="4" t="str">
        <x:v>Yacuiba–Salvador Mazza international bridge
Named international crossing and its immediate approach; no whole-country outline is inferred.</x:v>
      </x:c>
      <x:c r="E751" s="4" t="str">
        <x:v>Bridge traffic, with observed resumed passage specifically of passenger buses and small vehicles
Direction: Bridge access affected; first returning vehicles’ direction not separately reported.
Exceptions: No universal pedestrian ban is established; the first documented returning cohort is passenger buses and small vehicles.</x:v>
      </x:c>
      <x:c r="F751" s="4" t="str">
        <x:v>REC50-R18-002-P1 — Observed operation
Bridge traffic, with observed resumed passage specifically of passenger buses and small vehicles at Yacuiba–Salvador Mazza international bridge
Start: 2023-05-29.
Observed scoped reopening: 2023-05-29.
Same-day episode; no whole-day duration inferred; Agreement around midday on Monday 29 May; exact obstruction and first-vehicle clocks unknown.</x:v>
      </x:c>
      <x:c r="G751" s="4" t="str">
        <x:v>Policy and socioeconomic demands / Jobs, services and livelihoods
Residents demanded completion of a delayed sewer project, reported by El País and the local El Gran Chaco account.
Applies to: REC50-R18-002-P1
Codes describe the stated demands of the actors imposing the protest obstruction. They do not adopt allegations as facts or recode the authorities’ response as the initiating rationale.</x:v>
      </x:c>
      <x:c r="H751" s="4" t="str">
        <x:v>REC50-R18-002-P1: A morning blockade and resumed passenger-bus/small-vehicle passage after the Monday midday agreement are documented on 29 May. This is a same-day episode; the announced 24 hours is not used as its duration. No universal pedestrian ban is established; the first documented returning cohort is passenger buses and small vehicles.</x:v>
      </x:c>
      <x:c r="I751" s="4" t="str">
        <x:v>Second full-register audit, 26 October 2026: qualified. Fresh contemporary reports corroborate the same-day sewer-project blockade and resumed passenger-bus and small-vehicle passage after the 29 May midday agreement; the planned 24 hours is not an observed duration.</x:v>
      </x:c>
      <x:c r="J751" s="18" t="d">
        <x:v>2026-10-26T00:00:00.000Z</x:v>
      </x:c>
      <x:c r="K751" s="21" t="str">
        <x:f>IFERROR(HYPERLINK("https://elpais.bo/tarija/20230529_bloquean-el-puente-internacional-en-yacuiba-por-un-proyecto-de-alcantarillado.html","El País Bolivia"),"El País Bolivia")</x:f>
        <x:v>El País Bolivia</x:v>
      </x:c>
      <x:c r="L751" s="21" t="str">
        <x:f>IFERROR(HYPERLINK("https://www.diarioelgranchaco.com/2023/05/el-puente-esta-expedito-autoridades.html","El Gran Chaco"),"El Gran Chaco")</x:f>
        <x:v>El Gran Chaco</x:v>
      </x:c>
      <x:c r="M751" s="21"/>
      <x:c r="N751" s="4" t="str">
        <x:v>https://elpais.bo/tarija/20230529_bloquean-el-puente-internacional-en-yacuiba-por-un-proyecto-de-alcantarillado.html
https://www.diarioelgranchaco.com/2023/05/el-puente-esta-expedito-autoridades.html</x:v>
      </x:c>
      <x:c r="O751" s="4" t="str">
        <x:v>Second full-register audit source access, 26 October 2026
https://elpais.bo/tarija/20230529_bloquean-el-puente-internacional-en-yacuiba-por-un-proyecto-de-alcantarillado.html: full text (fresh retrieval)
https://www.diarioelgranchaco.com/2023/05/el-puente-esta-expedito-autoridades.html: full text (fresh retrieval)
Prior audit access record
Full-register audit source access (evidence cutoff 25 October 2026)
https://elpais.bo/tarija/20230529_bloquean-el-puente-internacional-en-yacuiba-por-un-proyecto-de-alcantarillado.html: full text
https://www.diarioelgranchaco.com/2023/05/el-puente-esta-expedito-autoridades.html: full text — Published 30 May; body explicitly Monday
Earlier recorded access
Source 1: full text
Source 2: full text</x:v>
      </x:c>
      <x:c r="P751" s="20" t="n">
        <x:v>1</x:v>
      </x:c>
      <x:c r="Q751" s="4" t="str">
        <x:v>Americas</x:v>
      </x:c>
      <x:c r="R751" s="4" t="str">
        <x:v>Included</x:v>
      </x:c>
    </x:row>
    <x:row r="752" ht="270" hidden="0" customHeight="1">
      <x:c r="A752" s="16" t="str">
        <x:v>REC50-R18-003</x:v>
      </x:c>
      <x:c r="B752" s="4" t="str">
        <x:v>Yacuiba–Salvador Mazza bagayeros blockade over customs treatment, July 2023</x:v>
      </x:c>
      <x:c r="C752" s="4" t="str">
        <x:v>Bolivia; Argentina</x:v>
      </x:c>
      <x:c r="D752" s="4" t="str">
        <x:v>Yacuiba–Salvador Mazza international bridge
Named international crossing and its immediate approach; no whole-country outline is inferred.</x:v>
      </x:c>
      <x:c r="E752" s="4" t="str">
        <x:v>Freight passage disrupted by the bridge blockade; source also reports affected personal movement
Direction: Freight return is explicitly reported in both directions.
Exceptions: The evidence does not establish that every passenger or pedestrian was continuously excluded.</x:v>
      </x:c>
      <x:c r="F752" s="4" t="str">
        <x:v>REC50-R18-003-P1 — Observed operation
Freight passage disrupted by the bridge blockade; source also reports affected personal movement at Yacuiba–Salvador Mazza international bridge
Start: 2023-07-03.
Observed scoped reopening: 2023-07-04 to 2023-07-06.
1–3 calendar-day difference; scoped endpoint only</x:v>
      </x:c>
      <x:c r="G752" s="4" t="str">
        <x:v>Trade and protectionism / Trade and transport protests
Bagayeros demanded easier customs procedures and complained about seizures, according to their named leader and the consul’s reported mediation.
Applies to: REC50-R18-003-P1
Codes describe the stated demands of the actors imposing the protest obstruction. They do not adopt allegations as facts or recode the authorities’ response as the initiating rationale.</x:v>
      </x:c>
      <x:c r="H752" s="4" t="str">
        <x:v>REC50-R18-003-P1: The blockade began on Monday 3 July and remained active on 4 July. Contemporary reports agree on a morning onset but give different approximate clocks. A 6 July report describes completed lifting around 19:00 and actual freight passage in both directions, without naming the lifting day. The endpoint remains bounded to 4–6 July: a 1–3 calendar-day difference, not an exact three-day or 72-hour closure. The evidence does not establish that every passenger or pedestrian was continuously excluded.</x:v>
      </x:c>
      <x:c r="I752" s="4" t="str">
        <x:v>Second full-register audit, 26 October 2026: additional source-audited corrections incorporated. See the phase, scope and qualification columns for the accepted findings.</x:v>
      </x:c>
      <x:c r="J752" s="18" t="d">
        <x:v>2026-10-26T00:00:00.000Z</x:v>
      </x:c>
      <x:c r="K752" s="21" t="str">
        <x:f>IFERROR(HYPERLINK("https://elpais.bo/tarija/20230704_bagayeros-cumplen-segundo-dia-de-bloqueo-del-puente-internacional-salvador-mazza-yacuiba.html","El País (Bolivia)"),"El País (Bolivia)")</x:f>
        <x:v>El País (Bolivia)</x:v>
      </x:c>
      <x:c r="L752" s="21" t="str">
        <x:f>IFERROR(HYPERLINK("https://tarija200.com/post/levantan-el-bloqueo-en-el-puente-internacional-en-la-frontera-de-yacuiba-salvador-mazza","Tarija 200 / Yacuiba Noticias"),"Tarija 200 / Yacuiba Noticias")</x:f>
        <x:v>Tarija 200 / Yacuiba Noticias</x:v>
      </x:c>
      <x:c r="M752" s="21"/>
      <x:c r="N752" s="4" t="str">
        <x:v>https://elpais.bo/tarija/20230704_bagayeros-cumplen-segundo-dia-de-bloqueo-del-puente-internacional-salvador-mazza-yacuiba.html
https://tarija200.com/post/levantan-el-bloqueo-en-el-puente-internacional-en-la-frontera-de-yacuiba-salvador-mazza
https://fmalba.com.ar/salvador-mazza-bloqueo-por-tiempo-indefinido-en-el-puente-internacional/
https://eju.tv/2023/07/tarija-continua-el-bloqueo-y-protesta-de-bagayeros-en-el-puente-internacional-en-yacuiba/</x:v>
      </x:c>
      <x:c r="O752" s="4" t="str">
        <x:v>Second full-register audit source access, 26 October 2026
https://elpais.bo/tarija/20230704_bagayeros-cumplen-segundo-dia-de-bloqueo-del-puente-internacional-salvador-mazza-yacuiba.html: full text (fresh retrieval)
https://tarija200.com/post/levantan-el-bloqueo-en-el-puente-internacional-en-la-frontera-de-yacuiba-salvador-mazza: full text (fresh retrieval)
https://fmalba.com.ar/salvador-mazza-bloqueo-por-tiempo-indefinido-en-el-puente-internacional/: full text (fresh retrieval)
https://eju.tv/2023/07/tarija-continua-el-bloqueo-y-protesta-de-bagayeros-en-el-puente-internacional-en-yacuiba/: full text (fresh retrieval)
Prior audit access record
Full-register audit source access (evidence cutoff 25 October 2026)
https://elpais.bo/tarija/20230704_bagayeros-cumplen-segundo-dia-de-bloqueo-del-puente-internacional-salvador-mazza-yacuiba.html: full text
https://tarija200.com/post/levantan-el-bloqueo-en-el-puente-internacional-en-la-frontera-de-yacuiba-salvador-mazza: full text — Approximate 19:00 lacks calendar day; three days is not exact 72 hours
Earlier recorded access
Source 1: full text
Source 2: full text</x:v>
      </x:c>
      <x:c r="P752" s="20" t="n">
        <x:v>1</x:v>
      </x:c>
      <x:c r="Q752" s="4" t="str">
        <x:v>Americas</x:v>
      </x:c>
      <x:c r="R752" s="4" t="str">
        <x:v>Included</x:v>
      </x:c>
    </x:row>
    <x:row r="753" ht="409" hidden="0" customHeight="1">
      <x:c r="A753" s="16" t="str">
        <x:v>REC50-R18-004</x:v>
      </x:c>
      <x:c r="B753" s="4" t="str">
        <x:v>Yacuiba–Salvador Mazza health-workers’ blockade with negotiated passage, July 2024</x:v>
      </x:c>
      <x:c r="C753" s="4" t="str">
        <x:v>Bolivia; Argentina</x:v>
      </x:c>
      <x:c r="D753" s="4" t="str">
        <x:v>Yacuiba–Salvador Mazza international bridge
Named international crossing and its immediate approach; no whole-country outline is inferred.</x:v>
      </x:c>
      <x:c r="E753" s="4" t="str">
        <x:v>Vehicles including international buses and freight, with documented temporary authorised passage
Direction: Both directions were affected; the 22 July negotiated cohort travelled toward Argentina.
Exceptions: The Defensoría documents a temporary 22 July pause for three international buses and 15 light vehicles. Broader and repeated exceptions are not fully reconstructed.</x:v>
      </x:c>
      <x:c r="F753" s="4" t="str">
        <x:v>REC50-R18-004-P1 — Intermittent regime
Vehicles including international buses and freight, with documented temporary authorised passage at Yacuiba–Salvador Mazza international bridge
Start: 2024-07-22.
Observed scoped reopening: 2024-07-28.
Six-calendar-day regime envelope; total closed hours and continuous all-traffic duration unknown. Contemporary bridge-onset reports take priority over inconsistent retrospective summaries.</x:v>
      </x:c>
      <x:c r="G753" s="4" t="str">
        <x:v>Policy and socioeconomic demands / Jobs, services and livelihoods
Health workers sought secure employment, additional funded health posts and benefits. Their demands are recorded by Visión 360 and the mediating Defensoría.
Applies to: REC50-R18-004-P1
Codes describe the stated demands of the actors imposing the protest obstruction. They do not adopt allegations as facts or recode the authorities’ response as the initiating rationale.</x:v>
      </x:c>
      <x:c r="H753" s="4" t="str">
        <x:v>REC50-R18-004-P1: The 22 July contemporary Visión 360 report describes the blockade beginning that morning. Unitel on 26 July explicitly dates its start to Monday 22 July and distinguishes it from the preceding weeks of other protests; El País on 28 July calls this the seventh day and identifies vehicles stranded since Monday. These consistent accounts support a 22 July bridge onset. ANF’s retrospective 15 July date is retained as a conflicting report, not used to extend the bridge phase; ABI’s 28 July summary refers to Wednesday–Saturday obstruction but does not establish a later first onset. The Defensoría documents a temporary 22 July passage for three international buses and 15 light vehicles toward Argentina. Unitel later reports passenger transfers, and actual general vehicle return after 28 July police clearance is corroborated. This is a multi-day restriction regime with exceptions, not six days of uninterrupted exclusion of every vehicle or passenger. Exact closed hours and further pauses remain unknown.</x:v>
      </x:c>
      <x:c r="I753" s="4" t="str">
        <x:v>Second full-register audit, 26 October 2026: additional source-audited corrections incorporated. See the phase, scope and qualification columns for the accepted findings.</x:v>
      </x:c>
      <x:c r="J753" s="18" t="d">
        <x:v>2026-10-26T00:00:00.000Z</x:v>
      </x:c>
      <x:c r="K753" s="21" t="str">
        <x:f>IFERROR(HYPERLINK("https://noticiasfides.com/nacional/sociedad/policia-desbloquea-puente-internacional-yacuiba-salvador-mazza-personal-de-salud-denuncia-agresiones","Agencia de Noticias Fides"),"Agencia de Noticias Fides")</x:f>
        <x:v>Agencia de Noticias Fides</x:v>
      </x:c>
      <x:c r="L753" s="21" t="str">
        <x:f>IFERROR(HYPERLINK("https://elpais.bo/tarija/20240728_policias-desbloquean-el-puente-internacional-yacuiba-salvador-mazza.html","El País, Bolivia"),"El País, Bolivia")</x:f>
        <x:v>El País, Bolivia</x:v>
      </x:c>
      <x:c r="M753" s="21" t="str">
        <x:f>IFERROR(HYPERLINK("https://www.vision360.bo/noticias/2024/07/22/8630-trabajadores-de-salud-autoconvocados-bloquean-el-puente-internacional-en-yacuiba","Visión 360"),"Visión 360")</x:f>
        <x:v>Visión 360</x:v>
      </x:c>
      <x:c r="N753" s="4" t="str">
        <x:v>https://noticiasfides.com/nacional/sociedad/policia-desbloquea-puente-internacional-yacuiba-salvador-mazza-personal-de-salud-denuncia-agresiones
https://elpais.bo/tarija/20240728_policias-desbloquean-el-puente-internacional-yacuiba-salvador-mazza.html
https://www.vision360.bo/noticias/2024/07/22/8630-trabajadores-de-salud-autoconvocados-bloquean-el-puente-internacional-en-yacuiba
https://www.defensoria.gob.bo/oficinas/prensa/defensoria-del-pueblo-viabiliza-cuarto-intermedio-para-el-paso-de-vehiculos-en-el-puente-internacional
https://unitel.bo/noticias/economia/tras-momentos-de-tension-camiones-que-estaban-varados-pasan-yacuiba-la-policia-y-personal-de-salud-sigue-en-vigilia-NC12761840
https://unitel.bo/noticias/economia/bloqueo-de-trabajadores-de-salud-cumple-su-quinto-dia-en-yacuiba-en-demanda-de-items-JA12747187
https://historico.abi.bo/index.php/noticias/economia/37-notas/noticias/sociedad/53166-levantan-bloqueo-en-yacuiba-y-mas-de-150-cisternas-con-combustible-ingresan-al-pais</x:v>
      </x:c>
      <x:c r="O753" s="4" t="str">
        <x:v>Second full-register audit source access, 26 October 2026
https://www.vision360.bo/noticias/2024/07/22/8630-trabajadores-de-salud-autoconvocados-bloquean-el-puente-internacional-en-yacuiba: full text (fresh retrieval)
https://www.defensoria.gob.bo/oficinas/prensa/defensoria-del-pueblo-viabiliza-cuarto-intermedio-para-el-paso-de-vehiculos-en-el-puente-internacional: full text (fresh retrieval)
https://elpais.bo/tarija/20240728_policias-desbloquean-el-puente-internacional-yacuiba-salvador-mazza.html: full text (fresh retrieval)
https://noticiasfides.com/nacional/sociedad/policia-desbloquea-puente-internacional-yacuiba-salvador-mazza-personal-de-salud-denuncia-agresiones: full text (fresh retrieval)
https://unitel.bo/noticias/economia/bloqueo-de-trabajadores-de-salud-cumple-su-quinto-dia-en-yacuiba-en-demanda-de-items-JA12747187: full text (fresh retrieval)
https://historico.abi.bo/index.php/noticias/economia/37-notas/noticias/sociedad/53166-levantan-bloqueo-en-yacuiba-y-mas-de-150-cisternas-con-combustible-ingresan-al-pais: full text (fresh retrieval)
https://unitel.bo/noticias/economia/tras-momentos-de-tension-camiones-que-estaban-varados-pasan-yacuiba-la-policia-y-personal-de-salud-sigue-en-vigilia-NC12761840: inaccessible (fresh retrieval) — Fresh direct open timed out.
Prior audit access record
Full-register audit source access (evidence cutoff 25 October 2026)
https://www.vision360.bo/noticias/2024/07/22/8630-trabajadores-de-salud-autoconvocados-bloquean-el-puente-internacional-en-yacuiba: full text
https://www.defensoria.gob.bo/oficinas/prensa/defensoria-del-pueblo-viabiliza-cuarto-intermedio-para-el-paso-de-vehiculos-en-el-puente-internacional: full text
https://noticiasfides.com/nacional/sociedad/policia-desbloquea-puente-internacional-yacuiba-salvador-mazza-personal-de-salud-denuncia-agresiones: full text — Onset conflicts with contemporary 22 July account
https://elpais.bo/tarija/20240728_policias-desbloquean-el-puente-internacional-yacuiba-salvador-mazza.html: full text
https://unitel.bo/noticias/economia/tras-momentos-de-tension-camiones-que-estaban-varados-pasan-yacuiba-la-policia-y-personal-de-salud-sigue-en-vigilia-NC12761840: search extract — Direct open timed out; indexed substantive account
Earlier recorded access
Source 1: full text
Source 2: full text
Source 3: full text</x:v>
      </x:c>
      <x:c r="P753" s="20" t="n">
        <x:v>1</x:v>
      </x:c>
      <x:c r="Q753" s="4" t="str">
        <x:v>Americas</x:v>
      </x:c>
      <x:c r="R753" s="4" t="str">
        <x:v>Included</x:v>
      </x:c>
    </x:row>
    <x:row r="754" ht="282" hidden="0" customHeight="1">
      <x:c r="A754" s="16" t="str">
        <x:v>REC50-R18-005</x:v>
      </x:c>
      <x:c r="B754" s="4" t="str">
        <x:v>Yacuiba–Salvador Mazza civic freight-access blockade during pandemic restrictions, May–June 2021</x:v>
      </x:c>
      <x:c r="C754" s="4" t="str">
        <x:v>Bolivia; Argentina</x:v>
      </x:c>
      <x:c r="D754" s="4" t="str">
        <x:v>Yacuiba–Salvador Mazza international bridge
Named international crossing and its immediate approach; no whole-country outline is inferred.</x:v>
      </x:c>
      <x:c r="E754" s="4" t="str">
        <x:v>Access for permitted international freight through the binational bridge.
Direction: Route used for inbound and outbound international freight.
Exceptions: Protesters announced that ambulances and trucks carrying oxygen would be allowed through on 31 May 2021; actual passage of each exempt category is not independently logged. Continuing pandemic passenger restrictions are outside this protest phase. Reports about Bermejo and Villazón are not merged into this crossing's interval.</x:v>
      </x:c>
      <x:c r="F754" s="4" t="str">
        <x:v>REC50-R18-005-P1 — Observed operation
Access for permitted international freight through the binational bridge at Yacuiba–Salvador Mazza international bridge
Start: 2021-05-31.
Reported lifting: 2021-06-01, approximately 20:00, according to civic leader Raúl Hilarión.
Actual cleared international-freight access corroborated by 2021-06-02.
Scoped endpoint bounds: 2021-06-01 to 2021-06-02; 1–2 calendar-day difference, not an exact clock duration.</x:v>
      </x:c>
      <x:c r="G754" s="4" t="str">
        <x:v>Policy and socioeconomic demands / Jobs, services and livelihoods
Civic leader Raúl Hilarión and El Deber describe demands for reopening commerce, jobs, economic activity, vaccination and health posts.
Applies to: REC50-R18-005-P1
Codes describe the stated demands of the actors imposing the protest obstruction. They do not adopt allegations as facts or recode the authorities’ response as the initiating rationale.</x:v>
      </x:c>
      <x:c r="H754" s="4" t="str">
        <x:v>REC50-R18-005-P1: The reported protest began on Monday 31 May. El Andaluz’s 2 June account quotes civic leader Raúl Hilarión dating the lifting at San José de Pocitos to approximately 20:00 the previous evening, 1 June. This is an attributed report of completed lifting, not a direct first-truck log. El Deber independently reports international-freight access cleared by 2 June. The scoped endpoint is therefore recorded as 1–2 June, with the reported lifting and corroborated access distinguished. The exact obstruction clock, first returned truck and continuous excluded hours remain unknown. Announced ambulance and oxygen-truck exemptions are preserved; passage of each category is not independently logged. Continuing pandemic passenger restrictions are outside this protest phase. Reports about Bermejo and Villazón are not merged into this crossing’s interval.</x:v>
      </x:c>
      <x:c r="I754" s="4" t="str">
        <x:v>Second full-register audit, 26 October 2026: additional source-audited corrections incorporated. See the phase, scope and qualification columns for the accepted findings.</x:v>
      </x:c>
      <x:c r="J754" s="18" t="d">
        <x:v>2026-10-26T00:00:00.000Z</x:v>
      </x:c>
      <x:c r="K754" s="21" t="str">
        <x:f>IFERROR(HYPERLINK("https://eldeber.com.bo/tarija/civicos-de-yacuiba-y-san-jose-de-pocitos-levantan-bloqueo-en-puente-binacional-pero-se-mantiene-la-p_233942/","El Deber"),"El Deber")</x:f>
        <x:v>El Deber</x:v>
      </x:c>
      <x:c r="L754" s="21"/>
      <x:c r="M754" s="21"/>
      <x:c r="N754" s="4" t="str">
        <x:v>https://eldeber.com.bo/tarija/civicos-de-yacuiba-y-san-jose-de-pocitos-levantan-bloqueo-en-puente-binacional-pero-se-mantiene-la-p_233942/
https://yacuibanoticias.com/2021/05/31/organizaciones-y-civicos-bloquean-el-puente-internacional-en-yacuiba-en-demanda-de-la-apertura-de-fronteras/
https://elandaluz.com.bo/2021/06/02/yacuiba-y-bermejo-levantan-bloqueos-mientras-villazon-continua-con-la-medida/
https://elpais.bo/tarija/20210531_pasos-fronterizos-cerrados-hasta-que-el-gobierno-llame-a-dialogo.html</x:v>
      </x:c>
      <x:c r="O754" s="4" t="str">
        <x:v>Second full-register audit source access, 26 October 2026
https://eldeber.com.bo/tarija/civicos-de-yacuiba-y-san-jose-de-pocitos-levantan-bloqueo-en-puente-binacional-pero-se-mantiene-la-p_233942/: full text (fresh retrieval)
https://elandaluz.com.bo/2021/06/02/yacuiba-y-bermejo-levantan-bloqueos-mientras-villazon-continua-con-la-medida/: full text (fresh retrieval)
https://elpais.bo/tarija/20210531_pasos-fronterizos-cerrados-hasta-que-el-gobierno-llame-a-dialogo.html: full text (fresh retrieval)
https://yacuibanoticias.com/2021/05/31/organizaciones-y-civicos-bloquean-el-puente-internacional-en-yacuiba-en-demanda-de-la-apertura-de-fronteras/: inaccessible (fresh retrieval) — 404 after an earlier timeout.
Prior audit access record
Full-register audit source access (evidence cutoff 25 October 2026)
https://eldeber.com.bo/tarija/civicos-de-yacuiba-y-san-jose-de-pocitos-levantan-bloqueo-en-puente-binacional-pero-se-mantiene-la-p_233942/: full text — No exact lifting day
https://yacuibanoticias.com/2021/05/31/organizaciones-y-civicos-bloquean-el-puente-internacional-en-yacuiba-en-demanda-de-la-apertura-de-fronteras/: full text — Exceptions announced, no independent log of each passage
Earlier recorded access
Source 1: full text</x:v>
      </x:c>
      <x:c r="P754" s="20" t="n">
        <x:v>1</x:v>
      </x:c>
      <x:c r="Q754" s="4" t="str">
        <x:v>Americas</x:v>
      </x:c>
      <x:c r="R754" s="4" t="str">
        <x:v>Included</x:v>
      </x:c>
    </x:row>
    <x:row r="755" ht="318" hidden="0" customHeight="1">
      <x:c r="A755" s="16" t="str">
        <x:v>REC50-R18-006</x:v>
      </x:c>
      <x:c r="B755" s="4" t="str">
        <x:v>Yacuiba–Salvador Mazza bagayeros trade-rule blockade with freight exceptions, July 2017</x:v>
      </x:c>
      <x:c r="C755" s="4" t="str">
        <x:v>Bolivia; Argentina</x:v>
      </x:c>
      <x:c r="D755" s="4" t="str">
        <x:v>Yacuiba–Salvador Mazza international bridge and immediate access
Named international crossing and its immediate approach; no whole-country outline is inferred.</x:v>
      </x:c>
      <x:c r="E755" s="4" t="str">
        <x:v>Freight access under a protest blockade with negotiated perishable-cargo passage
Direction: Freight obstruction and negotiated passage are reported in both directions.
Exceptions: Erbol reports passage of 30 trucks toward Argentina and 30 into Bolivia before the blockade continued; the interval cannot represent uninterrupted prohibition of all freight.</x:v>
      </x:c>
      <x:c r="F755" s="4" t="str">
        <x:v>REC50-R18-006-P1 — Intermittent regime
Freight access under a protest blockade with negotiated perishable-cargo passage at Yacuiba–Salvador Mazza international bridge and immediate access
Start: 2017-07-17.
Observed scoped reopening: 2017-07-25 to 2017-07-26.
Intermittent regime envelope; total closed days unknown</x:v>
      </x:c>
      <x:c r="G755" s="4" t="str">
        <x:v>Trade and protectionism / Trade and transport protests
Named bagayeros leaders sought customs treatment comparable to large importers and described threatened livelihoods, in the Radio Parapetí/Erbol interview and the attributed El Tribuno report.
Applies to: REC50-R18-006-P1
Codes describe the stated demands of the actors imposing the protest obstruction. They do not adopt allegations as facts or recode the authorities’ response as the initiating rationale.</x:v>
      </x:c>
      <x:c r="H755" s="4" t="str">
        <x:v>REC50-R18-006-P1: The 21 July contemporary interview anchors onset to Monday 17 July and documents perishable-freight exceptions. The 26 July El Tribuno report explicitly dates communication of lifting to the previous day at 18:30. El Deber’s 26 July report describes actual freight passage around 19:30 but does not explicitly name its calendar day. The operational endpoint remains bounded to 25–26 July. Opinión’s 25 July evening metadata conflicts with its reference to the previous day and its nine-day description; that internally inconsistent combination is not used to infer a 24 July endpoint. Erbol reports passage of 30 trucks toward Argentina and 30 into Bolivia before the blockade continued. This is an intermittent multi-day regime, not uninterrupted exclusion of all freight, and its calendar envelope is not an exact continuous-duration calculation.</x:v>
      </x:c>
      <x:c r="I755" s="4" t="str">
        <x:v>Second full-register audit, 26 October 2026: additional source-audited corrections incorporated. See the phase, scope and qualification columns for the accepted findings.</x:v>
      </x:c>
      <x:c r="J755" s="18" t="d">
        <x:v>2026-10-26T00:00:00.000Z</x:v>
      </x:c>
      <x:c r="K755" s="21" t="str">
        <x:f>IFERROR(HYPERLINK("https://derechos.org/nizkor/arg/doc/bagayeros13.html","Equipo Nizkor, republishing El Tribuno"),"Equipo Nizkor, republishing El Tribuno")</x:f>
        <x:v>Equipo Nizkor, republishing El Tribuno</x:v>
      </x:c>
      <x:c r="L755" s="21" t="str">
        <x:f>IFERROR(HYPERLINK("https://anteriorportal.erbol.com.bo/noticia/regional/21072017/bagalleros_cumplen_quinto_dia_de_bloqueo_en_yacuiba","Erbol Digital archive / Radio Parapetí"),"Erbol Digital archive / Radio Parapetí")</x:f>
        <x:v>Erbol Digital archive / Radio Parapetí</x:v>
      </x:c>
      <x:c r="M755" s="21" t="str">
        <x:f>IFERROR(HYPERLINK("https://ibce.org.bo/principales-noticias-bolivia/noticias-nacionales-detalle.php?fecha=2017-07-26&amp;id=78718&amp;idPeriodico=4","Instituto Boliviano de Comercio Exterior news digest"),"Instituto Boliviano de Comercio Exterior news digest")</x:f>
        <x:v>Instituto Boliviano de Comercio Exterior news digest</x:v>
      </x:c>
      <x:c r="N755" s="4" t="str">
        <x:v>https://derechos.org/nizkor/arg/doc/bagayeros13.html
https://anteriorportal.erbol.com.bo/noticia/regional/21072017/bagalleros_cumplen_quinto_dia_de_bloqueo_en_yacuiba
https://ibce.org.bo/principales-noticias-bolivia/noticias-nacionales-detalle.php?fecha=2017-07-26&amp;id=78718&amp;idPeriodico=4
https://www.opinion.com.bo/articulo/el-pais/bagalleros-levantan-bloqueo-acuerdo-aduana/20170725215800585295.amp.html
https://derechos.org/nizkor/bolivia/doc/bagallero6.html</x:v>
      </x:c>
      <x:c r="O755" s="4" t="str">
        <x:v>Second full-register audit source access, 26 October 2026
https://derechos.org/nizkor/arg/doc/bagayeros13.html: full text (fresh retrieval)
https://anteriorportal.erbol.com.bo/noticia/regional/21072017/bagalleros_cumplen_quinto_dia_de_bloqueo_en_yacuiba: full text (fresh retrieval)
https://ibce.org.bo/principales-noticias-bolivia/noticias-nacionales-detalle.php?fecha=2017-07-26&amp;id=78718&amp;idPeriodico=4: full text (fresh retrieval)
https://www.opinion.com.bo/articulo/el-pais/bagalleros-levantan-bloqueo-acuerdo-aduana/20170725215800585295.amp.html: full text (fresh retrieval)
https://derechos.org/nizkor/bolivia/doc/bagallero6.html: full text (fresh retrieval)
Prior audit access record
Full-register audit source access (evidence cutoff 25 October 2026)
https://derechos.org/nizkor/arg/doc/bagayeros13.html: full text
https://anteriorportal.erbol.com.bo/noticia/regional/21072017/bagalleros_cumplen_quinto_dia_de_bloqueo_en_yacuiba: full text
https://ibce.org.bo/principales-noticias-bolivia/noticias-nacionales-detalle.php?fecha=2017-07-26&amp;id=78718&amp;idPeriodico=4: full text
https://www.opinion.com.bo/articulo/el-pais/bagalleros-levantan-bloqueo-acuerdo-aduana/20170725215800585295.amp.html: full text — 25 July metadata and 'yesterday' body conflict with 26 July accounts; do not infer 24 July endpoint
Earlier recorded access
Source 1: full text
Source 2: full text
Source 3: full text</x:v>
      </x:c>
      <x:c r="P755" s="20" t="n">
        <x:v>1</x:v>
      </x:c>
      <x:c r="Q755" s="4" t="str">
        <x:v>Americas</x:v>
      </x:c>
      <x:c r="R755" s="4" t="str">
        <x:v>Included</x:v>
      </x:c>
    </x:row>
    <x:row r="756" ht="114" hidden="0" customHeight="1">
      <x:c r="A756" s="16" t="str">
        <x:v>REC50-R21-001</x:v>
      </x:c>
      <x:c r="B756" s="4" t="str">
        <x:v>Wazen–Dehiba approach protest and restored people and goods passage, February 2021</x:v>
      </x:c>
      <x:c r="C756" s="4" t="str">
        <x:v>Libya; Tunisia</x:v>
      </x:c>
      <x:c r="D756" s="4" t="str">
        <x:v>Wazen–Dehiba crossing and Tunisian approach
Named crossing and documented approach obstruction; no whole-country closure or outline inferred.</x:v>
      </x:c>
      <x:c r="E756" s="4" t="str">
        <x:v>People and goods passage
Direction: Not separately enumerated.
Exceptions: Exemptions are not reported; do not assume none.</x:v>
      </x:c>
      <x:c r="F756" s="4" t="str">
        <x:v>REC50-R21-001-P1 — Observed operation
People and goods passage at Wazen–Dehiba crossing and Tunisian approach
Start: 2021-02-13.
Observed scoped reopening: 2021-02-14.
1 calendar-day difference; scoped endpoint only
Reported elapsed duration: several hours overnight, not a whole-day closure; no exact clocks available.</x:v>
      </x:c>
      <x:c r="G756" s="4" t="str">
        <x:v>Trade and protectionism / Trade and transport protests
Reported protester demand, relayed by LANA
Applies to: REC50-R21-001-P1
The source attributes demands for resumed goods flow to protesters; this is not an official government rationale.</x:v>
      </x:c>
      <x:c r="H756" s="4" t="str">
        <x:v>REC50-R21-001-P1: LANA quotes one crossing source describing a road obstruction for several hours during the night of February 13, followed by restored people and goods passage on February 14, 2021. The one-calendar-day difference is date arithmetic and does not establish a duration of more than 24 hours. No exact clocks, exhaustive exemptions or direction list are supplied.</x:v>
      </x:c>
      <x:c r="I756" s="4" t="str">
        <x:v>Second full-register audit, 26 October 2026: qualified. The original crossing-source account explicitly describes only several hours overnight, preserving below-24-hour classification.</x:v>
      </x:c>
      <x:c r="J756" s="18" t="d">
        <x:v>2026-10-26T00:00:00.000Z</x:v>
      </x:c>
      <x:c r="K756" s="21" t="str">
        <x:f>IFERROR(HYPERLINK("https://lana.gov.ly/post.php?id=190933&amp;lang=en","Libyan News Agency"),"Libyan News Agency")</x:f>
        <x:v>Libyan News Agency</x:v>
      </x:c>
      <x:c r="L756" s="21"/>
      <x:c r="M756" s="21"/>
      <x:c r="N756" s="4" t="str">
        <x:v>https://lana.gov.ly/post.php?id=190933&amp;lang=en</x:v>
      </x:c>
      <x:c r="O756" s="4" t="str">
        <x:v>Second full-register audit source access, 26 October 2026
https://lana.gov.ly/post.php?id=190933&amp;lang=en: full text (fresh retrieval)
Prior audit access record
Full-register audit source access (evidence cutoff 25 October 2026)
https://lana.gov.ly/post.php?id=190933&amp;lang=en: full text
Earlier recorded access
Source 1: full text</x:v>
      </x:c>
      <x:c r="P756" s="20" t="n">
        <x:v>1</x:v>
      </x:c>
      <x:c r="Q756" s="4" t="str">
        <x:v>North Africa</x:v>
      </x:c>
      <x:c r="R756" s="4" t="str">
        <x:v>Included</x:v>
      </x:c>
    </x:row>
    <x:row r="757" ht="378" hidden="0" customHeight="1">
      <x:c r="A757" s="16" t="str">
        <x:v>REC50-R21-002</x:v>
      </x:c>
      <x:c r="B757" s="4" t="str">
        <x:v>Ras Jedir trade and development protest campaign, December 2016–January 2017</x:v>
      </x:c>
      <x:c r="C757" s="4" t="str">
        <x:v>Libya; Tunisia</x:v>
      </x:c>
      <x:c r="D757" s="4" t="str">
        <x:v>Ras Jedir crossing and Ben Guerdane approach
Named crossing and documented approach obstruction; no whole-country closure or outline inferred.</x:v>
      </x:c>
      <x:c r="E757" s="4" t="str">
        <x:v>Non-exempt passenger, vehicle and goods passage, varying by phase
Direction: Phase-specific; January traffic to and from Libya is explicit.
Exceptions: December: emergencies and Libyans returning home. January: ambulances and emergency cases.</x:v>
      </x:c>
      <x:c r="F757" s="4" t="str">
        <x:v>REC50-R21-002-P1 — Observed operation
Non-exempt passenger and goods passage at Ras Jedir crossing and Ben Guerdane approach
Start: 2016-12-13.
Last confirmed: 2016-12-14. Reopening is not established.
confirmed through 2016-12-14; at least 1 calendar-day difference; reopening unknown
REC50-R21-002-P2 — Observed operation
Non-emergency vehicle passage to and from Libya at Ras Jedir crossing and Ben Guerdane approach
Start: unknown.
Observed scoped reopening: 2017-01-23.
Last confirmed observation: 2017-01-22.
dated evidence; numeric duration withheld; see qualification</x:v>
      </x:c>
      <x:c r="G757" s="4" t="str">
        <x:v>Trade and protectionism / Trade and transport protests
Reported demands of traders and residents
Applies to: REC50-R21-002-P1; REC50-R21-002-P2
Demands concern freer cross-border trade and disputed customs restrictions; alleged abuses and promised tax concessions are not adopted as verified facts.
Policy and socioeconomic demands / Jobs, services and livelihoods
Reported development and investment demands
Applies to: REC50-R21-002-P1; REC50-R21-002-P2
Development demands are documented alongside trade demands; neither is assigned an exclusive causal role.</x:v>
      </x:c>
      <x:c r="H757" s="4" t="str">
        <x:v>REC50-R21-002-P1: Emergency cases and Libyans returning home could pass. The two-week sit-in history is not the closure onset. Later repeated openings prevent extending this spell into January.
REC50-R21-002-P2: Ambulances and emergencies were exceptions. The 17 January deal did not itself restore traffic. The campaign included repeated openings; December-to-January continuity is not asserted.
phase boundaries and continuity: Two distinct scoped observations within one protest campaign: December blockage confirmed 13–14 December with unknown endpoint; January closure confirmed on 22 January and actual resumption on 23 January with unknown onset. No continuous cross-month duration.</x:v>
      </x:c>
      <x:c r="I757" s="4" t="str">
        <x:v>Second full-register audit, 26 October 2026: qualified. Two episodes remain necessary: December onset is distinct from January restoration and repeated openings rule out a continuous cross-month interval.</x:v>
      </x:c>
      <x:c r="J757" s="18" t="d">
        <x:v>2026-10-26T00:00:00.000Z</x:v>
      </x:c>
      <x:c r="K757" s="21" t="str">
        <x:f>IFERROR(HYPERLINK("https://directinfo.webmanagercenter.com/2016/12/14/tunisie-medenine-le-passage-frontalier-de-ras-jedir-bloque-par-des-sit-inneurs-de-ben-guerdane/","DirectInfo / TAP"),"DirectInfo / TAP")</x:f>
        <x:v>DirectInfo / TAP</x:v>
      </x:c>
      <x:c r="L757" s="21" t="str">
        <x:f>IFERROR(HYPERLINK("https://www.webdo.tn/fr/actualite/national/tunisie-passage-frontalier-de-ras-jedir-bloque-sit-inneurs/161398/","Webdo / TAP"),"Webdo / TAP")</x:f>
        <x:v>Webdo / TAP</x:v>
      </x:c>
      <x:c r="M757" s="21" t="str">
        <x:f>IFERROR(HYPERLINK("https://libyaherald.com/2017/01/traffic-finally-moving-at-ras-jedir-border-crossing","Libya Herald"),"Libya Herald")</x:f>
        <x:v>Libya Herald</x:v>
      </x:c>
      <x:c r="N757" s="4" t="str">
        <x:v>https://directinfo.webmanagercenter.com/2016/12/14/tunisie-medenine-le-passage-frontalier-de-ras-jedir-bloque-par-des-sit-inneurs-de-ben-guerdane/
https://www.webdo.tn/fr/actualite/national/tunisie-passage-frontalier-de-ras-jedir-bloque-sit-inneurs/161398/
https://libyaherald.com/2017/01/traffic-finally-moving-at-ras-jedir-border-crossing
https://www.webdo.tn/fr/actualite/national/agitations-a-ben-guerdane-a-cause-poste-frontalier-de-ras-jedir/161042/</x:v>
      </x:c>
      <x:c r="O757" s="4" t="str">
        <x:v>Second full-register audit source access, 26 October 2026
https://www.webdo.tn/fr/actualite/national/tunisie-passage-frontalier-de-ras-jedir-bloque-sit-inneurs/161398/: full text (fresh retrieval)
https://libyaherald.com/2017/01/traffic-finally-moving-at-ras-jedir-border-crossing: search extract (fresh retrieval) — Direct fresh attempt rate-limited; substantive indexed article inspected.
https://www.webdo.tn/fr/actualite/national/agitations-a-ben-guerdane-a-cause-poste-frontalier-de-ras-jedir/161042/: full text (fresh retrieval)
Earlier URLs not separately inspected in this second assessment:
https://directinfo.webmanagercenter.com/2016/12/14/tunisie-medenine-le-passage-frontalier-de-ras-jedir-bloque-par-des-sit-inneurs-de-ben-guerdane/
Prior audit access record
Full-register audit source access (evidence cutoff 25 October 2026)
https://www.webdo.tn/fr/actualite/national/tunisie-passage-frontalier-de-ras-jedir-bloque-sit-inneurs/161398/: full text
https://libyaherald.com/2017/01/traffic-finally-moving-at-ras-jedir-border-crossing: full text
Earlier source URLs not separately listed in this audit’s retrieval log (historical access notes below are not fresh verification):
https://directinfo.webmanagercenter.com/2016/12/14/tunisie-medenine-le-passage-frontalier-de-ras-jedir-bloque-par-des-sit-inneurs-de-ben-guerdane/
https://www.webdo.tn/fr/actualite/national/agitations-a-ben-guerdane-a-cause-poste-frontalier-de-ras-jedir/161042/
Earlier recorded access
Source 1: indexed extract
Source 2: full text
Source 3: full text</x:v>
      </x:c>
      <x:c r="P757" s="20" t="n">
        <x:v>2</x:v>
      </x:c>
      <x:c r="Q757" s="4" t="str">
        <x:v>North Africa</x:v>
      </x:c>
      <x:c r="R757" s="4" t="str">
        <x:v>Included</x:v>
      </x:c>
    </x:row>
    <x:row r="758" ht="174" hidden="0" customHeight="1">
      <x:c r="A758" s="16" t="str">
        <x:v>REC50-R21-003</x:v>
      </x:c>
      <x:c r="B758" s="4" t="str">
        <x:v>Dehiba–Wazen development and employment protest closure, April–May 2017</x:v>
      </x:c>
      <x:c r="C758" s="4" t="str">
        <x:v>Libya; Tunisia</x:v>
      </x:c>
      <x:c r="D758" s="4" t="str">
        <x:v>Dehiba–Wazen crossing and Tunisian approach
Named crossing and documented approach obstruction; no whole-country closure or outline inferred.</x:v>
      </x:c>
      <x:c r="E758" s="4" t="str">
        <x:v>Ordinary crossing access through the blocked road and locked gates
Direction: Not separately enumerated.
Exceptions: Exemptions are not established by the inspected reports.</x:v>
      </x:c>
      <x:c r="F758" s="4" t="str">
        <x:v>REC50-R21-003-P1 — Observed operation
Ordinary crossing access through the blocked road and locked gates at Dehiba–Wazen crossing and Tunisian approach
Start: 2017-04-24.
Observed scoped reopening: 2017-05-08.
14 calendar-day difference; scoped endpoint only</x:v>
      </x:c>
      <x:c r="G758" s="4" t="str">
        <x:v>Policy and socioeconomic demands / Jobs, services and livelihoods
Reported protester demands for development and employment
Applies to: REC50-R21-003-P1
The source reports social and employment demands, including solidarity with the Kamour protest; no unreported official rationale is assigned.</x:v>
      </x:c>
      <x:c r="H758" s="4" t="str">
        <x:v>REC50-R21-003-P1: The endpoint is the governor’s reported return of activity, not merely the meeting decision. Cohorts and exemptions are not exhaustively enumerated. Both reports come from one publisher.</x:v>
      </x:c>
      <x:c r="I758" s="4" t="str">
        <x:v>Second full-register audit, 26 October 2026: qualified. April 24 onset and May 8 observed restoration match both dated accounts; retain the ordinary-access scope.</x:v>
      </x:c>
      <x:c r="J758" s="18" t="d">
        <x:v>2026-10-26T00:00:00.000Z</x:v>
      </x:c>
      <x:c r="K758" s="21" t="str">
        <x:f>IFERROR(HYPERLINK("https://www.tunisien.tn/تونس/إعادة-فتح-معبر-الذهيبة-وازن-بعد-غلقه-لأ","Tunisien.tn"),"Tunisien.tn")</x:f>
        <x:v>Tunisien.tn</x:v>
      </x:c>
      <x:c r="L758" s="21" t="str">
        <x:f>IFERROR(HYPERLINK("https://www.tunisien.tn/تونس/تواصل-غلق-معبر-الذهيبة-وازن-لليوم-الخا","Tunisien.tn"),"Tunisien.tn")</x:f>
        <x:v>Tunisien.tn</x:v>
      </x:c>
      <x:c r="M758" s="21"/>
      <x:c r="N758" s="4" t="str">
        <x:v>https://www.tunisien.tn/تونس/إعادة-فتح-معبر-الذهيبة-وازن-بعد-غلقه-لأ
https://www.tunisien.tn/تونس/تواصل-غلق-معبر-الذهيبة-وازن-لليوم-الخا</x:v>
      </x:c>
      <x:c r="O758" s="4" t="str">
        <x:v>Second full-register audit source access, 26 October 2026
https://www.tunisien.tn/تونس/إعادة-فتح-معبر-الذهيبة-وازن-بعد-غلقه-لأ: full text (fresh retrieval)
https://www.tunisien.tn/تونس/تواصل-غلق-معبر-الذهيبة-وازن-لليوم-الخا: full text (fresh retrieval)
Prior audit access record
Full-register audit source access (evidence cutoff 25 October 2026)
https://www.tunisien.tn/تونس/إعادة-فتح-معبر-الذهيبة-وازن-بعد-غلقه-لأ: full text
https://www.tunisien.tn/تونس/تواصل-غلق-معبر-الذهيبة-وازن-لليوم-الخا: full text
Earlier recorded access
Source 1: full text
Source 2: full text</x:v>
      </x:c>
      <x:c r="P758" s="20" t="n">
        <x:v>1</x:v>
      </x:c>
      <x:c r="Q758" s="4" t="str">
        <x:v>North Africa</x:v>
      </x:c>
      <x:c r="R758" s="4" t="str">
        <x:v>Included</x:v>
      </x:c>
    </x:row>
    <x:row r="759" ht="409" hidden="0" customHeight="1">
      <x:c r="A759" s="16" t="str">
        <x:v>REC50-R21-004</x:v>
      </x:c>
      <x:c r="B759" s="4" t="str">
        <x:v>Dehiba–Wazen goods-seizure protest and protective vehicle restrictions, November–December 2017</x:v>
      </x:c>
      <x:c r="C759" s="4" t="str">
        <x:v>Libya; Tunisia</x:v>
      </x:c>
      <x:c r="D759" s="4" t="str">
        <x:v>Dehiba–Wazen crossing and approach road
Named crossing and documented approach obstruction; no whole-country closure or outline inferred.</x:v>
      </x:c>
      <x:c r="E759" s="4" t="str">
        <x:v>Vehicle and ordinary commercial/social passage under varying restrictions
Direction: Source-specific; Libyan vehicles entering Tunisia are a named protected cohort.
Exceptions: Returning Tunisian and Libyan nationals were allowed; an undated account also describes some women passing after leaving goods behind.</x:v>
      </x:c>
      <x:c r="F759" s="4" t="str">
        <x:v>REC50-R21-004-P1 — Observed operation
Non-exempt vehicle and ordinary commercial/social passage, with source-specific exceptions at Dehiba–Wazen crossing and approach road
Start: unknown.
Last confirmed restriction: 2017-12-06. Activity reported resumed by 2017-12-07; precise cohort restoration remains qualified.
Contested: dated evidence; numeric duration withheld; see qualification
Held evidence: excluded from numeric duration and animation displays.</x:v>
      </x:c>
      <x:c r="G759" s="4" t="str">
        <x:v>Trade and protectionism / Trade and transport protests
Reported protester demands concerning seized goods
Applies to: REC50-R21-004-P1
The goods dispute explains protest obstruction; the lawfulness of the seizures is not independently determined.
Security / Public order and immediate safety
Official explanation attributed to Wazen mayor Mohamed Sannam in a direct broadcaster interview
Applies to: REC50-R21-004-P1
Protection of threatened Libyan travellers is the stated reason for the Libyan-side restriction; it remains separate from protesters’ demands.</x:v>
      </x:c>
      <x:c r="H759" s="4" t="str">
        <x:v>REC50-R21-004-P1: The road barrier removed on November 23, 2017, checkpoint restrictions and subsequent road threats are not assumed to form one uninterrupted closure affecting every cohort. Restrictions are documented on November 24 and by the mayor on December 5; restricted passage and a next-day reopening plan were reported on December 6. Returning nationals were permitted, and some women passed without their goods.
The original Tunisien report on December 7 is prospective. A newly recovered Zoom Tunisia report, also dated December 7, uses completed-action language and cites TAP and a crossing official: activity resumed that Thursday. This supplies a qualified restoration bound of December 7. The exact first restoration for each cohort and consistent onset remain unknown. Conflicting third-, tenth- and fifteen-day descriptions should not be converted into an invented onset. The held status and withheld numeric duration remain appropriate.</x:v>
      </x:c>
      <x:c r="I759" s="4" t="str">
        <x:v>Second full-register audit, 26 October 2026: qualified. December 7 restoration is confirmed as completed action, while mixed mechanisms and retrospective counts still prevent one exact interval.</x:v>
      </x:c>
      <x:c r="J759" s="18" t="d">
        <x:v>2026-10-26T00:00:00.000Z</x:v>
      </x:c>
      <x:c r="K759" s="21" t="str">
        <x:f>IFERROR(HYPERLINK("https://tunisien.tn/تونس/تواصل-اغلاق-معبر-ذهيبة-وازن-الحدودي","Tunisien.tn / TAP"),"Tunisien.tn / TAP")</x:f>
        <x:v>Tunisien.tn / TAP</x:v>
      </x:c>
      <x:c r="L759" s="21" t="str">
        <x:f>IFERROR(HYPERLINK("https://tunisien.tn/تونس/اليوم-معبر-ذهيبة-وازن-يستأنف-نشاطه-م","Tunisien.tn"),"Tunisien.tn")</x:f>
        <x:v>Tunisien.tn</x:v>
      </x:c>
      <x:c r="M759" s="21" t="str">
        <x:f>IFERROR(HYPERLINK("https://alwasat.ly/news/libya/150588","Al Wasat / Al Arab"),"Al Wasat / Al Arab")</x:f>
        <x:v>Al Wasat / Al Arab</x:v>
      </x:c>
      <x:c r="N759" s="4" t="str">
        <x:v>https://tunisien.tn/تونس/تواصل-اغلاق-معبر-ذهيبة-وازن-الحدودي
https://tunisien.tn/تونس/اليوم-معبر-ذهيبة-وازن-يستأنف-نشاطه-م
https://alwasat.ly/news/libya/150588
https://libyaalahrar.tv/2017/12/05/استمرار-إغلاق-معبر-ذهيبة-وازن-بين-ليبي/
https://ar.webmanagercenter.com/2017/12/06/209645/تونس-عودة-حركة-العبور-إلى-معبر-ذهيبة-و/
https://libyaalahrar.tv/2017/12/05/%D8%A7%D8%B3%D8%AA%D9%85%D8%B1%D8%A7%D8%B1-%D8%A5%D8%BA%D9%84%D8%A7%D9%82-%D9%85%D8%B9%D8%A8%D8%B1-%D8%B0%D9%87%D9%8A%D8%A8%D8%A9-%D9%88%D8%A7%D8%B2%D9%86-%D8%A8%D9%8A%D9%86-%D9%84%D9%8A%D8%A8%D9%8A/
https://tunisien.tn/%D8%AA%D9%88%D9%86%D8%B3/%D8%AA%D9%88%D8%A7%D8%B5%D9%84-%D8%A7%D8%BA%D9%84%D8%A7%D9%82-%D9%85%D8%B9%D8%A8%D8%B1-%D8%B0%D9%87%D9%8A%D8%A8%D8%A9-%D9%88%D8%A7%D8%B2%D9%86-%D8%A7%D9%84%D8%AD%D8%AF%D9%88%D8%AF%D9%8A
https://tunisien.tn/%D8%AA%D9%88%D9%86%D8%B3/%D8%A7%D9%84%D9%8A%D9%88%D9%85-%D9%85%D8%B9%D8%A8%D8%B1-%D8%B0%D9%87%D9%8A%D8%A8%D8%A9-%D9%88%D8%A7%D8%B2%D9%86-%D9%8A%D8%B3%D8%AA%D8%A3%D9%86%D9%81-%D9%86%D8%B4%D8%A7%D8%B7%D9%87-%D9%85
https://ar.webmanagercenter.com/2017/12/06/209645/%D8%AA%D9%88%D9%86%D8%B3-%D8%B9%D9%88%D8%AF%D8%A9-%D8%AD%D8%B1%D9%83%D8%A9-%D8%A7%D9%84%D8%B9%D8%A8%D9%88%D8%B1-%D8%A5%D9%84%D9%89-%D9%85%D8%B9%D8%A8%D8%B1-%D8%B0%D9%87%D9%8A%D8%A8%D8%A9-%D9%88/
https://zoomtunisia.net/article/6/58508.html</x:v>
      </x:c>
      <x:c r="O759" s="4" t="str">
        <x:v>Second full-register audit source access, 26 October 2026
https://zoomtunisia.net/article/6/58508.html: full text (fresh retrieval)
https://libyaalahrar.tv/2017/12/05/استمرار-إغلاق-معبر-ذهيبة-وازن-بين-ليبي/: full text (fresh retrieval)
https://alwasat.ly/news/libya/150588: full text (fresh retrieval) — Displayed article body does not expose a publication date; not used as an exact-date anchor.
https://ar.webmanagercenter.com/2017/12/06/209645/تونس-عودة-حركة-العبور-إلى-معبر-ذهيبة-و/: inaccessible (fresh retrieval) — 403; not freshly corroborated.
Earlier URLs not separately inspected in this second assessment:
https://tunisien.tn/تونس/تواصل-اغلاق-معبر-ذهيبة-وازن-الحدودي
https://tunisien.tn/تونس/اليوم-معبر-ذهيبة-وازن-يستأنف-نشاطه-م
https://libyaalahrar.tv/2017/12/05/%D8%A7%D8%B3%D8%AA%D9%85%D8%B1%D8%A7%D8%B1-%D8%A5%D8%BA%D9%84%D8%A7%D9%82-%D9%85%D8%B9%D8%A8%D8%B1-%D8%B0%D9%87%D9%8A%D8%A8%D8%A9-%D9%88%D8%A7%D8%B2%D9%86-%D8%A8%D9%8A%D9%86-%D9%84%D9%8A%D8%A8%D9%8A/
https://tunisien.tn/%D8%AA%D9%88%D9%86%D8%B3/%D8%AA%D9%88%D8%A7%D8%B5%D9%84-%D8%A7%D8%BA%D9%84%D8%A7%D9%82-%D9%85%D8%B9%D8%A8%D8%B1-%D8%B0%D9%87%D9%8A%D8%A8%D8%A9-%D9%88%D8%A7%D8%B2%D9%86-%D8%A7%D9%84%D8%AD%D8%AF%D9%88%D8%AF%D9%8A
https://tunisien.tn/%D8%AA%D9%88%D9%86%D8%B3/%D8%A7%D9%84%D9%8A%D9%88%D9%85-%D9%85%D8%B9%D8%A8%D8%B1-%D8%B0%D9%87%D9%8A%D8%A8%D8%A9-%D9%88%D8%A7%D8%B2%D9%86-%D9%8A%D8%B3%D8%AA%D8%A3%D9%86%D9%81-%D9%86%D8%B4%D8%A7%D8%B7%D9%87-%D9%85
https://ar.webmanagercenter.com/2017/12/06/209645/%D8%AA%D9%88%D9%86%D8%B3-%D8%B9%D9%88%D8%AF%D8%A9-%D8%AD%D8%B1%D9%83%D8%A9-%D8%A7%D9%84%D8%B9%D8%A8%D9%88%D8%B1-%D8%A5%D9%84%D9%89-%D9%85%D8%B9%D8%A8%D8%B1-%D8%B0%D9%87%D9%8A%D8%A8%D8%A9-%D9%88/
Prior audit access record
Full-register audit source access (evidence cutoff 25 October 2026)
https://libyaalahrar.tv/2017/12/05/استمرار-إغلاق-معبر-ذهيبة-وازن-بين-ليبي/: full text
https://zoomtunisia.net/article/6/58508.html: full text
Earlier source URLs not separately listed in this audit’s retrieval log (historical access notes below are not fresh verification):
https://tunisien.tn/تونس/تواصل-اغلاق-معبر-ذهيبة-وازن-الحدودي
https://tunisien.tn/تونس/اليوم-معبر-ذهيبة-وازن-يستأنف-نشاطه-م
https://alwasat.ly/news/libya/150588
https://ar.webmanagercenter.com/2017/12/06/209645/تونس-عودة-حركة-العبور-إلى-معبر-ذهيبة-و/
https://libyaalahrar.tv/2017/12/05/%D8%A7%D8%B3%D8%AA%D9%85%D8%B1%D8%A7%D8%B1-%D8%A5%D8%BA%D9%84%D8%A7%D9%82-%D9%85%D8%B9%D8%A8%D8%B1-%D8%B0%D9%87%D9%8A%D8%A8%D8%A9-%D9%88%D8%A7%D8%B2%D9%86-%D8%A8%D9%8A%D9%86-%D9%84%D9%8A%D8%A8%D9%8A/
https://tunisien.tn/%D8%AA%D9%88%D9%86%D8%B3/%D8%AA%D9%88%D8%A7%D8%B5%D9%84-%D8%A7%D8%BA%D9%84%D8%A7%D9%82-%D9%85%D8%B9%D8%A8%D8%B1-%D8%B0%D9%87%D9%8A%D8%A8%D8%A9-%D9%88%D8%A7%D8%B2%D9%86-%D8%A7%D9%84%D8%AD%D8%AF%D9%88%D8%AF%D9%8A
https://tunisien.tn/%D8%AA%D9%88%D9%86%D8%B3/%D8%A7%D9%84%D9%8A%D9%88%D9%85-%D9%85%D8%B9%D8%A8%D8%B1-%D8%B0%D9%87%D9%8A%D8%A8%D8%A9-%D9%88%D8%A7%D8%B2%D9%86-%D9%8A%D8%B3%D8%AA%D8%A3%D9%86%D9%81-%D9%86%D8%B4%D8%A7%D8%B7%D9%87-%D9%85
https://ar.webmanagercenter.com/2017/12/06/209645/%D8%AA%D9%88%D9%86%D8%B3-%D8%B9%D9%88%D8%AF%D8%A9-%D8%AD%D8%B1%D9%83%D8%A9-%D8%A7%D9%84%D8%B9%D8%A8%D9%88%D8%B1-%D8%A5%D9%84%D9%89-%D9%85%D8%B9%D8%A8%D8%B1-%D8%B0%D9%87%D9%8A%D8%A8%D8%A9-%D9%88/
Earlier recorded access
Source 1: full text
Source 2: full text
Source 3: full text</x:v>
      </x:c>
      <x:c r="P759" s="20" t="n">
        <x:v>1</x:v>
      </x:c>
      <x:c r="Q759" s="4" t="str">
        <x:v>North Africa</x:v>
      </x:c>
      <x:c r="R759" s="4" t="str">
        <x:v>Included</x:v>
      </x:c>
    </x:row>
    <x:row r="760" ht="402" hidden="0" customHeight="1">
      <x:c r="A760" s="16" t="str">
        <x:v>REC50-R22-002</x:v>
      </x:c>
      <x:c r="B760" s="4" t="str">
        <x:v>Norway restricts temporary entry of Russian-registered passenger cars, October 2023</x:v>
      </x:c>
      <x:c r="C760" s="4" t="str">
        <x:v>Norway; Russia</x:v>
      </x:c>
      <x:c r="D760" s="4" t="str">
        <x:v>Storskog; no other land crossing is independently located in this round
Norwegian external import regime, explicitly applicable to the Storskog land crossing.</x:v>
      </x:c>
      <x:c r="E760" s="4" t="str">
        <x:v>Non-exempt Russian-registered passenger cars with nine or fewer seats, including temporary imports
Direction: Into Norway
Exceptions: Vehicles with ten or more seats remain possible. Specified Norwegian/EEA citizen-owned and qualifying family vehicles are excepted under the notice’s citizenship and permanent-residence conditions; humanitarian, diplomatic, international-organisation and state-courier vehicles also have specified exceptions.</x:v>
      </x:c>
      <x:c r="F760" s="4" t="str">
        <x:v>REC50-R22-002-P1 — Formal policy
Non-exempt Russian-registered passenger vehicles entering Norway, including at Storskog
Start: 2023-10-03.
Last confirmed: 2024-05-23. Reopening is not established.
Formal policy: confirmed through 2024-05-23; at least 233 calendar-day difference; reopening unknown
Separate current formal-status observation: DEKSA guidance retrieved 2026-10-26 retains this prohibition. This observation is not a new onset or an uninterrupted gate-operation record.</x:v>
      </x:c>
      <x:c r="G760" s="4" t="str">
        <x:v>Interstate disputes and pressure / Sanctions and coercive pressure
Attributed official justification
Applies to: The specified policy or cargo-restriction regime; no claim of a single primary rationale.
The foreign minister explicitly frames the measure as sanctions intended to reduce resources for Russia’s war. This codes the stated official purpose.</x:v>
      </x:c>
      <x:c r="H760" s="4" t="str">
        <x:v>The October 3, 2023 vehicle rule is separate from the May 2024 personal-admission policy. UDI retains the named exceptions, and DEKSA’s standing sanctions guidance inspected October 26, 2026 still describes the temporary-import prohibition. This is a later formal-status observation, not a new onset or proof of every physical refusal. No final lifting or complete exception-amendment history is established.</x:v>
      </x:c>
      <x:c r="I760" s="4" t="str">
        <x:v>Second full-register audit, 26 October 2026: additional source-audited corrections incorporated. See the phase, scope and qualification columns for the accepted findings.</x:v>
      </x:c>
      <x:c r="J760" s="18" t="d">
        <x:v>2026-10-26T00:00:00.000Z</x:v>
      </x:c>
      <x:c r="K760" s="21" t="str">
        <x:f>IFERROR(HYPERLINK("https://www.regjeringen.no/en/whats-new/norway-is-tightening-its-restrictive-measures-against-russia/id2996416/","Norwegian Ministry of Foreign Affairs"),"Norwegian Ministry of Foreign Affairs")</x:f>
        <x:v>Norwegian Ministry of Foreign Affairs</x:v>
      </x:c>
      <x:c r="L760" s="21" t="str">
        <x:f>IFERROR(HYPERLINK("https://www.regjeringen.no/contentassets/6110d52dbbc443b1bca9cf2c3c649120/instruction-gi_062024.pdf","Norwegian Ministry of Justice and Public Security"),"Norwegian Ministry of Justice and Public Security")</x:f>
        <x:v>Norwegian Ministry of Justice and Public Security</x:v>
      </x:c>
      <x:c r="M760" s="21"/>
      <x:c r="N760" s="4" t="str">
        <x:v>https://www.regjeringen.no/en/whats-new/norway-is-tightening-its-restrictive-measures-against-russia/id2996416/
https://www.regjeringen.no/contentassets/6110d52dbbc443b1bca9cf2c3c649120/instruction-gi_062024.pdf
https://www.udi.no/en/important-messages/information-to-russian-citizens/
https://www.udi.no/en/information-ukraine-and-russia/ukraine/apply-for-protection/travel-to-norway-applying-from-outside-norway/
https://deksa.no/sanksjoner/sanksjoner-mot-russland/veileder-om-sanksjoner-mot-russland/</x:v>
      </x:c>
      <x:c r="O760" s="4" t="str">
        <x:v>Second full-register audit source access, 26 October 2026
https://www.regjeringen.no/en/whats-new/norway-is-tightening-its-restrictive-measures-against-russia/id2996416/: full text (fresh retrieval)
https://www.udi.no/en/important-messages/information-to-russian-citizens/: full text (fresh retrieval)
https://deksa.no/sanksjoner/sanksjoner-mot-russland/veileder-om-sanksjoner-mot-russland/: full text (fresh retrieval) — Standing page retrieved October 26; page header August 19 but body also has October updates, so no backdated observation.
Earlier URLs not separately inspected in this second assessment:
https://www.regjeringen.no/contentassets/6110d52dbbc443b1bca9cf2c3c649120/instruction-gi_062024.pdf
https://www.udi.no/en/information-ukraine-and-russia/ukraine/apply-for-protection/travel-to-norway-applying-from-outside-norway/
Prior audit access record
Full-register audit source access (evidence cutoff 25 October 2026)
https://www.regjeringen.no/en/whats-new/norway-is-tightening-its-restrictive-measures-against-russia/id2996416/: full text
https://www.udi.no/en/important-messages/information-to-russian-citizens/: full text
https://www.udi.no/en/information-ukraine-and-russia/ukraine/apply-for-protection/travel-to-norway-applying-from-outside-norway/: search extract
Earlier source URLs not separately listed in this audit’s retrieval log (historical access notes below are not fresh verification):
https://www.regjeringen.no/contentassets/6110d52dbbc443b1bca9cf2c3c649120/instruction-gi_062024.pdf
Earlier recorded access
Source 1: full text
Source 2: full text</x:v>
      </x:c>
      <x:c r="P760" s="20" t="n">
        <x:v>1</x:v>
      </x:c>
      <x:c r="Q760" s="4" t="str">
        <x:v>Europe</x:v>
      </x:c>
      <x:c r="R760" s="4" t="str">
        <x:v>Included</x:v>
      </x:c>
    </x:row>
    <x:row r="761" ht="409" hidden="0" customHeight="1">
      <x:c r="A761" s="16" t="str">
        <x:v>REC50-R22-003</x:v>
      </x:c>
      <x:c r="B761" s="4" t="str">
        <x:v>Finland restricts entry of Russian-registered passenger vehicles, September 2023</x:v>
      </x:c>
      <x:c r="C761" s="4" t="str">
        <x:v>Finland; Russia; Norway</x:v>
      </x:c>
      <x:c r="D761" s="4" t="str">
        <x:v>Russian–Finnish and Norwegian–Finnish land-border posts; individual coordinates not reviewed
Finnish external-EU import controls at the eastern and Norwegian frontiers; a nationality rule or whole-country perimeter closure is not inferred.</x:v>
      </x:c>
      <x:c r="E761" s="4" t="str">
        <x:v>Non-exempt Russian-registered vehicles principally under commodity code 8703, including passenger cars, camper vans and small minibuses
Direction: Into Finland / the EU
Exceptions: Specified EU/EEA citizens permanently resident in Russia, including dual citizens, and their family members are excepted, as are diplomatic vehicles and vehicles used for humanitarian entry. Individual admission requirements remain separate.</x:v>
      </x:c>
      <x:c r="F761" s="4" t="str">
        <x:v>REC50-R22-003-P1 — Formal policy
Non-exempt Russian-registered passenger-vehicle imports through Finland’s external-EU borders
Start: 2023-09-16.
Later policy confirmation: 2024-03-12. Reopening is not established.
Formal policy: dated evidence; numeric duration withheld; see qualification</x:v>
      </x:c>
      <x:c r="G761" s="4" t="str">
        <x:v>Interstate disputes and pressure / Sanctions and coercive pressure
Attributed official justification
Applies to: The specified policy or cargo-restriction regime; no claim of a single primary rationale.
Finnish authorities explicitly identify EU-sanctions implementation and uniform enforcement. This does not establish that a car owner personally supports the Russian government.</x:v>
      </x:c>
      <x:c r="H761" s="4" t="str">
        <x:v>The temporary-admission rule began September 16, 2023. Customs reported actual refusals and exempt admissions on both Russian and Norwegian frontiers by September 18. Its March 12, 2024 appendix confirms that the temporary-admission prohibition remains subject to exceptions. The March 15 removal deadline for previously admitted vehicles and March 16 documentation requirements are not reopening dates. Later physical road-post closures are separate. Fresh Finland-specific current confirmation and the full amendment chain after March 2024 remain unresolved; no uninterrupted refusal of all cars is asserted.</x:v>
      </x:c>
      <x:c r="I761" s="4" t="str">
        <x:v>Second full-register audit, 26 October 2026: qualified. The September 2023 temporary-entry prohibition is distinct from March 2024 requirements for cars already admitted; no reopening is supported.</x:v>
      </x:c>
      <x:c r="J761" s="18" t="d">
        <x:v>2026-10-26T00:00:00.000Z</x:v>
      </x:c>
      <x:c r="K761" s="21" t="str">
        <x:f>IFERROR(HYPERLINK("https://valtioneuvosto.fi/en/-/10184/restrictions-on-import-of-vehicles-registered-in-russia","Finnish Ministry for Foreign Affairs"),"Finnish Ministry for Foreign Affairs")</x:f>
        <x:v>Finnish Ministry for Foreign Affairs</x:v>
      </x:c>
      <x:c r="L761" s="21" t="str">
        <x:f>IFERROR(HYPERLINK("https://www.sttinfo.fi/tiedote/70022378/cars-registered-in-russia-can-no-longer-enter-finland-as-of-midnight-today?lang=en","Finnish Customs (Tulli), distributed through STTinfo"),"Finnish Customs (Tulli), distributed through STTinfo")</x:f>
        <x:v>Finnish Customs (Tulli), distributed through STTinfo</x:v>
      </x:c>
      <x:c r="M761" s="21"/>
      <x:c r="N761" s="4" t="str">
        <x:v>https://valtioneuvosto.fi/en/-/10184/restrictions-on-import-of-vehicles-registered-in-russia
https://www.sttinfo.fi/tiedote/70022378/cars-registered-in-russia-can-no-longer-enter-finland-as-of-midnight-today?lang=en
https://valtioneuvosto.fi/-/2912305/rajaliikenne-hiljentynyt-entisestaan-tulli-on-kaannyttanyt-37-venajalle-rekisteroitya-autoa-viikonlopun-aikana?languageId=en_US
https://tulli.fi/documents/2912305/3847316/Policy%2Bregarding%2Bcars%2Bunder%2BRussian%2Bregistration%2Bin%2BFinland%2Bas%2Bof%2B16%2BMarch%2B2024_press%2Brelease%2Bappendix%2B%281%29.pdf/10fdad5e-fce6-8747-e256-e1ad242fe733/Policy%2Bregarding%2Bcars%2Bunder%2BRussian%2Bregistration%2Bin%2BFinland%2Bas%2Bof%2B16%2BMarch%2B2024_press%2Brelease%2Bappendix%2B%281%29.pdf?t=1710250685816
https://www.sttinfo.fi/files/69819633/70122297/71963/en</x:v>
      </x:c>
      <x:c r="O761" s="4" t="str">
        <x:v>Second full-register audit source access, 26 October 2026
https://www.sttinfo.fi/tiedote/70022378/cars-registered-in-russia-can-no-longer-enter-finland-as-of-midnight-today?lang=en: full text (fresh retrieval)
https://tulli.fi/documents/2912305/3847316/Policy%2Bregarding%2Bcars%2Bunder%2BRussian%2Bregistration%2Bin%2BFinland%2Bas%2Bof%2B16%2BMarch%2B2024_press%2Brelease%2Bappendix%2B%281%29.pdf/10fdad5e-fce6-8747-e256-e1ad242fe733/Policy%2Bregarding%2Bcars%2Bunder%2BRussian%2Bregistration%2Bin%2BFinland%2Bas%2Bof%2B16%2BMarch%2B2024_press%2Brelease%2Bappendix%2B%281%29.pdf?t=1710250685816: search extract (fresh retrieval) — Substantive indexed PDF text.
https://www.sttinfo.fi/files/69819633/70122297/71963/en: full text (fresh retrieval)
Earlier URLs not separately inspected in this second assessment:
https://valtioneuvosto.fi/en/-/10184/restrictions-on-import-of-vehicles-registered-in-russia
https://valtioneuvosto.fi/-/2912305/rajaliikenne-hiljentynyt-entisestaan-tulli-on-kaannyttanyt-37-venajalle-rekisteroitya-autoa-viikonlopun-aikana?languageId=en_US
Prior audit access record
Full-register audit source access (evidence cutoff 25 October 2026)
https://www.sttinfo.fi/tiedote/70022378/cars-registered-in-russia-can-no-longer-enter-finland-as-of-midnight-today?lang=en: full text
https://valtioneuvosto.fi/-/2912305/rajaliikenne-hiljentynyt-entisestaan-tulli-on-kaannyttanyt-37-venajalle-rekisteroitya-autoa-viikonlopun-aikana?languageId=en_US: search extract
https://tulli.fi/documents/2912305/3847316/Policy%2Bregarding%2Bcars%2Bunder%2BRussian%2Bregistration%2Bin%2BFinland%2Bas%2Bof%2B16%2BMarch%2B2024_press%2Brelease%2Bappendix%2B%281%29.pdf/10fdad5e-fce6-8747-e256-e1ad242fe733/Policy%2Bregarding%2Bcars%2Bunder%2BRussian%2Bregistration%2Bin%2BFinland%2Bas%2Bof%2B16%2BMarch%2B2024_press%2Brelease%2Bappendix%2B%281%29.pdf?t=1710250685816: search extract
https://www.sttinfo.fi/files/69819633/70122297/71963/en: search extract
https://valtioneuvosto.fi/en/-/10184/restrictions-on-import-of-vehicles-registered-in-russia: inaccessible
https://tulli.fi/documents/2912305/3847316/Policy%2Bregarding%2Bcars%2Bunder%2BRussian%2Bregistration%2Bin%2BFinland%2Bas%2Bof%2B16%2BMarch%2B2024_press%2Brelease%2Bappendix%2B%281%29.pdf/10fdad5e-fce6-8747-e256-e1ad242fe733/Policy%2Bregarding%2Bcars%2Bunder%2BRussian%2Bregistration%2Bin%2BFinland%2Bas%2Bof%2B16%2BMarch%2B2024_press%2Brelease%2Bappendix%2B%281%29.pdf?t=1710250685816: inaccessible
Earlier recorded access
Source 1: full text
Source 2: full text</x:v>
      </x:c>
      <x:c r="P761" s="20" t="n">
        <x:v>1</x:v>
      </x:c>
      <x:c r="Q761" s="4" t="str">
        <x:v>Europe</x:v>
      </x:c>
      <x:c r="R761" s="4" t="str">
        <x:v>Included</x:v>
      </x:c>
    </x:row>
    <x:row r="762" ht="318" hidden="0" customHeight="1">
      <x:c r="A762" s="16" t="str">
        <x:v>REC50-R22-004</x:v>
      </x:c>
      <x:c r="B762" s="4" t="str">
        <x:v>Estonia restricts Russian-registered vehicle entry at its external border, September 2023</x:v>
      </x:c>
      <x:c r="C762" s="4" t="str">
        <x:v>Estonia; Russia</x:v>
      </x:c>
      <x:c r="D762" s="4" t="str">
        <x:v>Estonian external-border crossings; individual gates not enumerated in this source-led phase
Entry at Estonia’s external border; no individual crossing coordinates or internal-EU restriction is inferred.</x:v>
      </x:c>
      <x:c r="E762" s="4" t="str">
        <x:v>Russian-registered motor vehicles subject to the announced import restriction
Direction: Into Estonia / the EU from the external border
Exceptions: Outbound and internal-EU crossings remain possible; a person may cross without the vehicle if otherwise entitled. The updated FAQ names diplomatic and special-vehicle exceptions, but their full historical timing is unestablished.</x:v>
      </x:c>
      <x:c r="F762" s="4" t="str">
        <x:v>REC50-R22-004-P1 — Formal policy
Russian-registered vehicle entry at Estonia’s external border
Start: 2023-09-13 at 10:00.
Separate current policy observation: 2026-10-26, in standing customs guidance. Reopening is not established.
Formal policy: dated evidence; numeric duration withheld; see qualification</x:v>
      </x:c>
      <x:c r="G762" s="4" t="str">
        <x:v>Interstate disputes and pressure / Sanctions and coercive pressure
Attributed official justification
Applies to: The specified policy or cargo-restriction regime; no claim of a single primary rationale.
The interior minister explicitly describes imposing a cost on Russia’s aggression and seeking withdrawal from Ukraine. This is attributed official policy reasoning.</x:v>
      </x:c>
      <x:c r="H762" s="4" t="str">
        <x:v>The original external-entry rule began September 13, 2023 at 10:00; it does not prohibit the person entering without the vehicle, outbound movement or internal-EU crossings. Standing customs guidance inspected October 26, 2026 explicitly retains this practice. It separately describes December 2023 diplomatic provisions and options to register cars already in the EU. Current special-purpose and vehicle-class exceptions are not all backdated to launch. No exact first refusal, complete amendment history or final repeal is established.</x:v>
      </x:c>
      <x:c r="I762" s="4" t="str">
        <x:v>Second full-register audit, 26 October 2026: additional source-audited corrections incorporated. See the phase, scope and qualification columns for the accepted findings.</x:v>
      </x:c>
      <x:c r="J762" s="18" t="d">
        <x:v>2026-10-26T00:00:00.000Z</x:v>
      </x:c>
      <x:c r="K762" s="21" t="str">
        <x:f>IFERROR(HYPERLINK("https://www.emta.ee/en/news/estonia-prohibits-entry-russian-motor-vehicles","Estonian Tax and Customs Board"),"Estonian Tax and Customs Board")</x:f>
        <x:v>Estonian Tax and Customs Board</x:v>
      </x:c>
      <x:c r="L762" s="21" t="str">
        <x:f>IFERROR(HYPERLINK("https://www.siseministeerium.ee/en/news/estonia-prohibits-entry-russian-motor-vehicles","Estonian Ministry of the Interior"),"Estonian Ministry of the Interior")</x:f>
        <x:v>Estonian Ministry of the Interior</x:v>
      </x:c>
      <x:c r="M762" s="21"/>
      <x:c r="N762" s="4" t="str">
        <x:v>https://www.emta.ee/en/news/estonia-prohibits-entry-russian-motor-vehicles
https://www.siseministeerium.ee/en/news/estonia-prohibits-entry-russian-motor-vehicles
https://emta.ee/en/private-client/consignments-travel-moving/travel/third-country-estonia</x:v>
      </x:c>
      <x:c r="O762" s="4" t="str">
        <x:v>Second full-register audit source access, 26 October 2026
https://www.emta.ee/en/news/estonia-prohibits-entry-russian-motor-vehicles: full text (fresh retrieval)
https://emta.ee/en/private-client/consignments-travel-moving/travel/third-country-estonia: full text (fresh retrieval) — Updated standing guidance, retrieved October 26; not all current exceptions existed at launch.
Earlier URLs not separately inspected in this second assessment:
https://www.siseministeerium.ee/en/news/estonia-prohibits-entry-russian-motor-vehicles
Prior audit access record
Full-register audit source access (evidence cutoff 25 October 2026)
https://www.emta.ee/en/news/estonia-prohibits-entry-russian-motor-vehicles: full text
https://emta.ee/en/private-client/consignments-travel-moving/travel/third-country-estonia: full text
Earlier source URLs not separately listed in this audit’s retrieval log (historical access notes below are not fresh verification):
https://www.siseministeerium.ee/en/news/estonia-prohibits-entry-russian-motor-vehicles
Earlier recorded access
Source 1: full text
Source 2: full text</x:v>
      </x:c>
      <x:c r="P762" s="20" t="n">
        <x:v>1</x:v>
      </x:c>
      <x:c r="Q762" s="4" t="str">
        <x:v>Europe</x:v>
      </x:c>
      <x:c r="R762" s="4" t="str">
        <x:v>Included</x:v>
      </x:c>
    </x:row>
    <x:row r="763" ht="294" hidden="0" customHeight="1">
      <x:c r="A763" s="16" t="str">
        <x:v>REC50-R22-005</x:v>
      </x:c>
      <x:c r="B763" s="4" t="str">
        <x:v>Norway restricts Russian road-transport undertakings at Storskog, April 2022</x:v>
      </x:c>
      <x:c r="C763" s="4" t="str">
        <x:v>Norway; Russia</x:v>
      </x:c>
      <x:c r="D763" s="4" t="str">
        <x:v>Storskog
Norwegian road-carrier prohibition with documented application to the Storskog route toward Tromsø and Barentsburg.</x:v>
      </x:c>
      <x:c r="E763" s="4" t="str">
        <x:v>Non-exempt road-transport undertakings established in Russia
Direction: Russian-carrier road goods transport into Norway; the underlying national rule is broader than this observed route
Exceptions: Specified journeys begun before 29 April have conditional grace through 7 May; universal mail and authorised specified goods remain excepted. Unrestricted carriage by a different eligible operator is not the same cohort.</x:v>
      </x:c>
      <x:c r="F763" s="4" t="str">
        <x:v>REC50-R22-005-P1 — Formal policy
Norwegian prohibition on non-exempt Russian-established road carriers, with Storskog implementation evidence
Start: 2022-04-29.
Last confirmed: 2022-07-06. Reopening is not established.
Formal policy: confirmed through 2022-07-06; at least 68 calendar-day difference; reopening unknown
Separate current formal-status observation: DEKSA guidance retrieved 2026-10-26 retains this prohibition. This observation is not a new onset or an uninterrupted gate-operation record.</x:v>
      </x:c>
      <x:c r="G763" s="4" t="str">
        <x:v>Interstate disputes and pressure / Sanctions and coercive pressure
Attributed official justification
Applies to: The specified policy or cargo-restriction regime; no claim of a single primary rationale.
The government expressly identifies coordinated sanctions intended to pressure the Russian regime and reduce its ability to finance the war.</x:v>
      </x:c>
      <x:c r="H763" s="4" t="str">
        <x:v>The April 29, 2022 prohibition applies to non-exempt Russian-established road-goods carriers; mail and specified authorised consignments remain qualified. Passage of supplies with another eligible operator does not reopen this carrier cohort. DEKSA’s standing guidance inspected October 26, 2026 still states the carrier prohibition and excludes passenger traffic. Later ownership and trailer provisions are not silently backdated to April 2022. Final lifting and the complete amendment chronology remain unknown.</x:v>
      </x:c>
      <x:c r="I763" s="4" t="str">
        <x:v>Second full-register audit, 26 October 2026: additional source-audited corrections incorporated. See the phase, scope and qualification columns for the accepted findings.</x:v>
      </x:c>
      <x:c r="J763" s="18" t="d">
        <x:v>2026-10-26T00:00:00.000Z</x:v>
      </x:c>
      <x:c r="K763" s="21" t="str">
        <x:f>IFERROR(HYPERLINK("https://www.regjeringen.no/en/whats-new/new-sanctions-against-russia-incorporated-into-norwegian-law/id2910809/","Norwegian Ministries of Foreign Affairs and Industry, Commerce and Fisheries"),"Norwegian Ministries of Foreign Affairs and Industry, Commerce and Fisheries")</x:f>
        <x:v>Norwegian Ministries of Foreign Affairs and Industry, Commerce and Fisheries</x:v>
      </x:c>
      <x:c r="L763" s="21" t="str">
        <x:f>IFERROR(HYPERLINK("https://e24.no/naeringsliv/i/x8aral/russland-faar-likevel-sende-varer-fra-norge-til-svalbard-bekrefter-ud-til-nrk","E24"),"E24")</x:f>
        <x:v>E24</x:v>
      </x:c>
      <x:c r="M763" s="21"/>
      <x:c r="N763" s="4" t="str">
        <x:v>https://www.regjeringen.no/en/whats-new/new-sanctions-against-russia-incorporated-into-norwegian-law/id2910809/
https://e24.no/naeringsliv/i/x8aral/russland-faar-likevel-sende-varer-fra-norge-til-svalbard-bekrefter-ud-til-nrk
https://deksa.no/sanksjoner/sanksjoner-mot-russland/veileder-om-sanksjoner-mot-russland/</x:v>
      </x:c>
      <x:c r="O763" s="4" t="str">
        <x:v>Second full-register audit source access, 26 October 2026
https://www.regjeringen.no/en/whats-new/new-sanctions-against-russia-incorporated-into-norwegian-law/id2910809/: full text (fresh retrieval)
https://e24.no/naeringsliv/i/x8aral/russland-faar-likevel-sende-varer-fra-norge-til-svalbard-bekrefter-ud-til-nrk: search extract (fresh retrieval) — Visible text is partial and lacks full date/transfer details.
https://deksa.no/sanksjoner/sanksjoner-mot-russland/veileder-om-sanksjoner-mot-russland/: full text (fresh retrieval) — Standing guidance retrieved October 26; later ownership/trailer provisions are not backdated.
Prior audit access record
Full-register audit source access (evidence cutoff 25 October 2026)
https://www.regjeringen.no/en/whats-new/new-sanctions-against-russia-incorporated-into-norwegian-law/id2910809/: full text
https://www.regjeringen.no/en/whats-new/new-sanctions-against-russia-incorporated-into-norwegian-law/id2910809/: full text
https://e24.no/naeringsliv/i/x8aral/russland-faar-likevel-sende-varer-fra-norge-til-svalbard-bekrefter-ud-til-nrk: full text
https://deksa.no/sanksjoner/sanksjoner-mot-russland/veileder-om-sanksjoner-mot-russland/: full text
Earlier recorded access
Source 1: full text
Source 2: full text</x:v>
      </x:c>
      <x:c r="P763" s="20" t="n">
        <x:v>1</x:v>
      </x:c>
      <x:c r="Q763" s="4" t="str">
        <x:v>Europe</x:v>
      </x:c>
      <x:c r="R763" s="4" t="str">
        <x:v>Included</x:v>
      </x:c>
    </x:row>
    <x:row r="764" ht="409" hidden="0" customHeight="1">
      <x:c r="A764" s="16" t="str">
        <x:v>REC50-R22-006</x:v>
      </x:c>
      <x:c r="B764" s="4" t="str">
        <x:v>Lithuania restricts selected sanctioned Kaliningrad rail cargo, June–July 2022</x:v>
      </x:c>
      <x:c r="C764" s="4" t="str">
        <x:v>Lithuania; Russia; Belarus (rail transit approach)</x:v>
      </x:c>
      <x:c r="D764" s="4" t="str">
        <x:v>Kena is named for a cement train; other transit gates are not inferred from the national corridor label
Specified goods in rail transit through Lithuania between mainland Russia and Kaliningrad; Kena is documented for returning cement cargo. No universal Kaliningrad blockade or full Lithuanian border closure is inferred.</x:v>
      </x:c>
      <x:c r="E764" s="4" t="str">
        <x:v>Selected sanctioned rail commodities, with steel/ferrous policy evidence and a separately evidenced cement return
Direction: Mainland Russia toward Kaliningrad for the observed return; the formal regime concerns transit to and from Kaliningrad
Exceptions: Passengers and non-sanctioned goods continued. Conditional essential-goods rail transit later used commodity quotas; luxury, military/dual-use and road-transport limitations were not universally lifted.</x:v>
      </x:c>
      <x:c r="F764" s="4" t="str">
        <x:v>REC50-R22-006-P1 — Formal policy
Initial steel and ferrous-metal rail-transit restriction through Lithuania to/from Kaliningrad
Start: 2022-06-17.
Original policy confirmed: 2022-06-20.
Conditional rail-transit regime authorised by operator from: 2022-07-22, following July 13 Commission guidance.
This is a policy-scope transition, not an observed first steel train.
Formal policy: dated evidence; numeric duration withheld; see qualification
REC50-R22-006-P2 — Observed operation
Cement cargo returning by rail through Lithuania to Kaliningrad, including a Kena-checked train
Start: unknown.
Observed scoped reopening: by 2022-07-26; earliest bound unknown.
dated evidence; numeric duration withheld; see qualification</x:v>
      </x:c>
      <x:c r="G764" s="4" t="str">
        <x:v>Interstate disputes and pressure / Sanctions and coercive pressure
Attributed official justification
Applies to: The specified policy or cargo-restriction regime; no claim of a single primary rationale.
Lithuania attributes the commodity restrictions to implementation of EU sanctions. Competing blockade descriptions are interested-party characterisations, not an additional proven rationale or a universal traffic scope.</x:v>
      </x:c>
      <x:c r="H764" s="4" t="str">
        <x:v>P1 describes the initial June 17, 2022 steel/ferrous rail-transit restriction. July 13 Commission guidance and LTG’s July 22 authorisation introduce a conditional essential-needs quota regime; July 22 is a policy-scope change, not an observed first steel train. Later iron/steel quota exhaustion shows that this was not unrestricted reopening. P2 retains observed cement return by July 26 with unknown actual start and first-passage clock. Early and later reports disagree on whether the five-wagon Kena train was first or second; this does not undermine the by-July-26 bound. Ministry guidance updated March 13, 2026 continues to allow capped essential-needs rail transit while military/dual-use and sanctioned road transit remain distinct prohibitions. Passengers and nonsanctioned goods were not generally blocked.</x:v>
      </x:c>
      <x:c r="I764" s="4" t="str">
        <x:v>Second full-register audit, 26 October 2026: qualified. Commodity-specific onset, July 22 conditional authorisation and by-July 26 cement passage remain distinct and supported.</x:v>
      </x:c>
      <x:c r="J764" s="18" t="d">
        <x:v>2026-10-26T00:00:00.000Z</x:v>
      </x:c>
      <x:c r="K764" s="21" t="str">
        <x:f>IFERROR(HYPERLINK("https://www.urm.lt/en/news/928/statement-on-the-transit-of-sanctioned-goods-by-rail-to-and-from-kaliningrad:35022","Lithuanian Ministry of Foreign Affairs"),"Lithuanian Ministry of Foreign Affairs")</x:f>
        <x:v>Lithuanian Ministry of Foreign Affairs</x:v>
      </x:c>
      <x:c r="L764" s="21" t="str">
        <x:f>IFERROR(HYPERLINK("https://doc.ltg.lt/en/About%20us/Reports/2022/Annual/KFA_LTG_2022_EU.pdf","Lietuvos Geležinkeliai (LTG)"),"Lietuvos Geležinkeliai (LTG)")</x:f>
        <x:v>Lietuvos Geležinkeliai (LTG)</x:v>
      </x:c>
      <x:c r="M764" s="21" t="str">
        <x:f>IFERROR(HYPERLINK("https://www.lrt.lt/en/news-in-english/19/1745645/lithuanian-railways-resumes-transit-of-sanctioned-goods-to-kaliningrad","LRT / BNS"),"LRT / BNS")</x:f>
        <x:v>LRT / BNS</x:v>
      </x:c>
      <x:c r="N764" s="4" t="str">
        <x:v>https://www.urm.lt/en/news/928/statement-on-the-transit-of-sanctioned-goods-by-rail-to-and-from-kaliningrad:35022
https://doc.ltg.lt/en/About%20us/Reports/2022/Annual/KFA_LTG_2022_EU.pdf
https://www.lrt.lt/en/news-in-english/19/1745645/lithuanian-railways-resumes-transit-of-sanctioned-goods-to-kaliningrad
https://www.lrt.lt/en/news-in-english/19/1738198/sanctioned-goods-to-kaliningrad-can-transit-lithuania-by-rail-says-brussels
https://ec.europa.eu/commission/presscorner/detail/en/ip_22_4507
https://www.lrt.lt/en/news-in-english/19/1746506/first-russian-train-with-sanctioned-goods-reaches-lithuanian-border-as-kaliningrad-transit-resumes
https://www.baltictimes.com/first_train_with_sanctioned_russian_goods_transits_via_lithuania_to_kaliningrad/
https://interfax.com/newsroom/top-stories/81659/
https://www.urm.lt/en/news/928/statement-on-the-transit-of-sanctioned-goods-by-rail-to-and-from-kaliningrad%3A35022
https://www.lrt.lt/en/news-in-english/19/1746506/first-russian-train-with-sanctioned-goods-
https://www.lrt.lt/en/news-in-english/19/1757913/kaliningrad-has-already-used-up-transit-quotas-for-some-sanctioned-goods-lithuania-s-ltg%20
https://sumin.lrv.lt/lt/veiklos-sritys/sankcijos/gelezinkeliu-transportas-3/</x:v>
      </x:c>
      <x:c r="O764" s="4" t="str">
        <x:v>Second full-register audit source access, 26 October 2026
https://www.urm.lt/en/news/928/statement-on-the-transit-of-sanctioned-goods-by-rail-to-and-from-kaliningrad:35022: full text (fresh retrieval)
https://www.lrt.lt/en/news-in-english/19/1745645/lithuanian-railways-resumes-transit-of-sanctioned-goods-to-kaliningrad: search extract (fresh retrieval) — Substantive indexed article; direct retrieval restricted.
https://www.baltictimes.com/first_train_with_sanctioned_russian_goods_transits_via_lithuania_to_kaliningrad/: search extract (fresh retrieval) — Substantive indexed article; direct retrieval blocked.
https://sumin.lrv.lt/lt/veiklos-sritys/sankcijos/gelezinkeliu-transportas-3/: full text (fresh retrieval)
Earlier URLs not separately inspected in this second assessment:
https://doc.ltg.lt/en/About%20us/Reports/2022/Annual/KFA_LTG_2022_EU.pdf
https://www.lrt.lt/en/news-in-english/19/1738198/sanctioned-goods-to-kaliningrad-can-transit-lithuania-by-rail-says-brussels
https://ec.europa.eu/commission/presscorner/detail/en/ip_22_4507
https://www.lrt.lt/en/news-in-english/19/1746506/first-russian-train-with-sanctioned-goods-reaches-lithuanian-border-as-kaliningrad-transit-resumes
https://interfax.com/newsroom/top-stories/81659/
https://www.urm.lt/en/news/928/statement-on-the-transit-of-sanctioned-goods-by-rail-to-and-from-kaliningrad%3A35022
https://www.lrt.lt/en/news-in-english/19/1746506/first-russian-train-with-sanctioned-goods-
https://www.lrt.lt/en/news-in-english/19/1757913/kaliningrad-has-already-used-up-transit-quotas-for-some-sanctioned-goods-lithuania-s-ltg%20
Prior audit access record
Full-register audit source access (evidence cutoff 25 October 2026)
https://www.urm.lt/en/news/928/statement-on-the-transit-of-sanctioned-goods-by-rail-to-and-from-kaliningrad%3A35022: full text
https://www.lrt.lt/en/news-in-english/19/1745645/lithuanian-railways-resumes-transit-of-sanctioned-goods-to-kaliningrad: search extract
https://www.baltictimes.com/first_train_with_sanctioned_russian_goods_transits_via_lithuania_to_kaliningrad/: search extract
https://www.lrt.lt/en/news-in-english/19/1746506/first-russian-train-with-sanctioned-goods-: search extract
https://interfax.com/newsroom/top-stories/81659/: full text
https://www.lrt.lt/en/news-in-english/19/1757913/kaliningrad-has-already-used-up-transit-quotas-for-some-sanctioned-goods-lithuania-s-ltg%20: search extract
https://sumin.lrv.lt/lt/veiklos-sritys/sankcijos/gelezinkeliu-transportas-3/: full text
https://ec.europa.eu/commission/presscorner/detail/en/ip_22_4507: inaccessible
Earlier source URLs not separately listed in this audit’s retrieval log (historical access notes below are not fresh verification):
https://www.urm.lt/en/news/928/statement-on-the-transit-of-sanctioned-goods-by-rail-to-and-from-kaliningrad:35022
https://doc.ltg.lt/en/About%20us/Reports/2022/Annual/KFA_LTG_2022_EU.pdf
https://www.lrt.lt/en/news-in-english/19/1738198/sanctioned-goods-to-kaliningrad-can-transit-lithuania-by-rail-says-brussels
https://www.lrt.lt/en/news-in-english/19/1746506/first-russian-train-with-sanctioned-goods-reaches-lithuanian-border-as-kaliningrad-transit-resumes
Earlier recorded access
Source 1: full text
Source 2: full text
Source 3: full text</x:v>
      </x:c>
      <x:c r="P764" s="20" t="n">
        <x:v>2</x:v>
      </x:c>
      <x:c r="Q764" s="4" t="str">
        <x:v>Europe</x:v>
      </x:c>
      <x:c r="R764" s="4" t="str">
        <x:v>Included</x:v>
      </x:c>
    </x:row>
    <x:row r="765" ht="330" hidden="0" customHeight="1">
      <x:c r="A765" s="16" t="str">
        <x:v>REC50-R23-001</x:v>
      </x:c>
      <x:c r="B765" s="4" t="str">
        <x:v>Ghulam Khan inherited restriction and March 2018 freight restoration</x:v>
      </x:c>
      <x:c r="C765" s="4" t="str">
        <x:v>Pakistan; Afghanistan</x:v>
      </x:c>
      <x:c r="D765" s="4" t="str">
        <x:v>Ghulam Khan</x:v>
      </x:c>
      <x:c r="E765" s="4" t="str">
        <x:v>Commercial freight from Pakistan into Afghanistan
Direction: Pakistan to Afghanistan; later import schedule is contextual
Exceptions: Later exports/imports followed different weekly schedules; passenger restoration was not established.</x:v>
      </x:c>
      <x:c r="F765" s="4" t="str">
        <x:v>REC50-R23-001-P1 — Observed operation
Ghulam Khan freight from Pakistan into Afghanistan at first reported March 2018 return
Start: June 2014 (month precision; 2014-06-01 to 2014-06-30).
Observed scoped reopening: 2018-03-09.
Last confirmed observation: 2018-03-05.
Reported sustained freight restriction longer than 24 hours; exact continuous elapsed duration withheld.</x:v>
      </x:c>
      <x:c r="G765" s="4" t="str">
        <x:v>Security / Armed attacks and terrorism
Reported reason attributed to the authority or reporting source
Applies to: REC50-R23-001-P1
Sources explicitly link the original closure to the operation against militants. This is a reported security explanation, not proof of all underlying purposes.</x:v>
      </x:c>
      <x:c r="H765" s="4" t="str">
        <x:v>REC50-R23-001-P1: The inherited onset is reported as June 2014, retained at month precision rather than an invented day. The sustained restriction qualifies as longer than 24 hours. Actual loaded freight entered Afghanistan on 9 March 2018. March 7 was a plan; later April-trial and May-formal-opening descriptions do not replace actual March passage. Those differing milestones and possible intermediate operations prevent one exact continuous duration. The later weekly trade schedule and freight restoration do not establish general passenger reopening.</x:v>
      </x:c>
      <x:c r="I765" s="4" t="str">
        <x:v>Second full-register audit, 26 October 2026: additional source-audited corrections incorporated. See the phase, scope and qualification columns for the accepted findings.</x:v>
      </x:c>
      <x:c r="J765" s="18" t="d">
        <x:v>2026-10-26T00:00:00.000Z</x:v>
      </x:c>
      <x:c r="K765" s="21" t="str">
        <x:f>IFERROR(HYPERLINK("https://radio.gov.pk/09-03-2018/ghulam-khan-check-post-in-nwa-reopens-for-pak-afghan-trade","Radio Pakistan"),"Radio Pakistan")</x:f>
        <x:v>Radio Pakistan</x:v>
      </x:c>
      <x:c r="L765" s="21" t="str">
        <x:f>IFERROR(HYPERLINK("https://www.thenews.com.pk/print/290613-ghulam-khan-border-crossing-reopened","The News International"),"The News International")</x:f>
        <x:v>The News International</x:v>
      </x:c>
      <x:c r="M765" s="21" t="str">
        <x:f>IFERROR(HYPERLINK("https://h.aa.com.tr/en/asia-pacific/pakistan-reopens-key-trade-route-with-afghanistan/1133889","Anadolu Agency"),"Anadolu Agency")</x:f>
        <x:v>Anadolu Agency</x:v>
      </x:c>
      <x:c r="N765" s="4" t="str">
        <x:v>https://radio.gov.pk/09-03-2018/ghulam-khan-check-post-in-nwa-reopens-for-pak-afghan-trade
https://www.thenews.com.pk/print/290613-ghulam-khan-border-crossing-reopened
https://h.aa.com.tr/en/asia-pacific/pakistan-reopens-key-trade-route-with-afghanistan/1133889
https://www.dawn.com/news/1393192/ghulam-khan-route-to-open-on-7th</x:v>
      </x:c>
      <x:c r="O765" s="4" t="str">
        <x:v>Second full-register audit source access, 26 October 2026
https://radio.gov.pk/09-03-2018/ghulam-khan-check-post-in-nwa-reopens-for-pak-afghan-trade: full text (fresh retrieval)
https://h.aa.com.tr/en/asia-pacific/pakistan-reopens-key-trade-route-with-afghanistan/1133889: full text (fresh retrieval)
https://www.dawn.com/news/1393192/ghulam-khan-route-to-open-on-7th: search extract (fresh retrieval) — Retrospective month; March 7 proposed only
Earlier URLs not separately inspected in this second assessment:
https://www.thenews.com.pk/print/290613-ghulam-khan-border-crossing-reopened
Prior audit access record
Full-register audit source access (evidence cutoff 25 October 2026)
https://radio.gov.pk/09-03-2018/ghulam-khan-check-post-in-nwa-reopens-for-pak-afghan-trade: full text
https://www.thenews.com.pk/print/290613-ghulam-khan-border-crossing-reopened: full text
https://h.aa.com.tr/en/asia-pacific/pakistan-reopens-key-trade-route-with-afghanistan/1133889: full text
https://www.dawn.com/news/1393192/ghulam-khan-route-to-open-on-7th: full text — Plan only
Earlier recorded access
Source 1: full text
Source 2: full text
Source 3: full text</x:v>
      </x:c>
      <x:c r="P765" s="20" t="n">
        <x:v>1</x:v>
      </x:c>
      <x:c r="Q765" s="4" t="str">
        <x:v>South Asia</x:v>
      </x:c>
      <x:c r="R765" s="4" t="str">
        <x:v>Included</x:v>
      </x:c>
    </x:row>
    <x:row r="766" ht="330" hidden="0" customHeight="1">
      <x:c r="A766" s="16" t="str">
        <x:v>REC50-R23-002</x:v>
      </x:c>
      <x:c r="B766" s="4" t="str">
        <x:v>Kharlachi COVID goods restriction, March–July 2020</x:v>
      </x:c>
      <x:c r="C766" s="4" t="str">
        <x:v>Pakistan; Afghanistan</x:v>
      </x:c>
      <x:c r="D766" s="4" t="str">
        <x:v>Kharlachi</x:v>
      </x:c>
      <x:c r="E766" s="4" t="str">
        <x:v>Commercial goods trade
Direction: Both directions or unspecified in the reports
Exceptions: Other Pakistan–Afghanistan crossings reopened earlier; their dates do not set this post’s dates. Passenger scope remains outside the phase.</x:v>
      </x:c>
      <x:c r="F766" s="4" t="str">
        <x:v>REC50-R23-002-P1 — Observed operation
Kharlachi bilateral goods trade during the 2020 COVID restriction
Start: 2020-03-15.
Observed scoped reopening: 2020-07-11.
118 calendar-day difference; scoped endpoint only</x:v>
      </x:c>
      <x:c r="G766" s="4" t="str">
        <x:v>Health and biosecurity / Human disease control
Reported reason attributed to the authority or reporting source
Applies to: REC50-R23-002-P1
The restriction is explicitly reported as a COVID containment measure; later traders’ livelihood complaints are consequences, not an additional closure rationale.</x:v>
      </x:c>
      <x:c r="H766" s="4" t="str">
        <x:v>REC50-R23-002-P1: 118 calendar-day difference for the reported Kharlachi goods restriction from 15 March to 11 July 2020. March 15 comes from a retrospective named-trader account, supported by continuing June restriction and July reopening reports; it is not imported from another crossing. No passenger endpoint or measured elapsed-hour precision is claimed.</x:v>
      </x:c>
      <x:c r="I766" s="4" t="str">
        <x:v>Second full-register audit, 26 October 2026: qualified. Kharlachi’s own reopening is supported by fresh named-official reporting; the existing post-specific dates and COVID scope remain appropriate.</x:v>
      </x:c>
      <x:c r="J766" s="18" t="d">
        <x:v>2026-10-26T00:00:00.000Z</x:v>
      </x:c>
      <x:c r="K766" s="21" t="str">
        <x:f>IFERROR(HYPERLINK("https://www.dawn.com/news/1565641/kurram-traders-want-kharlachi-border-crossing-reopened","Dawn"),"Dawn")</x:f>
        <x:v>Dawn</x:v>
      </x:c>
      <x:c r="L766" s="21" t="str">
        <x:f>IFERROR(HYPERLINK("https://www.dawn.com/news/1568453","Dawn"),"Dawn")</x:f>
        <x:v>Dawn</x:v>
      </x:c>
      <x:c r="M766" s="21" t="str">
        <x:f>IFERROR(HYPERLINK("https://www.arabnews.pk/pakistan/pakistans-move-to-reopen-border-will-strengthen-business-ties-says-afghan-special-envoy-1703731","Arab News Pakistan"),"Arab News Pakistan")</x:f>
        <x:v>Arab News Pakistan</x:v>
      </x:c>
      <x:c r="N766" s="4" t="str">
        <x:v>https://www.dawn.com/news/1565641/kurram-traders-want-kharlachi-border-crossing-reopened
https://www.dawn.com/news/1568453
https://www.arabnews.pk/pakistan/pakistans-move-to-reopen-border-will-strengthen-business-ties-says-afghan-special-envoy-1703731</x:v>
      </x:c>
      <x:c r="O766" s="4" t="str">
        <x:v>Second full-register audit source access, 26 October 2026
https://www.dawn.com/news/1565641/kurram-traders-want-kharlachi-border-crossing-reopened: full text (fresh retrieval)
https://www.arabnews.pk/pakistan/pakistans-move-to-reopen-border-will-strengthen-business-ties-says-afghan-special-envoy-1703731: full text (fresh retrieval)
Earlier URLs not separately inspected in this second assessment:
https://www.dawn.com/news/1568453
Prior audit access record
Full-register audit source access (evidence cutoff 25 October 2026)
https://www.dawn.com/news/1565641/kurram-traders-want-kharlachi-border-crossing-reopened: full text — Use only for described time and movement scope.
https://www.arabnews.pk/pakistan/pakistans-move-to-reopen-border-will-strengthen-business-ties-says-afghan-special-envoy-1703731: full text — Use only for described time and movement scope.
Earlier source URLs not separately listed in this audit’s retrieval log (historical access notes below are not fresh verification):
https://www.dawn.com/news/1568453
Earlier recorded access
Source 1: full text
Source 2: full text
Source 3: full text</x:v>
      </x:c>
      <x:c r="P766" s="20" t="n">
        <x:v>1</x:v>
      </x:c>
      <x:c r="Q766" s="4" t="str">
        <x:v>South Asia</x:v>
      </x:c>
      <x:c r="R766" s="4" t="str">
        <x:v>Included</x:v>
      </x:c>
    </x:row>
    <x:row r="767" ht="174" hidden="0" customHeight="1">
      <x:c r="A767" s="16" t="str">
        <x:v>REC50-R23-003</x:v>
      </x:c>
      <x:c r="B767" s="4" t="str">
        <x:v>Chaman commercial interruption and July 2021 freight restoration</x:v>
      </x:c>
      <x:c r="C767" s="4" t="str">
        <x:v>Pakistan; Afghanistan</x:v>
      </x:c>
      <x:c r="D767" s="4" t="str">
        <x:v>Chaman / Spin Boldak</x:v>
      </x:c>
      <x:c r="E767" s="4" t="str">
        <x:v>Commercial freight; returnee pedestrian exceptions are separate
Direction: Pakistan to Afghanistan for directly reported restored freight
Exceptions: Temporary returnee passage did not restore commercial trade. July and August 2021 episodes remain separate.</x:v>
      </x:c>
      <x:c r="F767" s="4" t="str">
        <x:v>REC50-R23-003-P1 — Observed operation
Chaman/Spin Boldak commercial freight into Afghanistan restored in July 2021
Start: unknown. Competing descriptions place the commercial onset earlier in July 2021 or about one month before 26 July.
Observed scoped reopening: 2021-07-26.
Last confirmed observation: 2021-07-25.
Reported sustained commercial interruption longer than 24 hours; exact continuous duration withheld.</x:v>
      </x:c>
      <x:c r="G767" s="4" t="str">
        <x:v>Uncoded
Original official reason not established
Applies to: REC50-R23-003-P1
Armed fighting and changing control are documented context. The precise restricting authority’s official explanation was not established, so no security or political purpose is inferred from context alone.</x:v>
      </x:c>
      <x:c r="H767" s="4" t="str">
        <x:v>REC50-R23-003-P1: Freight entering Afghanistan resumed on 26 July 2021. Trade was still restricted during the 25 July returnee-only opening. Reuters describes closure earlier in July and quotes a month-long suspension: those accounts support a sustained commercial restriction longer than 24 hours, while leaving the exact start unresolved. No exact continuous duration is calculated or joined to the separate August 2021 document dispute. Fighting is documented context; the original official explanation remains uncoded.</x:v>
      </x:c>
      <x:c r="I767" s="4" t="str">
        <x:v>Second full-register audit, 26 October 2026: additional source-audited corrections incorporated. See the phase, scope and qualification columns for the accepted findings.</x:v>
      </x:c>
      <x:c r="J767" s="18" t="d">
        <x:v>2026-10-26T00:00:00.000Z</x:v>
      </x:c>
      <x:c r="K767" s="21" t="str">
        <x:f>IFERROR(HYPERLINK("https://www.euronews.com/2021/07/26/us-afghanistan-conflict-pakistan","Reuters via Euronews"),"Reuters via Euronews")</x:f>
        <x:v>Reuters via Euronews</x:v>
      </x:c>
      <x:c r="L767" s="21" t="str">
        <x:f>IFERROR(HYPERLINK("https://www.brecorder.com/news/40108969","NNI via Business Recorder"),"NNI via Business Recorder")</x:f>
        <x:v>NNI via Business Recorder</x:v>
      </x:c>
      <x:c r="M767" s="21"/>
      <x:c r="N767" s="4" t="str">
        <x:v>https://www.euronews.com/2021/07/26/us-afghanistan-conflict-pakistan
https://www.brecorder.com/news/40108969</x:v>
      </x:c>
      <x:c r="O767" s="4" t="str">
        <x:v>Second full-register audit source access, 26 October 2026
https://www.euronews.com/2021/07/26/us-afghanistan-conflict-pakistan: full text (fresh retrieval)
https://www.brecorder.com/news/40108969: full text (fresh retrieval)
Prior audit access record
Full-register audit source access (evidence cutoff 25 October 2026)
https://www.euronews.com/2021/07/26/us-afghanistan-conflict-pakistan: full text
https://www.brecorder.com/news/40108969: full text
Earlier recorded access
Source 1: full text
Source 2: full text</x:v>
      </x:c>
      <x:c r="P767" s="20" t="n">
        <x:v>1</x:v>
      </x:c>
      <x:c r="Q767" s="4" t="str">
        <x:v>South Asia</x:v>
      </x:c>
      <x:c r="R767" s="4" t="str">
        <x:v>Included</x:v>
      </x:c>
    </x:row>
    <x:row r="768" ht="354" hidden="0" customHeight="1">
      <x:c r="A768" s="16" t="str">
        <x:v>REC50-R23-004</x:v>
      </x:c>
      <x:c r="B768" s="4" t="str">
        <x:v>Chaman December 2022 clash interruption with disputed reopening day</x:v>
      </x:c>
      <x:c r="C768" s="4" t="str">
        <x:v>Pakistan; Afghanistan</x:v>
      </x:c>
      <x:c r="D768" s="4" t="str">
        <x:v>Chaman / Spin Boldak</x:v>
      </x:c>
      <x:c r="E768" s="4" t="str">
        <x:v>Reported border traffic; trade and civilian restoration are described separately
Direction: Both directions or unspecified in the reports
Exceptions: Different reports describe general passage, goods and civilian traffic; first restoration is not securely aligned.</x:v>
      </x:c>
      <x:c r="F768" s="4" t="str">
        <x:v>REC50-R23-004-P1 — Observed operation
Chaman/Spin Boldak crossing interruption during the December 11, 2022 clash
Start: 2022-12-11.
Observed scoped reopening: 2022-12-11 to 2022-12-13.
Contested: dated evidence; numeric duration withheld; see qualification
Held evidence: excluded from numeric duration and animation displays.</x:v>
      </x:c>
      <x:c r="G768" s="4" t="str">
        <x:v>Uncoded
Original official reason not established
Applies to: REC50-R23-004-P1
The clash and temporary interruption are reported, but an agreed closure rationale and responsible initiating actor are not established. Competing accusations are not converted into a single official rationale.</x:v>
      </x:c>
      <x:c r="H768" s="4" t="str">
        <x:v>REC50-R23-004-P1: Closure occurred on 11 December 2022, but first restoration remains contested: Reuters reports Sunday reopening after several hours, Arab News describes Monday trade return, and Al Jazeera frames Tuesday reopening while its official quote establishes normal status that day. Bounds 11–13 December retain the conflict; no numeric or same-day duration is admitted and no uninterrupted two-day closure is asserted.
First restored traffic and separate brief interruptions: Closure occurred on 11 December 2022, but first restoration remains contested: Reuters reports Sunday reopening after several hours, Arab News describes Monday trade return, and Al Jazeera frames Tuesday reopening while its official quote establishes normal status that day. Bounds 11–13 December retain the conflict; no numeric or same-day duration is admitted and no uninterrupted two-day closure is asserted.</x:v>
      </x:c>
      <x:c r="I768" s="4" t="str">
        <x:v>Second full-register audit, 26 October 2026: qualified. Fresh Reuters and AP accounts still disagree on first restoration, while the Tuesday account establishes later normal status. No continuous two-day duration can be safely selected.</x:v>
      </x:c>
      <x:c r="J768" s="18" t="d">
        <x:v>2026-10-26T00:00:00.000Z</x:v>
      </x:c>
      <x:c r="K768" s="21" t="str">
        <x:f>IFERROR(HYPERLINK("https://www.euronews.com/2022/12/12/pakistan-afghanistan","Reuters via Euronews"),"Reuters via Euronews")</x:f>
        <x:v>Reuters via Euronews</x:v>
      </x:c>
      <x:c r="L768" s="21" t="str">
        <x:f>IFERROR(HYPERLINK("https://www.arabnews.pk/pakistan/pm-sharif-condemns-unfortunate-shelling-at-pak-afghan-chaman-border-2214736","Arab News Pakistan"),"Arab News Pakistan")</x:f>
        <x:v>Arab News Pakistan</x:v>
      </x:c>
      <x:c r="M768" s="21" t="str">
        <x:f>IFERROR(HYPERLINK("https://www.aljazeera.com/news/2022/12/13/pakistan-afghanistan-border-crossing-reopens-after-deadly-firing","Al Jazeera"),"Al Jazeera")</x:f>
        <x:v>Al Jazeera</x:v>
      </x:c>
      <x:c r="N768" s="4" t="str">
        <x:v>https://www.euronews.com/2022/12/12/pakistan-afghanistan
https://www.arabnews.pk/pakistan/pm-sharif-condemns-unfortunate-shelling-at-pak-afghan-chaman-border-2214736
https://www.aljazeera.com/news/2022/12/13/pakistan-afghanistan-border-crossing-reopens-after-deadly-firing
https://english.aaj.tv/news/amp/30306619
https://www.arabnews.pk/pakistan/pakistan-reopens-key-afghan-border-point-shut-after-clashes-2215046</x:v>
      </x:c>
      <x:c r="O768" s="4" t="str">
        <x:v>Second full-register audit source access, 26 October 2026
https://www.euronews.com/2022/12/12/pakistan-afghanistan: full text (fresh retrieval)
https://www.arabnews.pk/pakistan/pakistan-reopens-key-afghan-border-point-shut-after-clashes-2215046: full text (fresh retrieval)
https://www.aljazeera.com/news/2022/12/13/pakistan-afghanistan-border-crossing-reopens-after-deadly-firing: full text (fresh retrieval)
Earlier URLs not separately inspected in this second assessment:
https://www.arabnews.pk/pakistan/pm-sharif-condemns-unfortunate-shelling-at-pak-afghan-chaman-border-2214736
https://english.aaj.tv/news/amp/30306619
Prior audit access record
Full-register audit source access (evidence cutoff 25 October 2026)
https://www.euronews.com/2022/12/12/pakistan-afghanistan: full text
https://www.arabnews.pk/pakistan/pm-sharif-condemns-unfortunate-shelling-at-pak-afghan-chaman-border-2214736: full text
https://www.aljazeera.com/news/2022/12/13/pakistan-afghanistan-border-crossing-reopens-after-deadly-firing: full text
https://english.aaj.tv/news/amp/30306619: full text — Full body and indexed text inspected.
https://www.arabnews.pk/pakistan/pakistan-reopens-key-afghan-border-point-shut-after-clashes-2215046: full text — Full AP syndication body inspected.
Earlier recorded access
Source 1: full text
Source 2: full text
Source 3: full text</x:v>
      </x:c>
      <x:c r="P768" s="20" t="n">
        <x:v>1</x:v>
      </x:c>
      <x:c r="Q768" s="4" t="str">
        <x:v>South Asia</x:v>
      </x:c>
      <x:c r="R768" s="4" t="str">
        <x:v>Included</x:v>
      </x:c>
    </x:row>
    <x:row r="769" ht="198" hidden="0" customHeight="1">
      <x:c r="A769" s="16" t="str">
        <x:v>REC50-R23-005</x:v>
      </x:c>
      <x:c r="B769" s="4" t="str">
        <x:v>Chaman restriction for the September 2019 Afghan presidential election</x:v>
      </x:c>
      <x:c r="C769" s="4" t="str">
        <x:v>Pakistan; Afghanistan</x:v>
      </x:c>
      <x:c r="D769" s="4" t="str">
        <x:v>Chaman / Spin Boldak</x:v>
      </x:c>
      <x:c r="E769" s="4" t="str">
        <x:v>Ordinary people, vehicles and goods; emergency patients excepted
Direction: Both directions or unspecified in the reports
Exceptions: Emergency patients exempt under the reported national measure; phase is limited to ordinary Chaman traffic.</x:v>
      </x:c>
      <x:c r="F769" s="4" t="str">
        <x:v>REC50-R23-005-P1 — Observed operation
Ordinary cross-border traffic at Chaman during the September 2019 Afghan presidential-election closure
Start: 2019-09-27.
Observed scoped reopening: 2019-09-29.
2 calendar-day difference; scoped endpoint only</x:v>
      </x:c>
      <x:c r="G769" s="4" t="str">
        <x:v>Electoral politics / Election administration and security
Reported reason attributed to the authority or reporting source
Applies to: REC50-R23-005-P1
The government restriction is explicitly attributed to security for Afghanistan’s presidential election. No additional political pressure or regime-change purpose is inferred.</x:v>
      </x:c>
      <x:c r="H769" s="4" t="str">
        <x:v>REC50-R23-005-P1: 2 calendar-day difference for ordinary Chaman traffic from Friday 27 September to the reported reopening on 29 September 2019. The government window was September 27–28 for Afghan election security, with emergency patients exempt. The endpoint report covers all bilateral crossings; the phase uses Chaman’s specifically reported actual onset. This is not a measured 48-hour claim.</x:v>
      </x:c>
      <x:c r="I769" s="4" t="str">
        <x:v>Second full-register audit, 26 October 2026: qualified. The election closure and 29 September return remain consistent with newly opened reports, including the emergency-patient exception.</x:v>
      </x:c>
      <x:c r="J769" s="18" t="d">
        <x:v>2026-10-26T00:00:00.000Z</x:v>
      </x:c>
      <x:c r="K769" s="21" t="str">
        <x:f>IFERROR(HYPERLINK("https://www.dawn.com/news/1507770/chaman-border-closed-due-to-afghan-polls","Dawn"),"Dawn")</x:f>
        <x:v>Dawn</x:v>
      </x:c>
      <x:c r="L769" s="21" t="str">
        <x:f>IFERROR(HYPERLINK("https://english.aaj.tv/news/10458102/pak-afghan-border-crossings-reopened-for-trade-traffic","Aaj English / INP"),"Aaj English / INP")</x:f>
        <x:v>Aaj English / INP</x:v>
      </x:c>
      <x:c r="M769" s="21"/>
      <x:c r="N769" s="4" t="str">
        <x:v>https://www.dawn.com/news/1507770/chaman-border-closed-due-to-afghan-polls
https://english.aaj.tv/news/10458102/pak-afghan-border-crossings-reopened-for-trade-traffic</x:v>
      </x:c>
      <x:c r="O769" s="4" t="str">
        <x:v>Second full-register audit source access, 26 October 2026
https://www.dawn.com/news/1507770/chaman-border-closed-due-to-afghan-polls: full text (fresh retrieval)
https://english.aaj.tv/news/10458102/pak-afghan-border-crossings-reopened-for-trade-traffic: full text (fresh retrieval)
Prior audit access record
Full-register audit source access (evidence cutoff 25 October 2026)
https://www.dawn.com/news/1507770/chaman-border-closed-due-to-afghan-polls: full text
https://english.aaj.tv/news/10458102/pak-afghan-border-crossings-reopened-for-trade-traffic: full text
Earlier recorded access
Source 1: full text
Source 2: full text</x:v>
      </x:c>
      <x:c r="P769" s="20" t="n">
        <x:v>1</x:v>
      </x:c>
      <x:c r="Q769" s="4" t="str">
        <x:v>South Asia</x:v>
      </x:c>
      <x:c r="R769" s="4" t="str">
        <x:v>Included</x:v>
      </x:c>
    </x:row>
    <x:row r="770" ht="409" hidden="0" customHeight="1">
      <x:c r="A770" s="16" t="str">
        <x:v>REC50-R23-006</x:v>
      </x:c>
      <x:c r="B770" s="4" t="str">
        <x:v>Angoor Adda commercial restriction observations and document-rule dispute, 2024</x:v>
      </x:c>
      <x:c r="C770" s="4" t="str">
        <x:v>Pakistan; Afghanistan</x:v>
      </x:c>
      <x:c r="D770" s="4" t="str">
        <x:v>Angoor Adda / Angur Ada</x:v>
      </x:c>
      <x:c r="E770" s="4" t="str">
        <x:v>Commercial trade; travel complaints are context, not a verified universal passenger ban
Direction: Both directions or unspecified in the reports
Exceptions: January reports disagree about vehicles. April service demands and December document complaints do not establish a continuous universal ban or the same imposing actor.</x:v>
      </x:c>
      <x:c r="F770" s="4" t="str">
        <x:v>REC50-R23-006-P1 — Observed operation
Angoor Adda commercial restriction observations amid document-rule disputes and reopening demands
Start: unknown.
Last confirmed restriction observation: 2024-12-18.
Later commercial resumption reported by 2025-10-04; exact first operational return unknown.
Contested: dated evidence; numeric duration withheld; see qualification
No continuous interval is inferred between the separated observations; retain the later-access bound.</x:v>
      </x:c>
      <x:c r="G770" s="4" t="str">
        <x:v>Uncoded
Original official reason not established
Applies to: REC50-R23-006-P1
Protesters connect restrictions to document requirements and demand services or exemptions. The inspected accounts do not establish the original government rationale or that the service protesters themselves closed the gate; those demands are not automatically coded as the restriction’s purpose.</x:v>
      </x:c>
      <x:c r="H770" s="4" t="str">
        <x:v>REC50-R23-006-P1: Commercial restrictions are reported on 15 April and 18 December 2024. January ministry restoration reporting and incompatible retrospective durations prevent one continuous spell or an exact onset. Pakistan Today reports commercial resumption by 4 October 2025; this bounds later access but is not the exact first truck date. September ceremony and planned convoy dates are not substituted for observed first passage. A separate official customs suspension from 12 October 2025 must not be joined across this reopening. The original 2024 official rationale and restricting actor remain unresolved.</x:v>
      </x:c>
      <x:c r="I770" s="4" t="str">
        <x:v>Second full-register audit, 26 October 2026: additional source-audited corrections incorporated. See the phase, scope and qualification columns for the accepted findings.</x:v>
      </x:c>
      <x:c r="J770" s="18" t="d">
        <x:v>2026-10-26T00:00:00.000Z</x:v>
      </x:c>
      <x:c r="K770" s="21" t="str">
        <x:f>IFERROR(HYPERLINK("https://epaper.dawn.com/DetailImage.php?StoryImage=16_04_2024_008_005","Dawn"),"Dawn")</x:f>
        <x:v>Dawn</x:v>
      </x:c>
      <x:c r="L770" s="21" t="str">
        <x:f>IFERROR(HYPERLINK("https://www.dawn.com/news/1879577/closure-of-angoor-adda-border-protested","Dawn"),"Dawn")</x:f>
        <x:v>Dawn</x:v>
      </x:c>
      <x:c r="M770" s="21" t="str">
        <x:f>IFERROR(HYPERLINK("https://swn.af/en/2024/01/afghanistan-pakistan-border-crossings-reopen-after-eleven-day-closure/","Salam Watandar"),"Salam Watandar")</x:f>
        <x:v>Salam Watandar</x:v>
      </x:c>
      <x:c r="N770" s="4" t="str">
        <x:v>https://epaper.dawn.com/DetailImage.php?StoryImage=16_04_2024_008_005
https://www.dawn.com/news/1879577/closure-of-angoor-adda-border-protested
https://swn.af/en/2024/01/afghanistan-pakistan-border-crossings-reopen-after-eleven-day-closure/
https://logcluster.org/en/node/45647
https://www.pakistantoday.com.pk/2025/10/04/cross-border-trade-resumes-at-angoor-adda-terminal-as-nlc-completes-facility-in-30-days
https://pid.gov.pk/site/press_detail/30722
https://www.arabnews.pk/pakistan/pakistan-reopens-angoor-adda-border-with-afghanistan-after-two-year-closure-2617499</x:v>
      </x:c>
      <x:c r="O770" s="4" t="str">
        <x:v>Second full-register audit source access, 26 October 2026
https://epaper.dawn.com/DetailImage.php?StoryImage=16_04_2024_008_005: full text (fresh retrieval)
https://www.dawn.com/news/1879577/closure-of-angoor-adda-border-protested: full text (fresh retrieval)
https://swn.af/en/2024/01/afghanistan-pakistan-border-crossings-reopen-after-eleven-day-closure/: full text (fresh retrieval)
https://logcluster.org/en/node/45647: inaccessible (fresh retrieval) — Landing page only
https://www.pakistantoday.com.pk/2025/10/04/cross-border-trade-resumes-at-angoor-adda-terminal-as-nlc-completes-facility-in-30-days: full text (fresh retrieval)
https://pid.gov.pk/site/press_detail/30722: full text (fresh retrieval)
https://www.arabnews.pk/pakistan/pakistan-reopens-angoor-adda-border-with-afghanistan-after-two-year-closure-2617499: full text (fresh retrieval) — Not an observed first truck movement
Prior audit access record
Full-register audit source access (evidence cutoff 25 October 2026)
https://epaper.dawn.com/DetailImage.php?StoryImage=16_04_2024_008_005: full text — No proven linkage between protesters and original gate closure
https://www.dawn.com/news/1879577/closure-of-angoor-adda-border-protested: full text — Retrospective length is not onset
https://logcluster.org/en/node/45647: full text — Conflicts with same-date ministry report
https://www.pakistantoday.com.pk/2025/10/04/cross-border-trade-resumes-at-angoor-adda-terminal-as-nlc-completes-facility-in-30-days: full text — NLC statement; retrospective length not adopted
https://pid.gov.pk/site/press_detail/30722: full text — Not continuation of 2024 document dispute
https://swn.af/en/2024/01/afghanistan-pakistan-border-crossings-reopen-after-eleven-day-closure/: full text — Conflicts with logistics bulletin
Earlier recorded access
Source 1: full text
Source 2: full text
Source 3: full text</x:v>
      </x:c>
      <x:c r="P770" s="20" t="n">
        <x:v>1</x:v>
      </x:c>
      <x:c r="Q770" s="4" t="str">
        <x:v>South Asia</x:v>
      </x:c>
      <x:c r="R770" s="4" t="str">
        <x:v>Included</x:v>
      </x:c>
    </x:row>
    <x:row r="771" ht="282" hidden="0" customHeight="1">
      <x:c r="A771" s="16" t="str">
        <x:v>REC50-R26-001</x:v>
      </x:c>
      <x:c r="B771" s="4" t="str">
        <x:v>Kasumbalesa border-service obstruction and freight restoration, August 2018</x:v>
      </x:c>
      <x:c r="C771" s="4" t="str">
        <x:v>Democratic Republic of the Congo; Zambia</x:v>
      </x:c>
      <x:c r="D771" s="4" t="str">
        <x:v>Kasumbalesa</x:v>
      </x:c>
      <x:c r="E771" s="4" t="str">
        <x:v>Import/export vehicles through the official post; approach restrictions are supporting context
Direction: Both directions for the selected import/export vehicles
Exceptions: Informal passage and precise elapsed hours were not established.</x:v>
      </x:c>
      <x:c r="F771" s="4" t="str">
        <x:v>REC50-R26-001-P1 — Observed operation
Kasumbalesa Congolese-side border-service obstruction and import/export vehicle return
Start: 2018-08-03.
Observed scoped reopening: 2018-08-04.
1 calendar-day difference; scoped endpoint only</x:v>
      </x:c>
      <x:c r="G771" s="4" t="str">
        <x:v>Uncoded
Official reason unresolved; political allegations not adopted
Applies to: REC50-R26-001-P1
The official reason was not recovered. Reports associate the event with Katumbi’s attempted return, but the allegation is not coded as established government intent.</x:v>
      </x:c>
      <x:c r="H771" s="4" t="str">
        <x:v>REC50-R26-001-P1: Radio Okapi reports Congolese border services stopped on August 3 and import/export vehicles resumed movement in both directions on August 4. This one-calendar-day difference does not establish an elapsed 24-hour closure or complete exclusion of informal movement. Actualite.cd independently describes approach barriers on August 3. No official closure rationale is established; political allegations are not adopted as fact.</x:v>
      </x:c>
      <x:c r="I771" s="4" t="str">
        <x:v>Second full-register audit, 26 October 2026: source checks completed; readability or formatting changes incorporated. No additional substantive factual correction is counted for this record.</x:v>
      </x:c>
      <x:c r="J771" s="18" t="d">
        <x:v>2026-10-26T00:00:00.000Z</x:v>
      </x:c>
      <x:c r="K771" s="21" t="str">
        <x:f>IFERROR(HYPERLINK("https://www.radiookapi.net/node/183941","Radio Okapi"),"Radio Okapi")</x:f>
        <x:v>Radio Okapi</x:v>
      </x:c>
      <x:c r="L771" s="21" t="str">
        <x:f>IFERROR(HYPERLINK("https://actualite.cd/2018/08/03/rdc-la-route-de-kasumbalesa-vers-la-frontiere-rdczambie-bloquee","Actualite.cd"),"Actualite.cd")</x:f>
        <x:v>Actualite.cd</x:v>
      </x:c>
      <x:c r="M771" s="21" t="str">
        <x:f>IFERROR(HYPERLINK("https://jambordc.info/rdc-7-oddh-condamnent-la-fermeture-de-la-frontiere-de-kasumbalesa-et-parlent-dune-atteinte-a-la-liberte-communique/","Jambordc.info"),"Jambordc.info")</x:f>
        <x:v>Jambordc.info</x:v>
      </x:c>
      <x:c r="N771" s="4" t="str">
        <x:v>https://www.radiookapi.net/node/183941
https://actualite.cd/2018/08/03/rdc-la-route-de-kasumbalesa-vers-la-frontiere-rdczambie-bloquee
https://jambordc.info/rdc-7-oddh-condamnent-la-fermeture-de-la-frontiere-de-kasumbalesa-et-parlent-dune-atteinte-a-la-liberte-communique/</x:v>
      </x:c>
      <x:c r="O771" s="4" t="str">
        <x:v>Second full-register audit source access, 26 October 2026
https://www.radiookapi.net/node/183941: search extract (fresh retrieval) — Fresh direct key-source attempt failed; substantive indexed text inspected.
https://actualite.cd/2018/08/03/rdc-la-route-de-kasumbalesa-vers-la-frontiere-rdczambie-bloquee: full text (fresh retrieval)
Earlier URLs not separately inspected in this second assessment:
https://jambordc.info/rdc-7-oddh-condamnent-la-fermeture-de-la-frontiere-de-kasumbalesa-et-parlent-dune-atteinte-a-la-liberte-communique/
Prior audit access record
Full-register audit source access (evidence cutoff 25 October 2026)
https://www.radiookapi.net/node/183941: search extract — Direct URL unavailable.
https://actualite.cd/2018/08/03/rdc-la-route-de-kasumbalesa-vers-la-frontiere-rdczambie-bloquee: full text
https://jambordc.info/rdc-7-oddh-condamnent-la-fermeture-de-la-frontiere-de-kasumbalesa-et-parlent-dune-atteinte-a-la-liberte-communique/: full text
Earlier recorded access
Source 1: indexed extract
Source 2: full text
Source 3: indexed extract; full text</x:v>
      </x:c>
      <x:c r="P771" s="20" t="n">
        <x:v>1</x:v>
      </x:c>
      <x:c r="Q771" s="4" t="str">
        <x:v>Southern and Central Africa</x:v>
      </x:c>
      <x:c r="R771" s="4" t="str">
        <x:v>Included</x:v>
      </x:c>
    </x:row>
    <x:row r="772" ht="222" hidden="0" customHeight="1">
      <x:c r="A772" s="16" t="str">
        <x:v>REC50-R26-002</x:v>
      </x:c>
      <x:c r="B772" s="4" t="str">
        <x:v>Kasumbalesa truck-driver blockade, March 2019</x:v>
      </x:c>
      <x:c r="C772" s="4" t="str">
        <x:v>Democratic Republic of the Congo; Zambia</x:v>
      </x:c>
      <x:c r="D772" s="4" t="str">
        <x:v>Kasumbalesa</x:v>
      </x:c>
      <x:c r="E772" s="4" t="str">
        <x:v>Commercial import and export trucks
Direction: Import and export truck movement in both directions
Exceptions: Small pedestrian traders resumed limited passage before the truck endpoint.</x:v>
      </x:c>
      <x:c r="F772" s="4" t="str">
        <x:v>REC50-R26-002-P1 — Observed operation
Kasumbalesa Zambian-side driver blockade of import/export trucks
Start: 2019-03-23.
Observed scoped reopening: 2019-03-26.
3 calendar-day difference; scoped endpoint only</x:v>
      </x:c>
      <x:c r="G772" s="4" t="str">
        <x:v>Security / Public order and immediate safety
Explicit source-attributed reason; restricting actor and access limits stated
Applies to: REC50-R26-002-P1
Drivers explicitly demanded protection from insecurity and harassment. This is an attributed safety demand by the obstructing actors, not a certified account of each attack. The trade-protest subtype is not inferred merely because truck drivers protested; no specific trade-rule or charge demand was established.</x:v>
      </x:c>
      <x:c r="H772" s="4" t="str">
        <x:v>REC50-R26-002-P1: Three calendar-day difference for import/export truck passage, March 23–26. Limited pedestrian passage had already resumed by March 25 and is not included in this interval. The sources attribute the obstruction to drivers’ safety and harassment complaints; they do not independently adjudicate every alleged attack.</x:v>
      </x:c>
      <x:c r="I772" s="4" t="str">
        <x:v>Second full-register audit, 26 October 2026: source checks completed; readability or formatting changes incorporated. No additional substantive factual correction is counted for this record.</x:v>
      </x:c>
      <x:c r="J772" s="18" t="d">
        <x:v>2026-10-26T00:00:00.000Z</x:v>
      </x:c>
      <x:c r="K772" s="21" t="str">
        <x:f>IFERROR(HYPERLINK("https://www.radiookapi.net/2019/03/25/actualite/societe/haut-katanga-les-chauffeurs-zambiens-bloquent-la-frontiere-de","Radio Okapi"),"Radio Okapi")</x:f>
        <x:v>Radio Okapi</x:v>
      </x:c>
      <x:c r="L772" s="21" t="str">
        <x:f>IFERROR(HYPERLINK("https://www.radiookapi.net/2019/03/27/actualite/societe/lubumbashi-reouverture-des-frontieres-entre-la-rdc-et-la-zambie","Radio Okapi"),"Radio Okapi")</x:f>
        <x:v>Radio Okapi</x:v>
      </x:c>
      <x:c r="M772" s="21"/>
      <x:c r="N772" s="4" t="str">
        <x:v>https://www.radiookapi.net/2019/03/25/actualite/societe/haut-katanga-les-chauffeurs-zambiens-bloquent-la-frontiere-de
https://www.radiookapi.net/2019/03/27/actualite/societe/lubumbashi-reouverture-des-frontieres-entre-la-rdc-et-la-zambie</x:v>
      </x:c>
      <x:c r="O772" s="4" t="str">
        <x:v>Second full-register audit source access, 26 October 2026
https://www.radiookapi.net/2019/03/25/actualite/societe/haut-katanga-les-chauffeurs-zambiens-bloquent-la-frontiere-de: search extract (fresh retrieval) — Initial fresh direct page opened; follow-up body timed out, substantive indexed text inspected.
https://www.radiookapi.net/2019/03/27/actualite/societe/lubumbashi-reouverture-des-frontieres-entre-la-rdc-et-la-zambie: full text (fresh retrieval)
Prior audit access record
Full-register audit source access (evidence cutoff 25 October 2026)
https://www.radiookapi.net/2019/03/25/actualite/societe/haut-katanga-les-chauffeurs-zambiens-bloquent-la-frontiere-de: full text
https://www.radiookapi.net/2019/03/27/actualite/societe/lubumbashi-reouverture-des-frontieres-entre-la-rdc-et-la-zambie: full text
Earlier recorded access
Source 1: full text
Source 2: full text</x:v>
      </x:c>
      <x:c r="P772" s="20" t="n">
        <x:v>1</x:v>
      </x:c>
      <x:c r="Q772" s="4" t="str">
        <x:v>Southern and Central Africa</x:v>
      </x:c>
      <x:c r="R772" s="4" t="str">
        <x:v>Included</x:v>
      </x:c>
    </x:row>
    <x:row r="773" ht="409" hidden="0" customHeight="1">
      <x:c r="A773" s="16" t="str">
        <x:v>REC50-R26-003</x:v>
      </x:c>
      <x:c r="B773" s="4" t="str">
        <x:v>Kasumbalesa Zambia-entry restriction on ordinary traders observed March 2020</x:v>
      </x:c>
      <x:c r="C773" s="4" t="str">
        <x:v>Democratic Republic of the Congo; Zambia</x:v>
      </x:c>
      <x:c r="D773" s="4" t="str">
        <x:v>Kasumbalesa</x:v>
      </x:c>
      <x:c r="E773" s="4" t="str">
        <x:v>Ordinary small cross-border traders; no blanket cargo closure is claimed
Direction: DRC to Zambia for the observed small-trader cohort
Exceptions: DRC import/export truck exemptions and April1 freight return do not date this ordinary-trader endpoint.</x:v>
      </x:c>
      <x:c r="F773" s="4" t="str">
        <x:v>REC50-R26-003-P1 — Observed operation
Kasumbalesa ordinary small-trader entry into Zambia observed restricted on 27 March 2020
Start: unknown.
Last confirmed: 2020-03-27. Later pedestrian access is confirmed by 2020-05-08; exact policy repeal is not established.
dated evidence; numeric duration withheld; see qualification
Later scoped access: the pedestrian corridor actually reopened on the morning of 8 May 2020. Congolese traders could again cross to obtain goods in Zambia, subject to temperature checks and masks. This bounds the March 27 small-trader restriction by May 8; it does not establish that the entire intervening period was continuously closed, all informal routes reopened, or the exact repeal date of the Zambian measure.</x:v>
      </x:c>
      <x:c r="G773" s="4" t="str">
        <x:v>Health and biosecurity / Human disease control
Explicit source-attributed reason; restricting actor and access limits stated
Applies to: REC50-R26-003-P1
Actualite.cd attributes the Zambian decision to coronavirus prevention. The original Zambian order was not retrieved; no additional commercial or political rationale is inferred.</x:v>
      </x:c>
      <x:c r="H773" s="4" t="str">
        <x:v>REC50-R26-003-P1: Small traders were denied entry to Zambia on 27 March 2020. Exact onset and policy repeal remain unknown; later pedestrian access is confirmed by 8 May 2020. Later March 28 onset wording and April 1 truck restoration do not align with this cohort; DRC truck exemptions and earlier driver refusal further prevent a blanket four-day cargo duration. March 27 is a dated observation, not an invented onset.
Later scoped access: the pedestrian corridor actually reopened on the morning of 8 May 2020. Congolese traders could again cross to obtain goods in Zambia, subject to temperature checks and masks. This bounds the March 27 small-trader restriction by May 8; it does not establish that the entire intervening period was continuously closed, all informal routes reopened, or the exact repeal date of the Zambian measure.</x:v>
      </x:c>
      <x:c r="I773" s="4" t="str">
        <x:v>Second full-register audit, 26 October 2026: qualified. Fresh March 27 refusal and May 8 actual pedestrian reopening reports support the retained small-trader access bound.</x:v>
      </x:c>
      <x:c r="J773" s="18" t="d">
        <x:v>2026-10-26T00:00:00.000Z</x:v>
      </x:c>
      <x:c r="K773" s="21" t="str">
        <x:f>IFERROR(HYPERLINK("https://actualite.cd/index.php/2020/03/27/covid-19-la-zambie-ferme-sa-frontiere-du-cote-de-kasumbalesa-par-prevention","Actualite.cd"),"Actualite.cd")</x:f>
        <x:v>Actualite.cd</x:v>
      </x:c>
      <x:c r="L773" s="21" t="str">
        <x:f>IFERROR(HYPERLINK("https://www.adiac-congo.com/content/rdc-zambie-le-poste-frontalier-de-kasumbalesa-reprend-du-service-115011","Agence d’Information d’Afrique Centrale"),"Agence d’Information d’Afrique Centrale")</x:f>
        <x:v>Agence d’Information d’Afrique Centrale</x:v>
      </x:c>
      <x:c r="M773" s="21" t="str">
        <x:f>IFERROR(HYPERLINK("https://www.radiookapi.net/2020/03/29/actualite/sante/haut-katanga-la-frontiere-de-kasumbalesa-fermee-0","Radio Okapi"),"Radio Okapi")</x:f>
        <x:v>Radio Okapi</x:v>
      </x:c>
      <x:c r="N773" s="4" t="str">
        <x:v>https://actualite.cd/index.php/2020/03/27/covid-19-la-zambie-ferme-sa-frontiere-du-cote-de-kasumbalesa-par-prevention
https://www.adiac-congo.com/content/rdc-zambie-le-poste-frontalier-de-kasumbalesa-reprend-du-service-115011
https://www.radiookapi.net/2020/03/29/actualite/sante/haut-katanga-la-frontiere-de-kasumbalesa-fermee-0
https://www.radiookapi.net/node/200913
https://www.tradebarriers.org/complaint/NTB-000-950
https://paulshalala.blogspot.com/2020/03/?m=0
https://actualite.cd/index.php/2020/05/08/rdc-zambie-le-couloir-pietonnier-rouvert-kasumbalesa-des-mesures-barrieres-renforcees
https://actualite.cd/index.php/2020/05/07/kasumbalesa-apres-une-journee-sous-tension-le-maire-annonce-louverture-des-ce-vendredi</x:v>
      </x:c>
      <x:c r="O773" s="4" t="str">
        <x:v>Second full-register audit source access, 26 October 2026
https://actualite.cd/index.php/2020/03/27/covid-19-la-zambie-ferme-sa-frontiere-du-cote-de-kasumbalesa-par-prevention: full text (fresh retrieval)
https://actualite.cd/index.php/2020/05/08/rdc-zambie-le-couloir-pietonnier-rouvert-kasumbalesa-des-mesures-barrieres-renforcees: full text (fresh retrieval)
Earlier URLs not separately inspected in this second assessment:
https://www.adiac-congo.com/content/rdc-zambie-le-poste-frontalier-de-kasumbalesa-reprend-du-service-115011
https://www.radiookapi.net/2020/03/29/actualite/sante/haut-katanga-la-frontiere-de-kasumbalesa-fermee-0
https://www.radiookapi.net/node/200913
https://www.tradebarriers.org/complaint/NTB-000-950
https://paulshalala.blogspot.com/2020/03/?m=0
https://actualite.cd/index.php/2020/05/07/kasumbalesa-apres-une-journee-sous-tension-le-maire-annonce-louverture-des-ce-vendredi
Prior audit access record
Full-register audit source access (evidence cutoff 25 October 2026)
https://actualite.cd/index.php/2020/03/27/covid-19-la-zambie-ferme-sa-frontiere-du-cote-de-kasumbalesa-par-prevention: full text — See specific claim qualifications.
https://actualite.cd/index.php/2020/05/08/rdc-zambie-le-couloir-pietonnier-rouvert-kasumbalesa-des-mesures-barrieres-renforcees: full text — See specific claim qualifications.
https://actualite.cd/index.php/2020/05/07/kasumbalesa-apres-une-journee-sous-tension-le-maire-annonce-louverture-des-ce-vendredi: search extract — See specific claim qualifications.
Earlier source URLs not separately listed in this audit’s retrieval log (historical access notes below are not fresh verification):
https://www.adiac-congo.com/content/rdc-zambie-le-poste-frontalier-de-kasumbalesa-reprend-du-service-115011
https://www.radiookapi.net/2020/03/29/actualite/sante/haut-katanga-la-frontiere-de-kasumbalesa-fermee-0
https://www.radiookapi.net/node/200913
https://www.tradebarriers.org/complaint/NTB-000-950
https://paulshalala.blogspot.com/2020/03/?m=0
Earlier recorded access
Source 1: full text
Source 2: full text; indexed extract
Source 3: full text; indexed extract</x:v>
      </x:c>
      <x:c r="P773" s="20" t="n">
        <x:v>1</x:v>
      </x:c>
      <x:c r="Q773" s="4" t="str">
        <x:v>Southern and Central Africa</x:v>
      </x:c>
      <x:c r="R773" s="4" t="str">
        <x:v>Included</x:v>
      </x:c>
    </x:row>
    <x:row r="774" ht="282" hidden="0" customHeight="1">
      <x:c r="A774" s="16" t="str">
        <x:v>REC50-R26-004</x:v>
      </x:c>
      <x:c r="B774" s="4" t="str">
        <x:v>Karombo and Goli customs-service peace protest observed in May 2020</x:v>
      </x:c>
      <x:c r="C774" s="4" t="str">
        <x:v>Democratic Republic of the Congo; Uganda</x:v>
      </x:c>
      <x:c r="D774" s="4" t="str">
        <x:v>Karombo; Goli / Anzida, Mahagi</x:v>
      </x:c>
      <x:c r="E774" s="4" t="str">
        <x:v>DGDA, OCC and related border-service processing; wider passenger/vehicle scope unverified
Direction: Not separately established
Exceptions: The report establishes service offices closed, not a universal prohibition on passengers or all informal movements.</x:v>
      </x:c>
      <x:c r="F774" s="4" t="str">
        <x:v>REC50-R26-004-P1 — Observed operation
Karombo and Goli/Anzida customs and control offices closed in response to a civil-society peace appeal.
Start: unknown.
Last confirmed for this protest: 2020-05-14.
Later service observations: Karombo DGDA revenue operations are described on 2020-08-16. Customs offices at both Goli and Karombo are explicitly reported reopened on 2021-12-03 after a separate three-day protest. These are scoped later service-access bounds, not the first reopening of the May 2020 episode.</x:v>
      </x:c>
      <x:c r="G774" s="4" t="str">
        <x:v>Security / Public order and immediate safety
Explicit source-attributed reason; restricting actor and access limits stated
Applies to: REC50-R26-004-P1
The named civil-society coordinator explicitly describes a demand to restore peace and local safety. This is the appeal’s attributed reason, not an inferred government security rationale or proof of a particular armed group’s responsibility.</x:v>
      </x:c>
      <x:c r="H774" s="4" t="str">
        <x:v>The full May 14, 2020 account names closed DGDA and OCC offices. A local rights advocate also reports no entry or exit and says only intelligence services were operating; this is an attributed claim, not independently verified universal passenger or vehicle denial. Later evidence matches Karombo DGDA activity and subsequently customs offices at both posts, without separately verifying every OCC function. No continuous May 2020–December 2021 stoppage or exact first reopening is inferred. The December 2021 Okapi report was available as substantive indexed text; its direct retrieval failed.</x:v>
      </x:c>
      <x:c r="I774" s="4" t="str">
        <x:v>Second full-register audit, 26 October 2026: additional source-audited corrections incorporated. See the phase, scope and qualification columns for the accepted findings.</x:v>
      </x:c>
      <x:c r="J774" s="18" t="d">
        <x:v>2026-10-26T00:00:00.000Z</x:v>
      </x:c>
      <x:c r="K774" s="21" t="str">
        <x:f>IFERROR(HYPERLINK("https://7sur7.cd/2020/05/14/ituri-insecurite-les-activites-douanieres-larret-au-poste-frontalier-de-mahagi-pour","7sur7.cd"),"7sur7.cd")</x:f>
        <x:v>7sur7.cd</x:v>
      </x:c>
      <x:c r="L774" s="21"/>
      <x:c r="M774" s="21"/>
      <x:c r="N774" s="4" t="str">
        <x:v>https://7sur7.cd/2020/05/14/ituri-insecurite-les-activites-douanieres-larret-au-poste-frontalier-de-mahagi-pour
https://buniaactualite.cd/mahagi-montee-en-fleche-des-recettes-douanieres-au-poste-de-la-dgda-karombo/
https://www.radiookapi.net/2021/12/04/actualite/economie/ituri-reprise-des-activites-mahagi-apres-3-jours-de-ville-morte</x:v>
      </x:c>
      <x:c r="O774" s="4" t="str">
        <x:v>Second full-register audit source access, 26 October 2026
https://7sur7.cd/2020/05/14/ituri-insecurite-les-activites-douanieres-larret-au-poste-frontalier-de-mahagi-pour: full text (fresh retrieval)
https://buniaactualite.cd/mahagi-montee-en-fleche-des-recettes-douanieres-au-poste-de-la-dgda-karombo/: full text (fresh retrieval)
https://www.radiookapi.net/2021/12/04/actualite/economie/ituri-reprise-des-activites-mahagi-apres-3-jours-de-ville-morte: search extract (fresh retrieval) — Full substantive indexed report; direct retrieval timed out.
Prior audit access record
Full-register audit source access (evidence cutoff 25 October 2026)
https://7sur7.cd/2020/05/14/ituri-insecurite-les-activites-douanieres-larret-au-poste-frontalier-de-mahagi-pour: search extract — Direct page timed out; substantive indexed text inspected.
https://buniaactualite.cd/mahagi-montee-en-fleche-des-recettes-douanieres-au-poste-de-la-dgda-karombo/: full text
https://www.radiookapi.net/2021/12/04/actualite/economie/ituri-reprise-des-activites-mahagi-apres-3-jours-de-ville-morte: search extract — Direct page initially returned incomplete text and later timed out. Complete relevant indexed body inspected.
Earlier recorded access
Source 1: indexed extract</x:v>
      </x:c>
      <x:c r="P774" s="20" t="n">
        <x:v>1</x:v>
      </x:c>
      <x:c r="Q774" s="4" t="str">
        <x:v>Great Lakes</x:v>
      </x:c>
      <x:c r="R774" s="4" t="str">
        <x:v>Included</x:v>
      </x:c>
    </x:row>
    <x:row r="775" ht="409" hidden="0" customHeight="1">
      <x:c r="A775" s="16" t="str">
        <x:v>REC50-R26-005</x:v>
      </x:c>
      <x:c r="B775" s="4" t="str">
        <x:v>Uganda–DRC Ebola ordinary-travel rule and Kasindi–Mpondwe observations, 2026</x:v>
      </x:c>
      <x:c r="C775" s="4" t="str">
        <x:v>Uganda; Democratic Republic of the Congo</x:v>
      </x:c>
      <x:c r="D775" s="4" t="str">
        <x:v>Uganda–DRC border formal rule; Kasindi / Mpondwe observed operational scope</x:v>
      </x:c>
      <x:c r="E775" s="4" t="str">
        <x:v>See phase-specific ordinary-movement and exception cohorts
Direction: See separately scoped formal and operational phases
Exceptions: Authorised response, humanitarian, food/cargo and security cohorts exempt; documented transit agents and later medical referrals reported separately.</x:v>
      </x:c>
      <x:c r="F775" s="4" t="str">
        <x:v>REC50-R26-005-P1 — Formal policy
Uganda May 27, 2026 formal restriction on nonexempt movement to and from DRC
Start: 2026-05-27.
Last confirmed: 2026-05-28. Reopening is not established.
Formal policy: confirmed through 2026-05-28; at least 1 calendar-day difference; reopening unknown
REC50-R26-005-P2 — Observed operation
Kasindi–Mpondwe ordinary cross-border movement observations during the 2026 Ebola response
Start: unknown.
Last confirmed: 2026-10-15. Reopening is not established.
dated evidence; numeric duration withheld; see qualification
Separate later observations: on 2026-10-23, the Health Ministry's permanent secretary described continuing restrictions at Mpondwe and reported irregular entries despite them. On 2026-10-25, AP reported Ministry measures to return nonessential Congolese entrants and require returning Ugandans to quarantine for 21 days at their expense. These are scoped official-policy/enforcement observations, not proof of continuous or complete physical closure.</x:v>
      </x:c>
      <x:c r="G775" s="4" t="str">
        <x:v>Health and biosecurity / Human disease control
Explicit source-attributed reason; restricting actor and access limits stated
Applies to: REC50-R26-005-P1; REC50-R26-005-P2
The signed Ugandan notice explicitly attributes the measure to limiting cross-border Ebola risk. The operational sources describe the same health restrictions, without proving a continuous spell or excluding every exception.</x:v>
      </x:c>
      <x:c r="H775" s="4" t="str">
        <x:v>REC50-R26-005-P1: Formal Uganda–DRC ordinary-movement restriction commenced immediately in the signed May 27, 2026 notice and was reported current on May 28. Cargo, response, humanitarian and security exceptions are explicit. The one-day minimum is a formal-policy date difference only; no expiry, physical onset or operational duration is inferred. The June 15 certificate notice is unrelated to repeal.
REC50-R26-005-P2: Ordinary-trader restrictions at Kasindi–Mpondwe are reported on May 29 and July 14; August 18 documents a medical-referral permission, not general reopening. The October 15 journalist visit found cargo crossing while ordinary markets and public transport remained suspended. These are dated observations, not a proved continuous May–October spell. Actual onset and reopening stay unknown; Ebola-free announcements and a June certificate notice are not endpoints.
Market chronology requires qualification: Kasese Guide Radio reports a market closure effective the morning of October 16, 2026, with vendors arriving for usual business, whereas Monitor described market suspension on October 15. Do not infer uninterrupted market closure from May. October 23 reports explicitly acknowledge irregular crossings. The October 25 formal measures distinguish nonessential Congolese entrants from returning Ugandan citizens; quarantine alone is not coded as border closure.
Greater-than-24-hour eligibility is supported for the sustained nonessential-movement policy by contemporary and retrospective accounts of continuing restrictions. This does not establish a continuous physical seal or an exact duration for ordinary movement at Kasindi–Mpondwe.</x:v>
      </x:c>
      <x:c r="I775" s="4" t="str">
        <x:v>Second full-register audit, 26 October 2026: additional source-audited corrections incorporated. See the phase, scope and qualification columns for the accepted findings.</x:v>
      </x:c>
      <x:c r="J775" s="18" t="d">
        <x:v>2026-10-26T00:00:00.000Z</x:v>
      </x:c>
      <x:c r="K775" s="21" t="str">
        <x:f>IFERROR(HYPERLINK("https://health.go.ug/download/press-statement-on-evd-update-27th-may-2026?download=1","Uganda Ministry of Health"),"Uganda Ministry of Health")</x:f>
        <x:v>Uganda Ministry of Health</x:v>
      </x:c>
      <x:c r="L775" s="21" t="str">
        <x:f>IFERROR(HYPERLINK("https://govinfohub.go.ug/index.php/2026/05/28/uganda-tightens-cross-border-controls-amid-rising-ebola-risk-from-drc/","Uganda Printing and Publishing Corporation government information hub"),"Uganda Printing and Publishing Corporation government information hub")</x:f>
        <x:v>Uganda Printing and Publishing Corporation government information hub</x:v>
      </x:c>
      <x:c r="M775" s="21" t="str">
        <x:f>IFERROR(HYPERLINK("https://www.monitor.co.ug/uganda/news/national/uganda-closes-border-with-drc-over-escalating-cases-of-ebola-5475742","Daily Monitor"),"Daily Monitor")</x:f>
        <x:v>Daily Monitor</x:v>
      </x:c>
      <x:c r="N775" s="4" t="str">
        <x:v>https://health.go.ug/download/press-statement-on-evd-update-27th-may-2026?download=1
https://govinfohub.go.ug/index.php/2026/05/28/uganda-tightens-cross-border-controls-amid-rising-ebola-risk-from-drc/
https://www.monitor.co.ug/uganda/news/national/uganda-closes-border-with-drc-over-escalating-cases-of-ebola-5475742
https://health.go.ug/download/press-release-15th-june-2026-ebola-travel-advisory?download=1
https://acp.cd/province/ebola-au-nord-kivu-inquietude-generalisee-pour-la-fermeture-de-la-frontiere-de-kasindi/
https://acp.cd/province/ebola-au-nord-kivu-la-fermeture-frontaliere-ougandaise-asphyxie-leconomie-locale-a-kasindi/
https://acp.cd/province/rdc-ouganda-lallegement-des-mesures-de-restriction-frontaliere-face-a-ebola-salue-a-kasindi/
https://www.monitor.co.ug/uganda/news/national/ebola-restrictions-hurt-businesses-at-kasese-mpondwe-border-5632728
https://ubc.go.ug/2026/05/21/no-local-ebola-cases-recorded-in-uganda-as-recovered-congolese-patient-tests-negative/
https://nilepost.co.ug/health-2/380986/atwine-warns-border-officers-over-ebola-screening-lapses-at-mpondwe
https://kaseseguideradio.com/cross-border-market-in-mltc-temporary-closed/
https://abcnews.com/Health/wireStory/uganda-tightens-ebola-border-controls-requires-returnees-congo-137556309
https://www.ecdc.europa.eu/en/public-health-events/2026-eip-00026/2026-10-22
https://caa.go.ug/s04-26-bundibugyo-ebola-virus-disease-buevd-health-measures-for-entebbe-international-airport/</x:v>
      </x:c>
      <x:c r="O775" s="4" t="str">
        <x:v>Second full-register audit source access, 26 October 2026
https://health.go.ug/download/press-statement-on-evd-update-27th-may-2026?download=1: full text (fresh retrieval) — Web text extraction empty; fresh original PDF was downloaded and rendered.
https://acp.cd/province/ebola-au-nord-kivu-inquietude-generalisee-pour-la-fermeture-de-la-frontiere-de-kasindi/: full text (fresh retrieval)
https://acp.cd/province/ebola-au-nord-kivu-la-fermeture-frontaliere-ougandaise-asphyxie-leconomie-locale-a-kasindi/: full text (fresh retrieval)
https://acp.cd/province/rdc-ouganda-lallegement-des-mesures-de-restriction-frontaliere-face-a-ebola-salue-a-kasindi/: full text (fresh retrieval)
https://www.monitor.co.ug/uganda/news/national/ebola-restrictions-hurt-businesses-at-kasese-mpondwe-border-5632728: full text (fresh retrieval)
https://kaseseguideradio.com/cross-border-market-in-mltc-temporary-closed/: full text (fresh retrieval)
https://abcnews.com/Health/wireStory/uganda-tightens-ebola-border-controls-requires-returnees-congo-137556309: full text (fresh retrieval)
https://nilepost.co.ug/health-2/380986/atwine-warns-border-officers-over-ebola-screening-lapses-at-mpondwe: full text (fresh retrieval)
Earlier URLs not separately inspected in this second assessment:
https://govinfohub.go.ug/index.php/2026/05/28/uganda-tightens-cross-border-controls-amid-rising-ebola-risk-from-drc/
https://www.monitor.co.ug/uganda/news/national/uganda-closes-border-with-drc-over-escalating-cases-of-ebola-5475742
https://health.go.ug/download/press-release-15th-june-2026-ebola-travel-advisory?download=1
https://ubc.go.ug/2026/05/21/no-local-ebola-cases-recorded-in-uganda-as-recovered-congolese-patient-tests-negative/
https://www.ecdc.europa.eu/en/public-health-events/2026-eip-00026/2026-10-22
https://caa.go.ug/s04-26-bundibugyo-ebola-virus-disease-buevd-health-measures-for-entebbe-international-airport/
Prior audit access record
Full-register audit source access (evidence cutoff 25 October 2026)
https://health.go.ug/download/press-statement-on-evd-update-27th-may-2026?download=1: full text
https://govinfohub.go.ug/index.php/2026/05/28/uganda-tightens-cross-border-controls-amid-rising-ebola-risk-from-drc/: full text
https://acp.cd/province/ebola-au-nord-kivu-inquietude-generalisee-pour-la-fermeture-de-la-frontiere-de-kasindi/: full text
https://acp.cd/province/ebola-au-nord-kivu-la-fermeture-frontaliere-ougandaise-asphyxie-leconomie-locale-a-kasindi/: full text
https://acp.cd/province/rdc-ouganda-lallegement-des-mesures-de-restriction-frontaliere-face-a-ebola-salue-a-kasindi/: full text
https://www.monitor.co.ug/uganda/news/national/ebola-restrictions-hurt-businesses-at-kasese-mpondwe-border-5632728: full text
https://health.go.ug/download/press-release-15th-june-2026-ebola-travel-advisory?download=1: full text
https://nilepost.co.ug/health-2/380986/atwine-warns-border-officers-over-ebola-screening-lapses-at-mpondwe: full text
https://kaseseguideradio.com/cross-border-market-in-mltc-temporary-closed/: full text
https://abcnews.com/Health/wireStory/uganda-tightens-ebola-border-controls-requires-returnees-congo-137556309: search extract — Full substantive indexed article recovered; direct AP and ABC retrieval failed.
https://www.ecdc.europa.eu/en/public-health-events/2026-eip-00026/2026-10-22: full text — Its linked UCAA circular is specifically aviation, so not used alone to date land enforcement.
https://caa.go.ug/s04-26-bundibugyo-ebola-virus-disease-buevd-health-measures-for-entebbe-international-airport/: full text — May 23 air restrictions; not a land-border observation.
Earlier source URLs not separately listed in this audit’s retrieval log (historical access notes below are not fresh verification):
https://www.monitor.co.ug/uganda/news/national/uganda-closes-border-with-drc-over-escalating-cases-of-ebola-5475742
https://ubc.go.ug/2026/05/21/no-local-ebola-cases-recorded-in-uganda-as-recovered-congolese-patient-tests-negative/
Earlier recorded access
Source 1: full text
Source 2: full text
Source 3: indexed extract</x:v>
      </x:c>
      <x:c r="P775" s="20" t="n">
        <x:v>2</x:v>
      </x:c>
      <x:c r="Q775" s="4" t="str">
        <x:v>Great Lakes</x:v>
      </x:c>
      <x:c r="R775" s="4" t="str">
        <x:v>Included</x:v>
      </x:c>
    </x:row>
    <x:row r="776" ht="186" hidden="0" customHeight="1">
      <x:c r="A776" s="16" t="str">
        <x:v>REC50-R27-001</x:v>
      </x:c>
      <x:c r="B776" s="4" t="str">
        <x:v>Bagratashen–Sadakhlo trucker protest over grain-road rules, September 2018</x:v>
      </x:c>
      <x:c r="C776" s="4" t="str">
        <x:v>Armenia; Georgia</x:v>
      </x:c>
      <x:c r="D776" s="4" t="str">
        <x:v>Bagratashen–Sadakhlo
Named crossing or its access; no whole-country closure or new outline inferred.</x:v>
      </x:c>
      <x:c r="E776" s="4" t="str">
        <x:v>Reported trucker obstruction of checkpoint access; affected vehicle categories are not exhaustively identified
Direction: Direction and nationality of actually obstructed traffic are not established.
Exceptions: Customs permitted the protest; traffic exemptions are not enumerated.</x:v>
      </x:c>
      <x:c r="F776" s="4" t="str">
        <x:v>REC50-R27-001-P1 — Observed operation
Reported trucker obstruction of checkpoint access; affected vehicle categories are not exhaustively identified at Bagratashen–Sadakhlo
Start: 2018-09-15.
Observed scoped reopening: 2018-09-15.
Reported duration: about two to three hours. Does not qualify as longer than 24 hours.</x:v>
      </x:c>
      <x:c r="G776" s="4" t="str">
        <x:v>Trade and protectionism / Trade and transport protests
Named Armenian customs spokesperson describing the truckers’ grievance
Applies to: REC50-R27-001-P1
Truckers opposed a proposed Georgian grain-road transport ban. This is a protest demand, not a separately verified government protectionist closure.</x:v>
      </x:c>
      <x:c r="H776" s="4" t="str">
        <x:v>REC50-R27-001-P1: The Armenian customs spokesperson reports a checkpoint-access blockage lasting about two to three hours from midnight on 15 September 2018, with the checkpoint open by the afternoon report. This does not qualify as longer than 24 hours. Customs permitted the protest and distinguished it from an intended obstruction of customs operations. No general passenger ban, all-lane customs shutdown or Georgian-truck-only rule is established. Exact minute timestamps, traffic cohorts and direction remain unknown.</x:v>
      </x:c>
      <x:c r="I776" s="4" t="str">
        <x:v>Second full-register audit, 26 October 2026: additional source-audited corrections incorporated. See the phase, scope and qualification columns for the accepted findings.</x:v>
      </x:c>
      <x:c r="J776" s="18" t="d">
        <x:v>2026-10-26T00:00:00.000Z</x:v>
      </x:c>
      <x:c r="K776" s="21" t="str">
        <x:f>IFERROR(HYPERLINK("https://news.am/en/news/471209","NEWS.am"),"NEWS.am")</x:f>
        <x:v>NEWS.am</x:v>
      </x:c>
      <x:c r="L776" s="21" t="str">
        <x:f>IFERROR(HYPERLINK("https://news.am/eng/news/471178.html","NEWS.am reporting Zhamanak"),"NEWS.am reporting Zhamanak")</x:f>
        <x:v>NEWS.am reporting Zhamanak</x:v>
      </x:c>
      <x:c r="M776" s="21"/>
      <x:c r="N776" s="4" t="str">
        <x:v>https://news.am/en/news/471209
https://news.am/eng/news/471178.html</x:v>
      </x:c>
      <x:c r="O776" s="4" t="str">
        <x:v>Second full-register audit source access, 26 October 2026
https://news.am/en/news/471209: full text (fresh retrieval)
Earlier URLs not separately inspected in this second assessment:
https://news.am/eng/news/471178.html
Prior audit access record
Full-register audit source access (evidence cutoff 25 October 2026)
https://news.am/en/news/471209: full text
https://news.am/eng/news/471178.html: full text — Secondary newspaper claim; not operational proof of targeted nationality
Earlier recorded access
Source 1: full text
Source 2: indexed extract; full text</x:v>
      </x:c>
      <x:c r="P776" s="20" t="n">
        <x:v>1</x:v>
      </x:c>
      <x:c r="Q776" s="4" t="str">
        <x:v>Central Asia and Caucasus</x:v>
      </x:c>
      <x:c r="R776" s="4" t="str">
        <x:v>Included</x:v>
      </x:c>
    </x:row>
    <x:row r="777" ht="409" hidden="0" customHeight="1">
      <x:c r="A777" s="16" t="str">
        <x:v>REC50-R27-002</x:v>
      </x:c>
      <x:c r="B777" s="4" t="str">
        <x:v>Agarak trucker blockade over Iranian fuel and paperwork rules, November 2024</x:v>
      </x:c>
      <x:c r="C777" s="4" t="str">
        <x:v>Armenia; Iran</x:v>
      </x:c>
      <x:c r="D777" s="4" t="str">
        <x:v>Agarak / Meghri on the Armenia–Iran route
Named crossing or its access; no whole-country closure or new outline inferred.</x:v>
      </x:c>
      <x:c r="E777" s="4" t="str">
        <x:v>Crossing access obstructed by Armenian truck drivers; exact passenger and freight exemptions are unknown
Direction: Blockade direction is not separately specified; later individual returns into Armenia are not a general endpoint.
Exceptions: Affected cohorts and exemptions are not exhaustively established; individual returns are separately reported.</x:v>
      </x:c>
      <x:c r="F777" s="4" t="str">
        <x:v>REC50-R27-002-P1 — Observed operation
Crossing access obstructed by Armenian truck drivers; exact passenger and freight exemptions are unknown at Agarak / Meghri on the Armenia–Iran route
Start: unknown.
Last confirmed: 2024-11-17. Reopening is not established.
dated evidence; numeric duration withheld; see qualification</x:v>
      </x:c>
      <x:c r="G777" s="4" t="str">
        <x:v>Trade and protectionism / Trade and transport protests
Drivers’ reported grievances in Sputnik interviews and contemporary reporting
Applies to: REC50-R27-002-P1
Drivers objected to diesel prices and Persian-only border documents. The claimed Iranian rules are reported grievances; their complete legal basis is not independently verified.</x:v>
      </x:c>
      <x:c r="H777" s="4" t="str">
        <x:v>REC50-R27-002-P1: Do not join the 17 November blockage, 20 November driver interviews and 26 November diplomatic response into one continuous closure. A driver’s reported return after paying for fuel and another’s return without his truck do not establish general clearance.
Scope and endpoint qualification: Find a dated onset and an explicit general clearance or continued-blockage account, with traffic and direction scope. Do not treat fuel queues as the protest duration. Geography remains unlocated pending separate challenge. This is original coverage research, not a full-record audit.</x:v>
      </x:c>
      <x:c r="I777" s="4" t="str">
        <x:v>Second full-register audit, 26 October 2026: qualified. The Agarak trucker blockage is supported, but later fuel-payment experiences and diplomatic discussion do not establish a general end or uninterrupted multi-day blockade.</x:v>
      </x:c>
      <x:c r="J777" s="18" t="d">
        <x:v>2026-10-26T00:00:00.000Z</x:v>
      </x:c>
      <x:c r="K777" s="21" t="str">
        <x:f>IFERROR(HYPERLINK("https://www.amnews.am/language/en/economy-eng-35/","AMNews"),"AMNews")</x:f>
        <x:v>AMNews</x:v>
      </x:c>
      <x:c r="L777" s="21" t="str">
        <x:f>IFERROR(HYPERLINK("https://am.sputniknews.ru/20241117/armyanskie-voditeli-perekryli-dvizhenie-s-iranom-na-kpp-agarak-chto-proizoshlo--83092048.html","Sputnik Armenia"),"Sputnik Armenia")</x:f>
        <x:v>Sputnik Armenia</x:v>
      </x:c>
      <x:c r="M777" s="21" t="str">
        <x:f>IFERROR(HYPERLINK("https://am.sputniknews.ru/20241120/novye-tseny-na-toplivo-na-granitse-irana-s-chem-stolknulis-voditeli-armyanskikh-gruzovikov-83201692.html","Sputnik Armenia"),"Sputnik Armenia")</x:f>
        <x:v>Sputnik Armenia</x:v>
      </x:c>
      <x:c r="N777" s="4" t="str">
        <x:v>https://www.amnews.am/language/en/economy-eng-35/
https://am.sputniknews.ru/20241117/armyanskie-voditeli-perekryli-dvizhenie-s-iranom-na-kpp-agarak-chto-proizoshlo--83092048.html
https://am.sputniknews.ru/20241120/novye-tseny-na-toplivo-na-granitse-irana-s-chem-stolknulis-voditeli-armyanskikh-gruzovikov-83201692.html
https://news.am/en/news/854261
https://radar.am/en/news/politics-2522131825/</x:v>
      </x:c>
      <x:c r="O777" s="4" t="str">
        <x:v>Second full-register audit source access, 26 October 2026
https://www.amnews.am/language/en/economy-eng-35/: full text (fresh retrieval)
https://am.sputniknews.ru/20241117/armyanskie-voditeli-perekryli-dvizhenie-s-iranom-na-kpp-agarak-chto-proizoshlo--83092048.html: full text (fresh retrieval)
https://am.sputniknews.ru/20241120/novye-tseny-na-toplivo-na-granitse-irana-s-chem-stolknulis-voditeli-armyanskikh-gruzovikov-83201692.html: full text (fresh retrieval) — Not general clearance
https://news.am/en/news/854261: full text (fresh retrieval) — Not blockade endpoint
Earlier URLs not separately inspected in this second assessment:
https://radar.am/en/news/politics-2522131825/
Prior audit access record
Full-register audit source access (evidence cutoff 25 October 2026)
https://am.sputniknews.ru/20241117/armyanskie-voditeli-perekryli-dvizhenie-s-iranom-na-kpp-agarak-chto-proizoshlo--83092048.html: full text — Not independent validation of Iranian legal rules
https://am.sputniknews.ru/20241120/novye-tseny-na-toplivo-na-granitse-irana-s-chem-stolknulis-voditeli-armyanskikh-gruzovikov-83201692.html: full text — Not general clearance
https://news.am/en/news/854261: full text — No same-day blockage observation
https://radar.am/en/news/politics-2522131825/: full text — Not matched to November fuel blockade
Earlier source URLs not separately listed in this audit’s retrieval log (historical access notes below are not fresh verification):
https://www.amnews.am/language/en/economy-eng-35/
Earlier recorded access
Source 1: full text
Source 2: full text
Source 3: full text</x:v>
      </x:c>
      <x:c r="P777" s="20" t="n">
        <x:v>1</x:v>
      </x:c>
      <x:c r="Q777" s="4" t="str">
        <x:v>Central Asia and Caucasus</x:v>
      </x:c>
      <x:c r="R777" s="4" t="str">
        <x:v>Included</x:v>
      </x:c>
    </x:row>
    <x:row r="778" ht="294" hidden="0" customHeight="1">
      <x:c r="A778" s="16" t="str">
        <x:v>REC50-R27-003</x:v>
      </x:c>
      <x:c r="B778" s="4" t="str">
        <x:v>Enguri departure restriction during Georgian election runoffs, October 2021</x:v>
      </x:c>
      <x:c r="C778" s="4" t="str">
        <x:v>Georgia / Abkhazia</x:v>
      </x:c>
      <x:c r="D778" s="4" t="str">
        <x:v>Enguri bridge
Named crossing or its access; no whole-country closure or new outline inferred.</x:v>
      </x:c>
      <x:c r="E778" s="4" t="str">
        <x:v>Ordinary departures from Abkhazia, excluding people needing medical assistance
Direction: Abkhazia to Georgian government-controlled territory; no reverse-direction ban established.
Exceptions: People needing medical assistance were excepted in the SSG account.</x:v>
      </x:c>
      <x:c r="F778" s="4" t="str">
        <x:v>REC50-R27-003-P1 — Announced window
Ordinary departures from Abkhazia, excluding people needing medical assistance at Enguri bridge
Start: 2021-10-28.
Scheduled endpoint: 2021-10-30.
Ordered window: dated evidence; numeric duration withheld; see qualification
REC50-R44-ENGURI-P1 — Observed operation
Ordinary departure restriction at Enguri, with restoration reported by 1 November 2021
Start: 2021-10-28.
Observed scoped reopening: by 2021-11-01; earliest bound unknown.
dated evidence; numeric duration withheld; see qualification</x:v>
      </x:c>
      <x:c r="G778" s="4" t="str">
        <x:v>Electoral politics / Election administration and security
Election-related context attributed to the Georgian State Security Service, not a directly obtained imposing-authority statement
Applies to: REC50-R27-003-P1 and REC50-R44-ENGURI-P1; overlapping schedule and operational evidence for the same episode, not additive durations.
The SSG links the restriction to the Georgian local-election runoff. This qualified electoral classification does not adopt its criticism as a proven Abkhaz official rationale or add a separate Security code.</x:v>
      </x:c>
      <x:c r="H778" s="4" t="str">
        <x:v>REC50-R27-003-P1: The 28–30 October dates remain the reported inclusive restriction schedule. Rustavi 2 confirms that ordinary departures were possible by 1 November, but does not date the first resumed passage. Medical exceptions and departure-only scope remain; no exact operational duration or 30 October observed reopening is assigned.
REC50-R44-ENGURI-P1: The 28–30 October dates remain the reported inclusive restriction schedule. Rustavi 2 confirms that ordinary departures were possible by 1 November, but does not date the first resumed passage. Medical exceptions and departure-only scope remain; no exact operational duration or 30 October observed reopening is assigned.
Scope and endpoint qualification: Ordinary departures were possible by 1 November, but first return and continuous enforcement remain unknown. The imposing authority’s original instruction and separately reviewed geography are still absent.</x:v>
      </x:c>
      <x:c r="I778" s="4" t="str">
        <x:v>Second full-register audit, 26 October 2026: qualified. Fresh reports support the departure-only restriction and later open bound; neither the scheduled end nor the later publication is an exact first operational reopening.</x:v>
      </x:c>
      <x:c r="J778" s="18" t="d">
        <x:v>2026-10-26T00:00:00.000Z</x:v>
      </x:c>
      <x:c r="K778" s="21" t="str">
        <x:f>IFERROR(HYPERLINK("https://civil.ge/archives/450654","Civil Georgia"),"Civil Georgia")</x:f>
        <x:v>Civil Georgia</x:v>
      </x:c>
      <x:c r="L778" s="21" t="str">
        <x:f>IFERROR(HYPERLINK("https://1tv.ge/lang/ru/news/sgb-de-fakto-vlasti-okkupirovannoj-abkhazii-ogranichili-vezd-na-territoriju-kontroliruemuju-centralnoj-vlastju/","Georgian First Channel / 1TV"),"Georgian First Channel / 1TV")</x:f>
        <x:v>Georgian First Channel / 1TV</x:v>
      </x:c>
      <x:c r="M778" s="21" t="str">
        <x:f>IFERROR(HYPERLINK("https://civil.ge/ru/archives/450807","Civil Georgia, Russian edition"),"Civil Georgia, Russian edition")</x:f>
        <x:v>Civil Georgia, Russian edition</x:v>
      </x:c>
      <x:c r="N778" s="4" t="str">
        <x:v>https://civil.ge/archives/450654
https://1tv.ge/lang/ru/news/sgb-de-fakto-vlasti-okkupirovannoj-abkhazii-ogranichili-vezd-na-territoriju-kontroliruemuju-centralnoj-vlastju/
https://civil.ge/ru/archives/450807
https://rustavi2.ge/en/news/213677</x:v>
      </x:c>
      <x:c r="O778" s="4" t="str">
        <x:v>Second full-register audit source access, 26 October 2026
https://civil.ge/archives/450654: full text (fresh retrieval)
https://rustavi2.ge/en/news/213677: full text (fresh retrieval)
Earlier URLs not separately inspected in this second assessment:
https://1tv.ge/lang/ru/news/sgb-de-fakto-vlasti-okkupirovannoj-abkhazii-ogranichili-vezd-na-territoriju-kontroliruemuju-centralnoj-vlastju/
https://civil.ge/ru/archives/450807
Prior audit access record
Full-register audit source access (evidence cutoff 25 October 2026)
https://civil.ge/archives/450654: full text — Not original Abkhaz order
https://rustavi2.ge/en/news/213677: full text — No first-passage date
Earlier source URLs not separately listed in this audit’s retrieval log (historical access notes below are not fresh verification):
https://1tv.ge/lang/ru/news/sgb-de-fakto-vlasti-okkupirovannoj-abkhazii-ogranichili-vezd-na-territoriju-kontroliruemuju-centralnoj-vlastju/
https://civil.ge/ru/archives/450807
Earlier recorded access
Source 1: full text
Source 2: full text
Source 3: indexed extract</x:v>
      </x:c>
      <x:c r="P778" s="20" t="n">
        <x:v>2</x:v>
      </x:c>
      <x:c r="Q778" s="4" t="str">
        <x:v>Central Asia and Caucasus</x:v>
      </x:c>
      <x:c r="R778" s="4" t="str">
        <x:v>Included</x:v>
      </x:c>
    </x:row>
    <x:row r="779" ht="409" hidden="0" customHeight="1">
      <x:c r="A779" s="16" t="str">
        <x:v>REC50-R28-001</x:v>
      </x:c>
      <x:c r="B779" s="4" t="str">
        <x:v>Myawaddy–Mae Sot bridge restrictions during April 2024 fighting</x:v>
      </x:c>
      <x:c r="C779" s="4" t="str">
        <x:v>Myanmar; Thailand</x:v>
      </x:c>
      <x:c r="D779" s="4" t="str">
        <x:v>Myawaddy–Mae Sot Friendship Bridge II; Friendship Bridge I
Friendship Bridges I and II only, with separate cargo and passenger-document scopes</x:v>
      </x:c>
      <x:c r="E779" s="4" t="str">
        <x:v>Cargo trucks and a separate temporary-border-pass passenger cohort
Direction: Phase-specific; no universal two-way passenger closure
Exceptions: Passport holders reportedly allowed by the Thai side; contrary Myanmar-side suspension reports remain. Generic return travel is not treated as the temporary-pass endpoint.</x:v>
      </x:c>
      <x:c r="F779" s="4" t="str">
        <x:v>REC50-R28-001-P1 — Observed operation
Cargo at Myawaddy–Mae Sot Friendship Bridge II during April 2024 fighting.
Reported onset: 2024-04-11 to 2024-04-20; accounts conflict.
Observed scoped reopening: 2024-04-30.
RFA reports a ten-day interruption and Eleven explicitly dates closure to April 20; GNLM gives April 11. The interruption exceeded 24 hours. Show a qualified interval with onset uncertainty; withhold an exact numeric duration. The return of trucks does not establish normal operation of inland approach roads.
REC50-R28-001-P2 — Observed operation
Refusal of temporary-border-pass and pass-booklet travel from Myanmar into Thailand at Friendship Bridge I on 21 April 2024.
Start: 2024-04-21.
Last confirmed refusal: 2024-04-21. Partial later border-pass access is reported by 2024-05-06; exact first restoration of every affected pass type is not established.
Numeric duration and continuous animation remain withheld for this document-specific phase.
Later access for P2: a May 1 Myawady Daily summary describes temporary passes operating again after Bridge I reopened. Eleven on May 4 describes Myanmar-to-Mae Sot TBP/BP travel under the new UID requirement, and IMNA on May 6 interviews a Myawady resident who traveled to Mae Sot in that context. Together these support some conditional pass access by May 6, 2024, not unrestricted restoration on April 27. The May 1 UID rule is corroborated by the Township Immigration Department account; IMNA’s inconsistent March date is not adopted. KIC’s February 19, 2026 report supplies later seven-day-pass conditions: first-time users require a guarantor, frequent users are exempt, and travel is limited to Tak Province. No continuous closure or unchanged admission rules are inferred between these observations.</x:v>
      </x:c>
      <x:c r="G779" s="4" t="str">
        <x:v>Security / Armed conflict and military confrontation
Reported reason
Applies to: REC50-R28-001-P1 cargo closure
RFA and DVB link the cargo shutdown to fighting. This is reported causation, not a recovered official justification; it is not automatically assigned to the separate document-control phase.</x:v>
      </x:c>
      <x:c r="H779" s="4" t="str">
        <x:v>REC50-R28-001-P1: RFA’s April 30 report describes trucks returning after ten days, and Eleven’s May 1 report explicitly gives April 20. GNLM’s May 8 retrospective gives April 11. Both concern Bridge II cargo, so the onset conflict remains visible; the matched April 30 truck return and sustained interruption support qualified visualization and greater-than-24-hour eligibility. Exact elapsed duration and imposing-side attribution remain unresolved. CNI’s May 5 combined account mentions April 21 for suspended activities at both bridges; it does not resolve the cargo-specific disagreement. Inland Asia Highway damage is separate from passage over the international bridge.
REC50-R28-001-P2: Generic April 27 reopening and travel into Myanmar alone do not establish restored Thai admission for pass holders. May reports now supply document-specific conditional access, bounded by May 6 without claiming the first Thai readmission or restoration of every booklet type. IMNA’s March 1 UID date conflicts with MOI and Eleven’s May 1 account and is not used. The official rationale for the original Thai document refusal remains unknown; later Myanmar UID policy motives are not retroactively assigned to it. February 2026 guarantor conditions are a later observation, not evidence of uninterrupted April 2024–2026 restrictions.</x:v>
      </x:c>
      <x:c r="I779" s="4" t="str">
        <x:v>Second full-register audit, 26 October 2026: additional source-audited corrections incorporated. See the phase, scope and qualification columns for the accepted findings.</x:v>
      </x:c>
      <x:c r="J779" s="18" t="d">
        <x:v>2026-10-26T00:00:00.000Z</x:v>
      </x:c>
      <x:c r="K779" s="21" t="str">
        <x:f>IFERROR(HYPERLINK("https://www.rfa.org/english/news/myanmar/myanmar-thai-border-reopens-04302024074334.html","Radio Free Asia"),"Radio Free Asia")</x:f>
        <x:v>Radio Free Asia</x:v>
      </x:c>
      <x:c r="L779" s="21" t="str">
        <x:f>IFERROR(HYPERLINK("https://eng.mizzima.com/2024/04/23/9252","Mizzima"),"Mizzima")</x:f>
        <x:v>Mizzima</x:v>
      </x:c>
      <x:c r="M779" s="21" t="str">
        <x:f>IFERROR(HYPERLINK("https://www.gnlm.com.mm/border-trade-resumes-after-friendship-bridges-reopened/","Global New Light of Myanmar"),"Global New Light of Myanmar")</x:f>
        <x:v>Global New Light of Myanmar</x:v>
      </x:c>
      <x:c r="N779" s="4" t="str">
        <x:v>https://www.rfa.org/english/news/myanmar/myanmar-thai-border-reopens-04302024074334.html
https://eng.mizzima.com/2024/04/23/9252
https://www.gnlm.com.mm/border-trade-resumes-after-friendship-bridges-reopened/
https://english.dvb.no/myanmar-thailand-friendship-bridge-no-2-reopens-after-9-month-long-closure/
https://elevenmyanmar.com/news/myawady-mae-sot-border-crossing-tightened-temporary-passes-suspended
https://english.dvb.no/thai-burma-bridge-reopens-after-fighting-in-myawaddy-subsides-regime-counterattack-kills-two/
https://cnimyanmar.com/index.php/english-edition/21637-myawaddy-no-1-bridge-closed-indefinitely
https://www.bnionline.net/en/news/only-guaranteed-travelers-permitted-access-myawaddy-mae-sot-bridge
https://elevenmyanmar.com/news/myanmar-thailand-no-2-friendship-bridge-reopens-for-commercial-vehicle-traffic
https://infosheet.org/sites/default/files/Volume%20V%2C%20Issue%2012%20%281-5-2024%29.pdf
https://elevenmyanmar.com/news/myawady-to-mae-sot-travel-restricted-to-uid-certificate-holders
https://monnews.org/2024/05/06/permit-required-for-myawady-mae-sot-border-crossing-uid-card-mandatory/
https://www.moi.gov.mm/moi%3Aeng/index.php/news/13757</x:v>
      </x:c>
      <x:c r="O779" s="4" t="str">
        <x:v>Second full-register audit source access, 26 October 2026
https://www.rfa.org/english/news/myanmar/myanmar-thai-border-reopens-04302024074334.html: full text (fresh retrieval)
https://elevenmyanmar.com/news/myawady-mae-sot-border-crossing-tightened-temporary-passes-suspended: full text (fresh retrieval)
https://english.dvb.no/thai-burma-bridge-reopens-after-fighting-in-myawaddy-subsides-regime-counterattack-kills-two/: full text (fresh retrieval)
https://www.bnionline.net/en/news/only-guaranteed-travelers-permitted-access-myawaddy-mae-sot-bridge: full text (fresh retrieval)
https://eng.mizzima.com/2024/04/23/9252: inaccessible (fresh retrieval) — 403; not independently verified in this review.
https://elevenmyanmar.com/news/myanmar-thailand-no-2-friendship-bridge-reopens-for-commercial-vehicle-traffic: full text (fresh retrieval)
https://www.gnlm.com.mm/border-trade-resumes-after-friendship-bridges-reopened/: search extract (fresh retrieval) — Indexed substantive article; direct 403.
https://infosheet.org/sites/default/files/Volume%20V%2C%20Issue%2012%20%281-5-2024%29.pdf: search extract (fresh retrieval) — Indexed page 15; PDF direct unavailable.
https://elevenmyanmar.com/news/myawady-to-mae-sot-travel-restricted-to-uid-certificate-holders: search extract (fresh retrieval) — Indexed full substantive account; direct 403.
https://monnews.org/2024/05/06/permit-required-for-myawady-mae-sot-border-crossing-uid-card-mandatory/: search extract (fresh retrieval) — Indexed substantive account; direct 403. March 1 rule date conflicts with May 1 in other sources and is excluded.
https://www.moi.gov.mm/moi%3Aeng/index.php/news/13757: full text (fresh retrieval)
Earlier URLs not separately inspected in this second assessment:
https://english.dvb.no/myanmar-thailand-friendship-bridge-no-2-reopens-after-9-month-long-closure/
https://cnimyanmar.com/index.php/english-edition/21637-myawaddy-no-1-bridge-closed-indefinitely
Prior audit access record
Full-register audit source access (evidence cutoff 25 October 2026)
https://www.rfa.org/english/news/myanmar/myanmar-thai-border-reopens-04302024074334.html: full text — See specific claim qualifications.
https://elevenmyanmar.com/news/myawady-mae-sot-border-crossing-tightened-temporary-passes-suspended: full text — See specific claim qualifications.
https://www.gnlm.com.mm/border-trade-resumes-after-friendship-bridges-reopened/: search extract — See specific claim qualifications.
https://english.dvb.no/thai-burma-bridge-reopens-after-fighting-in-myawaddy-subsides-regime-counterattack-kills-two/: full text — See specific claim qualifications.
https://www.bnionline.net/en/news/only-guaranteed-travelers-permitted-access-myawaddy-mae-sot-bridge: full text — See specific claim qualifications.
https://eng.mizzima.com/2024/04/23/9252: inaccessible — See specific claim qualifications.
https://cnimyanmar.com/index.php/english-edition/21637-myawaddy-no-1-bridge-closed-indefinitely: inaccessible — See specific claim qualifications.
Earlier source URLs not separately listed in this audit’s retrieval log (historical access notes below are not fresh verification):
https://english.dvb.no/myanmar-thailand-friendship-bridge-no-2-reopens-after-9-month-long-closure/
Earlier recorded access
Source 1: full text
Source 2: indexed extract
Source 3: indexed extract</x:v>
      </x:c>
      <x:c r="P779" s="20" t="n">
        <x:v>2</x:v>
      </x:c>
      <x:c r="Q779" s="4" t="str">
        <x:v>East and Southeast Asia and Oceania</x:v>
      </x:c>
      <x:c r="R779" s="4" t="str">
        <x:v>Included</x:v>
      </x:c>
    </x:row>
    <x:row r="780" ht="409" hidden="0" customHeight="1">
      <x:c r="A780" s="16" t="str">
        <x:v>REC50-R28-002</x:v>
      </x:c>
      <x:c r="B780" s="4" t="str">
        <x:v>Maungdaw–Teknaf river-cargo halt and first wood-shipment return, April 2025–May 2026</x:v>
      </x:c>
      <x:c r="C780" s="4" t="str">
        <x:v>Myanmar; Bangladesh</x:v>
      </x:c>
      <x:c r="D780" s="4" t="str">
        <x:v>Maungdaw river departure area / Teknaf land-port jetty; coordinate not approved
Maungdaw-to-Teknaf Naf River border-cargo corridor; coastal Yangon/Sittwe shipping excluded</x:v>
      </x:c>
      <x:c r="E780" s="4" t="str">
        <x:v>Maungdaw-origin river cargo; first observed return is one wood consignment.
Direction: Myanmar to Bangladesh for the May 1 endpoint. Separately, reporting by June 1, 2026 describes small potato and onion shipments from Bangladesh back into Arakan.
Exceptions: No claim of all commodities, passengers, maritime cargo, regular sailing or full normal trade. The June 1 account describes trade mainly through a ULA-linked merchants’ association, with private participation limited.</x:v>
      </x:c>
      <x:c r="F780" s="4" t="str">
        <x:v>REC50-R28-002-P1 — Dated operational observations; exact onset and complete duration unresolved
Maungdaw-origin river cargo arriving at Teknaf land port, ending at the first reported wood-laden boat return on May 1, 2026.
Last earlier wooden-boat arrival reported: 2025-04-12.
Attributed halt onset: the port general manager said trade had stopped since 2025-04-12; the exact transition after the last boat is not independently timed.
Halt documented by: 2025-05-28.
Observed scoped reopening: 2026-05-01, one timber consignment; arrival does not establish completed customs release or normal service.
Strict greater-than-24-hour eligibility is supported for the reported river-cargo halt: the contemporary May 28 account explicitly describes 45 days of suspended imports and exports. The exact onset clock and complete elapsed duration remain withheld; no 384-day continuous interval is calculated.
Separate later observation, not an exact first reverse reopening: by 2026-06-01, DMG/BNI reports small quantities of potatoes and onions moving from Bangladesh into Arakan alongside timber exports to Bangladesh. No continuous all-cargo interval or exact first reverse-trip date is established.</x:v>
      </x:c>
      <x:c r="G780" s="4" t="str">
        <x:v>Trade and protectionism / Customs and transport rules
Reported reason
Applies to: REC50-R28-002-P1
Named port/trade representatives describe tax, commission and cargo-approval obstacles. This records an attributed trade-rule dispute, not an established official protectionist purpose or a recovered AA/junta declaration.</x:v>
      </x:c>
      <x:c r="H780" s="4" t="str">
        <x:v>The onset accounts describe different events: Jago News on May 28, 2025 quotes the port general manager saying trade had halted since April 12, while bdnews24 identifies April 12 as the last earlier wooden-boat arrival. Preserve both attributed accounts without treating a last-open observation as an exact closure start or calculating 384 continuous closed days. The exact transition after that arrival is not independently timed. April 14, 2026 was a reopening announcement, not actual return. TBS and BSS confirm the May 1 timber arrival but give different clocks, 13:30 and 13:10; BSS says unloading and customs assessment were still pending. DMG on May 5 reported no additional trip yet. By June 1, DMG via BNI described limited timber exports and small reverse potato/onion flows, mainly through a ULA-linked merchants’ association. That provides a bound for some reverse trade, not its first date, unrestricted private access or normal service. Yangon/Sittwe coastal shipping remains excluded; actor and authorization chronology remains attributed and incomplete. The May 28 contemporary report explicitly describes a 45-day halt, supporting the greater-than-24-hour threshold independently of uncertainty over the exact transition after April 12 and the later restoration sequence. This does not establish uninterrupted closure for every commodity until May 2026.</x:v>
      </x:c>
      <x:c r="I780" s="4" t="str">
        <x:v>Second full-register audit, 26 October 2026: additional source-audited corrections incorporated. See the phase, scope and qualification columns for the accepted findings.</x:v>
      </x:c>
      <x:c r="J780" s="18" t="d">
        <x:v>2026-10-26T00:00:00.000Z</x:v>
      </x:c>
      <x:c r="K780" s="21" t="str">
        <x:f>IFERROR(HYPERLINK("https://www.jagonews24.com/en/biz-econ/news/83051","Jago News"),"Jago News")</x:f>
        <x:v>Jago News</x:v>
      </x:c>
      <x:c r="L780" s="21" t="str">
        <x:f>IFERROR(HYPERLINK("https://bdnews24.com/bangladesh/b4933a72a017","bdnews24.com"),"bdnews24.com")</x:f>
        <x:v>bdnews24.com</x:v>
      </x:c>
      <x:c r="M780" s="21" t="str">
        <x:f>IFERROR(HYPERLINK("https://www.tbsnews.net/bangladesh/wood-laden-boat-myanmar-docks-teknaf-ending-year-long-halt-1426816","The Business Standard"),"The Business Standard")</x:f>
        <x:v>The Business Standard</x:v>
      </x:c>
      <x:c r="N780" s="4" t="str">
        <x:v>https://www.jagonews24.com/en/biz-econ/news/83051
https://bdnews24.com/bangladesh/b4933a72a017
https://www.tbsnews.net/bangladesh/wood-laden-boat-myanmar-docks-teknaf-ending-year-long-halt-1426816
https://www.dhakatribune.com/amp/bangladesh/foreign-affairs/371904/myanmar-suspends-trade-from-yangon-to-teknaf
https://www.bssnews.net/others/383315
https://www.dmediag.com/news/btrmb.html
https://www.bnionline.net/en/news/resumed-bangladesh-arakan-border-trade-still-fails-attract-private-entrepreneurs</x:v>
      </x:c>
      <x:c r="O780" s="4" t="str">
        <x:v>Second full-register audit source access, 26 October 2026
https://www.jagonews24.com/en/biz-econ/news/83051: full text (fresh retrieval)
https://bdnews24.com/bangladesh/b4933a72a017: full text (fresh retrieval) — Current body has a later update stamp; its original publication and present text are distinguished.
https://www.tbsnews.net/bangladesh/wood-laden-boat-myanmar-docks-teknaf-ending-year-long-halt-1426816: full text (fresh retrieval)
https://www.bssnews.net/others/383315: full text (fresh retrieval)
https://www.dmediag.com/news/btrmb.html: full text (fresh retrieval)
https://www.bnionline.net/en/news/resumed-bangladesh-arakan-border-trade-still-fails-attract-private-entrepreneurs: full text (fresh retrieval)
Earlier URLs not separately inspected in this second assessment:
https://www.dhakatribune.com/amp/bangladesh/foreign-affairs/371904/myanmar-suspends-trade-from-yangon-to-teknaf
Prior audit access record
Full-register audit source access (evidence cutoff 25 October 2026)
https://www.jagonews24.com/en/biz-econ/news/83051: full text
https://bdnews24.com/bangladesh/b4933a72a017: full text
https://www.tbsnews.net/bangladesh/wood-laden-boat-myanmar-docks-teknaf-ending-year-long-halt-1426816: full text
https://www.bssnews.net/others/383315: full text
https://www.dmediag.com/news/btrmb.html: full text
https://www.bnionline.net/en/news/resumed-bangladesh-arakan-border-trade-still-fails-attract-private-entrepreneurs: full text
Earlier source URLs not separately listed in this audit’s retrieval log (historical access notes below are not fresh verification):
https://www.dhakatribune.com/amp/bangladesh/foreign-affairs/371904/myanmar-suspends-trade-from-yangon-to-teknaf
Earlier recorded access
Source 1: full text
Source 2: full text
Source 3: full text</x:v>
      </x:c>
      <x:c r="P780" s="20" t="n">
        <x:v>1</x:v>
      </x:c>
      <x:c r="Q780" s="4" t="str">
        <x:v>East and Southeast Asia and Oceania</x:v>
      </x:c>
      <x:c r="R780" s="4" t="str">
        <x:v>Included</x:v>
      </x:c>
    </x:row>
    <x:row r="781" ht="409" hidden="0" customHeight="1">
      <x:c r="A781" s="16" t="str">
        <x:v>REC50-R28-003</x:v>
      </x:c>
      <x:c r="B781" s="4" t="str">
        <x:v>Singkhon–Mawtaung formal opening and goods-transfer restrictions, 2026</x:v>
      </x:c>
      <x:c r="C781" s="4" t="str">
        <x:v>Thailand; Myanmar</x:v>
      </x:c>
      <x:c r="D781" s="4" t="str">
        <x:v>Singkhon–Mawtaung / Ban Mudong border area; exact binding unlocated
Singkhon / Mawtaung-Mudong counterpart and designated limited goods-transfer area</x:v>
      </x:c>
      <x:c r="E781" s="4" t="str">
        <x:v>Normal checkpoint authorisations and a separately described limited goods-transfer schedule
Direction: Phase-specific Thai–Myanmar trade and passage permissions
Exceptions: Proposed mobile-vendor/small agricultural trade and emergency medical pathways; April goods permission retains written notice and customs conditions.</x:v>
      </x:c>
      <x:c r="F781" s="4" t="str">
        <x:v>REC50-R28-003-P1 — Formal policy
Singkhon formal opening unavailable at the 21 January 2026 provincial meeting; limited community trade and emergency medical pathways discussed separately.
Start: unknown.
Last confirmed: 2026-01-21. Reopening is not established.
Formal policy: dated evidence; numeric duration withheld; see qualification
REC50-R28-003-P2 — Formal policy
Singkhon goods-transfer schedule restricted to Tuesday and Saturday mornings before a formal relaxation effective 17 April 2026.
Start: unknown.
Policy endpoint: 2026-04-17.
Formal policy: dated evidence; numeric duration withheld; see qualification
Additional later context: a 5 August 2026 provincial meeting, reported August 9, still reviewed possible general reopening and border documentation after repair of roads and utilities. This extends the documentary trail beyond the July 15 meeting, but does not establish uninterrupted closure since January or negate the separate April 17 limited goods-policy relaxation. Frontier’s February 17 reporting also describes a closed Thai border, without resolving every permitted community-trade exception.</x:v>
      </x:c>
      <x:c r="G781" s="4" t="str">
        <x:v>Security / Armed conflict and military confrontation
Attributed official explanation
Applies to: REC50-R28-003-P1; REC50-R28-003-P2
Provincial meeting and governor accounts connect restrictions to fighting opposite Singkhon and the later relaxation to calmer conditions; the attribution is to those officials.
Administration and service operation
Attributed official explanation
Applies to: REC50-R28-003-P1 only
Officials explain that normal opening cannot proceed without a lawful counterpart and coordination/certification mechanism. No narrower taxonomy subcategory or undisclosed political motive is invented.</x:v>
      </x:c>
      <x:c r="H781" s="4" t="str">
        <x:v>REC50-R28-003-P1: This is dated policy evidence, not observed universal cessation. Neither the last tin-import approval on 20 October 2025 nor later incomplete applications establish a general start date. No continuous interval is inferred across the later schedule and July planning report.
REC50-R28-003-P2: The endpoint is a legal relaxation only; no first truck or trader passage is documented. A July meeting still discusses possible general reopening, so April permission must not become a universal operational endpoint. The relationship between the January observation and the later schedule is not a proven continuous spell.
scope; chronology; attribution; geography: The schedule’s onset and its relationship to the January policy are unknown. April permission is not an observed full checkpoint reopening; July preparations do not supply a new closure date or prove continuous closure.
Additional later context: a 5 August 2026 provincial meeting, reported August 9, still reviewed possible general reopening and border documentation after repair of roads and utilities. This extends the documentary trail beyond the July 15 meeting, but does not establish uninterrupted closure since January or negate the separate April 17 limited goods-policy relaxation. Frontier’s February 17 reporting also describes a closed Thai border, without resolving every permitted community-trade exception.</x:v>
      </x:c>
      <x:c r="I781" s="4" t="str">
        <x:v>Second full-register audit, 26 October 2026: qualified. January formal-opening difficulty, April goods-schedule relaxation and August reopening preparations remain correctly separated.</x:v>
      </x:c>
      <x:c r="J781" s="18" t="d">
        <x:v>2026-10-26T00:00:00.000Z</x:v>
      </x:c>
      <x:c r="K781" s="21" t="str">
        <x:f>IFERROR(HYPERLINK("https://huahintoday.com/hua-hin-news/thai-myanmar-border-security-meeting-held-in-prachuap-khiri-khan/","Hua Hin Today"),"Hua Hin Today")</x:f>
        <x:v>Hua Hin Today</x:v>
      </x:c>
      <x:c r="L781" s="21" t="str">
        <x:f>IFERROR(HYPERLINK("https://www.topnews.co.th/news/1462495","TopNews"),"TopNews")</x:f>
        <x:v>TopNews</x:v>
      </x:c>
      <x:c r="M781" s="21" t="str">
        <x:f>IFERROR(HYPERLINK("https://www.dailynews.co.th/news/5791785/","Daily News Thailand"),"Daily News Thailand")</x:f>
        <x:v>Daily News Thailand</x:v>
      </x:c>
      <x:c r="N781" s="4" t="str">
        <x:v>https://huahintoday.com/hua-hin-news/thai-myanmar-border-security-meeting-held-in-prachuap-khiri-khan/
https://www.topnews.co.th/news/1462495
https://www.dailynews.co.th/news/5791785/
https://huahintoday.com/hua-hin-news/singkhon-border-checkpoint-reopening-preparations-reviewed/
https://huahintoday.com/hua-hin-news/singkhon-border-crossing-reopening-preparations-reviewed/
https://www.frontiermyanmar.net/en/holding-the-line-in-mawdaung/
https://www.appicnews.com/regular-trade-resumes-at-sinkhorn-checkpoint-in-prachuap-khiri-khan/</x:v>
      </x:c>
      <x:c r="O781" s="4" t="str">
        <x:v>Second full-register audit source access, 26 October 2026
https://huahintoday.com/hua-hin-news/thai-myanmar-border-security-meeting-held-in-prachuap-khiri-khan/: search extract (fresh retrieval) — Direct access timed out; substantive indexed account.
https://huahintoday.com/hua-hin-news/singkhon-border-crossing-reopening-preparations-reviewed/: search extract (fresh retrieval) — Direct access timed out; substantive indexed account.
https://www.appicnews.com/regular-trade-resumes-at-sinkhorn-checkpoint-in-prachuap-khiri-khan/: full text (fresh retrieval)
Earlier URLs not separately inspected in this second assessment:
https://www.topnews.co.th/news/1462495
https://www.dailynews.co.th/news/5791785/
https://huahintoday.com/hua-hin-news/singkhon-border-checkpoint-reopening-preparations-reviewed/
https://www.frontiermyanmar.net/en/holding-the-line-in-mawdaung/
Prior audit access record
Full-register audit source access (evidence cutoff 25 October 2026)
https://huahintoday.com/hua-hin-news/thai-myanmar-border-security-meeting-held-in-prachuap-khiri-khan/: search extract — See specific claim qualifications.
https://www.dailynews.co.th/news/5791785/: full text — See specific claim qualifications.
https://huahintoday.com/hua-hin-news/singkhon-border-checkpoint-reopening-preparations-reviewed/: search extract — See specific claim qualifications.
https://huahintoday.com/hua-hin-news/singkhon-border-crossing-reopening-preparations-reviewed/: search extract — See specific claim qualifications.
https://www.frontiermyanmar.net/en/holding-the-line-in-mawdaung/: full text — See specific claim qualifications.
https://www.topnews.co.th/news/1462495: inaccessible — See specific claim qualifications.
https://www.appicnews.com/regular-trade-resumes-at-sinkhorn-checkpoint-in-prachuap-khiri-khan/: search extract — Only headline and introductory excerpt retrieved; not independent corroboration of actual trucks.
Earlier recorded access
Source 1: full text
Source 2: full text
Source 3: full text</x:v>
      </x:c>
      <x:c r="P781" s="20" t="n">
        <x:v>2</x:v>
      </x:c>
      <x:c r="Q781" s="4" t="str">
        <x:v>East and Southeast Asia and Oceania</x:v>
      </x:c>
      <x:c r="R781" s="4" t="str">
        <x:v>Included</x:v>
      </x:c>
    </x:row>
    <x:row r="782" ht="258" hidden="0" customHeight="1">
      <x:c r="A782" s="16" t="str">
        <x:v>REC50-R31-001</x:v>
      </x:c>
      <x:c r="B782" s="4" t="str">
        <x:v>Pharr and Ysleta trucker blockades against added Texas inspections, April 2022</x:v>
      </x:c>
      <x:c r="C782" s="4" t="str">
        <x:v>Mexico; United States</x:v>
      </x:c>
      <x:c r="D782" s="4" t="str">
        <x:v>Pharr–Reynosa and Ysleta–Zaragoza international bridges</x:v>
      </x:c>
      <x:c r="E782" s="4" t="str">
        <x:v>Commercial lanes obstructed by trucker protesters at Pharr–Reynosa and Ysleta–Zaragoza
Direction: Northbound and southbound commercial lanes were affected at each facility, recorded in two separate phases.
Exceptions: Ysleta personal vehicles and pedestrians were reported unaffected by the commercial blockade; other exceptions are not exhaustively documented. Continued Texas inspections and their queues are distinct from the protest obstruction.</x:v>
      </x:c>
      <x:c r="F782" s="4" t="str">
        <x:v>REC50-R31-001-P1 — Observed operation
Commercial lanes obstructed by trucker protesters at Pharr–Reynosa International Bridge
Start: 2022-04-11.
Observed scoped reopening: 2022-04-13.
2 calendar-day difference; scoped endpoint only
REC50-R31-001-P2 — Observed operation
Commercial lanes obstructed by trucker protesters at Ysleta–Zaragoza International Bridge
Start: 2022-04-11, approximately 15:00.
Protest removal reported: approximately 22:00 on 2022-04-12.
Operating return reported on 2022-04-13; first returned truck not independently timed.
Scoped reopening bounds: 2022-04-12 to 2022-04-13.
1–2 calendar-day difference; the reported protest clocks describe an approximately 31-hour envelope, not an exact count of lost operating hours.</x:v>
      </x:c>
      <x:c r="G782" s="4" t="str">
        <x:v>Trade and protectionism / Trade and transport protests
Truckers opposed additional Texas inspections and the resulting waits, according to the contemporary Texas Tribune and FreightWaves accounts.
Applies to: REC50-R31-001-P1; REC50-R31-001-P2
This records the protesters’ demands; the Texas authorities’ migration and security rationale for inspections is separate.</x:v>
      </x:c>
      <x:c r="H782" s="4" t="str">
        <x:v>REC50-R31-001-P1: CBP reported commercial resumption on 13 April after the Pharr blockade; enhanced Texas inspections continued. KSAT’s driver-trip accounts appear under Progreso reporting and do not establish either complete Pharr exclusion or uninterrupted Pharr passage. Exact exemptions and clock duration remain uncertain.
REC50-R31-001-P2: The Texas Tribune, citing Border Report, places the Ysleta commercial-lane obstruction at approximately 15:00 on 11 April. CBP spokesman Roger Maier dates protest removal to approximately 22:00 on 12 April; FreightWaves also describes operating return on 13 April. The approximately 31-hour protest envelope supports a restriction lasting more than 24 hours, but does not time the first returning truck or exclude routine nonoperating hours. Personal vehicles and pedestrians were reported unaffected.
The facility phases overlap and their durations must not be added. The evidence concerns these two named bridges, not a closure of the entire Mexico–United States border. Exact mapped geometry remains unlocated.</x:v>
      </x:c>
      <x:c r="I782" s="4" t="str">
        <x:v>Second full-register audit, 26 October 2026: additional source-audited corrections incorporated. See the phase, scope and qualification columns for the accepted findings.</x:v>
      </x:c>
      <x:c r="J782" s="18" t="d">
        <x:v>2026-10-26T00:00:00.000Z</x:v>
      </x:c>
      <x:c r="K782" s="21" t="str">
        <x:f>IFERROR(HYPERLINK("https://www.texastribune.org/2022/04/11/texas-border-inspections-truckers-protest/","The Texas Tribune"),"The Texas Tribune")</x:f>
        <x:v>The Texas Tribune</x:v>
      </x:c>
      <x:c r="L782" s="21" t="str">
        <x:f>IFERROR(HYPERLINK("https://www.ksat.com/news/local/2022/04/14/blockade-ends-in-pharr-reynosa-bridge-dps-inspections-continue/","KSAT"),"KSAT")</x:f>
        <x:v>KSAT</x:v>
      </x:c>
      <x:c r="M782" s="21" t="str">
        <x:f>IFERROR(HYPERLINK("https://www.freightwaves.com/news/truck-drivers-from-mexico-end-blockade-of-texas-bridges","FreightWaves"),"FreightWaves")</x:f>
        <x:v>FreightWaves</x:v>
      </x:c>
      <x:c r="N782" s="4" t="str">
        <x:v>https://www.texastribune.org/2022/04/11/texas-border-inspections-truckers-protest/
https://www.ksat.com/news/local/2022/04/14/blockade-ends-in-pharr-reynosa-bridge-dps-inspections-continue/
https://www.freightwaves.com/news/truck-drivers-from-mexico-end-blockade-of-texas-bridges</x:v>
      </x:c>
      <x:c r="O782" s="4" t="str">
        <x:v>Second full-register audit source access, 26 October 2026
https://www.texastribune.org/2022/04/11/texas-border-inspections-truckers-protest/: full text (fresh retrieval)
https://www.ksat.com/news/local/2022/04/14/blockade-ends-in-pharr-reynosa-bridge-dps-inspections-continue/: full text (fresh retrieval)
https://www.freightwaves.com/news/truck-drivers-from-mexico-end-blockade-of-texas-bridges: full text (fresh retrieval)
Prior audit access record
Full-register audit source access (evidence cutoff 25 October 2026)
https://www.texastribune.org/2022/04/11/texas-border-inspections-truckers-protest/: full text
https://www.freightwaves.com/news/truck-drivers-from-mexico-end-blockade-of-texas-bridges: full text
https://www.ksat.com/news/local/2022/04/14/blockade-ends-in-pharr-reynosa-bridge-dps-inspections-continue/: full text
Earlier recorded access
Source 1: full text
Source 2: full text
Source 3: full text</x:v>
      </x:c>
      <x:c r="P782" s="20" t="n">
        <x:v>2</x:v>
      </x:c>
      <x:c r="Q782" s="4" t="str">
        <x:v>Americas</x:v>
      </x:c>
      <x:c r="R782" s="4" t="str">
        <x:v>Included</x:v>
      </x:c>
    </x:row>
    <x:row r="783" ht="402" hidden="0" customHeight="1">
      <x:c r="A783" s="16" t="str">
        <x:v>REC50-R31-002</x:v>
      </x:c>
      <x:c r="B783" s="4" t="str">
        <x:v>BOTA cargo-service suspension for migrant processing, April 2023</x:v>
      </x:c>
      <x:c r="C783" s="4" t="str">
        <x:v>Mexico; United States</x:v>
      </x:c>
      <x:c r="D783" s="4" t="str">
        <x:v>Bridge of the Americas (BOTA) cargo lot, El Paso</x:v>
      </x:c>
      <x:c r="E783" s="4" t="str">
        <x:v>CBP cargo-lot commercial services
Direction: The CBP cargo-service notice does not enumerate a direction split; no passenger or all-bridge shutdown is inferred.
Exceptions: Other cargo ports and passenger services are not closed by the cited BOTA notice.</x:v>
      </x:c>
      <x:c r="F783" s="4" t="str">
        <x:v>REC50-R31-002-P1 — Formal policy with observed scoped reopening
CBP cargo-lot commercial services at Bridge of the Americas, El Paso
Policy start: 2023-04-14.
Policy endpoint: 2023-04-18.
Observed scoped reopening: 2023-04-18 morning, reported by the El Paso Times.
Four-calendar-day policy interval; exact first refusal and first returned truck are unverified, and routine nonoperating time is included.</x:v>
      </x:c>
      <x:c r="G783" s="4" t="str">
        <x:v>Migration / Processing capacity
CBP’s 13 April service bulletin attributes the temporary BOTA commercial-service suspension to processing an influx of migrants.
Applies to: REC50-R31-002-P1
This is the issuing authority’s stated rationale for suspending cargo services, not a passenger-entry ban.</x:v>
      </x:c>
      <x:c r="H783" s="4" t="str">
        <x:v>REC50-R31-002-P1: CBP notices establish effective cargo-service suspension on 14 April and restoration on 18 April 2023. The signed 17 April notice schedules normal Monday–Friday operations from 06:00 to 14:00 and lists Saturday as closed. El Paso Times reporting on 18 April additionally states that cargo inspections resumed that morning; its full article was unavailable directly, but a substantive indexed syndication was inspected. Exact first refusal and first processed truck remain unverified. The four-calendar-day policy interval includes routine nonoperating time and is not four lost working days or 96 continuously excluded hours. Scope is BOTA cargo services: passenger traffic, Ysleta’s separate staffing reduction and the other ports listed as contacts are not all-bridge closures under this notice. Exact mapped geometry remains unlocated.</x:v>
      </x:c>
      <x:c r="I783" s="4" t="str">
        <x:v>Second full-register audit, 26 October 2026: additional source-audited corrections incorporated. See the phase, scope and qualification columns for the accepted findings.</x:v>
      </x:c>
      <x:c r="J783" s="18" t="d">
        <x:v>2026-10-26T00:00:00.000Z</x:v>
      </x:c>
      <x:c r="K783" s="21" t="str">
        <x:f>IFERROR(HYPERLINK("https://content.govdelivery.com/accounts/USDHSCBP/bulletins/354cf2f","U.S. Customs and Border Protection"),"U.S. Customs and Border Protection")</x:f>
        <x:v>U.S. Customs and Border Protection</x:v>
      </x:c>
      <x:c r="L783" s="21" t="str">
        <x:f>IFERROR(HYPERLINK("https://content.govdelivery.com/accounts/USDHSCBP/bulletins/3558dca","U.S. Customs and Border Protection"),"U.S. Customs and Border Protection")</x:f>
        <x:v>U.S. Customs and Border Protection</x:v>
      </x:c>
      <x:c r="M783" s="21" t="str">
        <x:f>IFERROR(HYPERLINK("https://content.govdelivery.com/attachments/USDHSCBP/2023/04/18/file_attachments/2470649/TIN_FY-2023-2400-04_April%2017%2C%202023.pdf","U.S. Customs and Border Protection"),"U.S. Customs and Border Protection")</x:f>
        <x:v>U.S. Customs and Border Protection</x:v>
      </x:c>
      <x:c r="N783" s="4" t="str">
        <x:v>https://content.govdelivery.com/accounts/USDHSCBP/bulletins/354cf2f
https://content.govdelivery.com/accounts/USDHSCBP/bulletins/3558dca
https://content.govdelivery.com/attachments/USDHSCBP/2023/04/18/file_attachments/2470649/TIN_FY-2023-2400-04_April%2017%2C%202023.pdf
https://finance.yahoo.com/news/border-cargo-operations-restored-car-191902287.html</x:v>
      </x:c>
      <x:c r="O783" s="4" t="str">
        <x:v>Second full-register audit source access, 26 October 2026
https://content.govdelivery.com/accounts/USDHSCBP/bulletins/354cf2f: full text (fresh retrieval)
https://content.govdelivery.com/accounts/USDHSCBP/bulletins/3558dca: full text (fresh retrieval)
https://content.govdelivery.com/attachments/USDHSCBP/2023/04/18/file_attachments/2470649/TIN_FY-2023-2400-04_April%2017%2C%202023.pdf: full text (fresh retrieval) — Image-only PDF downloaded and page visually inspected; plain web extraction had no body text.
https://finance.yahoo.com/news/border-cargo-operations-restored-car-191902287.html: search extract (fresh retrieval) — Direct Yahoo open returned 429; original El Paso Times direct open restricted. Substantive indexed syndicated text inspected.
Prior audit access record
Full-register audit source access (evidence cutoff 25 October 2026)
https://content.govdelivery.com/accounts/USDHSCBP/bulletins/354cf2f: full text
https://content.govdelivery.com/accounts/USDHSCBP/bulletins/3558dca: full text
https://finance.yahoo.com/news/border-cargo-operations-restored-car-191902287.html: search extract — Yahoo full open 429; substantive indexed article read.
Earlier source URLs not separately listed in this audit’s retrieval log (historical access notes below are not fresh verification):
https://content.govdelivery.com/attachments/USDHSCBP/2023/04/18/file_attachments/2470649/TIN_FY-2023-2400-04_April%2017%2C%202023.pdf
Earlier recorded access
Source 1: full text
Source 2: full text
Source 3: indexed extract</x:v>
      </x:c>
      <x:c r="P783" s="20" t="n">
        <x:v>1</x:v>
      </x:c>
      <x:c r="Q783" s="4" t="str">
        <x:v>Americas</x:v>
      </x:c>
      <x:c r="R783" s="4" t="str">
        <x:v>Included</x:v>
      </x:c>
    </x:row>
    <x:row r="784" ht="210" hidden="0" customHeight="1">
      <x:c r="A784" s="16" t="str">
        <x:v>REC50-R31-003</x:v>
      </x:c>
      <x:c r="B784" s="4" t="str">
        <x:v>Pharr northbound farmer protest interruption, May 2024</x:v>
      </x:c>
      <x:c r="C784" s="4" t="str">
        <x:v>Mexico; United States</x:v>
      </x:c>
      <x:c r="D784" s="4" t="str">
        <x:v>Pharr–Reynosa International Bridge</x:v>
      </x:c>
      <x:c r="E784" s="4" t="str">
        <x:v>Reported northbound bridge circulation
Direction: Reynosa, Mexico, toward the United States.
Exceptions: No exhaustive exemption or affected-vehicle list is supplied.</x:v>
      </x:c>
      <x:c r="F784" s="4" t="str">
        <x:v>REC50-R31-003-P1 — Observed operation
Reported northbound bridge circulation at Pharr–Reynosa International Bridge
Start: 2024-05-29.
Observed scoped reopening: 2024-05-29.
dated evidence; numeric duration withheld; see qualification</x:v>
      </x:c>
      <x:c r="G784" s="4" t="str">
        <x:v>Policy and socioeconomic demands / Jobs, services and livelihoods
Reported farmer demand with named union representative
Applies to: REC50-R31-003-P1
Producers sought fair grain prices and farm subsidies. Their comparison with U.S. support is attributed, not an independently established trade-policy finding.</x:v>
      </x:c>
      <x:c r="H784" s="4" t="str">
        <x:v>REC50-R31-003-P1: Vehicle categories and exemptions are not exhaustively identified. The bridge interruption is distinct from the earlier road gathering and caravan. Contemporary reports disagree on its duration and mechanism: KRGV describes a brief northbound interruption with circulation restored around 17:30; El Sol de Tampico’s accessible headline and standfirst report customs gates closed for approximately 20 minutes; Excélsior reports a closure before 14:00 and reopening nearly three hours later, attributing the gate closure to federal officials during a peaceful march. The latter explanation includes a farmer representative’s speculation about security, not a verified official rationale. These accounts support the same-day event and reopening, but do not establish reconciled clock times or a precise elapsed duration. No separate phases are inferred from the discrepancy. The precise barrier footprint remains unlocated.</x:v>
      </x:c>
      <x:c r="I784" s="4" t="str">
        <x:v>Second full-register audit, 26 October 2026: additional source-audited corrections incorporated. See the phase, scope and qualification columns for the accepted findings.</x:v>
      </x:c>
      <x:c r="J784" s="18" t="d">
        <x:v>2026-10-26T00:00:00.000Z</x:v>
      </x:c>
      <x:c r="K784" s="21" t="str">
        <x:f>IFERROR(HYPERLINK("https://www.krgv.com/news/agricultores-bloquean-carretera-cerca-al-puente-internacional-pharr-reynosa","KRGV Noticias"),"KRGV Noticias")</x:f>
        <x:v>KRGV Noticias</x:v>
      </x:c>
      <x:c r="L784" s="21"/>
      <x:c r="M784" s="21"/>
      <x:c r="N784" s="4" t="str">
        <x:v>https://www.krgv.com/news/agricultores-bloquean-carretera-cerca-al-puente-internacional-pharr-reynosa
https://www.excelsior.com.mx/nacional/cierran-puente-internacional-de-tamaulipas-por-protesta-de-productores-de-granos/1654696
https://oem.com.mx/elsoldetampico/local/agricultores-realizan-caravana-al-puente-reynosa-pharr-el-flujo-del-cruce-se-suspendio-unos-minutos-13326867</x:v>
      </x:c>
      <x:c r="O784" s="4" t="str">
        <x:v>Second full-register audit source access, 26 October 2026
https://www.krgv.com/news/agricultores-bloquean-carretera-cerca-al-puente-internacional-pharr-reynosa: full text (fresh retrieval)
https://www.excelsior.com.mx/nacional/cierran-puente-internacional-de-tamaulipas-por-protesta-de-productores-de-granos/1654696: full text (fresh retrieval)
https://oem.com.mx/elsoldetampico/local/agricultores-realizan-caravana-al-puente-reynosa-pharr-el-flujo-del-cruce-se-suspendio-unos-minutos-13326867: search extract (fresh retrieval) — Only headline and standfirst were accessible; article body absent.
Prior audit access record
Full-register audit source access (evidence cutoff 25 October 2026)
https://www.krgv.com/news/agricultores-bloquean-carretera-cerca-al-puente-internacional-pharr-reynosa: full text
Earlier recorded access
Source 1: full text</x:v>
      </x:c>
      <x:c r="P784" s="20" t="n">
        <x:v>1</x:v>
      </x:c>
      <x:c r="Q784" s="4" t="str">
        <x:v>Americas</x:v>
      </x:c>
      <x:c r="R784" s="4" t="str">
        <x:v>Included</x:v>
      </x:c>
    </x:row>
    <x:row r="785" ht="409" hidden="0" customHeight="1">
      <x:c r="A785" s="16" t="str">
        <x:v>REC50-R31-004</x:v>
      </x:c>
      <x:c r="B785" s="4" t="str">
        <x:v>Pharr agricultural compensation protest, July 2025</x:v>
      </x:c>
      <x:c r="C785" s="4" t="str">
        <x:v>Mexico; United States</x:v>
      </x:c>
      <x:c r="D785" s="4" t="str">
        <x:v>Pharr–Reynosa International Bridge</x:v>
      </x:c>
      <x:c r="E785" s="4" t="str">
        <x:v>Freight and private-vehicle access obstructed at the entry gates
Direction: Mexico toward Pharr, United States.
Exceptions: No exhaustive authorised-passage exceptions are established.
For the July 7–9 episode (P2), contemporary reporting explicitly identifies freight bound for the United States. A later report describes both directions but combines the bridge with the San Fernando highway action; the exact directional and temporary-passage scope is less certain. Highway bus/vehicle exemptions are not automatically assigned to the bridge.</x:v>
      </x:c>
      <x:c r="F785" s="4" t="str">
        <x:v>REC50-R31-004-P1 — Observed operation
Freight and private-vehicle access obstructed at the entry gates at Pharr–Reynosa International Bridge
Start: 2025-07-11.
Observed scoped reopening: 2025-07-11.
dated evidence; numeric duration withheld; see qualification
REC50-R31-004-P2 — Observed restriction with qualified continuity
Pharr–Reynosa bridge access, including United States-bound freight traffic
Start: 2025-07-07 (contemporary N+ report).
Further crossing-specific obstruction observation: 2025-07-08 (POSTA, stranded trucks).
Reported withdrawal: 2025-07-09 (Infoenlínea retrospective report).
This is a separate episode from July 11. Exact first reopening and continuous elapsed closed hours are not established; reports combine the bridge action with a separate highway blockade and mention temporary passage.</x:v>
      </x:c>
      <x:c r="G785" s="4" t="str">
        <x:v>Policy and socioeconomic demands / Jobs, services and livelihoods
Reported producer demands; named local reporting
Applies to: REC50-R31-004-P1; REC50-R31-004-P2
Producers sought sorghum-price compensation and payment of previous agricultural support. This is an attributed livelihood demand.</x:v>
      </x:c>
      <x:c r="H785" s="4" t="str">
        <x:v>REC50-R31-004-P1: The July 11 blockade ended that day. Hora Cero reports commercial circulation restored at 14:30 after more than four hours; N+ confirms restoration but does not supply exact closure clocks. A proposed earlier release and threatened week-long closure are not completed operational endpoints.
REC50-R31-004-P2: N+ directly reports the July 7 bridge blockage and POSTA reports stranded trucks there on July 8. Infoenlínea’s July 28 account reports withdrawal of both the bridge and highway blockades on July 9, but its discussion of more than 24 hours and temporary passage combines two locations. The sources establish a separate earlier action and reported ending, without proving an uninterrupted bridge closure or exact reopening clock. July 7–9 is not joined to July 11. A search across all current input records found no duplicate July episode. The precise barrier footprint remains unlocated.</x:v>
      </x:c>
      <x:c r="I785" s="4" t="str">
        <x:v>Second full-register audit, 26 October 2026: additional source-audited corrections incorporated. See the phase, scope and qualification columns for the accepted findings.</x:v>
      </x:c>
      <x:c r="J785" s="18" t="d">
        <x:v>2026-10-26T00:00:00.000Z</x:v>
      </x:c>
      <x:c r="K785" s="21" t="str">
        <x:f>IFERROR(HYPERLINK("https://www.nmas.com.mx/tamaulipas/internacional/bloqueo-puente-reynosa-pharr-productores-agricolas-detienen-paso-de-unidades-de-carga/","N+"),"N+")</x:f>
        <x:v>N+</x:v>
      </x:c>
      <x:c r="L785" s="21" t="str">
        <x:f>IFERROR(HYPERLINK("https://horacero.com.mx/reynosa/ceden-productores-a-presion-reabren-puente-reynosa-pharr","Hora Cero"),"Hora Cero")</x:f>
        <x:v>Hora Cero</x:v>
      </x:c>
      <x:c r="M785" s="21" t="str">
        <x:f>IFERROR(HYPERLINK("https://www.notigape.com/productores-bloquean-de-nuevo-el-puente-pharr/284294","NotiGAPE"),"NotiGAPE")</x:f>
        <x:v>NotiGAPE</x:v>
      </x:c>
      <x:c r="N785" s="4" t="str">
        <x:v>https://www.nmas.com.mx/tamaulipas/internacional/bloqueo-puente-reynosa-pharr-productores-agricolas-detienen-paso-de-unidades-de-carga/
https://horacero.com.mx/reynosa/ceden-productores-a-presion-reabren-puente-reynosa-pharr
https://www.notigape.com/productores-bloquean-de-nuevo-el-puente-pharr/284294
https://eldiariomx.com/2025/07/11/bloquean-productores-puente-reynosa/
https://www.nmas.com.mx/tamaulipas/movilidad/marchas/agricultores-tamaulipas-bloquean-acceso-puente-reynosa-pharr-hoy-lunes-7-de-julio-2025/
https://www.posta.com.mx/tamaulipas/en-vivo-continua-bloqueo-en-la-carretera-san-fernando-matamoros-reynosa/vl2063236
https://infoenlinea.mx/detienen-a-lider-sorguero-por-bloqueos-carreteros-en-tamaulipas/</x:v>
      </x:c>
      <x:c r="O785" s="4" t="str">
        <x:v>Second full-register audit source access, 26 October 2026
https://www.nmas.com.mx/tamaulipas/internacional/bloqueo-puente-reynosa-pharr-productores-agricolas-detienen-paso-de-unidades-de-carga/: full text (fresh retrieval)
https://horacero.com.mx/reynosa/ceden-productores-a-presion-reabren-puente-reynosa-pharr: full text (fresh retrieval)
https://www.nmas.com.mx/tamaulipas/movilidad/marchas/agricultores-tamaulipas-bloquean-acceso-puente-reynosa-pharr-hoy-lunes-7-de-julio-2025/: full text (fresh retrieval)
https://www.posta.com.mx/tamaulipas/en-vivo-continua-bloqueo-en-la-carretera-san-fernando-matamoros-reynosa/vl2063236: full text (fresh retrieval) — The article also covers a separate highway blockade; its highway timing and temporary releases are not transferred to the bridge.
https://infoenlinea.mx/detienen-a-lider-sorguero-por-bloqueos-carreteros-en-tamaulipas/: full text (fresh retrieval) — Combines bridge and highway actions; precise temporary-passage scope and continuous duration remain uncertain.
Earlier URLs not separately inspected in this second assessment:
https://www.notigape.com/productores-bloquean-de-nuevo-el-puente-pharr/284294
https://eldiariomx.com/2025/07/11/bloquean-productores-puente-reynosa/
Prior audit access record
Full-register audit source access (evidence cutoff 25 October 2026)
https://www.nmas.com.mx/tamaulipas/internacional/bloqueo-puente-reynosa-pharr-productores-agricolas-detienen-paso-de-unidades-de-carga/: full text
https://horacero.com.mx/reynosa/ceden-productores-a-presion-reabren-puente-reynosa-pharr: full text
https://www.notigape.com/productores-bloquean-de-nuevo-el-puente-pharr/284294: full text — Requested 13:00 lifting is not actual endpoint
https://eldiariomx.com/2025/07/11/bloquean-productores-puente-reynosa/: search extract — Direct 403; substantive indexed body
Earlier recorded access
Source 1: full text
Source 2: full text
Source 3: indexed extract</x:v>
      </x:c>
      <x:c r="P785" s="20" t="n">
        <x:v>2</x:v>
      </x:c>
      <x:c r="Q785" s="4" t="str">
        <x:v>Americas</x:v>
      </x:c>
      <x:c r="R785" s="4" t="str">
        <x:v>Included</x:v>
      </x:c>
    </x:row>
    <x:row r="786" ht="342" hidden="0" customHeight="1">
      <x:c r="A786" s="16" t="str">
        <x:v>REC50-R31-005</x:v>
      </x:c>
      <x:c r="B786" s="4" t="str">
        <x:v>Seaway bridge-system access protest over pipeline and arrests, February 2020</x:v>
      </x:c>
      <x:c r="C786" s="4" t="str">
        <x:v>Canada; United States</x:v>
      </x:c>
      <x:c r="D786" s="4" t="str">
        <x:v>Seaway International Bridge system and North Channel Cornwall–Cornwall Island approach</x:v>
      </x:c>
      <x:c r="E786" s="4" t="str">
        <x:v>Non-emergency bridge-system traffic interrupted by a North Channel protest
Direction: Both northbound and southbound traffic, as reported in the tribal-police statement.
Exceptions: Emergencies permitted; local non-emergency traffic was not exempt according to the quoted tribal-police statement.</x:v>
      </x:c>
      <x:c r="F786" s="4" t="str">
        <x:v>REC50-R31-005-P1 — Observed operation
Non-emergency bridge-system traffic interrupted by a North Channel protest at Seaway International Bridge system / Cornwall–Cornwall Island approach
Start: 2020-02-07.
Observed scoped reopening: 2020-02-07.
dated evidence; numeric duration withheld; see qualification
An MCA account dated February 11 and reproduced by Indian Time reports SIBC restricting traffic to Cornwall Island from both countries around 14:30 on February 7 and traffic reopening around 16:30 that day. These approximate operating times are distinct from the reported 14:41–16:26 occupation of the North Channel bridge.</x:v>
      </x:c>
      <x:c r="G786" s="4" t="str">
        <x:v>Policy and socioeconomic demands / Rights and other policy grievances
Reported protest rationale and named community spokesperson account
Applies to: REC50-R31-005-P1
The protest concerned the British Columbia pipeline dispute and arrests linked to Wet’suwet’en opposition. No separate official security rationale is inferred.</x:v>
      </x:c>
      <x:c r="H786" s="4" t="str">
        <x:v>REC50-R31-005-P1: Emergency passage remained permitted; local non-emergency traffic was not exempt in the quoted tribal-police statement. The newly inspected MCA account reproduced by Indian Time describes an initial occupation of Akwesasne International Road, SIBC’s restriction of traffic to Cornwall Island from both countries, and supporters subsequently walking across the Cornwall bridge to the tollbooth. It reports traffic reopening around 16:30 on February 7 after the road occupation ended. Cornwall Seaway News separately times the bridge occupation at 14:41–16:26; occupation and operating restriction are not assumed identical to the minute. The MCA account is a reproduced council statement, not an independently observed second reopening. Community participation and council support for Wet’suwet’en do not prove council sponsorship of the blockade. The physical obstruction occurred on the island road/North Channel approach; it is not assigned to an invented point on the international boundary. The precise barrier footprint remains unlocated.</x:v>
      </x:c>
      <x:c r="I786" s="4" t="str">
        <x:v>Second full-register audit, 26 October 2026: additional source-audited corrections incorporated. See the phase, scope and qualification columns for the accepted findings.</x:v>
      </x:c>
      <x:c r="J786" s="18" t="d">
        <x:v>2026-10-26T00:00:00.000Z</x:v>
      </x:c>
      <x:c r="K786" s="21" t="str">
        <x:f>IFERROR(HYPERLINK("https://www.cornwallseawaynews.com/local/pipeline-protest-on-seaway-bridge-stops-traffic/","Cornwall Seaway News"),"Cornwall Seaway News")</x:f>
        <x:v>Cornwall Seaway News</x:v>
      </x:c>
      <x:c r="L786" s="21" t="str">
        <x:f>IFERROR(HYPERLINK("https://www.wwnytv.com/2020/02/18/members-saint-regis-mohawk-community-were-part-bridge-protests/","WWNY"),"WWNY")</x:f>
        <x:v>WWNY</x:v>
      </x:c>
      <x:c r="M786" s="21" t="str">
        <x:f>IFERROR(HYPERLINK("https://www.cornwallnewswatch.com/2020/02/07/seaway-bridge-closed-to-traffic-due-to-protest/","Cornwall Newswatch"),"Cornwall Newswatch")</x:f>
        <x:v>Cornwall Newswatch</x:v>
      </x:c>
      <x:c r="N786" s="4" t="str">
        <x:v>https://www.cornwallseawaynews.com/local/pipeline-protest-on-seaway-bridge-stops-traffic/
https://www.wwnytv.com/2020/02/18/members-saint-regis-mohawk-community-were-part-bridge-protests/
https://www.cornwallnewswatch.com/2020/02/07/seaway-bridge-closed-to-traffic-due-to-protest/
https://www.indiantime.net/story/2020/02/13/news/demonstration-in-support-of-wetsuweten-nation/33690.html</x:v>
      </x:c>
      <x:c r="O786" s="4" t="str">
        <x:v>Second full-register audit source access, 26 October 2026
https://www.cornwallseawaynews.com/local/pipeline-protest-on-seaway-bridge-stops-traffic/: full text (fresh retrieval)
https://www.wwnytv.com/2020/02/18/members-saint-regis-mohawk-community-were-part-bridge-protests/: full text (fresh retrieval) — Also covers separate February 17 Thousand Islands protest; its three-hour duration does not apply here.
https://www.indiantime.net/story/2020/02/13/news/demonstration-in-support-of-wetsuweten-nation/33690.html: full text (fresh retrieval) — February 11 council account reproduced February 13; not an independent second observation.
https://www.cornwallnewswatch.com/2020/02/07/seaway-bridge-closed-to-traffic-due-to-protest/: inaccessible (fresh retrieval) — Direct retrieval returned 502.
Prior audit access record
Full-register audit source access (evidence cutoff 25 October 2026)
https://www.cornwallseawaynews.com/local/pipeline-protest-on-seaway-bridge-stops-traffic/: full text
https://www.wwnytv.com/2020/02/18/members-saint-regis-mohawk-community-were-part-bridge-protests/: full text
https://www.cornwallnewswatch.com/2020/02/07/seaway-bridge-closed-to-traffic-due-to-protest/: inaccessible — Repeated 502; alternative local body inspected
Earlier recorded access
Source 1: indexed extract
Source 2: full text
Source 3: full text</x:v>
      </x:c>
      <x:c r="P786" s="20" t="n">
        <x:v>1</x:v>
      </x:c>
      <x:c r="Q786" s="4" t="str">
        <x:v>Americas</x:v>
      </x:c>
      <x:c r="R786" s="4" t="str">
        <x:v>Included</x:v>
      </x:c>
    </x:row>
    <x:row r="787" ht="409" hidden="0" customHeight="1">
      <x:c r="A787" s="16" t="str">
        <x:v>REC50-R32-001</x:v>
      </x:c>
      <x:c r="B787" s="4" t="str">
        <x:v>Colombia territorial-election ordered land and river border window, October 2023</x:v>
      </x:c>
      <x:c r="C787" s="4" t="str">
        <x:v>Colombia</x:v>
      </x:c>
      <x:c r="D787" s="4" t="str">
        <x:v>All authorised land and river posts in the rule; Rumichaca, Mataje and San Miguel named in local advance reports
Authorised Colombian land and river border posts; named Ecuador-frontier announcements do not demonstrate operation at every post.</x:v>
      </x:c>
      <x:c r="E787" s="4" t="str">
        <x:v>Ordinary passage through authorised border posts; named local notices specify pedestrians and vehicles
Direction: Both directions in the local named-post notices; national policy scope is broader than those observations
Exceptions: Force majeure and unforeseen emergencies, as stated in Article 31; implementation not independently observed</x:v>
      </x:c>
      <x:c r="F787" s="4" t="str">
        <x:v>REC50-R32-001-P1 — Announced window
Colombia’s authorised land and river border posts under Article 31 of decree 1702; local preannouncements explicitly name Rumichaca, Mataje and San Miguel.
Start: 2023-10-28.
Scheduled endpoint: 2023-10-29.
Ordered window: 1 calendar-day difference; actual end not established</x:v>
      </x:c>
      <x:c r="G787" s="4" t="str">
        <x:v>Electoral politics / Election administration and security
Attributed official justification
Applies to: REC50-R32-001-P1
The decree expressly concerns electoral guarantees and public order for the territorial election. This is the government’s stated purpose, not independent evidence of necessity.</x:v>
      </x:c>
      <x:c r="H787" s="4" t="str">
        <x:v>REC50-R32-001-P1: This is a 22-hour ordered window, not a complete operational spell. The one-day calendar difference between the dates must not be described as more than 24 hours of observed closure. Force-majeure and unforeseen-emergency exceptions remain. The separate alcohol ban ends later and supplies no border endpoint.
scope; operational chronology; geography: The rule provides a schedule only. The longer alcohol prohibition is distinct, and the possible later electoral runoff does not create another border phase.</x:v>
      </x:c>
      <x:c r="I787" s="4" t="str">
        <x:v>Second full-register audit, 26 October 2026: qualified. Fresh official decree and local notices confirm the 22-hour ordered window. Further searches found no matched observed reopening.</x:v>
      </x:c>
      <x:c r="J787" s="18" t="d">
        <x:v>2026-10-26T00:00:00.000Z</x:v>
      </x:c>
      <x:c r="K787" s="21" t="str">
        <x:f>IFERROR(HYPERLINK("https://www.registraduria.gov.co/IMG/pdf/20231024_decreto-1702_2023.pdf","Colombian national government / Registraduria official PDF"),"Colombian national government / Registraduria official PDF")</x:f>
        <x:v>Colombian national government / Registraduria official PDF</x:v>
      </x:c>
      <x:c r="L787" s="21" t="str">
        <x:f>IFERROR(HYPERLINK("https://www.mininterior.gov.co/noticias/gobierno-nacional-expide-decreto-de-garantias-electorales-y-de-orden-publico-en-el-pais-durante-las-elecciones-territoriales-de-2023/","Colombia Ministry of the Interior"),"Colombia Ministry of the Interior")</x:f>
        <x:v>Colombia Ministry of the Interior</x:v>
      </x:c>
      <x:c r="M787" s="21" t="str">
        <x:f>IFERROR(HYPERLINK("https://www.eluniverso.com/noticias/ecuador/colombia-suspendera-la-movilidad-por-el-puente-internacional-de-rumichaca-el-fin-de-semana-por-elecciones-nota/?outputType=amp","El Universo"),"El Universo")</x:f>
        <x:v>El Universo</x:v>
      </x:c>
      <x:c r="N787" s="4" t="str">
        <x:v>https://www.registraduria.gov.co/IMG/pdf/20231024_decreto-1702_2023.pdf
https://www.mininterior.gov.co/noticias/gobierno-nacional-expide-decreto-de-garantias-electorales-y-de-orden-publico-en-el-pais-durante-las-elecciones-territoriales-de-2023/
https://www.eluniverso.com/noticias/ecuador/colombia-suspendera-la-movilidad-por-el-puente-internacional-de-rumichaca-el-fin-de-semana-por-elecciones-nota/?outputType=amp
https://www.radioipiales.co/2023/10/cierre-de-la-frontera-desde-el-sabado-2/</x:v>
      </x:c>
      <x:c r="O787" s="4" t="str">
        <x:v>Second full-register audit source access, 26 October 2026
https://www.registraduria.gov.co/IMG/pdf/20231024_decreto-1702_2023.pdf: full text (fresh retrieval)
https://www.mininterior.gov.co/noticias/gobierno-nacional-expide-decreto-de-garantias-electorales-y-de-orden-publico-en-el-pais-durante-las-elecciones-territoriales-de-2023/: full text (fresh retrieval)
https://www.eluniverso.com/noticias/ecuador/colombia-suspendera-la-movilidad-por-el-puente-internacional-de-rumichaca-el-fin-de-semana-por-elecciones-nota/?outputType=amp: full text (fresh retrieval) — Prospective notice, not observed gate operation.
https://www.radioipiales.co/2023/10/cierre-de-la-frontera-desde-el-sabado-2/: full text (fresh retrieval) — Calls the decree 33, apparently confusing its article count; exact official PDF takes priority.
Prior audit access record
Full-register audit source access (evidence cutoff 25 October 2026)
https://www.registraduria.gov.co/IMG/pdf/20231024_decreto-1702_2023.pdf: full text
https://www.radioipiales.co/2023/10/cierre-de-la-frontera-desde-el-sabado-2/: full text
Earlier source URLs not separately listed in this audit’s retrieval log (historical access notes below are not fresh verification):
https://www.mininterior.gov.co/noticias/gobierno-nacional-expide-decreto-de-garantias-electorales-y-de-orden-publico-en-el-pais-durante-las-elecciones-territoriales-de-2023/
https://www.eluniverso.com/noticias/ecuador/colombia-suspendera-la-movilidad-por-el-puente-internacional-de-rumichaca-el-fin-de-semana-por-elecciones-nota/?outputType=amp
Earlier recorded access
Source 1: full text
Source 2: indexed extract
Source 3: full text</x:v>
      </x:c>
      <x:c r="P787" s="20" t="n">
        <x:v>1</x:v>
      </x:c>
      <x:c r="Q787" s="4" t="str">
        <x:v>Americas</x:v>
      </x:c>
      <x:c r="R787" s="4" t="str">
        <x:v>Included</x:v>
      </x:c>
    </x:row>
    <x:row r="788" ht="366" hidden="0" customHeight="1">
      <x:c r="A788" s="16" t="str">
        <x:v>REC50-R32-002</x:v>
      </x:c>
      <x:c r="B788" s="4" t="str">
        <x:v>Venezuela–Colombia election restriction and San Antonio return, May 2025</x:v>
      </x:c>
      <x:c r="C788" s="4" t="str">
        <x:v>Venezuela; Colombia</x:v>
      </x:c>
      <x:c r="D788" s="4" t="str">
        <x:v>San Antonio del Táchira principal customs access / Simón Bolívar international bridge
Venezuelan side of the Colombia frontier. Jonathan Maldonado’s May 27 Diario La Nación report explicitly identifies Simón Bolívar and resumed circulation in both lanes. Reports also mention reopening of Francisco de Paula Santander, Unión and Atanasio Girardot; the recorded phase remains scoped to San Antonio / Simón Bolívar.</x:v>
      </x:c>
      <x:c r="E788" s="4" t="str">
        <x:v>Ordinary pedestrians and vehicles at the reported San Antonio customs access.
Direction: Passage through the Venezuelan-side gate; separate arrival and departure clocks are not established. Migración Colombia stated that its other service points would continue normal operation; this does not independently establish operation at every Colombia-side frontier office.
Exceptions: A humanitarian corridor remained available; no universal passenger or freight exclusion is inferred.</x:v>
      </x:c>
      <x:c r="F788" s="4" t="str">
        <x:v>REC50-R32-002-P1 — Observed operation
Ordinary pedestrian and vehicle passage at San Antonio’s principal customs access to the Simón Bolívar bridge on the Venezuela–Colombia frontier during the May 2025 election restriction.
Start: 2025-05-23.
Observed scoped reopening: 2025-05-27.
4 calendar-day difference; scoped endpoint only
Bridge identity resolved by the original Diario La Nación report: ordinary traffic was flowing after 06:00 on May 27. Contemporary Caracol reporting also identifies blocked Venezuela-bound travellers at Simón Bolívar on May 23.</x:v>
      </x:c>
      <x:c r="G788" s="4" t="str">
        <x:v>Electoral politics / Election administration and security
Attributed official justification
Applies to: REC50-R32-002-P1
Migración Colombia attributes the Venezuelan closure instruction to the 25 May electoral process. No unverified threat or conspiracy allegation is added.</x:v>
      </x:c>
      <x:c r="H788" s="4" t="str">
        <x:v>REC50-R32-002-P1: Four calendar days to a scoped reported return, not 96 measured hours or proof that every frontier gate and traffic class stopped. The announced rule expired at 23:59 on May 26; ordinary morning opening may explain the May 27 return, so a legal extension is not inferred. The named Diario La Nación reporter directly identifies Simón Bolívar and both lanes, resolving the former bridge-identification gap. Separate first-arrival and first-departure clocks remain unknown. Humanitarian movements remain exceptions; Caracol’s opening-day report of stranded people with medical/family needs does not prove that every humanitarian request was refused throughout the episode. Reports concerning the other three Táchira bridges do not establish identical cargo cohorts or exact first-opening clocks for all gates. No Brazil-frontier interval is assigned.</x:v>
      </x:c>
      <x:c r="I788" s="4" t="str">
        <x:v>Second full-register audit, 26 October 2026: additional source-audited corrections incorporated. See the phase, scope and qualification columns for the accepted findings.</x:v>
      </x:c>
      <x:c r="J788" s="18" t="d">
        <x:v>2026-10-26T00:00:00.000Z</x:v>
      </x:c>
      <x:c r="K788" s="21" t="str">
        <x:f>IFERROR(HYPERLINK("https://portal.migracioncolombia.gov.co/detalle-noticia?cHash=4efdf873d9743b33889a669da35a023f&amp;tx_news_pi1%5Baction%5D=detail&amp;tx_news_pi1%5Bcontroller%5D=News&amp;tx_news_pi1%5Bnews%5D=279","Migración Colombia"),"Migración Colombia")</x:f>
        <x:v>Migración Colombia</x:v>
      </x:c>
      <x:c r="L788" s="21" t="str">
        <x:f>IFERROR(HYPERLINK("https://primicia.com.ve/nacion/reabren-frontera-entre-venezuela-y-colombia/","Primicia / Diario La Nación"),"Primicia / Diario La Nación")</x:f>
        <x:v>Primicia / Diario La Nación</x:v>
      </x:c>
      <x:c r="M788" s="21"/>
      <x:c r="N788" s="4" t="str">
        <x:v>https://portal.migracioncolombia.gov.co/detalle-noticia?cHash=4efdf873d9743b33889a669da35a023f&amp;tx_news_pi1%5Baction%5D=detail&amp;tx_news_pi1%5Bcontroller%5D=News&amp;tx_news_pi1%5Bnews%5D=279
https://primicia.com.ve/nacion/reabren-frontera-entre-venezuela-y-colombia/
https://lanacionweb.com/frontera/puente-simon-bolivar-recobro-su-dinamismo/
https://lamananadigital.com/reanudan-transito-binacional-en-la-frontera-de-tachira-tras-cierre-por-elecciones/
https://caracol.com.co/2025/05/23/cierre-sorpresivo-de-la-frontera-dejo-atrapados-a-venezolanos-en-cucuta-y-villa-del-rosario/?primarySection=%2Fciudades%2Fcucuta</x:v>
      </x:c>
      <x:c r="O788" s="4" t="str">
        <x:v>Second full-register audit source access, 26 October 2026
https://portal.migracioncolombia.gov.co/detalle-noticia?cHash=4efdf873d9743b33889a669da35a023f&amp;tx_news_pi1%5Baction%5D=detail&amp;tx_news_pi1%5Bcontroller%5D=News&amp;tx_news_pi1%5Bnews%5D=279: search extract (fresh retrieval) — Direct URL failed; substantive official indexed body inspected.
https://primicia.com.ve/nacion/reabren-frontera-entre-venezuela-y-colombia/: full text (fresh retrieval) — Reproduced La Nación material, not independent reporting.
https://lanacionweb.com/frontera/puente-simon-bolivar-recobro-su-dinamismo/: full text (fresh retrieval)
https://lamananadigital.com/reanudan-transito-binacional-en-la-frontera-de-tachira-tras-cierre-por-elecciones/: full text (fresh retrieval) — Same reporting origin as La Nación and Primicia.
https://caracol.com.co/2025/05/23/cierre-sorpresivo-de-la-frontera-dejo-atrapados-a-venezolanos-en-cucuta-y-villa-del-rosario/?primarySection=%2Fciudades%2Fcucuta: full text (fresh retrieval) — Clock report does not independently specify timezone or separate first operating clock at each gate.
Prior audit access record
Full-register audit source access (evidence cutoff 25 October 2026)
https://portal.migracioncolombia.gov.co/detalle-noticia?cHash=4efdf873d9743b33889a669da35a023f&amp;tx_news_pi1%5Baction%5D=detail&amp;tx_news_pi1%5Bcontroller%5D=News&amp;tx_news_pi1%5Bnews%5D=279: search extract — Old and redirected official URL direct opens fail
https://primicia.com.ve/nacion/reabren-frontera-entre-venezuela-y-colombia/: full text
Earlier recorded access
Source 1: full text
Source 2: full text</x:v>
      </x:c>
      <x:c r="P788" s="20" t="n">
        <x:v>1</x:v>
      </x:c>
      <x:c r="Q788" s="4" t="str">
        <x:v>Americas</x:v>
      </x:c>
      <x:c r="R788" s="4" t="str">
        <x:v>Included</x:v>
      </x:c>
    </x:row>
    <x:row r="789" ht="409" hidden="0" customHeight="1">
      <x:c r="A789" s="16" t="str">
        <x:v>REC50-R32-003</x:v>
      </x:c>
      <x:c r="B789" s="4" t="str">
        <x:v>Venezuela–Colombia municipal-election restriction at San Antonio, July 2025</x:v>
      </x:c>
      <x:c r="C789" s="4" t="str">
        <x:v>Venezuela; Colombia</x:v>
      </x:c>
      <x:c r="D789" s="4" t="str">
        <x:v>San Antonio del Táchira customs / Simón Bolívar bridge towards La Parada, Colombia
Venezuelan-side San Antonio customs access to Simón Bolívar bridge; wider named-bridge reporting is retained without transferring the local operational evidence to every gate.</x:v>
      </x:c>
      <x:c r="E789" s="4" t="str">
        <x:v>Ordinary pedestrian and vehicle passage at the San Antonio customs access to Simón Bolívar bridge; medical, ambulance and repatriation passage excepted
Direction: Passage through the Venezuelan-side gate; no independently separated arrival/departure first-passage clocks
Exceptions: Medical patients towards Colombia, ambulance transfer and coffin repatriation are documented; a complete list of all legal exceptions is not established.</x:v>
      </x:c>
      <x:c r="F789" s="4" t="str">
        <x:v>REC50-R32-003-P1 — Observed operation
San Antonio customs access to Simón Bolívar bridge between Venezuela and Colombia; ordinary pedestrians and vehicles, excluding documented humanitarian passage.
Start: 2025-07-26.
Observed scoped reopening: 2025-07-28.
2 calendar-day difference; scoped endpoint only</x:v>
      </x:c>
      <x:c r="G789" s="4" t="str">
        <x:v>Electoral politics / Election administration and security
Attributed official justification
Applies to: REC50-R32-003-P1
The readable gazette summary gives electoral and popular-consultation security as the official purpose. It does not prove the operational necessity or that every post was closed.</x:v>
      </x:c>
      <x:c r="H789" s="4" t="str">
        <x:v>REC50-R32-003-P1: The earlier 25–28 July instruction concerned strict controls. Local reporting supports ordinary passage being restricted on 26–27 July and returning on 28 July at San Antonio. The two-calendar-day difference is not a measurement of 48 elapsed hours. Medical passage, ambulance transfers and repatriation remained possible. Broader Friday-onset and Monday-night accounts are preserved as conflicting general reports and are not the chronology of this narrowed phase. Other gates, cargo-specific permission and Brazil require separate evidence; geographic coordinates remain unapproved.
scope; operational chronology; geography: The earlier 25–28 July instruction concerned strict controls. Local reporting supports ordinary passage being restricted on 26–27 July and returning on 28 July at San Antonio. The two-calendar-day difference is not a measurement of 48 elapsed hours. Medical passage, ambulance transfers and repatriation remained possible. Broader Friday-onset and Monday-night accounts are preserved as conflicting general reports and are not the chronology of this narrowed phase. Other gates, cargo-specific permission and Brazil require separate evidence; geographic coordinates remain unapproved.</x:v>
      </x:c>
      <x:c r="I789" s="4" t="str">
        <x:v>Second full-register audit, 26 October 2026: qualified. Rechecked local July 26–28 chronology, humanitarian movements and the original gazette summary; the accepted distinction from July 25 strict controls is sound.</x:v>
      </x:c>
      <x:c r="J789" s="18" t="d">
        <x:v>2026-10-26T00:00:00.000Z</x:v>
      </x:c>
      <x:c r="K789" s="21" t="str">
        <x:f>IFERROR(HYPERLINK("https://dateas.s3.eu-west-2.amazonaws.com/gaceta-oficial-venezuela-extraordinario/2025/07/gaceta-oficial-venezuela-extraordinario-2025-07-23.pdf","Venezuelan official gazette; third-party copy hosted by Dateas"),"Venezuelan official gazette; third-party copy hosted by Dateas")</x:f>
        <x:v>Venezuelan official gazette; third-party copy hosted by Dateas</x:v>
      </x:c>
      <x:c r="L789" s="21" t="str">
        <x:f>IFERROR(HYPERLINK("https://caracol.com.co/2025/07/24/gobierno-de-venezuela-anuncio-el-cierre-de-frontera-a-partir-de-este-viernes/","Caracol Radio"),"Caracol Radio")</x:f>
        <x:v>Caracol Radio</x:v>
      </x:c>
      <x:c r="M789" s="21" t="str">
        <x:f>IFERROR(HYPERLINK("https://ciudadmcy.info.ve/reabierta-frontera-colombo-venezolana-tras-elecciones-municipales","Ciudad MCY / VTV"),"Ciudad MCY / VTV")</x:f>
        <x:v>Ciudad MCY / VTV</x:v>
      </x:c>
      <x:c r="N789" s="4" t="str">
        <x:v>https://dateas.s3.eu-west-2.amazonaws.com/gaceta-oficial-venezuela-extraordinario/2025/07/gaceta-oficial-venezuela-extraordinario-2025-07-23.pdf
https://caracol.com.co/2025/07/24/gobierno-de-venezuela-anuncio-el-cierre-de-frontera-a-partir-de-este-viernes/
https://ciudadmcy.info.ve/reabierta-frontera-colombo-venezolana-tras-elecciones-municipales
https://www.semana.com/nacion/cucuta/articulo/venezuela-reabre-frontera-con-colombia-tras-cierre-temporal-por-elecciones-municipales/202512/
https://fronteradigital.com.ve/index.php/entrada/61787
https://www.el-carabobeno.com/reabierta-la-frontera-en-el-estado-tachira-tras-48-horas-por-elecciones-municipales/
https://eldiario.com/2025/07/25/control-fronteras-de-venezuela-elecciones-municipales/
https://fronteraysociedad.org/120-pacientes-un-trasbordo-y-una-repatriacion-por-el-canal-humanitario-habilitado-por-venezuela-tras-el-cierre-de-frontera-por-las-elecciones-municipales/</x:v>
      </x:c>
      <x:c r="O789" s="4" t="str">
        <x:v>Second full-register audit source access, 26 October 2026
https://dateas.s3.eu-west-2.amazonaws.com/gaceta-oficial-venezuela-extraordinario/2025/07/gaceta-oficial-venezuela-extraordinario-2025-07-23.pdf: search extract (fresh retrieval) — Web open failed but direct HTTPS download succeeded (1,369,829 bytes). Cover summary extracted locally; scanned operative interior pages not separately visually reviewed. No claim of full operative-text review.
https://eldiario.com/2025/07/25/control-fronteras-de-venezuela-elecciones-municipales/: full text (fresh retrieval) — Published July 25, updated July 26; Saturday detail not backdated into original publication.
https://www.el-carabobeno.com/reabierta-la-frontera-en-el-estado-tachira-tras-48-horas-por-elecciones-municipales/: search extract (fresh retrieval) — Direct 403; substantive indexed body inspected. Shared La Nación origin.
https://fronteraysociedad.org/120-pacientes-un-trasbordo-y-una-repatriacion-por-el-canal-humanitario-habilitado-por-venezuela-tras-el-cierre-de-frontera-por-las-elecciones-municipales/: full text (fresh retrieval) — Reproduced local report posted July 27; not independent duplicate observation.
https://ciudadmcy.info.ve/reabierta-frontera-colombo-venezolana-tras-elecciones-municipales: full text (fresh retrieval) — Friday onset conflicts with 48-hour description and precise local account.
https://fronteradigital.com.ve/index.php/entrada/61787: full text (fresh retrieval) — More-than-72-hour and universal-closure statements are not adopted for this narrow phase.
Earlier URLs not separately inspected in this second assessment:
https://caracol.com.co/2025/07/24/gobierno-de-venezuela-anuncio-el-cierre-de-frontera-a-partir-de-este-viernes/
https://www.semana.com/nacion/cucuta/articulo/venezuela-reabre-frontera-con-colombia-tras-cierre-temporal-por-elecciones-municipales/202512/
Prior audit access record
Full-register audit source access (evidence cutoff 25 October 2026)
https://www.el-carabobeno.com/reabierta-la-frontera-en-el-estado-tachira-tras-48-horas-por-elecciones-municipales/: search extract — Direct 403; substantive local reporting indexed
https://fronteraysociedad.org/120-pacientes-un-trasbordo-y-una-repatriacion-por-el-canal-humanitario-habilitado-por-venezuela-tras-el-cierre-de-frontera-por-las-elecciones-municipales/: full text
https://eldiario.com/2025/07/25/control-fronteras-de-venezuela-elecciones-municipales/: full text
https://ciudadmcy.info.ve/reabierta-frontera-colombo-venezolana-tras-elecciones-municipales: full text — Friday onset conflicts with its 48-hour wording and local account
https://dateas.s3.eu-west-2.amazonaws.com/gaceta-oficial-venezuela-extraordinario/2025/07/gaceta-oficial-venezuela-extraordinario-2025-07-23.pdf: inaccessible — PDF unavailable through tool
Earlier source URLs not separately listed in this audit’s retrieval log (historical access notes below are not fresh verification):
https://caracol.com.co/2025/07/24/gobierno-de-venezuela-anuncio-el-cierre-de-frontera-a-partir-de-este-viernes/
https://www.semana.com/nacion/cucuta/articulo/venezuela-reabre-frontera-con-colombia-tras-cierre-temporal-por-elecciones-municipales/202512/
https://fronteradigital.com.ve/index.php/entrada/61787
Earlier recorded access
Source 1: partial metadata
Source 2: full text
Source 3: full text</x:v>
      </x:c>
      <x:c r="P789" s="20" t="n">
        <x:v>1</x:v>
      </x:c>
      <x:c r="Q789" s="4" t="str">
        <x:v>Americas</x:v>
      </x:c>
      <x:c r="R789" s="4" t="str">
        <x:v>Included</x:v>
      </x:c>
    </x:row>
    <x:row r="790" ht="198" hidden="0" customHeight="1">
      <x:c r="A790" s="16" t="str">
        <x:v>REC50-R33-001</x:v>
      </x:c>
      <x:c r="B790" s="4" t="str">
        <x:v>Sonamasjid freight holiday for Durga Puja, September–October 2022</x:v>
      </x:c>
      <x:c r="C790" s="4" t="str">
        <x:v>Bangladesh; India</x:v>
      </x:c>
      <x:c r="D790" s="4" t="str">
        <x:v>Sonamasjid</x:v>
      </x:c>
      <x:c r="E790" s="4" t="str">
        <x:v>Import/export freight; observed India-to-Bangladesh truck return
Direction: Both directions for the specified freight; see each phase for any narrower scope.
Exceptions: Internal loading and unloading of imported goods continued; passenger treatment not established.</x:v>
      </x:c>
      <x:c r="F790" s="4" t="str">
        <x:v>REC50-R33-001-P1 — Observed operation
Cross-border goods interchange through Sonamasjid during the local Puja holiday
Start: 2022-09-30.
Observed scoped reopening: 2022-10-08.
8 calendar-day difference; scoped endpoint only</x:v>
      </x:c>
      <x:c r="G790" s="4" t="str">
        <x:v>Administration and service operation / Temporary service suspension
Named C&amp;F official attributes the freight halt to Puja and weekly holidays.
Applies to: Only the specified phase and named local decision.
Reported reasons are attributed; no motive inferred from the wider regional context.</x:v>
      </x:c>
      <x:c r="H790" s="4" t="str">
        <x:v>REC50-R33-001-P1: Eight calendar-date differences for bilateral freight interchange; internal loading/unloading continued and passenger closure is not established. UNB advance and return reports share the same named C&amp;F official. No measured-hour precision or geometry is claimed.
scope; continuity; endpoint; geography: Eight calendar-date differences for bilateral freight interchange; internal loading/unloading continued and passenger closure is not established. UNB advance and return reports share the same named C&amp;F official. No measured-hour precision or geometry is claimed.</x:v>
      </x:c>
      <x:c r="I790" s="4" t="str">
        <x:v>Second full-register audit, 26 October 2026: qualified. Actual Sonamasjid goods return on 8 October corroborates the original holiday schedule, with internal handling kept separate.</x:v>
      </x:c>
      <x:c r="J790" s="18" t="d">
        <x:v>2026-10-26T00:00:00.000Z</x:v>
      </x:c>
      <x:c r="K790" s="21" t="str">
        <x:f>IFERROR(HYPERLINK("https://www.unb.com.bd/category/Bangladesh/trade-via-sonamasjid-land-port-resumes/102129","United News of Bangladesh"),"United News of Bangladesh")</x:f>
        <x:v>United News of Bangladesh</x:v>
      </x:c>
      <x:c r="L790" s="21" t="str">
        <x:f>IFERROR(HYPERLINK("https://unb.com.bd/category/bangladesh/trade-via-sonamasjid-land-port-to-remain-suspended-for-8-days/101642","United News of Bangladesh"),"United News of Bangladesh")</x:f>
        <x:v>United News of Bangladesh</x:v>
      </x:c>
      <x:c r="M790" s="21"/>
      <x:c r="N790" s="4" t="str">
        <x:v>https://www.unb.com.bd/category/Bangladesh/trade-via-sonamasjid-land-port-resumes/102129
https://unb.com.bd/category/bangladesh/trade-via-sonamasjid-land-port-to-remain-suspended-for-8-days/101642</x:v>
      </x:c>
      <x:c r="O790" s="4" t="str">
        <x:v>Second full-register audit source access, 26 October 2026
https://www.unb.com.bd/category/Bangladesh/trade-via-sonamasjid-land-port-resumes/102129: full text (fresh retrieval)
https://unb.com.bd/category/bangladesh/trade-via-sonamasjid-land-port-to-remain-suspended-for-8-days/101642: full text (fresh retrieval)
Prior audit access record
Full-register audit source access (evidence cutoff 25 October 2026)
https://www.unb.com.bd/category/Bangladesh/trade-via-sonamasjid-land-port-resumes/102129: full text
https://unb.com.bd/category/bangladesh/trade-via-sonamasjid-land-port-to-remain-suspended-for-8-days/101642: full text
Earlier recorded access
Source 1: full text
Source 2: full text</x:v>
      </x:c>
      <x:c r="P790" s="20" t="n">
        <x:v>1</x:v>
      </x:c>
      <x:c r="Q790" s="4" t="str">
        <x:v>South Asia</x:v>
      </x:c>
      <x:c r="R790" s="4" t="str">
        <x:v>Included</x:v>
      </x:c>
    </x:row>
    <x:row r="791" ht="210" hidden="0" customHeight="1">
      <x:c r="A791" s="16" t="str">
        <x:v>REC50-R33-002</x:v>
      </x:c>
      <x:c r="B791" s="4" t="str">
        <x:v>Hili freight holiday for Durga Puja, September–October 2022</x:v>
      </x:c>
      <x:c r="C791" s="4" t="str">
        <x:v>Bangladesh; India</x:v>
      </x:c>
      <x:c r="D791" s="4" t="str">
        <x:v>Hili</x:v>
      </x:c>
      <x:c r="E791" s="4" t="str">
        <x:v>Import/export freight
Direction: Both directions for the specified freight; see each phase for any narrower scope.
Exceptions: Passport-visa immigration remained normal throughout.</x:v>
      </x:c>
      <x:c r="F791" s="4" t="str">
        <x:v>REC50-R33-002-P1 — Observed operation
Bilateral goods interchange at Hili during the local Puja holiday
Start: 2022-09-30.
Observed scoped reopening: 2022-10-08.
8 calendar-day difference; scoped endpoint only</x:v>
      </x:c>
      <x:c r="G791" s="4" t="str">
        <x:v>Administration and service operation / Temporary service suspension
C&amp;F and customs officials attribute the halt to Puja and weekly holidays.
Applies to: Only the specified phase and named local decision.
Reported reasons are attributed; no motive inferred from the wider regional context.</x:v>
      </x:c>
      <x:c r="H791" s="4" t="str">
        <x:v>REC50-R33-002-P1: Eight calendar-date differences for freight only; immigration continued normally. RisingBD advance wording gives 29 September, contrary to both the 30 September contemporaneous report and explicit retrospective BSS 30 September–7 October dates; the latter pair supports the adopted onset. Shared officials are not independent confirmations.
scope; continuity; endpoint; geography: Eight calendar-date differences for freight only; immigration continued normally. RisingBD advance wording gives 29 September, contrary to both the 30 September contemporaneous report and explicit retrospective BSS 30 September–7 October dates; the latter pair supports the adopted onset. Shared officials are not independent confirmations.</x:v>
      </x:c>
      <x:c r="I791" s="4" t="str">
        <x:v>Second full-register audit, 26 October 2026: qualified. Fresh Hili onset and actual-return accounts support 30 September–8 October; the advance 29 September discrepancy remains disclosed.</x:v>
      </x:c>
      <x:c r="J791" s="18" t="d">
        <x:v>2026-10-26T00:00:00.000Z</x:v>
      </x:c>
      <x:c r="K791" s="21" t="str">
        <x:f>IFERROR(HYPERLINK("https://www.unb.com.bd/category/Bangladesh/durga-puja-hili-land-port-closes-for-trade-till-oct-8/101718","United News of Bangladesh"),"United News of Bangladesh")</x:f>
        <x:v>United News of Bangladesh</x:v>
      </x:c>
      <x:c r="L791" s="21" t="str">
        <x:f>IFERROR(HYPERLINK("https://www.bssnews.net/news/86846","Bangladesh Sangbad Sangstha"),"Bangladesh Sangbad Sangstha")</x:f>
        <x:v>Bangladesh Sangbad Sangstha</x:v>
      </x:c>
      <x:c r="M791" s="21" t="str">
        <x:f>IFERROR(HYPERLINK("https://www.risingbd.com/english/country/news/89860","RisingBD"),"RisingBD")</x:f>
        <x:v>RisingBD</x:v>
      </x:c>
      <x:c r="N791" s="4" t="str">
        <x:v>https://www.unb.com.bd/category/Bangladesh/durga-puja-hili-land-port-closes-for-trade-till-oct-8/101718
https://www.bssnews.net/news/86846
https://www.risingbd.com/english/country/news/89860</x:v>
      </x:c>
      <x:c r="O791" s="4" t="str">
        <x:v>Second full-register audit source access, 26 October 2026
https://www.unb.com.bd/category/Bangladesh/durga-puja-hili-land-port-closes-for-trade-till-oct-8/101718: full text (fresh retrieval)
https://www.bssnews.net/news/86846: full text (fresh retrieval)
https://www.risingbd.com/english/country/news/89860: full text (fresh retrieval)
Prior audit access record
Full-register audit source access (evidence cutoff 25 October 2026)
https://www.unb.com.bd/category/Bangladesh/durga-puja-hili-land-port-closes-for-trade-till-oct-8/101718: full text
https://www.bssnews.net/news/86846: full text
https://www.risingbd.com/english/country/news/89860: full text
Earlier recorded access
Source 1: full text
Source 2: full text
Source 3: full text</x:v>
      </x:c>
      <x:c r="P791" s="20" t="n">
        <x:v>1</x:v>
      </x:c>
      <x:c r="Q791" s="4" t="str">
        <x:v>South Asia</x:v>
      </x:c>
      <x:c r="R791" s="4" t="str">
        <x:v>Included</x:v>
      </x:c>
    </x:row>
    <x:row r="792" ht="366" hidden="0" customHeight="1">
      <x:c r="A792" s="16" t="str">
        <x:v>REC50-R33-003</x:v>
      </x:c>
      <x:c r="B792" s="4" t="str">
        <x:v>Banglabandha–Phulbari freight holiday and observed restoration, September–October 2022</x:v>
      </x:c>
      <x:c r="C792" s="4" t="str">
        <x:v>Bangladesh; India</x:v>
      </x:c>
      <x:c r="D792" s="4" t="str">
        <x:v>Banglabandha / Phulbari</x:v>
      </x:c>
      <x:c r="E792" s="4" t="str">
        <x:v>Import/export freight including onward Nepal and Bhutan trade
Direction: Both directions for the specified freight; see each phase for any narrower scope.
Exceptions: Traveller movement in both directions continued.</x:v>
      </x:c>
      <x:c r="F792" s="4" t="str">
        <x:v>REC50-R33-003-P1 — Announced window
Freight exchange through Banglabandha–Phulbari under the local trader holiday arrangement
Start: 2022-09-30.
Scheduled endpoint: 2022-10-10.
Ordered window: 10 calendar-day difference; actual end not established
REC50-R44-BANGLABANDHA-P1 — Observed operation
Banglabandha–Phulbari freight interchange during the September–October 2022 holiday
Start: 2022-09-30.
Observed scoped reopening: 2022-10-10.
10 calendar-day difference; scoped endpoint only</x:v>
      </x:c>
      <x:c r="G792" s="4" t="str">
        <x:v>Administration and service operation / Temporary service suspension
Named trader groups and port officials attribute the arrangement to Puja and Eid-e-Miladunnabi.
Applies to: REC50-R33-003-P1 and REC50-R44-BANGLABANDHA-P1; overlapping schedule and operational evidence for the same episode, not additive durations.
Reported reasons are attributed; no motive inferred from the wider regional context.</x:v>
      </x:c>
      <x:c r="H792" s="4" t="str">
        <x:v>REC50-R33-003-P1: The original September 30–October 10 schedule is retained. A local October 10 report now confirms completed morning freight restart after September 30–October 9 interruption, supporting a linked ten-calendar-day operational phase. The advance eleven-day shorthand remains conflicting; passengers continued and Nepal/Bhutan remain onward trading partners.
REC50-R44-BANGLABANDHA-P1: Ten calendar-date differences, not measured hours. The actual-return account dates the holiday September 30–October 9 and restart October 10; advance eleven-day wording is not adopted. Travellers continued. Onward Nepal/Bhutan trade does not create additional adjoining boundaries.
scope; continuity; endpoint; geography: Freight return on October 10 is supported by a substantive local report. Exact first-vehicle clocks, a fully separate official archive and reviewed geography remain unresolved; the advance eleven-day shorthand is preserved as a source discrepancy.</x:v>
      </x:c>
      <x:c r="I792" s="4" t="str">
        <x:v>Second full-register audit, 26 October 2026: qualified. Fresh Bengali actual-return reporting confirms the existing linked operational phase and ten-day goods interval; traveller movement and onward trade geography remain distinct.</x:v>
      </x:c>
      <x:c r="J792" s="18" t="d">
        <x:v>2026-10-26T00:00:00.000Z</x:v>
      </x:c>
      <x:c r="K792" s="21" t="str">
        <x:f>IFERROR(HYPERLINK("https://www.dhakatribune.com/bangladesh/295032/trade-via-banglabandha-land-port-to-remain","Dhaka Tribune / UNB"),"Dhaka Tribune / UNB")</x:f>
        <x:v>Dhaka Tribune / UNB</x:v>
      </x:c>
      <x:c r="L792" s="21" t="str">
        <x:f>IFERROR(HYPERLINK("https://www.thedailystar.net/business/news/trade-banglabandha-land-port-remain-suspended-11-days-3131951","The Daily Star"),"The Daily Star")</x:f>
        <x:v>The Daily Star</x:v>
      </x:c>
      <x:c r="M792" s="21" t="str">
        <x:f>IFERROR(HYPERLINK("https://www.ajkerpatrika.com/bangladesh/panchagarh/ajpeld1usxcrl","Ajker Patrika"),"Ajker Patrika")</x:f>
        <x:v>Ajker Patrika</x:v>
      </x:c>
      <x:c r="N792" s="4" t="str">
        <x:v>https://www.dhakatribune.com/bangladesh/295032/trade-via-banglabandha-land-port-to-remain
https://www.thedailystar.net/business/news/trade-banglabandha-land-port-remain-suspended-11-days-3131951
https://www.ajkerpatrika.com/bangladesh/panchagarh/ajpeld1usxcrl
https://online-bn.thedailystar.net/news/bangladesh/news-402816</x:v>
      </x:c>
      <x:c r="O792" s="4" t="str">
        <x:v>Second full-register audit source access, 26 October 2026
https://www.dhakatribune.com/bangladesh/295032/trade-via-banglabandha-land-port-to-remain: full text (fresh retrieval)
https://www.ajkerpatrika.com/bangladesh/panchagarh/ajpeld1usxcrl: full text (fresh retrieval)
Earlier URLs not separately inspected in this second assessment:
https://www.thedailystar.net/business/news/trade-banglabandha-land-port-remain-suspended-11-days-3131951
https://online-bn.thedailystar.net/news/bangladesh/news-402816
Prior audit access record
Full-register audit source access (evidence cutoff 25 October 2026)
https://www.dhakatribune.com/bangladesh/295032/trade-via-banglabandha-land-port-to-remain: full text — Use only for the described date and scope; no unobserved continuity inferred.
https://www.ajkerpatrika.com/bangladesh/panchagarh/ajpeld1usxcrl: full text — Use only for the described date and scope; no unobserved continuity inferred.
Earlier source URLs not separately listed in this audit’s retrieval log (historical access notes below are not fresh verification):
https://www.thedailystar.net/business/news/trade-banglabandha-land-port-remain-suspended-11-days-3131951
https://online-bn.thedailystar.net/news/bangladesh/news-402816
Earlier recorded access
Source 1: full text
Source 2: full text
Source 3: full text</x:v>
      </x:c>
      <x:c r="P792" s="20" t="n">
        <x:v>2</x:v>
      </x:c>
      <x:c r="Q792" s="4" t="str">
        <x:v>South Asia</x:v>
      </x:c>
      <x:c r="R792" s="4" t="str">
        <x:v>Included</x:v>
      </x:c>
    </x:row>
    <x:row r="793" ht="234" hidden="0" customHeight="1">
      <x:c r="A793" s="16" t="str">
        <x:v>REC50-R33-004</x:v>
      </x:c>
      <x:c r="B793" s="4" t="str">
        <x:v>Benapole–Petrapole announced freight holiday for Durga Puja, October 2022</x:v>
      </x:c>
      <x:c r="C793" s="4" t="str">
        <x:v>Bangladesh; India</x:v>
      </x:c>
      <x:c r="D793" s="4" t="str">
        <x:v>Benapole / Petrapole</x:v>
      </x:c>
      <x:c r="E793" s="4" t="str">
        <x:v>Import/export freight
Direction: Both directions for the specified freight; see each phase for any narrower scope.
Exceptions: Passenger immigration and unloading goods already inside the port continued.</x:v>
      </x:c>
      <x:c r="F793" s="4" t="str">
        <x:v>REC50-R33-004-P1 — Announced window
Cross-border goods interchange at Benapole–Petrapole under the October Puja holiday
Start: 2022-10-02.
Scheduled endpoint: 2022-10-06.
Ordered window: 4 calendar-day difference; actual end not established</x:v>
      </x:c>
      <x:c r="G793" s="4" t="str">
        <x:v>Administration and service operation / Temporary service suspension
Petrapole C&amp;F official attributes the halt to Durga Puja vacation.
Applies to: Only the specified phase and named local decision.
Reported reasons are attributed; no motive inferred from the wider regional context.</x:v>
      </x:c>
      <x:c r="H793" s="4" t="str">
        <x:v>REC50-R33-004-P1: Trade suspension was observed on Sunday 2 October, but 6 October reopening was still prospective. Passenger movement and unloading previously imported goods continued. The planned four-day window is excluded from complete operational durations.
scope; continuity; endpoint; geography: Trade suspension was observed on Sunday 2 October, but 6 October reopening was still prospective. Passenger movement and unloading previously imported goods continued. The planned four-day window is excluded from complete operational durations.</x:v>
      </x:c>
      <x:c r="I793" s="4" t="str">
        <x:v>Second full-register audit, 26 October 2026: qualified. Fresh English and Bengali follow-up searching did not find an actual 6 October 2022 return report. The current observed onset plus prospective holiday endpoint remains correctly qualified.</x:v>
      </x:c>
      <x:c r="J793" s="18" t="d">
        <x:v>2026-10-26T00:00:00.000Z</x:v>
      </x:c>
      <x:c r="K793" s="21" t="str">
        <x:f>IFERROR(HYPERLINK("https://www.dhakatribune.com/bangladesh/277674/durga-puja-holidays-trade-through-benapole-port","Dhaka Tribune / UNB-origin report"),"Dhaka Tribune / UNB-origin report")</x:f>
        <x:v>Dhaka Tribune / UNB-origin report</x:v>
      </x:c>
      <x:c r="L793" s="21" t="str">
        <x:f>IFERROR(HYPERLINK("https://unb.com.bd/category/bangladesh/durga-puja-holidays-trade-through-benapole-port-to-remain-suspended-till-oct-5/101810","United News of Bangladesh"),"United News of Bangladesh")</x:f>
        <x:v>United News of Bangladesh</x:v>
      </x:c>
      <x:c r="M793" s="21"/>
      <x:c r="N793" s="4" t="str">
        <x:v>https://www.dhakatribune.com/bangladesh/277674/durga-puja-holidays-trade-through-benapole-port
https://unb.com.bd/category/bangladesh/durga-puja-holidays-trade-through-benapole-port-to-remain-suspended-till-oct-5/101810</x:v>
      </x:c>
      <x:c r="O793" s="4" t="str">
        <x:v>Second full-register audit source access, 26 October 2026
https://www.dhakatribune.com/bangladesh/277674/durga-puja-holidays-trade-through-benapole-port: full text (fresh retrieval)
https://unb.com.bd/category/bangladesh/durga-puja-holidays-trade-through-benapole-port-to-remain-suspended-till-oct-5/101810: search extract (fresh retrieval) — Indexed complete substantive extract; same origin as reprint
Prior audit access record
Full-register audit source access (evidence cutoff 25 October 2026)
https://unb.com.bd/category/bangladesh/durga-puja-holidays-trade-through-benapole-port-to-remain-suspended-till-oct-5/101810: full text — Use only for the described date and scope; no unobserved continuity inferred.
https://www.dhakatribune.com/bangladesh/277674/durga-puja-holidays-trade-through-benapole-port: search extract — Use only for the described date and scope; no unobserved continuity inferred.
Earlier recorded access
Source 1: full text
Source 2: indexed extract</x:v>
      </x:c>
      <x:c r="P793" s="20" t="n">
        <x:v>1</x:v>
      </x:c>
      <x:c r="Q793" s="4" t="str">
        <x:v>South Asia</x:v>
      </x:c>
      <x:c r="R793" s="4" t="str">
        <x:v>Included</x:v>
      </x:c>
    </x:row>
    <x:row r="794" ht="282" hidden="0" customHeight="1">
      <x:c r="A794" s="16" t="str">
        <x:v>REC50-R33-005</x:v>
      </x:c>
      <x:c r="B794" s="4" t="str">
        <x:v>Jamunaha election closure order, February 2022</x:v>
      </x:c>
      <x:c r="C794" s="4" t="str">
        <x:v>Nepal; India</x:v>
      </x:c>
      <x:c r="D794" s="4" t="str">
        <x:v>Jamunaha</x:v>
      </x:c>
      <x:c r="E794" s="4" t="str">
        <x:v>Human and vehicle passage
Direction: Cross-border directions not separately specified
Exceptions: Emergency services were exempt in the police announcement reported by Gorkhapatra; actual implementation of that exception is not independently observed.</x:v>
      </x:c>
      <x:c r="F794" s="4" t="str">
        <x:v>REC50-R33-005-P1 — Announced window
Jamunaha border point in Nepalgunj during the Uttar Pradesh assembly election window
Start: 2022-02-25.
Scheduled endpoint: 2022-02-28.
Ordered window: 3 calendar-day difference; actual end not established</x:v>
      </x:c>
      <x:c r="G794" s="4" t="str">
        <x:v>Electoral politics / Election administration and security
Banke police superintendent explicitly links the order to Uttar Pradesh assembly polls.
Applies to: Only the specified phase and named local decision.
Reported reasons are attributed; no motive inferred from the wider regional context.</x:v>
      </x:c>
      <x:c r="H794" s="4" t="str">
        <x:v>REC50-R33-005-P1: The police announcement sets a 60-hour window from 25 February 2022 at 18:00 to 28 February at 06:00. Gorkhapatra’s Nepali report quotes the Jamunaha police chief identifying an emergency-service exception. Three calendar-date differences are not three 24-hour blocks. Actual implementation and first reopening were not independently observed.</x:v>
      </x:c>
      <x:c r="I794" s="4" t="str">
        <x:v>Second full-register audit, 26 October 2026: additional source-audited corrections incorporated. See the phase, scope and qualification columns for the accepted findings.</x:v>
      </x:c>
      <x:c r="J794" s="18" t="d">
        <x:v>2026-10-26T00:00:00.000Z</x:v>
      </x:c>
      <x:c r="K794" s="21" t="str">
        <x:f>IFERROR(HYPERLINK("https://english.khabarhub.com/2022/25/238818/","Khabarhub"),"Khabarhub")</x:f>
        <x:v>Khabarhub</x:v>
      </x:c>
      <x:c r="L794" s="21" t="str">
        <x:f>IFERROR(HYPERLINK("https://beta.gorkhapatraonline.com/arts/2022-02-24-58528","Gorkhapatra"),"Gorkhapatra")</x:f>
        <x:v>Gorkhapatra</x:v>
      </x:c>
      <x:c r="M794" s="21"/>
      <x:c r="N794" s="4" t="str">
        <x:v>https://english.khabarhub.com/2022/25/238818/
https://beta.gorkhapatraonline.com/arts/2022-02-24-58528
https://english.nepalnews.com/s/nation/jamunaha-border-point-to-remain-closed-for-60-hrs/</x:v>
      </x:c>
      <x:c r="O794" s="4" t="str">
        <x:v>Second full-register audit source access, 26 October 2026
https://english.khabarhub.com/2022/25/238818/: full text (fresh retrieval)
https://english.nepalnews.com/s/nation/jamunaha-border-point-to-remain-closed-for-60-hrs/: full text (fresh retrieval) — Same official attribution
https://beta.gorkhapatraonline.com/arts/2022-02-24-58528: search extract (fresh retrieval) — Direct page inaccessible; substantive Nepali indexed text inspected
Prior audit access record
Full-register audit source access (evidence cutoff 25 October 2026)
https://english.khabarhub.com/2022/25/238818/: full text — Use only for the described date and scope; no unobserved continuity inferred.
https://english.nepalnews.com/s/nation/jamunaha-border-point-to-remain-closed-for-60-hrs/: search extract — Use only for the described date and scope; no unobserved continuity inferred.
Earlier source URLs not separately listed in this audit’s retrieval log (historical access notes below are not fresh verification):
https://beta.gorkhapatraonline.com/arts/2022-02-24-58528
Earlier recorded access
Source 1: full text
Source 2: indexed extract</x:v>
      </x:c>
      <x:c r="P794" s="20" t="n">
        <x:v>1</x:v>
      </x:c>
      <x:c r="Q794" s="4" t="str">
        <x:v>South Asia</x:v>
      </x:c>
      <x:c r="R794" s="4" t="str">
        <x:v>Included</x:v>
      </x:c>
    </x:row>
    <x:row r="795" ht="409" hidden="0" customHeight="1">
      <x:c r="A795" s="16" t="str">
        <x:v>REC50-R33-006</x:v>
      </x:c>
      <x:c r="B795" s="4" t="str">
        <x:v>Benapole–Petrapole election and holiday restrictions, May 2024</x:v>
      </x:c>
      <x:c r="C795" s="4" t="str">
        <x:v>Bangladesh; India</x:v>
      </x:c>
      <x:c r="D795" s="4" t="str">
        <x:v>Benapole / Petrapole</x:v>
      </x:c>
      <x:c r="E795" s="4" t="str">
        <x:v>Freight and ordinary Bangladeshi passenger entry into India, separately phased
Direction: Both directions for the specified freight; see each phase for any narrower scope.
Exceptions: Medical/emergency passengers and returning Indian nationals excepted from the passenger ban.</x:v>
      </x:c>
      <x:c r="F795" s="4" t="str">
        <x:v>REC50-R33-006-P1 — Observed operation
Bilateral import/export freight through Benapole–Petrapole over the election/public-holiday shutdown
Start: 2024-05-18.
Observed scoped reopening: 2024-05-23.
5 calendar-day difference; scoped endpoint only
REC50-R33-006-P2 — Announced window
Restricted entry into India of ordinary Bangladeshi passport holders through Benapole–Petrapole
Start: 2024-05-17 to 2024-05-18.
Scheduled endpoint: 2024-05-21.
Contested: Ordered window: dated evidence; numeric duration withheld; see qualification
Held evidence: excluded from numeric duration and animation displays.</x:v>
      </x:c>
      <x:c r="G795" s="4" t="str">
        <x:v>Electoral politics / Election administration and security
Named immigration and C&amp;F officials link different restrictions to Lok Sabha and Bangladesh local elections.
Applies to: Only the specified phase and named local decision.
Reported reasons are attributed; no motive inferred from the wider regional context.
Administration and service operation / Temporary service suspension
C&amp;F vice president names the Buddha Purnima public holiday among freight-halt reasons.
Applies to: Only the specified phase and named local decision.
Reported reasons are attributed; no motive inferred from the wider regional context.</x:v>
      </x:c>
      <x:c r="H795" s="4" t="str">
        <x:v>REC50-R33-006-P1: Five calendar-date differences; no measured-hour precision. The report’s separate passenger dates do not define this freight interval.
REC50-R33-006-P2: Passenger timing remains disputed: May 18 reporting describes onset that day; other accounts give May 17 at 18:00. May 21 return was scheduled. Dhaka Times on May 23 says normal passenger travel had resumed that morning and the ban was lifted that Thursday, but also calls it a three-day restriction. That inconsistent report establishes later open status, not a safe first-return date or six-day continuous ban. Medical/emergency travellers and returning Indians were exceptions; freight’s May 23 endpoint is not transferred.
scope; continuity; endpoint; geography: Passenger timing remains disputed: May 18 reporting describes onset that day; other accounts give May 17 at 18:00. May 21 return was scheduled. Dhaka Times on May 23 says normal passenger travel had resumed that morning and the ban was lifted that Thursday, but also calls it a three-day restriction. That inconsistent report establishes later open status, not a safe first-return date or six-day continuous ban. Medical/emergency travellers and returning Indians were exceptions; freight’s May 23 endpoint is not transferred.</x:v>
      </x:c>
      <x:c r="I795" s="4" t="str">
        <x:v>Second full-register audit, 26 October 2026: qualified. Fresh Bengali and English reports confirm distinct freight and passenger chronology. Passenger &gt;24-hour restriction is supported despite day-level onset disagreement and an internally inconsistent later-return account.</x:v>
      </x:c>
      <x:c r="J795" s="18" t="d">
        <x:v>2026-10-26T00:00:00.000Z</x:v>
      </x:c>
      <x:c r="K795" s="21" t="str">
        <x:f>IFERROR(HYPERLINK("https://dailycountrytodaybd.com/story/petrapole-benapole-immigration-closed-for-three-days-due-to-election","Daily Country Today"),"Daily Country Today")</x:f>
        <x:v>Daily Country Today</x:v>
      </x:c>
      <x:c r="L795" s="21" t="str">
        <x:f>IFERROR(HYPERLINK("https://www.dhakatribune.com/bangladesh/347258/trade-with-india-through-benapole-resumes-after-5","Dhaka Tribune"),"Dhaka Tribune")</x:f>
        <x:v>Dhaka Tribune</x:v>
      </x:c>
      <x:c r="M795" s="21" t="str">
        <x:f>IFERROR(HYPERLINK("https://www.thedailystar.net/news/bangladesh/news/india-imposes-3-day-ban-bangladeshi-travellers-thru-benapole-3612726","The Daily Star"),"The Daily Star")</x:f>
        <x:v>The Daily Star</x:v>
      </x:c>
      <x:c r="N795" s="4" t="str">
        <x:v>https://dailycountrytodaybd.com/story/petrapole-benapole-immigration-closed-for-three-days-due-to-election
https://www.dhakatribune.com/bangladesh/347258/trade-with-india-through-benapole-resumes-after-5
https://www.thedailystar.net/news/bangladesh/news/india-imposes-3-day-ban-bangladeshi-travellers-thru-benapole-3612726
https://www.dhakatimes24.com/2024/05/23/354389
https://www.ajkerpatrika.com/bangladesh/jashore/ajpc333lli496
https://www.dhakatribune.com/bangladesh/nation/346790/lok-sabha-elections-ban-on-entry-into-india</x:v>
      </x:c>
      <x:c r="O795" s="4" t="str">
        <x:v>Second full-register audit source access, 26 October 2026
https://www.dhakatribune.com/bangladesh/347258/trade-with-india-through-benapole-resumes-after-5: full text (fresh retrieval)
https://www.dhakatimes24.com/2024/05/23/354389: full text (fresh retrieval) — Internally inconsistent passenger elapsed description
https://www.dhakatribune.com/bangladesh/nation/346790/lok-sabha-elections-ban-on-entry-into-india: full text (fresh retrieval)
https://www.ajkerpatrika.com/bangladesh/jashore/ajpc333lli496: search extract (fresh retrieval) — Search extract only
Earlier URLs not separately inspected in this second assessment:
https://dailycountrytodaybd.com/story/petrapole-benapole-immigration-closed-for-three-days-due-to-election
https://www.thedailystar.net/news/bangladesh/news/india-imposes-3-day-ban-bangladeshi-travellers-thru-benapole-3612726
Prior audit access record
Full-register audit source access (evidence cutoff 25 October 2026)
https://www.dhakatribune.com/bangladesh/347258/trade-with-india-through-benapole-resumes-after-5: full text — Use only for the described date and scope; no unobserved continuity inferred.
https://www.dhakatimes24.com/2024/05/23/354389: full text — Use only for the described date and scope; no unobserved continuity inferred.
https://www.dhakatribune.com/bangladesh/nation/346790/lok-sabha-elections-ban-on-entry-into-india: search extract — Use only for the described date and scope; no unobserved continuity inferred.
Earlier source URLs not separately listed in this audit’s retrieval log (historical access notes below are not fresh verification):
https://dailycountrytodaybd.com/story/petrapole-benapole-immigration-closed-for-three-days-due-to-election
https://www.thedailystar.net/news/bangladesh/news/india-imposes-3-day-ban-bangladeshi-travellers-thru-benapole-3612726
https://www.ajkerpatrika.com/bangladesh/jashore/ajpc333lli496
Earlier recorded access
Source 1: full text
Source 2: full text
Source 3: full text</x:v>
      </x:c>
      <x:c r="P795" s="20" t="n">
        <x:v>2</x:v>
      </x:c>
      <x:c r="Q795" s="4" t="str">
        <x:v>South Asia</x:v>
      </x:c>
      <x:c r="R795" s="4" t="str">
        <x:v>Included</x:v>
      </x:c>
    </x:row>
    <x:row r="796" ht="138" hidden="0" customHeight="1">
      <x:c r="A796" s="16" t="str">
        <x:v>REC50-R36-001</x:v>
      </x:c>
      <x:c r="B796" s="4" t="str">
        <x:v>Cameroon February 2020 legislative and municipal election land-border order</x:v>
      </x:c>
      <x:c r="C796" s="4" t="str">
        <x:v>Cameroon; Nigeria; Chad; Central African Republic; Republic of the Congo; Gabon; Equatorial Guinea</x:v>
      </x:c>
      <x:c r="D796" s="4" t="str">
        <x:v>Individual posts not identified
National land-border policy scope; no approved geometry</x:v>
      </x:c>
      <x:c r="E796" s="4" t="str">
        <x:v>Ordinary land-border movement
Direction: Entry and exit under national order
Exceptions: Exceptions have not been established for land passage unless explicitly stated in the phase.</x:v>
      </x:c>
      <x:c r="F796" s="4" t="str">
        <x:v>REC50-R36-001-P1 — Announced window
National land-border closure order; crossing-level operation not established
Start: 2020-02-07.
Scheduled endpoint: 2020-02-10.
Ordered window: 3 calendar-day difference; actual end not established</x:v>
      </x:c>
      <x:c r="G796" s="4" t="str">
        <x:v>Electoral politics / Election administration and security
Named ministry order as reported
Applies to: This ordered phase only
Election order is established; operational execution remains unverified.</x:v>
      </x:c>
      <x:c r="H796" s="4" t="str">
        <x:v>REC50-R36-001-P1: International flights are expressly exempted in the reported order. The February 8–9 domestic circulation ban is separate; no complete operational duration.
operational chronology; traffic scope; geography; source provenance: Actual implementation, affected traffic cohorts and post-specific reopening of the February 2020 election order remain unverified. International flights are expressly exempted; the domestic circulation ban is separate.</x:v>
      </x:c>
      <x:c r="I796" s="4" t="str">
        <x:v>Second full-register audit, 26 October 2026: qualified. The 2020 Cameroon election entry correctly represents a scheduled order, not verified crossing-by-crossing execution.</x:v>
      </x:c>
      <x:c r="J796" s="18" t="d">
        <x:v>2026-10-26T00:00:00.000Z</x:v>
      </x:c>
      <x:c r="K796" s="21" t="str">
        <x:f>IFERROR(HYPERLINK("https://www.xinhuanet.com/english/2020-02/08/c_138764561.htm","Xinhua"),"Xinhua")</x:f>
        <x:v>Xinhua</x:v>
      </x:c>
      <x:c r="L796" s="21"/>
      <x:c r="M796" s="21"/>
      <x:c r="N796" s="4" t="str">
        <x:v>https://www.xinhuanet.com/english/2020-02/08/c_138764561.htm</x:v>
      </x:c>
      <x:c r="O796" s="4" t="str">
        <x:v>Second full-register audit source access, 26 October 2026
https://www.xinhuanet.com/english/2020-02/08/c_138764561.htm: full text (fresh retrieval) — Dispatch dated February 7; publication February 8.
Prior audit access record
Full-register audit source access (evidence cutoff 25 October 2026)
https://www.xinhuanet.com/english/2020-02/08/c_138764561.htm: full text — See specific claim qualifications.
Earlier recorded access
Source 1: full text</x:v>
      </x:c>
      <x:c r="P796" s="20" t="n">
        <x:v>1</x:v>
      </x:c>
      <x:c r="Q796" s="4" t="str">
        <x:v>Southern and Central Africa</x:v>
      </x:c>
      <x:c r="R796" s="4" t="str">
        <x:v>Included</x:v>
      </x:c>
    </x:row>
    <x:row r="797" ht="390" hidden="0" customHeight="1">
      <x:c r="A797" s="16" t="str">
        <x:v>REC50-R36-002</x:v>
      </x:c>
      <x:c r="B797" s="4" t="str">
        <x:v>Cameroon October 2025 presidential-election land-border order</x:v>
      </x:c>
      <x:c r="C797" s="4" t="str">
        <x:v>Cameroon; Nigeria; Chad; Central African Republic; Republic of the Congo; Gabon; Equatorial Guinea</x:v>
      </x:c>
      <x:c r="D797" s="4" t="str">
        <x:v>Individual posts not identified
National land-border policy scope; no approved geometry</x:v>
      </x:c>
      <x:c r="E797" s="4" t="str">
        <x:v>Ordinary land-border movement
Direction: Entry and exit under national order
Exceptions: Exceptions have not been established for land passage unless explicitly stated in the phase.</x:v>
      </x:c>
      <x:c r="F797" s="4" t="str">
        <x:v>REC50-R36-002-P1 — Announced window
National land-border closure order; crossing-level operation not established
Start: 2025-10-10.
Scheduled endpoint: 2025-10-13.
Ordered window: 3 calendar-day difference; actual end not established</x:v>
      </x:c>
      <x:c r="G797" s="4" t="str">
        <x:v>Electoral politics / Election administration and security
Named ministry order as reported
Applies to: This ordered phase only
Election order is established; operational execution remains unverified.</x:v>
      </x:c>
      <x:c r="H797" s="4" t="str">
        <x:v>REC50-R36-002-P1: The 48/28-hour reporting discrepancy is retained; order text and another indexed report support the 48-hour schedule. No observed reopening; domestic transport exceptions do not automatically apply to the separate border article. The inspected order text is a user-uploaded Scribd reproduction; no official-host copy or signed-page image was independently verified.
operational chronology; traffic scope; geography; source provenance: Actual implementation, traffic cohorts and post-specific reopening of the October 2025 order remain unverified. The 48/28-hour discrepancy is retained, and the inspected order reproduction is an unauthenticated user upload. Domestic transport exceptions do not automatically apply to the separate border article.</x:v>
      </x:c>
      <x:c r="I797" s="4" t="str">
        <x:v>Second full-register audit, 26 October 2026: qualified. Additional fresh reports corroborate the 48-hour election schedule while preserving the isolated 28-hour discrepancy and unauthenticated order-copy limitation.</x:v>
      </x:c>
      <x:c r="J797" s="18" t="d">
        <x:v>2026-10-26T00:00:00.000Z</x:v>
      </x:c>
      <x:c r="K797" s="21" t="str">
        <x:f>IFERROR(HYPERLINK("https://actucameroun.com/2025/10/10/presidentielle-2025-le-cameroun-ferme-ses-frontieres-48h-avant-le-scrutin/","Actu Cameroun"),"Actu Cameroun")</x:f>
        <x:v>Actu Cameroun</x:v>
      </x:c>
      <x:c r="L797" s="21" t="str">
        <x:f>IFERROR(HYPERLINK("https://www.scribd.com/document/931585252/Arrete-Du-Minat-10-10-2025","Scribd user upload"),"Scribd user upload")</x:f>
        <x:v>Scribd user upload</x:v>
      </x:c>
      <x:c r="M797" s="21" t="str">
        <x:f>IFERROR(HYPERLINK("https://www.lebledparle.com/scrutin-du-12-octobre-le-minat-verrouille-le-cameroun-pour-garantir-la-securite-electorale/","Le Bled Parle"),"Le Bled Parle")</x:f>
        <x:v>Le Bled Parle</x:v>
      </x:c>
      <x:c r="N797" s="4" t="str">
        <x:v>https://actucameroun.com/2025/10/10/presidentielle-2025-le-cameroun-ferme-ses-frontieres-48h-avant-le-scrutin/
https://www.scribd.com/document/931585252/Arrete-Du-Minat-10-10-2025
https://www.lebledparle.com/scrutin-du-12-octobre-le-minat-verrouille-le-cameroun-pour-garantir-la-securite-electorale/
https://www.koaci.com/index.php/article/2025/10/11/cameroun/politique/cameroun-presidentielle-2025-fermeture-temporaire-des-frontieres_191021.html</x:v>
      </x:c>
      <x:c r="O797" s="4" t="str">
        <x:v>Second full-register audit source access, 26 October 2026
https://actucameroun.com/2025/10/10/presidentielle-2025-le-cameroun-ferme-ses-frontieres-48h-avant-le-scrutin/: full text (fresh retrieval) — Headline/body 48/28-hour inconsistency.
https://www.lebledparle.com/scrutin-du-12-octobre-le-minat-verrouille-le-cameroun-pour-garantir-la-securite-electorale/: search extract (fresh retrieval) — Direct 403; substantive indexed body.
https://www.koaci.com/index.php/article/2025/10/11/cameroun/politique/cameroun-presidentielle-2025-fermeture-temporaire-des-frontieres_191021.html: full text (fresh retrieval)
Earlier URLs not separately inspected in this second assessment:
https://www.scribd.com/document/931585252/Arrete-Du-Minat-10-10-2025
Prior audit access record
Full-register audit source access (evidence cutoff 25 October 2026)
https://actucameroun.com/2025/10/10/presidentielle-2025-le-cameroun-ferme-ses-frontieres-48h-avant-le-scrutin/: full text — See specific claim qualifications.
https://www.scribd.com/document/931585252/Arrete-Du-Minat-10-10-2025: full text — See specific claim qualifications.
https://www.koaci.com/index.php/article/2025/10/11/cameroun/politique/cameroun-presidentielle-2025-fermeture-temporaire-des-frontieres_191021.html: search extract — See specific claim qualifications.
https://www.lebledparle.com/scrutin-du-12-octobre-le-minat-verrouille-le-cameroun-pour-garantir-la-securite-electorale/: inaccessible — See specific claim qualifications.
Earlier recorded access
Source 1: full text
Source 2: full text
Source 3: indexed extract</x:v>
      </x:c>
      <x:c r="P797" s="20" t="n">
        <x:v>1</x:v>
      </x:c>
      <x:c r="Q797" s="4" t="str">
        <x:v>Southern and Central Africa</x:v>
      </x:c>
      <x:c r="R797" s="4" t="str">
        <x:v>Included</x:v>
      </x:c>
    </x:row>
    <x:row r="798" ht="222" hidden="0" customHeight="1">
      <x:c r="A798" s="16" t="str">
        <x:v>REC50-R36-003</x:v>
      </x:c>
      <x:c r="B798" s="4" t="str">
        <x:v>Republic of Congo July 2022 legislative and local election border order</x:v>
      </x:c>
      <x:c r="C798" s="4" t="str">
        <x:v>Republic of the Congo; Gabon; Cameroon; Central African Republic; Democratic Republic of the Congo; Angola</x:v>
      </x:c>
      <x:c r="D798" s="4" t="str">
        <x:v>Individual posts not identified
National land-border policy scope; no approved geometry</x:v>
      </x:c>
      <x:c r="E798" s="4" t="str">
        <x:v>Ordinary land-border movement
Direction: Entry and exit under national order
Exceptions: Exceptions have not been established for land passage unless explicitly stated in the phase.</x:v>
      </x:c>
      <x:c r="F798" s="4" t="str">
        <x:v>REC50-R36-003-P1 — Announced window
National land-border closure order; crossing-level operation not established
Start: 2022-07-10.
Scheduled endpoint: 2022-07-10.
Ordered window: 0 calendar-day difference; actual end not established
Primary instrument verified: Arrêté 5608 of 7 July 2022, published in Journal Officiel no. 29, page 1160, Article 1, orders national borders closed on 10 July 2022 from 06:00 to 18:00 for local elections and the first legislative round. It does not name exceptions or posts. This confirms a scheduled 12-hour window, not observed enforcement or a later election-round extension.</x:v>
      </x:c>
      <x:c r="G798" s="4" t="str">
        <x:v>Electoral politics / Election administration and security
Named ministry order as reported
Applies to: This ordered phase only
Election order is established; operational execution remains unverified.</x:v>
      </x:c>
      <x:c r="H798" s="4" t="str">
        <x:v>REC50-R36-003-P1: Twelve-hour ordered window; excluded from multi-day operational duration statistics. No extension to a different election round.
operational chronology; traffic scope; geography; source provenance: The July 2022 report establishes a twelve-hour ordered window only. Actual enforcement, affected traffic cohorts and return at particular crossing points are unverified; no extension to a different election round is established.
Primary instrument verified: Arrêté 5608 of 7 July 2022, published in Journal Officiel no. 29, page 1160, Article 1, orders national borders closed on 10 July 2022 from 06:00 to 18:00 for local elections and the first legislative round. It does not name exceptions or posts. This confirms a scheduled 12-hour window, not observed enforcement or a later election-round extension.</x:v>
      </x:c>
      <x:c r="I798" s="4" t="str">
        <x:v>Second full-register audit, 26 October 2026: qualified. The official gazette directly confirms the 12-hour July 10, 2022 order and exclusion from the strict &gt;24-hour view.</x:v>
      </x:c>
      <x:c r="J798" s="18" t="d">
        <x:v>2026-10-26T00:00:00.000Z</x:v>
      </x:c>
      <x:c r="K798" s="21" t="str">
        <x:f>IFERROR(HYPERLINK("https://www.journaldebrazza.com/legislatives-et-locales-2022-les-frontieres-de-la-republique-du-congo-seront-fermees-ce-10-juillet-2022/","Journal de Brazza"),"Journal de Brazza")</x:f>
        <x:v>Journal de Brazza</x:v>
      </x:c>
      <x:c r="L798" s="21"/>
      <x:c r="M798" s="21"/>
      <x:c r="N798" s="4" t="str">
        <x:v>https://www.journaldebrazza.com/legislatives-et-locales-2022-les-frontieres-de-la-republique-du-congo-seront-fermees-ce-10-juillet-2022/
https://www.sgg.cg/JO/2022/congo-jo-2022-29.pdf</x:v>
      </x:c>
      <x:c r="O798" s="4" t="str">
        <x:v>Second full-register audit source access, 26 October 2026
https://www.sgg.cg/JO/2022/congo-jo-2022-29.pdf: full text (fresh retrieval) — Page 1160 Article 1 inspected; adjacent domestic order kept separate.
Earlier URLs not separately inspected in this second assessment:
https://www.journaldebrazza.com/legislatives-et-locales-2022-les-frontieres-de-la-republique-du-congo-seront-fermees-ce-10-juillet-2022/
Prior audit access record
Full-register audit source access (evidence cutoff 25 October 2026)
https://www.journaldebrazza.com/legislatives-et-locales-2022-les-frontieres-de-la-republique-du-congo-seront-fermees-ce-10-juillet-2022/: search extract — Page retrieval mostly navigation; official instrument used for operative claims.
https://www.sgg.cg/JO/2022/congo-jo-2022-29.pdf: full text — See specific claim qualifications.
Earlier recorded access
Source 1: full text</x:v>
      </x:c>
      <x:c r="P798" s="20" t="n">
        <x:v>1</x:v>
      </x:c>
      <x:c r="Q798" s="4" t="str">
        <x:v>Southern and Central Africa</x:v>
      </x:c>
      <x:c r="R798" s="4" t="str">
        <x:v>Included</x:v>
      </x:c>
    </x:row>
    <x:row r="799" ht="409" hidden="0" customHeight="1">
      <x:c r="A799" s="16" t="str">
        <x:v>REC50-R36-004</x:v>
      </x:c>
      <x:c r="B799" s="4" t="str">
        <x:v>Cameroon movement restriction at Equatorial Guinea frontier during February 2023 fever outbreak</x:v>
      </x:c>
      <x:c r="C799" s="4" t="str">
        <x:v>Cameroon; Equatorial Guinea</x:v>
      </x:c>
      <x:c r="D799" s="4" t="str">
        <x:v>Not established; archival Kiossi photograph is not 2023 location evidence
Reported frontier movement restriction; precise extent unestablished</x:v>
      </x:c>
      <x:c r="E799" s="4" t="str">
        <x:v>Movement restriction; classes unspecified
Direction: Not separately established
Exceptions: Not established
Later observation, 31 March 2023: merchants face travel controls; Cameroon directs them to border health and police teams to facilitate goods. Not a universal goods prohibition.</x:v>
      </x:c>
      <x:c r="F799" s="4" t="str">
        <x:v>REC50-R36-004-P1 — Formal policy
Cameroonian restriction on movement along the Equatorial Guinea frontier; exact posts and traffic classes unestablished
Start: unknown.
Last confirmed: 2023-02-10. Reopening is not established.
Formal policy: dated evidence; numeric duration withheld; see qualification
Additional dated restriction evidence: on 31 March 2023, VOA reported merchants protesting difficult border access at Kye Ossi and quoted Cameroon’s health minister saying travel restrictions would remain. The government directed merchants to health-worker/police surveillance teams to facilitate goods movement. This is a later scoped observation, not proof that every movement was barred continuously since February 10. WHO’s June 8 outbreak-end declaration does not rescind the border rules; July’s cross-border fair does not establish unrestricted ordinary access.</x:v>
      </x:c>
      <x:c r="G799" s="4" t="str">
        <x:v>Health and biosecurity / Human disease control
Cameroon health ministry statement via Reuters
Applies to: Reported movement restriction only
Ministry-stated disease-importation concern, not an inferred motive.</x:v>
      </x:c>
      <x:c r="H799" s="4" t="str">
        <x:v>REC50-R36-004-P1: Restriction reported as imposed by February 10. Exact onset, duration, exceptions and lifting unestablished; neither all travel nor all named posts can be claimed closed. June outbreak termination would not prove border reopening.
operational chronology; traffic scope; geography; source provenance: The Cameroon–Equatorial Guinea fever restriction was reported by February 10, 2023, but exact onset, affected movement cohorts, named posts, exceptions and lifting remain unknown. An archival Kiossi photograph does not establish the affected post.
Additional dated restriction evidence: on 31 March 2023, VOA reported merchants protesting difficult border access at Kye Ossi and quoted Cameroon’s health minister saying travel restrictions would remain. The government directed merchants to health-worker/police surveillance teams to facilitate goods movement. This is a later scoped observation, not proof that every movement was barred continuously since February 10. WHO’s June 8 outbreak-end declaration does not rescind the border rules; July’s cross-border fair does not establish unrestricted ordinary access.</x:v>
      </x:c>
      <x:c r="I799" s="4" t="str">
        <x:v>Second full-register audit, 26 October 2026: qualified. Fresh Reuters, VOA, WHO and ministry checks support the current qualified Marburg entry; outbreak-end and trade-fair evidence do not supply a border-repeal date.</x:v>
      </x:c>
      <x:c r="J799" s="18" t="d">
        <x:v>2026-10-26T00:00:00.000Z</x:v>
      </x:c>
      <x:c r="K799" s="21" t="str">
        <x:f>IFERROR(HYPERLINK("https://www.voaafrica.com/a/cameroon-tightens-border-with-e-guinea-over-fever/6957119.html","Reuters / VOA Africa"),"Reuters / VOA Africa")</x:f>
        <x:v>Reuters / VOA Africa</x:v>
      </x:c>
      <x:c r="L799" s="21" t="str">
        <x:f>IFERROR(HYPERLINK("https://www.unmc.edu/healthsecurity/transmission/2023/02/14/cameroon-detects-two-suspected-cases-of-marburg-virus-near-eq-guinea/","Reuters / UNMC The Transmission"),"Reuters / UNMC The Transmission")</x:f>
        <x:v>Reuters / UNMC The Transmission</x:v>
      </x:c>
      <x:c r="M799" s="21"/>
      <x:c r="N799" s="4" t="str">
        <x:v>https://www.voaafrica.com/a/cameroon-tightens-border-with-e-guinea-over-fever/6957119.html
https://www.unmc.edu/healthsecurity/transmission/2023/02/14/cameroon-detects-two-suspected-cases-of-marburg-virus-near-eq-guinea/
https://www.voanews.com/amp/cameroon-gabon-equatorial-guinea-traders-say-marburg-travel-restrictions-suffocate-trade/7030522.html
https://www.who.int/fr/emergencies/disease-outbreak-news/item/2023-DON472
https://www.mincommerce.gov.cm/fr/la-14-eme-edition-de-la-fotrac-faire-de-la-fotrac-un-modele-de-brassage-des-peuples-une-vitrine</x:v>
      </x:c>
      <x:c r="O799" s="4" t="str">
        <x:v>Second full-register audit source access, 26 October 2026
https://www.voaafrica.com/a/cameroon-tightens-border-with-e-guinea-over-fever/6957119.html: full text (fresh retrieval)
https://www.voanews.com/amp/cameroon-gabon-equatorial-guinea-traders-say-marburg-travel-restrictions-suffocate-trade/7030522.html: full text (fresh retrieval)
https://www.who.int/fr/emergencies/disease-outbreak-news/item/2023-DON472: full text (fresh retrieval)
https://www.mincommerce.gov.cm/fr/la-14-eme-edition-de-la-fotrac-faire-de-la-fotrac-un-modele-de-brassage-des-peuples-une-vitrine: full text (fresh retrieval)
Earlier URLs not separately inspected in this second assessment:
https://www.unmc.edu/healthsecurity/transmission/2023/02/14/cameroon-detects-two-suspected-cases-of-marburg-virus-near-eq-guinea/
Prior audit access record
Full-register audit source access (evidence cutoff 25 October 2026)
https://www.voaafrica.com/a/cameroon-tightens-border-with-e-guinea-over-fever/6957119.html: full text — See specific claim qualifications.
https://www.voanews.com/amp/cameroon-gabon-equatorial-guinea-traders-say-marburg-travel-restrictions-suffocate-trade/7030522.html: search extract — See specific claim qualifications.
https://www.who.int/fr/emergencies/disease-outbreak-news/item/2023-DON472: search extract — See specific claim qualifications.
https://www.mincommerce.gov.cm/fr/la-14-eme-edition-de-la-fotrac-faire-de-la-fotrac-un-modele-de-brassage-des-peuples-une-vitrine: search extract — See specific claim qualifications.
https://www.unmc.edu/healthsecurity/transmission/2023/02/14/cameroon-detects-two-suspected-cases-of-marburg-virus-near-eq-guinea/: inaccessible — See specific claim qualifications.
Earlier recorded access
Source 1: full text
Source 2: indexed extract</x:v>
      </x:c>
      <x:c r="P799" s="20" t="n">
        <x:v>1</x:v>
      </x:c>
      <x:c r="Q799" s="4" t="str">
        <x:v>Southern and Central Africa</x:v>
      </x:c>
      <x:c r="R799" s="4" t="str">
        <x:v>Included</x:v>
      </x:c>
    </x:row>
    <x:row r="800" ht="258" hidden="0" customHeight="1">
      <x:c r="A800" s="16" t="str">
        <x:v>REC50-R38-001</x:v>
      </x:c>
      <x:c r="B800" s="4" t="str">
        <x:v>Erez additional passenger restriction, August 2018</x:v>
      </x:c>
      <x:c r="C800" s="4" t="str">
        <x:v>Israel; Palestine (Gaza)</x:v>
      </x:c>
      <x:c r="D800" s="4" t="str">
        <x:v>Erez / Beit Hanoun
Named Erez passenger terminal; no all-Gaza border inference</x:v>
      </x:c>
      <x:c r="E800" s="4" t="str">
        <x:v>Non-exempt eligible passengers; urgent medical and international-humanitarian exceptions excluded
Direction: Passenger passage through Erez; equal observed traffic by direction is not established
Exceptions: Urgent medical cases, international aid workers and foreign humanitarian representatives.</x:v>
      </x:c>
      <x:c r="F800" s="4" t="str">
        <x:v>REC50-R38-001-P1 — Observed operation
Previously eligible non-exempt passenger passage at Erez/Beit Hanoun
Start: 2018-08-19.
Observed scoped reopening: 2018-08-27.
8 calendar-day difference; scoped endpoint only</x:v>
      </x:c>
      <x:c r="G800" s="4" t="str">
        <x:v>Security / Public order and immediate safety
Reported Israeli defense-minister and authority explanation
Applies to: REC50-R38-001-P1
Codes the stated violence/calm rationale, without certifying claims about responsibility for all incidents.</x:v>
      </x:c>
      <x:c r="H800" s="4" t="str">
        <x:v>REC50-R38-001-P1: The 19–27 August 2018 interval describes the added restriction on previously eligible non-exempt Erez passengers, not Gaza’s entire border regime. Urgent medical, international aid and foreign-humanitarian exceptions continued. Eight calendar days is not an elapsed 192-hour measurement; earlier/later Kerem Shalom freight measures are distinct.
Exact clocks and exempt movement: Exact first resumed passage and complete exemption/direction inventory are absent. The later WAFA September recap uses a rough August duration inconsistent with these contemporaneous dated accounts.</x:v>
      </x:c>
      <x:c r="I800" s="4" t="str">
        <x:v>Second full-register audit, 26 October 2026: qualified. Contemporary Israeli and Palestinian crossing accounts support the existing August 19–27 Erez restriction for non-exempt passengers; the later rough three-week recap does not displace the dated contemporary sequence.</x:v>
      </x:c>
      <x:c r="J800" s="18" t="d">
        <x:v>2026-10-26T00:00:00.000Z</x:v>
      </x:c>
      <x:c r="K800" s="21" t="str">
        <x:f>IFERROR(HYPERLINK("https://www.timesofisrael.com/palestinian-media-israel-closing-northern-gaza-border-crossing/amp/","The Times of Israel"),"The Times of Israel")</x:f>
        <x:v>The Times of Israel</x:v>
      </x:c>
      <x:c r="L800" s="21" t="str">
        <x:f>IFERROR(HYPERLINK("https://www.timesofisrael.com/israel-reopens-erez-crossing-with-gaza-after-period-of-relative-calm/amp/","The Times of Israel / AFP"),"The Times of Israel / AFP")</x:f>
        <x:v>The Times of Israel / AFP</x:v>
      </x:c>
      <x:c r="M800" s="21" t="str">
        <x:f>IFERROR(HYPERLINK("https://www.xinhuanet.com/english/2018-08/28/c_137423442.htm","Xinhua"),"Xinhua")</x:f>
        <x:v>Xinhua</x:v>
      </x:c>
      <x:c r="N800" s="4" t="str">
        <x:v>https://www.timesofisrael.com/palestinian-media-israel-closing-northern-gaza-border-crossing/amp/
https://www.timesofisrael.com/israel-reopens-erez-crossing-with-gaza-after-period-of-relative-calm/amp/
https://www.xinhuanet.com/english/2018-08/28/c_137423442.htm
https://english.wafa.ps/Pages/Details/95440</x:v>
      </x:c>
      <x:c r="O800" s="4" t="str">
        <x:v>Second full-register audit source access, 26 October 2026
https://www.timesofisrael.com/palestinian-media-israel-closing-northern-gaza-border-crossing/amp/: full text (fresh retrieval)
https://www.timesofisrael.com/israel-reopens-erez-crossing-with-gaza-after-period-of-relative-calm/amp/: full text (fresh retrieval)
https://www.xinhuanet.com/english/2018-08/28/c_137423442.htm: full text (fresh retrieval)
https://english.wafa.ps/Pages/Details/95440: full text (fresh retrieval)
Prior audit access record
Full-register audit source access (evidence cutoff 25 October 2026)
https://www.timesofisrael.com/palestinian-media-israel-closing-northern-gaza-border-crossing/amp/: full text
https://www.timesofisrael.com/israel-reopens-erez-crossing-with-gaza-after-period-of-relative-calm/amp/: full text
https://www.xinhuanet.com/english/2018-08/28/c_137423442.htm: full text
Earlier recorded access
Source 1: full text
Source 2: full text
Source 3: indexed extract; full text</x:v>
      </x:c>
      <x:c r="P800" s="20" t="n">
        <x:v>1</x:v>
      </x:c>
      <x:c r="Q800" s="4" t="str">
        <x:v>Middle East</x:v>
      </x:c>
      <x:c r="R800" s="4" t="str">
        <x:v>Included</x:v>
      </x:c>
    </x:row>
    <x:row r="801" ht="402" hidden="0" customHeight="1">
      <x:c r="A801" s="16" t="str">
        <x:v>REC50-R38-002</x:v>
      </x:c>
      <x:c r="B801" s="4" t="str">
        <x:v>Erez repair closure and extended passenger restriction, September 2018</x:v>
      </x:c>
      <x:c r="C801" s="4" t="str">
        <x:v>Israel; Palestine (Gaza)</x:v>
      </x:c>
      <x:c r="D801" s="4" t="str">
        <x:v>Erez / Beit Hanoun
Named Erez passenger terminal</x:v>
      </x:c>
      <x:c r="E801" s="4" t="str">
        <x:v>Non-exempt eligible passengers, including business/training travellers still excluded on September 6
Direction: Gaza outward passenger restriction; exceptions and returnees remain source-specific
Exceptions: Humanitarian discretion; September 6 report also names patients, international organizations and West Bank returnees.</x:v>
      </x:c>
      <x:c r="F801" s="4" t="str">
        <x:v>REC50-R38-002-P1 — Formal policy
Formal additional restriction on non-exempt eligible Erez passenger access
Start: 2018-09-05.
Policy endpoint: 2018-09-13.
The additional policy restriction exceeded 24 hours, supported by the September 6 week-long extension and September 13 restoration confirmation. Exact operational elapsed hours and the first resumed business/training passage remain unmeasured.</x:v>
      </x:c>
      <x:c r="G801" s="4" t="str">
        <x:v>Administration and service operation / Temporary service suspension
Army statement quoted by ToI
Applies to: REC50-R38-002-P1
The stated immediate closure purpose was repairing damaged terminal infrastructure; allegations about the damage remain attributed.
Security / Public order and immediate safety
Defense-minister announcement quoted by Judah Ari Gross
Applies to: REC50-R38-002-P1
The later extension was described as punitive following violence, with quiet on the security front linked to access. No additional unspoken purpose is inferred.</x:v>
      </x:c>
      <x:c r="H801" s="4" t="str">
        <x:v>REC50-R38-002-P1: The additional formal Erez restriction is documented from September 5 to the September 13 restoration confirmation, with a September 6 punitive extension explicitly lasting until September 13. This supports greater-than-24-hour eligibility for the non-exempt passenger policy; it does not measure every passenger’s operational delay. Humanitarian and other partial access differs by source, and ordinary holiday closures overlap. WAFA’s September 6 retrospective Monday onset conflicts with its same-day September 5 Wednesday closure account; the contemporary Wednesday account and Israeli statement take priority for the policy onset. NAD’s September 13 closed status has an unresolved observation cutoff and cannot determine that day’s reopening clock. No complete operational duration or first business/training passenger is claimed.</x:v>
      </x:c>
      <x:c r="I801" s="4" t="str">
        <x:v>Second full-register audit, 26 October 2026: additional source-audited corrections incorporated. See the phase, scope and qualification columns for the accepted findings.</x:v>
      </x:c>
      <x:c r="J801" s="18" t="d">
        <x:v>2026-10-26T00:00:00.000Z</x:v>
      </x:c>
      <x:c r="K801" s="21" t="str">
        <x:f>IFERROR(HYPERLINK("https://english.wafa.ps/Pages/Details/95440","WAFA"),"WAFA")</x:f>
        <x:v>WAFA</x:v>
      </x:c>
      <x:c r="L801" s="21" t="str">
        <x:f>IFERROR(HYPERLINK("https://www.timesofisrael.com/israel-shutters-gaza-pedestrian-crossing-after-border-clashes/amp/","The Times of Israel"),"The Times of Israel")</x:f>
        <x:v>The Times of Israel</x:v>
      </x:c>
      <x:c r="M801" s="21" t="str">
        <x:f>IFERROR(HYPERLINK("https://english.wafa.ps/Pages/Details/95457","WAFA"),"WAFA")</x:f>
        <x:v>WAFA</x:v>
      </x:c>
      <x:c r="N801" s="4" t="str">
        <x:v>https://english.wafa.ps/Pages/Details/95440
https://www.timesofisrael.com/israel-shutters-gaza-pedestrian-crossing-after-border-clashes/amp/
https://english.wafa.ps/Pages/Details/95457
https://www.timesofisrael.com/israel-closes-gaza-border-till-next-thursday-blames-recent-riots/amp/
https://www.timesofisrael.com/israel-reopens-the-sole-gaza-crossing-for-people-after-repairs/amp/
https://www.nad.ps/en/violations-reports/daily-report/daily-report-september-13-2018</x:v>
      </x:c>
      <x:c r="O801" s="4" t="str">
        <x:v>Second full-register audit source access, 26 October 2026
https://english.wafa.ps/Pages/Details/95440: full text (fresh retrieval)
https://www.timesofisrael.com/israel-shutters-gaza-pedestrian-crossing-after-border-clashes/amp/: full text (fresh retrieval)
https://english.wafa.ps/Pages/Details/95457: full text (fresh retrieval)
https://www.timesofisrael.com/israel-closes-gaza-border-till-next-thursday-blames-recent-riots/amp/: full text (fresh retrieval)
https://www.timesofisrael.com/israel-reopens-the-sole-gaza-crossing-for-people-after-repairs/amp/: full text (fresh retrieval)
https://www.nad.ps/en/violations-reports/daily-report/daily-report-september-13-2018: full text (fresh retrieval) — Crossing-status observation cutoff is unspecified; surrounding incidents predominantly concern September 12.
Prior audit access record
Full-register audit source access (evidence cutoff 25 October 2026)
https://english.wafa.ps/Pages/Details/95440: full text
https://english.wafa.ps/Pages/Details/95457: full text
https://www.timesofisrael.com/israel-closes-gaza-border-till-next-thursday-blames-recent-riots/amp/: full text
https://www.timesofisrael.com/israel-reopens-the-sole-gaza-crossing-for-people-after-repairs/amp/: full text
Earlier source URLs not separately listed in this audit’s retrieval log (historical access notes below are not fresh verification):
https://www.timesofisrael.com/israel-shutters-gaza-pedestrian-crossing-after-border-clashes/amp/
https://www.nad.ps/en/violations-reports/daily-report/daily-report-september-13-2018
Earlier recorded access
Source 1: full text
Source 2: full text
Source 3: full text</x:v>
      </x:c>
      <x:c r="P801" s="20" t="n">
        <x:v>1</x:v>
      </x:c>
      <x:c r="Q801" s="4" t="str">
        <x:v>Middle East</x:v>
      </x:c>
      <x:c r="R801" s="4" t="str">
        <x:v>Included</x:v>
      </x:c>
    </x:row>
    <x:row r="802" ht="282" hidden="0" customHeight="1">
      <x:c r="A802" s="16" t="str">
        <x:v>REC50-R38-003</x:v>
      </x:c>
      <x:c r="B802" s="4" t="str">
        <x:v>Semalka traveller suspension with selected-cohort restoration, June 2021</x:v>
      </x:c>
      <x:c r="C802" s="4" t="str">
        <x:v>Syria; Iraq (Kurdistan Region)</x:v>
      </x:c>
      <x:c r="D802" s="4" t="str">
        <x:v>Semalka / Faysh Khabur (Fishkhabour)
Semalka–Faysh Khabur crossing only</x:v>
      </x:c>
      <x:c r="E802" s="4" t="str">
        <x:v>Non-exempt civilian passenger service; unaffected trade and excepted organization/foreign-residency departures excluded
Direction: Not fully disaggregated; the June 23 foreign-residency exception explicitly concerns departures toward the KRG
Exceptions: Trade unaffected; UN/humanitarian organizations and some foreign-residency departures excepted.</x:v>
      </x:c>
      <x:c r="F802" s="4" t="str">
        <x:v>REC50-R38-003-P1 — Dated operational observations; continuous duration not established
Semalka passenger-service interruption with exceptions and selected-category restoration.
North Press reports traveller suspension at dawn on 2021-06-23.
Separate earlier account: Anadolu on June 22 dates a civilian closure to Monday, 2021-06-21. ANHA on June 23 reports service resumed that morning without specifying cohorts. These accounts are not reconciled into one continuous spell.
Observed scoped restoration: 2021-06-28, for brides, humanitarian cases and holders of foreign or Iraqi residency, according to the crossing spokesman.
Numeric operational duration withheld.</x:v>
      </x:c>
      <x:c r="G802" s="4" t="str">
        <x:v>Uncoded
Administration cites new KRG traveller measures
Applies to: REC50-R38-003-P1
This identifies the trigger but not a clear substantive purpose; no COVID, trade or interstate motive is inferred.</x:v>
      </x:c>
      <x:c r="H802" s="4" t="str">
        <x:v>North Press describes a June 23 traveller suspension with trade, UN/humanitarian organizations and some foreign-residency departures excepted; its June 28 report confirms restored service for brides, humanitarian cases and foreign/Iraqi residence holders. The June 26 notice is a plan, not observed return. Additional contemporary accounts complicate continuity: Anadolu reports a civilian closure from June 21, and ANHA reports service resumed June 23 morning without identifying cohorts. These may concern different measures or categories. No exact universal onset, uninterrupted passenger interval or all-category reopening is established; numeric duration remains withheld.</x:v>
      </x:c>
      <x:c r="I802" s="4" t="str">
        <x:v>Second full-register audit, 26 October 2026: qualified. Freshly reopened accounts reproduce the unresolved June 2021 timing and cohort conflict. The current record correctly keeps dated observations rather than inventing one uninterrupted closure.</x:v>
      </x:c>
      <x:c r="J802" s="18" t="d">
        <x:v>2026-10-26T00:00:00.000Z</x:v>
      </x:c>
      <x:c r="K802" s="21" t="str">
        <x:f>IFERROR(HYPERLINK("https://npasyria.com/en/61303/","North Press Agency"),"North Press Agency")</x:f>
        <x:v>North Press Agency</x:v>
      </x:c>
      <x:c r="L802" s="21" t="str">
        <x:f>IFERROR(HYPERLINK("https://npasyria.com/en/61447/","North Press Agency"),"North Press Agency")</x:f>
        <x:v>North Press Agency</x:v>
      </x:c>
      <x:c r="M802" s="21" t="str">
        <x:f>IFERROR(HYPERLINK("https://npasyria.com/en/61555/","North Press Agency"),"North Press Agency")</x:f>
        <x:v>North Press Agency</x:v>
      </x:c>
      <x:c r="N802" s="4" t="str">
        <x:v>https://npasyria.com/en/61303/
https://npasyria.com/en/61447/
https://npasyria.com/en/61555/
https://www.aa.com.tr/en/middle-east/pkk-ypg-terror-group-closes-niraq-syria-border-gate-to-civilian-crossings/2282190
https://hawarnews.com/es/162444642016755</x:v>
      </x:c>
      <x:c r="O802" s="4" t="str">
        <x:v>Second full-register audit source access, 26 October 2026
https://npasyria.com/en/61303/: full text (fresh retrieval)
https://npasyria.com/en/61447/: full text (fresh retrieval)
https://npasyria.com/en/61555/: full text (fresh retrieval)
https://www.aa.com.tr/en/middle-east/pkk-ypg-terror-group-closes-niraq-syria-border-gate-to-civilian-crossings/2282190: full text (fresh retrieval) — Political actor characterization and responsibility claims remain the outlet’s attribution.
https://hawarnews.com/es/162444642016755: full text (fresh retrieval) — Reopening statement does not identify passenger cohorts.
Prior audit access record
Full-register audit source access (evidence cutoff 25 October 2026)
https://npasyria.com/en/61303/: full text
https://npasyria.com/en/61447/: full text
https://npasyria.com/en/61555/: full text
https://www.aa.com.tr/en/middle-east/pkk-ypg-terror-group-closes-niraq-syria-border-gate-to-civilian-crossings/2282190: full text
https://hawarnews.com/es/162444642016755: full text
Earlier recorded access
Source 1: full text
Source 2: full text
Source 3: full text</x:v>
      </x:c>
      <x:c r="P802" s="20" t="n">
        <x:v>1</x:v>
      </x:c>
      <x:c r="Q802" s="4" t="str">
        <x:v>Middle East</x:v>
      </x:c>
      <x:c r="R802" s="4" t="str">
        <x:v>Included</x:v>
      </x:c>
    </x:row>
    <x:row r="803" ht="378" hidden="0" customHeight="1">
      <x:c r="A803" s="16" t="str">
        <x:v>REC50-R38-004</x:v>
      </x:c>
      <x:c r="B803" s="4" t="str">
        <x:v>Semalka announced Iraqi-residency passenger restriction, September 2020</x:v>
      </x:c>
      <x:c r="C803" s="4" t="str">
        <x:v>Syria; Iraq (Kurdistan Region)</x:v>
      </x:c>
      <x:c r="D803" s="4" t="str">
        <x:v>Semalka / Faysh Khabur (Fishkhabour)
Named crossing and specified residency cohort</x:v>
      </x:c>
      <x:c r="E803" s="4" t="str">
        <x:v>Travellers with Iraqi/KRG residency, rather than all nationalities or all traffic
Direction: Northeast Syria to Kurdistan Region of Iraq
Exceptions: Other cohorts follow different notices; emergency access is described in the September 7 notice. No general trade closure is inferred.</x:v>
      </x:c>
      <x:c r="F803" s="4" t="str">
        <x:v>REC50-R38-004-P1 — Announced window
Announced Semalka restriction on passage of Iraqi/KRG residency holders toward Iraqi Kurdistan
Start: 2020-09-07.
Scoped permission restored by 2020-11-29; exact endpoint and actual implementation remain unknown.
Ordered window: dated evidence; numeric duration withheld; see qualification</x:v>
      </x:c>
      <x:c r="G803" s="4" t="str">
        <x:v>Uncoded
Specific reason absent from the inspected notice
Applies to: REC50-R38-004-P1
Earlier COVID precautions are background and are not assumed to explain this particular residency distinction.</x:v>
      </x:c>
      <x:c r="H803" s="4" t="str">
        <x:v>This is an announced restriction for Iraqi-residency holders departing northeast Syria toward Iraqi Kurdistan after the last permitted day, September 6, 2020. Its intended start is September 7, not the September 2 publication date. Actual initial enforcement remains unverified. The September 15 schedule for European-residency, medical and marriage cases does not restore this specific cohort. A November 29 report quotes a crossing-administration official describing permission for Iraqi-residency holders to depart on Sundays, Tuesdays and Thursdays. This establishes that the announced blanket exclusion no longer applied by November 29; the first day of restored permission, individual passage and uninterrupted earlier enforcement remain unknown. Restrictions on merchants and other cohorts are separate.</x:v>
      </x:c>
      <x:c r="I803" s="4" t="str">
        <x:v>Second full-register audit, 26 October 2026: qualified. Current September 7 intended start and November 29 restored-permission bound are supported. Neither the September 15 notice for other cohorts nor August background proves the first return of Iraqi-residency holders.</x:v>
      </x:c>
      <x:c r="J803" s="18" t="d">
        <x:v>2026-10-26T00:00:00.000Z</x:v>
      </x:c>
      <x:c r="K803" s="21" t="str">
        <x:f>IFERROR(HYPERLINK("https://npasyria.com/en/46193/","North Press Agency"),"North Press Agency")</x:f>
        <x:v>North Press Agency</x:v>
      </x:c>
      <x:c r="L803" s="21" t="str">
        <x:f>IFERROR(HYPERLINK("https://www.arknews.net/en/node/22670","ARK News / Rebaz"),"ARK News / Rebaz")</x:f>
        <x:v>ARK News / Rebaz</x:v>
      </x:c>
      <x:c r="M803" s="21" t="str">
        <x:f>IFERROR(HYPERLINK("https://npasyria.com/en/?p=45688","North Press Agency"),"North Press Agency")</x:f>
        <x:v>North Press Agency</x:v>
      </x:c>
      <x:c r="N803" s="4" t="str">
        <x:v>https://npasyria.com/en/46193/
https://www.arknews.net/en/node/22670
https://npasyria.com/en/?p=45688
https://syriacpress.com/blog/2020/09/07/semalka-border-crossing-to-reopen-for-weddings-medical-reasons-and-travel-to-europe-on-15-september/
https://www.shafaq.com/en/Kurdistan/Simalka-border-crossing-closing-decision-excludes-three-groups-of-people
https://npasyria.com/en/45688/</x:v>
      </x:c>
      <x:c r="O803" s="4" t="str">
        <x:v>Second full-register audit source access, 26 October 2026
https://npasyria.com/en/46193/: full text (fresh retrieval)
https://www.arknews.net/en/node/22670: full text (fresh retrieval)
https://syriacpress.com/blog/2020/09/07/semalka-border-crossing-to-reopen-for-weddings-medical-reasons-and-travel-to-europe-on-15-september/: full text (fresh retrieval)
https://www.shafaq.com/en/Kurdistan/Simalka-border-crossing-closing-decision-excludes-three-groups-of-people: full text (fresh retrieval)
https://npasyria.com/en/45688/: search extract (fresh retrieval) — Indexed article body; earlier permission is background, not September restoration.
Earlier URLs not separately inspected in this second assessment:
https://npasyria.com/en/?p=45688
Prior audit access record
Full-register audit source access (evidence cutoff 25 October 2026)
https://npasyria.com/en/46193/: full text
https://www.arknews.net/en/node/22670: full text
https://syriacpress.com/blog/2020/09/07/semalka-border-crossing-to-reopen-for-weddings-medical-reasons-and-travel-to-europe-on-15-september/: full text
https://www.shafaq.com/en/Kurdistan/Simalka-border-crossing-closing-decision-excludes-three-groups-of-people: full text
Earlier source URLs not separately listed in this audit’s retrieval log (historical access notes below are not fresh verification):
https://npasyria.com/en/?p=45688
Earlier recorded access
Source 1: full text
Source 2: full text
Source 3: full text</x:v>
      </x:c>
      <x:c r="P803" s="20" t="n">
        <x:v>1</x:v>
      </x:c>
      <x:c r="Q803" s="4" t="str">
        <x:v>Middle East</x:v>
      </x:c>
      <x:c r="R803" s="4" t="str">
        <x:v>Included</x:v>
      </x:c>
    </x:row>
    <x:row r="804" ht="409" hidden="0" customHeight="1">
      <x:c r="A804" s="16" t="str">
        <x:v>REC50-R38-005</x:v>
      </x:c>
      <x:c r="B804" s="4" t="str">
        <x:v>Rabia–al-Yarubiyah inherited interruption and formal reopening, April 2026</x:v>
      </x:c>
      <x:c r="C804" s="4" t="str">
        <x:v>Iraq; Syria</x:v>
      </x:c>
      <x:c r="D804" s="4" t="str">
        <x:v>Rabia / al-Yarubiyah (Yaarubiyah, Tel Kocher)
Rabia–al-Yarubiyah road crossing only</x:v>
      </x:c>
      <x:c r="E804" s="4" t="str">
        <x:v>Ordinary civilian and commercial access covered by the April 20 formal reopening; a later observation separately confirms Iraq-to-Syria tanker exports from May 1, 2026.
Direction: Ordinary access is not exhaustively disaggregated; the tanker observation is Iraq to Syria. The separate UN-service phase also concerns Iraq-to-northeast-Syria shipments.
Exceptions: UN humanitarian consignments and transshipment are documented in March 2018–January 2020. Other exceptional traffic is incompletely reconstructed; no all-traffic continuous closure is claimed.</x:v>
      </x:c>
      <x:c r="F804" s="4" t="str">
        <x:v>REC50-R38-005-P1 — Formal policy, with a separate later operational observation
Endpoint-only formal restoration of ordinary civilian and commercial access at Rabia–al-Yarubiyah.
Start: unknown.
Policy endpoint: 2026-04-20.
Later scoped operational observation: tanker exports from Iraq to Syria began on 2026-05-01, according to the named deputy director of Rabia crossing; the first batch comprised 70 tankers. This dates tanker access, not first passenger passage or every commercial category.
Exact inherited closure duration remains unknown.
REC50-R47-R38-005-P1 — Observed service cessation
UN medical/humanitarian shipments through al-Yarubiyah from Iraq into northeast Syria after removal of the cross-border mandate.
First missed shipment: unknown.
Cessation confirmed by 2020-01-16 and still documented in the Secretary-General report using information through 2020-02-19.
Matching UN-service reopening is not established.
The report explicitly describes the discontinued service after resolution 2504, supporting a restriction exceeding 24 hours; exact elapsed duration and the first cancelled convoy remain unknown.</x:v>
      </x:c>
      <x:c r="G804" s="4" t="str">
        <x:v>Uncoded
Original closure rationale/order not recovered
Applies to: REC50-R38-005-P1
Conflict context is reported, while economic reasons for reopening are not recoded as the original closure rationale.
Administration and service operation
UN Secretary-General report links service cessation to removal of the cross-border authorization under resolution 2504.
Applies to: REC50-R47-R38-005-P1
Administrative authorization basis only; no additional political intent is inferred.</x:v>
      </x:c>
      <x:c r="H804" s="4" t="str">
        <x:v>REC50-R38-005-P1: Formal restoration is dated April 20, 2026. The inherited interruption is described approximately and as largely closed; exact onset, continuous exclusion and the original imposing order remain unknown. Contemporary April 20 Reuters soundbites still describe Rabia tanker exports prospectively. Rudaw on May 6 quotes deputy crossing director Basim Muhammad explicitly dating the first 70-tanker batch to May 1; SANA’s May 9 account separately repeats the Border Ports Authority’s May 1 announcement. This supplies a scoped operational date without asserting first passenger access or universal normal trade. UN humanitarian consignments crossed in March 2018–January 2020, so the inherited interruption cannot mean exclusion of all traffic. Carnegie research attributes blocked ordinary reopening to Baghdad’s position toward the Syrian authorities; it does not recover the original closure order.
REC50-R47-R38-005-P1: The January 16 UN briefing confirms that medical shipments had ceased. The Secretary-General’s February 21 report, using information through February 19, states that UN cross-border operations into the northeast no longer occurred following resolution 2504. This supports a multi-day service cessation and extends the evidence limit; the exact first missed shipment and matching restoration remain unknown. NGO operations and aid sent within Syria are different services. Neither April 2026 ordinary reopening nor May 1 tanker passage establishes restoration of this UN shipment mechanism.</x:v>
      </x:c>
      <x:c r="I804" s="4" t="str">
        <x:v>Second full-register audit, 26 October 2026: additional source-audited corrections incorporated. See the phase, scope and qualification columns for the accepted findings.</x:v>
      </x:c>
      <x:c r="J804" s="18" t="d">
        <x:v>2026-10-26T00:00:00.000Z</x:v>
      </x:c>
      <x:c r="K804" s="21" t="str">
        <x:f>IFERROR(HYPERLINK("https://sana.sy/en/syria/2311750/","SANA"),"SANA")</x:f>
        <x:v>SANA</x:v>
      </x:c>
      <x:c r="L804" s="21" t="str">
        <x:f>IFERROR(HYPERLINK("https://www.aa.com.tr/en/middle-east/syria-reopens-key-border-crossing-with-iraq-after-13-year-closure/3912545","Anadolu Agency"),"Anadolu Agency")</x:f>
        <x:v>Anadolu Agency</x:v>
      </x:c>
      <x:c r="M804" s="21" t="str">
        <x:f>IFERROR(HYPERLINK("https://www.reuters.com/world/middle-east/iraq-reopens-rabia-border-crossing-boost-fuel-oil-exports-via-syria-2026-04-20/","Reuters"),"Reuters")</x:f>
        <x:v>Reuters</x:v>
      </x:c>
      <x:c r="N804" s="4" t="str">
        <x:v>https://sana.sy/en/syria/2311750/
https://www.aa.com.tr/en/middle-east/syria-reopens-key-border-crossing-with-iraq-after-13-year-closure/3912545
https://www.reuters.com/world/middle-east/iraq-reopens-rabia-border-crossing-boost-fuel-oil-exports-via-syria-2026-04-20/
https://carnegieendowment.org/middle-east/research/2021/07/the-making-of-the-kurdish-frontier-power-conflict-and-governance-in-the-iraqi-syrian-borderlands
https://www.securitycouncilreport.org/atf/cf/%7B65BFCF9B-6D27-4E9C-8CD3-CF6E4FF96FF9%7D/s_2020_139.pdf
https://press.un.org/en/2020/sc14074.doc.htm
https://www.un.org/sg/en/content/highlight/2020-01-16.html
https://www.timesofisrael.com/liveblog_entry/iraq-reopens-rabia-border-crossing-to-boost-fuel-oil-exports-via-syria/
https://digitallibrary.un.org/record/3853093/files/S_2020_139-EN.pdf
https://www.reutersconnect.com/item/iraq-reopens-rabia-border-crossing-to-boost-fuel-oil-exports-via-syria/dGFnOnJldXRlcnMuY29tLDIwMjY6bmV3c21sX1ZBNDA5ODIwMDQyMDI2UlAx
https://www.rudawarabia.net/arabic/categories/economic/956348
https://sana.sy/governorates/edlib/2471054/</x:v>
      </x:c>
      <x:c r="O804" s="4" t="str">
        <x:v>Second full-register audit source access, 26 October 2026
https://sana.sy/en/syria/2311750/: full text (fresh retrieval)
https://www.aa.com.tr/en/middle-east/syria-reopens-key-border-crossing-with-iraq-after-13-year-closure/3912545: full text (fresh retrieval)
https://carnegieendowment.org/middle-east/research/2021/07/the-making-of-the-kurdish-frontier-power-conflict-and-governance-in-the-iraqi-syrian-borderlands: full text (fresh retrieval)
https://www.securitycouncilreport.org/atf/cf/%7B65BFCF9B-6D27-4E9C-8CD3-CF6E4FF96FF9%7D/s_2020_139.pdf: full text (fresh retrieval)
https://www.un.org/sg/en/content/highlight/2020-01-16.html: search extract (fresh retrieval) — Full substantive indexed briefing recovered; direct page is a verification screen.
https://www.reutersconnect.com/item/iraq-reopens-rabia-border-crossing-to-boost-fuel-oil-exports-via-syria/dGFnOnJldXRlcnMuY29tLDIwMjY6bmV3c21sX1ZBNDA5ODIwMDQyMDI2UlAx: full text (fresh retrieval)
https://www.rudawarabia.net/arabic/categories/economic/956348: full text (fresh retrieval)
https://sana.sy/governorates/edlib/2471054/: full text (fresh retrieval) — Used only for explicit dated May 1 export-start recap, not unrelated accident details.
Earlier URLs not separately inspected in this second assessment:
https://www.reuters.com/world/middle-east/iraq-reopens-rabia-border-crossing-boost-fuel-oil-exports-via-syria-2026-04-20/
https://press.un.org/en/2020/sc14074.doc.htm
https://www.timesofisrael.com/liveblog_entry/iraq-reopens-rabia-border-crossing-to-boost-fuel-oil-exports-via-syria/
https://digitallibrary.un.org/record/3853093/files/S_2020_139-EN.pdf
Prior audit access record
Full-register audit source access (evidence cutoff 25 October 2026)
https://sana.sy/en/syria/2311750/: full text
https://www.timesofisrael.com/liveblog_entry/iraq-reopens-rabia-border-crossing-to-boost-fuel-oil-exports-via-syria/: search extract
https://www.un.org/sg/en/content/highlight/2020-01-16.html: search extract — Direct page blocked by challenge
https://digitallibrary.un.org/record/3853093/files/S_2020_139-EN.pdf: search extract — Direct PDF returned 403
Earlier source URLs not separately listed in this audit’s retrieval log (historical access notes below are not fresh verification):
https://www.aa.com.tr/en/middle-east/syria-reopens-key-border-crossing-with-iraq-after-13-year-closure/3912545
https://www.reuters.com/world/middle-east/iraq-reopens-rabia-border-crossing-boost-fuel-oil-exports-via-syria-2026-04-20/
https://carnegieendowment.org/middle-east/research/2021/07/the-making-of-the-kurdish-frontier-power-conflict-and-governance-in-the-iraqi-syrian-borderlands
https://www.securitycouncilreport.org/atf/cf/%7B65BFCF9B-6D27-4E9C-8CD3-CF6E4FF96FF9%7D/s_2020_139.pdf
https://press.un.org/en/2020/sc14074.doc.htm
Earlier recorded access
Source 1: full text
Source 2: full text
Source 3: full text</x:v>
      </x:c>
      <x:c r="P804" s="20" t="n">
        <x:v>2</x:v>
      </x:c>
      <x:c r="Q804" s="4" t="str">
        <x:v>Middle East</x:v>
      </x:c>
      <x:c r="R804" s="4" t="str">
        <x:v>Included</x:v>
      </x:c>
    </x:row>
    <x:row r="805" ht="210" hidden="0" customHeight="1">
      <x:c r="A805" s="16" t="str">
        <x:v>REC50-R41-001</x:v>
      </x:c>
      <x:c r="B805" s="4" t="str">
        <x:v>Ceke–Shiveekhuren coal-export restriction in late 2021 and limited return in May 2022</x:v>
      </x:c>
      <x:c r="C805" s="4" t="str">
        <x:v>Mongolia; China</x:v>
      </x:c>
      <x:c r="D805" s="4" t="str">
        <x:v>Shiveekhuren–Ceke</x:v>
      </x:c>
      <x:c r="E805" s="4" t="str">
        <x:v>Coal freight
Direction: Mongolia to China
Exceptions: The observed 25 May 2022 return allowed limited trial coal-truck movements. It does not establish normal capacity, other goods, passengers, or uninterrupted restriction for every exporter.</x:v>
      </x:c>
      <x:c r="F805" s="4" t="str">
        <x:v>REC50-R41-001-P1 — Observed operation
Coal exports through Shiveekhuren–Ceke during the late-2021 restriction and limited May 2022 return
Start: unknown.
Observed scoped reopening: 2022-05-25.
Strict greater-than-24-hour eligibility is supported at least for SouthGobi’s coal exports: its company statement explicitly records suspension from November 2021 to May 2022 because Ceke was closed. Exact port-wide onset and complete elapsed duration remain unknown.</x:v>
      </x:c>
      <x:c r="G805" s="4" t="str">
        <x:v>Health and biosecurity / Human disease control
Sources attribute the stated crossing measures to COVID-19 prevention.
Applies to: Coal exports through Shiveekhuren–Ceke during the late-2021 restriction and limited May 2022 return
Health reason is source-attributed; no additional motive inferred.</x:v>
      </x:c>
      <x:c r="H805" s="4" t="str">
        <x:v>REC50-R41-001-P1: Port-onset timing remains unresolved: mid-October reporting, late-October regional measures and November company-export suspension describe different events. Mine shutdown is separate. SouthGobi’s own statement explicitly records its coal-export suspension from November 2021 to May 2022, supporting greater-than-24-hour eligibility for that exporter without assuming uninterrupted closure for every exporter. The May 25, 2022 coal return was limited and does not establish normal capacity, other goods or passenger restoration. No exact numeric duration or universal port-wide onset is assigned.</x:v>
      </x:c>
      <x:c r="I805" s="4" t="str">
        <x:v>Second full-register audit, 26 October 2026: additional source-audited corrections incorporated. See the phase, scope and qualification columns for the accepted findings.</x:v>
      </x:c>
      <x:c r="J805" s="18" t="d">
        <x:v>2026-10-26T00:00:00.000Z</x:v>
      </x:c>
      <x:c r="K805" s="21" t="str">
        <x:f>IFERROR(HYPERLINK("https://6ix.com/news/southgobi-announces-fourth-quarter-and-full-year-2021-financial-and-operating-results-1","SouthGobi Resources via ACCESS / 6ix"),"SouthGobi Resources via ACCESS / 6ix")</x:f>
        <x:v>SouthGobi Resources via ACCESS / 6ix</x:v>
      </x:c>
      <x:c r="L805" s="21" t="str">
        <x:f>IFERROR(HYPERLINK("https://en.sxcoal.com/news/detail/4653271","Sxcoal, attributing MONTSAME"),"Sxcoal, attributing MONTSAME")</x:f>
        <x:v>Sxcoal, attributing MONTSAME</x:v>
      </x:c>
      <x:c r="M805" s="21"/>
      <x:c r="N805" s="4" t="str">
        <x:v>https://6ix.com/news/southgobi-announces-fourth-quarter-and-full-year-2021-financial-and-operating-results-1
https://en.sxcoal.com/news/detail/4653271
https://montsame.mn/en/author/566?class=&amp;page=2</x:v>
      </x:c>
      <x:c r="O805" s="4" t="str">
        <x:v>Second full-register audit source access, 26 October 2026
https://6ix.com/news/southgobi-announces-fourth-quarter-and-full-year-2021-financial-and-operating-results-1: full text (fresh retrieval)
https://en.sxcoal.com/news/detail/4653271: full text (fresh retrieval)
https://montsame.mn/en/author/566?class=&amp;page=2: search extract (fresh retrieval) — Author-index synopsis only; linked article 297677 returned 403, so full article was not inspected.
Prior audit access record
Full-register audit source access (evidence cutoff 25 October 2026)
https://6ix.com/news/southgobi-announces-fourth-quarter-and-full-year-2021-financial-and-operating-results-1: full text
https://en.sxcoal.com/news/detail/4653271: full text
Earlier recorded access
Source 1: full text
Source 2: full text</x:v>
      </x:c>
      <x:c r="P805" s="20" t="n">
        <x:v>1</x:v>
      </x:c>
      <x:c r="Q805" s="4" t="str">
        <x:v>East Asia</x:v>
      </x:c>
      <x:c r="R805" s="4" t="str">
        <x:v>Included</x:v>
      </x:c>
    </x:row>
    <x:row r="806" ht="306" hidden="0" customHeight="1">
      <x:c r="A806" s="16" t="str">
        <x:v>REC50-R41-002</x:v>
      </x:c>
      <x:c r="B806" s="4" t="str">
        <x:v>Gashuunsukhait–Ganqimaodu coal interruption with disputed 30–31 August 2021 return</x:v>
      </x:c>
      <x:c r="C806" s="4" t="str">
        <x:v>Mongolia; China</x:v>
      </x:c>
      <x:c r="D806" s="4" t="str">
        <x:v>Gashuunsukhait–Ganqimaodu (Gantsmod)</x:v>
      </x:c>
      <x:c r="E806" s="4" t="str">
        <x:v>Coal freight
Direction: Mongolia to China
Exceptions: Coal freight only. Testing delays continued after the reported return; those delays do not establish a further closure. The two attributed accounts disagree between 30 and 31 August.</x:v>
      </x:c>
      <x:c r="F806" s="4" t="str">
        <x:v>REC50-R41-002-P1 — Observed operation
Gashuunsukhait–Ganqimaodu coal-export interruption preceding the reported August 2021 restart
Start: unknown.
Observed scoped reopening: 2021-08-30 to 2021-08-31.
The reopening date remains contested. Bloomberg’s September 1 report explicitly describes a halt lasting over a week, supporting reported greater-than-24-hour eligibility for the coal interruption. Exact duration and interval animation remain withheld because exact onset and uninterrupted all-exporter scope are unresolved.
Additional dated observation: on 2021-08-23, Sxcoal local sources reported no coal trucks clearing customs while copper powder trucks continued. This does not independently establish the first day or uninterrupted duration of the coal halt.</x:v>
      </x:c>
      <x:c r="G806" s="4" t="str">
        <x:v>Health and biosecurity / Human disease control
Sources attribute the stated crossing measures to COVID-19 prevention.
Applies to: Gashuunsukhait–Ganqimaodu coal-export interruption preceding the reported August 2021 restart
Health reason is source-attributed; no additional motive inferred.</x:v>
      </x:c>
      <x:c r="H806" s="4" t="str">
        <x:v>REC50-R41-002-P1: The finance minister account dates coal return to August 30, 2021; Bloomberg’s market-provider account dates it to August 31. Preserve that disagreement. A newly inspected August 23 Sxcoal report records zero coal-truck clearance that day and continuing copper-powder traffic. It also reports a tentative two-week coal suspension but quotes a trader saying customs remained operational and some firms were suspending activity because driver COVID-test tracing was difficult. August 23 is therefore a dated coal-interruption observation, not independent proof of an exact legal onset or uninterrupted all-exporter closure. Do not subtract fourteen days from either return date. Continued testing delays after return do not establish a further full closure. Bloomberg’s explicit report of a halt lasting over a week supports reported greater-than-24-hour eligibility for the coal interruption, despite the one-day reopening disagreement. That attributed duration is not an exact measurement or independent proof that every exporter was continuously blocked. Exact numeric duration and interval animation remain held because onset and complete continuity remain unresolved.</x:v>
      </x:c>
      <x:c r="I806" s="4" t="str">
        <x:v>Second full-register audit, 26 October 2026: additional source-audited corrections incorporated. See the phase, scope and qualification columns for the accepted findings.</x:v>
      </x:c>
      <x:c r="J806" s="18" t="d">
        <x:v>2026-10-26T00:00:00.000Z</x:v>
      </x:c>
      <x:c r="K806" s="21" t="str">
        <x:f>IFERROR(HYPERLINK("https://montsame.mn/en/read/273760","MONTSAME"),"MONTSAME")</x:f>
        <x:v>MONTSAME</x:v>
      </x:c>
      <x:c r="L806" s="21" t="str">
        <x:f>IFERROR(HYPERLINK("https://www.miningweekly.com/article/china-opens-border-to-mongolian-coal-but-market-remains-tight-2021-09-01","Bloomberg via Mining Weekly"),"Bloomberg via Mining Weekly")</x:f>
        <x:v>Bloomberg via Mining Weekly</x:v>
      </x:c>
      <x:c r="M806" s="21"/>
      <x:c r="N806" s="4" t="str">
        <x:v>https://montsame.mn/en/read/273760
https://www.miningweekly.com/article/china-opens-border-to-mongolian-coal-but-market-remains-tight-2021-09-01
https://montsame.mn/mn/read/273760
https://en.sxcoal.com/news/detail/4633715</x:v>
      </x:c>
      <x:c r="O806" s="4" t="str">
        <x:v>Second full-register audit source access, 26 October 2026
https://montsame.mn/en/read/273760: search extract (fresh retrieval) — Substantive indexed text recovered; English and Mongolian direct pages returned 403.
https://www.miningweekly.com/article/china-opens-border-to-mongolian-coal-but-market-remains-tight-2021-09-01: full text (fresh retrieval)
https://en.sxcoal.com/news/detail/4633715: full text (fresh retrieval)
Earlier URLs not separately inspected in this second assessment:
https://montsame.mn/mn/read/273760
Prior audit access record
Full-register audit source access (evidence cutoff 25 October 2026)
https://montsame.mn/mn/read/273760: full text
https://www.miningweekly.com/article/china-opens-border-to-mongolian-coal-but-market-remains-tight-2021-09-01: full text
https://en.sxcoal.com/news/detail/4633715: full text
Earlier source URLs not separately listed in this audit’s retrieval log (historical access notes below are not fresh verification):
https://montsame.mn/en/read/273760
Earlier recorded access
Source 1: full text
Source 2: full text</x:v>
      </x:c>
      <x:c r="P806" s="20" t="n">
        <x:v>1</x:v>
      </x:c>
      <x:c r="Q806" s="4" t="str">
        <x:v>East Asia</x:v>
      </x:c>
      <x:c r="R806" s="4" t="str">
        <x:v>Included</x:v>
      </x:c>
    </x:row>
    <x:row r="807" ht="409" hidden="0" customHeight="1">
      <x:c r="A807" s="16" t="str">
        <x:v>REC50-R41-003</x:v>
      </x:c>
      <x:c r="B807" s="4" t="str">
        <x:v>Tsagaannuur–Tashanta November 2020 freight closure window and petroleum exception</x:v>
      </x:c>
      <x:c r="C807" s="4" t="str">
        <x:v>Mongolia; Russia</x:v>
      </x:c>
      <x:c r="D807" s="4" t="str">
        <x:v>Tsagaannuur–Tashanta</x:v>
      </x:c>
      <x:c r="E807" s="4" t="str">
        <x:v>Road freight, with petroleum-only periodic exception
Direction: Paired road crossing; later reported fuel imports into Mongolia
Exceptions: Later petroleum-only access was described for the second and fourth weeks, including same-day return of empty trucks. The reported 23 November fuel entry and scheduled 24 November restart do not establish a general freight reopening.</x:v>
      </x:c>
      <x:c r="F807" s="4" t="str">
        <x:v>REC50-R41-003-P1 — Announced window
Freight component of the Tsagaannuur–Tashanta November 2020 closure agreement
Start: 2020-11-02.
Scheduled endpoint: 2020-11-23.
Ordered window: dated evidence; numeric duration withheld; see qualification
Later formal permissions: NARTAM’s 18 February 2021 update permits fodder imports at Tsagaannuur from February 23. Its 18 May update reports that, from May 10, Tsagaannuur–Tashanta could handle all types of goods during the second and fourth weeks of each month. These are commodity/schedule relaxations, not proof of daily unrestricted freight, a first observed truck, or continuous closure since November. The November 23 observed fuel entry and November 24 scheduled restart remain distinct.</x:v>
      </x:c>
      <x:c r="G807" s="4" t="str">
        <x:v>Health and biosecurity / Human disease control
Sources attribute the stated crossing measures to COVID-19 prevention.
Applies to: Freight component of the Tsagaannuur–Tashanta November 2020 closure agreement
Health reason is source-attributed; no additional motive inferred.</x:v>
      </x:c>
      <x:c r="H807" s="4" t="str">
        <x:v>REC50-R41-003-P1: The official notice orders a 2–23 November 2020 window. Neither final-day boundary nor later fuel exception establishes general freight reopening. The November 23 observed fuel passage conflicts with a November 24 scheduled restart; petroleum access is periodic and limited.
Later formal permissions: NARTAM’s 18 February 2021 update permits fodder imports at Tsagaannuur from February 23. Its 18 May update reports that, from May 10, Tsagaannuur–Tashanta could handle all types of goods during the second and fourth weeks of each month. These are commodity/schedule relaxations, not proof of daily unrestricted freight, a first observed truck, or continuous closure since November. The November 23 observed fuel entry and November 24 scheduled restart remain distinct.</x:v>
      </x:c>
      <x:c r="I807" s="4" t="str">
        <x:v>Second full-register audit, 26 October 2026: qualified. The November closure window and later commodity/schedule permissions remain correctly distinguished from a general observed freight reopening.</x:v>
      </x:c>
      <x:c r="J807" s="18" t="d">
        <x:v>2026-10-26T00:00:00.000Z</x:v>
      </x:c>
      <x:c r="K807" s="21" t="str">
        <x:f>IFERROR(HYPERLINK("https://www.rosgranstroy.ru/press-center/news/Priostanovlen-propusk-lic-i-transportnyh-sredstv-cherez-avtomobilnye-punkty-propuska-Tashanta-i-Handagayty-na-granice-s-Mongoliey-","Rosgranstroy"),"Rosgranstroy")</x:f>
        <x:v>Rosgranstroy</x:v>
      </x:c>
      <x:c r="L807" s="21" t="str">
        <x:f>IFERROR(HYPERLINK("https://www.pkf-ifs.mn/1102/nitem","PKF-IFS Mongolia"),"PKF-IFS Mongolia")</x:f>
        <x:v>PKF-IFS Mongolia</x:v>
      </x:c>
      <x:c r="M807" s="21" t="str">
        <x:f>IFERROR(HYPERLINK("https://wiki.unece.org/plugins/viewsource/viewpagesrc.action?pageId=101548480","UNECE wiki / NARTAM"),"UNECE wiki / NARTAM")</x:f>
        <x:v>UNECE wiki / NARTAM</x:v>
      </x:c>
      <x:c r="N807" s="4" t="str">
        <x:v>https://www.rosgranstroy.ru/press-center/news/Priostanovlen-propusk-lic-i-transportnyh-sredstv-cherez-avtomobilnye-punkty-propuska-Tashanta-i-Handagayty-na-granice-s-Mongoliey-
https://www.pkf-ifs.mn/1102/nitem
https://wiki.unece.org/plugins/viewsource/viewpagesrc.action?pageId=101548480
https://wiki.unece.org/spaces/CTRBSBC/pages/101548480/Mongolia
https://trans.ru/news/s-23-noyabrya-mongoliya-ogranichivaet-rabotu-esche-dvuh-punktov-propuska-na-granitse-s-rossiei</x:v>
      </x:c>
      <x:c r="O807" s="4" t="str">
        <x:v>Second full-register audit source access, 26 October 2026
https://www.rosgranstroy.ru/press-center/news/Priostanovlen-propusk-lic-i-transportnyh-sredstv-cherez-avtomobilnye-punkty-propuska-Tashanta-i-Handagayty-na-granice-s-Mongoliey-: full text (fresh retrieval)
https://www.pkf-ifs.mn/1102/nitem: full text (fresh retrieval)
https://wiki.unece.org/spaces/CTRBSBC/pages/101548480/Mongolia: search extract (fresh retrieval) — Direct 403; substantive indexed updates.
Earlier URLs not separately inspected in this second assessment:
https://wiki.unece.org/plugins/viewsource/viewpagesrc.action?pageId=101548480
https://trans.ru/news/s-23-noyabrya-mongoliya-ogranichivaet-rabotu-esche-dvuh-punktov-propuska-na-granitse-s-rossiei
Prior audit access record
Full-register audit source access (evidence cutoff 25 October 2026)
https://www.rosgranstroy.ru/press-center/news/Priostanovlen-propusk-lic-i-transportnyh-sredstv-cherez-avtomobilnye-punkty-propuska-Tashanta-i-Handagayty-na-granice-s-Mongoliey-: search extract — Direct page returned navigation only; substantive indexed official notice inspected.
https://www.pkf-ifs.mn/1102/nitem: full text — See specific claim qualifications.
https://wiki.unece.org/spaces/CTRBSBC/pages/101548480/Mongolia: search extract — Direct 403; dated entries inspected in index.
https://trans.ru/news/s-23-noyabrya-mongoliya-ogranichivaet-rabotu-esche-dvuh-punktov-propuska-na-granitse-s-rossiei: full text — See specific claim qualifications.
Earlier source URLs not separately listed in this audit’s retrieval log (historical access notes below are not fresh verification):
https://wiki.unece.org/plugins/viewsource/viewpagesrc.action?pageId=101548480
Earlier recorded access
Source 1: full text
Source 2: full text
Source 3: indexed extract</x:v>
      </x:c>
      <x:c r="P807" s="20" t="n">
        <x:v>1</x:v>
      </x:c>
      <x:c r="Q807" s="4" t="str">
        <x:v>East Asia</x:v>
      </x:c>
      <x:c r="R807" s="4" t="str">
        <x:v>Included</x:v>
      </x:c>
    </x:row>
    <x:row r="808" ht="409" hidden="0" customHeight="1">
      <x:c r="A808" s="16" t="str">
        <x:v>REC50-R42-001</x:v>
      </x:c>
      <x:c r="B808" s="4" t="str">
        <x:v>Bulgarian grain-grower road blocks at named Romania-border approaches, March–April 2023</x:v>
      </x:c>
      <x:c r="C808" s="4" t="str">
        <x:v>Bulgaria; Romania</x:v>
      </x:c>
      <x:c r="D808" s="4" t="str">
        <x:v>Ruse / Giurgiu; Kardam / Negru Voda; Vidin / Calafat; Durankulak / Vama Veche
Named international road approaches in separate dated episodes, not a continuous closure of the whole Romania frontier. Port actions remain excluded.</x:v>
      </x:c>
      <x:c r="E808" s="4" t="str">
        <x:v>Road vehicles on the named approaches. March 30 Ruse reporting explicitly identifies cars and trucks in both directions. March 31 Kardam reporting identifies Ukrainian and Moldovan trucks seeking to leave Bulgaria. The reported Durankulak action concerned trucks diverted from Kardam. Other directional and vehicle details remain phase-specific and incomplete.
Exceptions: No comprehensive pedestrian, emergency or cargo-exemption inventory is established.</x:v>
      </x:c>
      <x:c r="F808" s="4" t="str">
        <x:v>REC50-R42-001-P1 — Observed operation
Ruse / Giurgiu, Danube Bridge approach short farmer road block
Start: 2023-03-29.
Observed scoped reopening: 2023-03-29.
Same-day episode; no whole-day duration inferred. Ruse was described as a short completed action, nearly two hours in the BNT summary.
REC50-R42-001-P2 — Observed operation
Kardam / Negru Voda approach short farmer road block
Start: 2023-03-29.
Observed scoped reopening: 2023-03-29.
Same-day episode; no whole-day duration inferred. Kardam was described as a completed action lasting nearly two hours.
REC50-R42-001-P3 — Observed operation
Vidin / Calafat, international road to Danube Bridge 2 short farmer road block
Start: 2023-03-29.
Observed scoped reopening: 2023-03-29.
Same-day episode; no whole-day duration inferred. Vidin was described as a brief completed action; Darik’s retrospective account reports approximately 30 minutes.
REC50-R42-001-P4 — Observed operation
Ruse / Giurgiu road approach; cars and trucks in both directions
Start: 2023-03-30.
Observed scoped reopening: 2023-03-30.
Darik’s updated report describes a completed hour-long action. AGERPRES quotes border police confirming actual suspension; announced protest schedules are not exact operating clocks.
REC50-R42-001-P5 — Observed obstruction
Vidin / Calafat, E79 approach to Danube Bridge 2; queued cars and trucks
Start and obstruction observation: 2023-03-30, at approximately 10:00 in contemporary reporting.
Exact reopening is not established by the strongest inspected sources; a half-hour action was announced. No continuous closure beyond this dated observation is inferred.
REC50-R42-001-P6 — Observed obstruction
Kardam / Negru Voda road approach, including trucks seeking to leave Bulgaria
Obstruction observation: 2023-03-31.
Exact onset and reopening: unknown.
BNT and BTA-derived reporting describe trucks blocked by dumped sunflower seed. This observation is not joined to the completed March 29 action.
REC50-R42-001-P7 — Retrospectively reported obstruction
Durankulak / Vama Veche road approach used by diverted trucks
Reported action date: 2023-03-30.
Later observation: no protesters present on 2023-03-31, according to the named producer representative quoted by BTA.
This bounds the protest’s presence; it does not establish the exact first resumed crossing or an elapsed duration.
REC50-R42-001-P8 — Observed operation
Ruse / Giurgiu road approach
Start: 2023-04-07.
Observed scoped reopening: 2023-04-07.
BNR reports a three-hour action ending by 13:00 and describes its conclusion. Exact independently logged crossing clocks are unavailable.
REC50-R42-001-P9 — Observed operation
Kardam / Negru Voda road approach; trucks affected
Start: 2023-04-07.
Observed scoped reopening: 2023-04-07.
BNR reports the Ruse and Kardam blocks lasted three hours until 13:00. Do not merge this later action with March.</x:v>
      </x:c>
      <x:c r="G808" s="4" t="str">
        <x:v>Trade and protectionism / Trade and transport protests
Contemporary BNT, BNR and named producer representatives quoted by BTA
Applies to: REC50-R42-001-P1 through REC50-R42-001-P9
Protesters objected to duty-free Ukrainian agricultural imports and their reported effect on local prices and sales. These are attributed demands, not independently established causal findings.
Policy and socioeconomic demands / Jobs, services and livelihoods
Named farmer representatives quoted by BNT and BTA
Applies to: March actions REC50-R42-001-P1 through REC50-R42-001-P7
Livelihood, unsold production and support demands accompanied the trade objection; no universal primary motive is assigned.</x:v>
      </x:c>
      <x:c r="H808" s="4" t="str">
        <x:v>P1–P3 retain the three completed March 29 actions. Contemporary reports describe Ruse and Kardam at nearly two hours and Vidin at approximately half an hour; these are reported durations, not exact independently logged clocks.
Later actions are now supported as occurrences: P4 and P5 on March 30, P6 at Kardam on March 31, and P7 at Durankulak on March 30 according to a named BTA interview on March 31. P4 has a same-day completion report. P5 and P6 lack a secure matched reopening; P7’s absence of protesters the next day does not give an exact first-passage time. These are discrete observations, not proof of continuous closure between dates.
P8–P9 are separate April 7 actions reported by BNR as completed after three hours, until 13:00; the substantive indexed BNR text was inspected, while its direct page returned an error. The April actions do not extend the March events. A screen of all current input readers found no duplicate phases on these dates. General protest schedules, planned April actions in older reports and Silistra port activity do not establish additional road-crossing intervals.</x:v>
      </x:c>
      <x:c r="I808" s="4" t="str">
        <x:v>Second full-register audit, 26 October 2026: additional source-audited corrections incorporated. See the phase, scope and qualification columns for the accepted findings.</x:v>
      </x:c>
      <x:c r="J808" s="18" t="d">
        <x:v>2026-10-26T00:00:00.000Z</x:v>
      </x:c>
      <x:c r="K808" s="21" t="str">
        <x:f>IFERROR(HYPERLINK("https://bnt.bg/news/bulgarian-farmers-block-roads-to-protest-duty-free-grain-imports-from-ukraine-316521news.html","Bulgarian National Television"),"Bulgarian National Television")</x:f>
        <x:v>Bulgarian National Television</x:v>
      </x:c>
      <x:c r="L808" s="21" t="str">
        <x:f>IFERROR(HYPERLINK("https://old-news.bnr.bg/en/post/101800895?page_1_3=6","Bulgarian National Radio"),"Bulgarian National Radio")</x:f>
        <x:v>Bulgarian National Radio</x:v>
      </x:c>
      <x:c r="M808" s="21"/>
      <x:c r="N808" s="4" t="str">
        <x:v>https://bnt.bg/news/bulgarian-farmers-block-roads-to-protest-duty-free-grain-imports-from-ukraine-316521news.html
https://old-news.bnr.bg/en/post/101800895?page_1_3=6
https://bntnews.bg/news/bulgarian-farmers-block-roads-to-protest-duty-free-grain-imports-from-ukraine-1305496news.html
https://dariknews.bg/novini/bylgariia/zyrnoproizvoditeli-blokiraha-kliuchovi-pytishta-bez-nas-niama-hrana-2343022
https://bntnews.bg/news/farmers-39-discontent-bulgaria-will-insist-on-changes-in-the-regulation-for-imports-from-ukraine-1305489news.html
https://agerpres.ro/social/2023/03/30/trafic-blocat-in-vama-giurgiu-din-cauza-protestelor-fermierilor-bulgari--1084448
https://dariknews.bg/novini/bylgariia/blokadi-na-kliuchovi-pytishta-protestyt-na-zemedelcite-prodylzhava-snimkivideo-2343136
https://bntnews.bg/news/in-protest-against-imports-from-ukraine-bulgarian-farmers-dump-a-trailer-of-sunflower-seeds-on-the-road-to-kardam-border-1305486news.html
https://utroruse.com/article/944496/
https://old-news.bnr.bg/en/post/101806551/bulgarian-farmers-continue-protests-against-cheaper-imports-from-ukraine</x:v>
      </x:c>
      <x:c r="O808" s="4" t="str">
        <x:v>Second full-register audit source access, 26 October 2026
https://bntnews.bg/news/bulgarian-farmers-block-roads-to-protest-duty-free-grain-imports-from-ukraine-1305496news.html: full text (fresh retrieval) — Original bnt.bg URL timed out; migrated bntnews.bg article retrieved in full.
https://dariknews.bg/novini/bylgariia/zyrnoproizvoditeli-blokiraha-kliuchovi-pytishta-bez-nas-niama-hrana-2343022: search extract (fresh retrieval) — Substantive indexed text; not marked as direct full-page access.
https://bntnews.bg/news/farmers-39-discontent-bulgaria-will-insist-on-changes-in-the-regulation-for-imports-from-ukraine-1305489news.html: full text (fresh retrieval)
https://agerpres.ro/social/2023/03/30/trafic-blocat-in-vama-giurgiu-din-cauza-protestelor-fermierilor-bulgari--1084448: full text (fresh retrieval) — Announced schedule is not observed duration.
https://dariknews.bg/novini/bylgariia/blokadi-na-kliuchovi-pytishta-protestyt-na-zemedelcite-prodylzhava-snimkivideo-2343136: full text (fresh retrieval) — Vidin half-hour end remains prospective in this source.
https://bntnews.bg/news/in-protest-against-imports-from-ukraine-bulgarian-farmers-dump-a-trailer-of-sunflower-seeds-on-the-road-to-kardam-border-1305486news.html: full text (fresh retrieval) — No matched reopening supplied.
https://utroruse.com/article/944496/: full text (fresh retrieval) — Retrospective participant account for Durankulak; no first resumed-passage clock.
https://old-news.bnr.bg/en/post/101806551/bulgarian-farmers-continue-protests-against-cheaper-imports-from-ukraine: search extract (fresh retrieval) — Direct page 502; substantive indexed article inspected.
Earlier URLs not separately inspected in this second assessment:
https://bnt.bg/news/bulgarian-farmers-block-roads-to-protest-duty-free-grain-imports-from-ukraine-316521news.html
https://old-news.bnr.bg/en/post/101800895?page_1_3=6
Prior audit access record
Full-register audit source access (evidence cutoff 25 October 2026)
https://bnt.bg/news/bulgarian-farmers-block-roads-to-protest-duty-free-grain-imports-from-ukraine-316521news.html: search extract — Direct URL repeatedly timed out; alternate BNT News path gave 404. The indexed article body was inspected; not marked full-page retrieval.
https://old-news.bnr.bg/en/post/101800895?page_1_3=6: search extract — Direct open 502; substantive indexed text recovered. Vidin road scope comes from BNT, not BNR's port reference.
Earlier recorded access
Source 1: full text
Source 2: indexed extract</x:v>
      </x:c>
      <x:c r="P808" s="20" t="n">
        <x:v>9</x:v>
      </x:c>
      <x:c r="Q808" s="4" t="str">
        <x:v>Europe</x:v>
      </x:c>
      <x:c r="R808" s="4" t="str">
        <x:v>Included</x:v>
      </x:c>
    </x:row>
    <x:row r="809" ht="409" hidden="0" customHeight="1">
      <x:c r="A809" s="16" t="str">
        <x:v>REC50-R42-002</x:v>
      </x:c>
      <x:c r="B809" s="4" t="str">
        <x:v>Bulgarian farmer restrictions at Ruse and Kardam, September 2023</x:v>
      </x:c>
      <x:c r="C809" s="4" t="str">
        <x:v>Bulgaria; Romania</x:v>
      </x:c>
      <x:c r="D809" s="4" t="str">
        <x:v>Ruse / Giurgiu; Kardam / Negru Voda
Ruse and Kardam crossing approaches and resulting vehicle admission restrictions</x:v>
      </x:c>
      <x:c r="E809" s="4" t="str">
        <x:v>Ruse cars/trucks; Kardam all inbound vehicle types
Direction: Ruse both directions; Kardam entry into Bulgaria
Exceptions: No entire-frontier or pedestrian closure is inferred. Other listed protest sites are not automatically blocked gates.</x:v>
      </x:c>
      <x:c r="F809" s="4" t="str">
        <x:v>REC50-R42-002-P1 — Observed operation
Ruse–Giurgiu first reported September 18 farmer road block
Start: 2023-09-18.
Observed scoped reopening: 2023-09-18.
Same-day episode; no whole-day duration inferred; BNR describes a two-hour first action; no total daily closure time calculated.
REC50-R42-002-P2 — Observed operation
Kardam–Negru Voda vehicle entry restriction on September 18
Start: 2023-09-18.
Observed scoped reopening: 2023-09-18 at 13:20, according to the Romanian Coast Guard.
The all-vehicle entry refusal began at 12:00; earlier refusal affected Ukrainian/Moldovan trucks. Same-day episode, not more than 24 hours.</x:v>
      </x:c>
      <x:c r="G809" s="4" t="str">
        <x:v>Policy and socioeconomic demands / Jobs, services and livelihoods
Ruse fruit-grower representatives quoted by BNR
Applies to: REC50-R42-002-P1
Unpaid frost compensation and producer support are attributed to these local participants, not automatically every group at Kardam.
Trade and protectionism / Trade and transport protests
Kardam protesters’ stated objection reported by Bgtourism
Applies to: REC50-R42-002-P2
Commercial producers obstructed passage to oppose removal of the Ukrainian grain-import prohibition. Code the attributed trade protest under the Codebook definition; this does not create a government import-control phase. Other complaints remain attributed context.</x:v>
      </x:c>
      <x:c r="H809" s="4" t="str">
        <x:v>Ruse P1 is a reported two-hour September 18 action; planned later repeats are not assumed. Kardam/Negru Vodă P2 has a direct same-day endpoint: Romania’s Coast Guard reported normal truck and car traffic from 13:20 on September 18. The same report says the all-vehicle refusal began at 12:00, following an earlier restriction on Ukrainian- and Moldovan-registered trucks. The prospective 14:00 finish is superseded by this operational update. This is a specific historical reopening observation, not evidence about later unrelated protests or present status.</x:v>
      </x:c>
      <x:c r="I809" s="4" t="str">
        <x:v>Second full-register audit, 26 October 2026: qualified. The two short September 18 actions and the 13:20 Kardam reopening are directly corroborated; later planned repeats remain unproved.</x:v>
      </x:c>
      <x:c r="J809" s="18" t="d">
        <x:v>2026-10-26T00:00:00.000Z</x:v>
      </x:c>
      <x:c r="K809" s="21" t="str">
        <x:f>IFERROR(HYPERLINK("https://www.politiadefrontiera.ro/ro/main/i-informare-trafic-restrictionat-la-puncte-de-trecere-a-frontierei-din-sudul-tarii-cauzate-de-protestele-fermierilor-bulgari-34780.html","Romanian Border Police"),"Romanian Border Police")</x:f>
        <x:v>Romanian Border Police</x:v>
      </x:c>
      <x:c r="L809" s="21" t="str">
        <x:f>IFERROR(HYPERLINK("https://bnrnews.bg/shumen/post/34525/dunav-most-pod-obsada","Bulgarian National Radio, Radio Shumen"),"Bulgarian National Radio, Radio Shumen")</x:f>
        <x:v>Bulgarian National Radio, Radio Shumen</x:v>
      </x:c>
      <x:c r="M809" s="21" t="str">
        <x:f>IFERROR(HYPERLINK("https://www.actualno.com/society/vsichki-blokirani-ot-protestirashtite-pytishta-veche-sa-otvoreni-news_2057876.html","Actualno.com"),"Actualno.com")</x:f>
        <x:v>Actualno.com</x:v>
      </x:c>
      <x:c r="N809" s="4" t="str">
        <x:v>https://www.politiadefrontiera.ro/ro/main/i-informare-trafic-restrictionat-la-puncte-de-trecere-a-frontierei-din-sudul-tarii-cauzate-de-protestele-fermierilor-bulgari-34780.html
https://bnrnews.bg/shumen/post/34525/dunav-most-pod-obsada
https://www.actualno.com/society/vsichki-blokirani-ot-protestirashtite-pytishta-veche-sa-otvoreni-news_2057876.html
https://bgtourism.bg/novini-zemedelskite-stopani-zatvorikha-granitsata-pri-selo-kardam-gkpp/
https://www.radioconstanta.ro/2023/09/18/update-incepand-cu-ora13-20-traficul-prin-ptf-negru-voda-se-desfasoara-in-conditii-normale-atat-pentru-autocamioane-cat-si-pentru-autoturisme-a-transmis-garda-de-coasta/</x:v>
      </x:c>
      <x:c r="O809" s="4" t="str">
        <x:v>Second full-register audit source access, 26 October 2026
https://bnrnews.bg/shumen/post/34525/dunav-most-pod-obsada: full text (fresh retrieval)
https://www.radioconstanta.ro/2023/09/18/update-incepand-cu-ora13-20-traficul-prin-ptf-negru-voda-se-desfasoara-in-conditii-normale-atat-pentru-autocamioane-cat-si-pentru-autoturisme-a-transmis-garda-de-coasta/: full text (fresh retrieval)
https://bgtourism.bg/novini-zemedelskite-stopani-zatvorikha-granitsata-pri-selo-kardam-gkpp/: full text (fresh retrieval)
Earlier URLs not separately inspected in this second assessment:
https://www.politiadefrontiera.ro/ro/main/i-informare-trafic-restrictionat-la-puncte-de-trecere-a-frontierei-din-sudul-tarii-cauzate-de-protestele-fermierilor-bulgari-34780.html
https://www.actualno.com/society/vsichki-blokirani-ot-protestirashtite-pytishta-veche-sa-otvoreni-news_2057876.html
Prior audit access record
Full-register audit source access (evidence cutoff 25 October 2026)
https://www.politiadefrontiera.ro/ro/main/i-informare-trafic-restrictionat-la-puncte-de-trecere-a-frontierei-din-sudul-tarii-cauzate-de-protestele-fermierilor-bulgari-34780.html: full text
https://www.radioconstanta.ro/2023/09/18/update-incepand-cu-ora13-20-traficul-prin-ptf-negru-voda-se-desfasoara-in-conditii-normale-atat-pentru-autocamioane-cat-si-pentru-autoturisme-a-transmis-garda-de-coasta/: full text
https://bnrnews.bg/shumen/post/34525/dunav-most-pod-obsada: full text
https://bgtourism.bg/novini-zemedelskite-stopani-zatvorikha-granitsata-pri-selo-kardam-gkpp/: full text
Earlier source URLs not separately listed in this audit’s retrieval log (historical access notes below are not fresh verification):
https://www.actualno.com/society/vsichki-blokirani-ot-protestirashtite-pytishta-veche-sa-otvoreni-news_2057876.html
Earlier recorded access
Source 1: full text
Source 2: full text
Source 3: full text</x:v>
      </x:c>
      <x:c r="P809" s="20" t="n">
        <x:v>2</x:v>
      </x:c>
      <x:c r="Q809" s="4" t="str">
        <x:v>Europe</x:v>
      </x:c>
      <x:c r="R809" s="4" t="str">
        <x:v>Included</x:v>
      </x:c>
    </x:row>
    <x:row r="810" ht="409" hidden="0" customHeight="1">
      <x:c r="A810" s="16" t="str">
        <x:v>REC50-R42-003</x:v>
      </x:c>
      <x:c r="B810" s="4" t="str">
        <x:v>Bulgarian farmer crossing road blocks on February 6–7, 2024</x:v>
      </x:c>
      <x:c r="C810" s="4" t="str">
        <x:v>Bulgaria; Romania</x:v>
      </x:c>
      <x:c r="D810" s="4" t="str">
        <x:v>Giurgiu / Ruse; Calafat / Vidin; Vama Veche / Durankulak; Negru Voda / Kardam
Named Romania–Bulgaria road crossings and approaches</x:v>
      </x:c>
      <x:c r="E810" s="4" t="str">
        <x:v>Road vehicles; phase-specific class detail
Direction: Both directions where expressly reported; Vidin February 6 not disaggregated
Exceptions: Pedestrian and emergency exception inventory is not established. No full boundary closure is inferred.</x:v>
      </x:c>
      <x:c r="F810" s="4" t="str">
        <x:v>REC50-R42-003-P1 — Observed operation
Giurgiu–Ruse February 6 farmer blockade
Start: 2024-02-06.
Observed scoped reopening: 2024-02-06.
Same-day episode; no whole-day duration inferred; Approximately two hours as reported; no exact elapsed-time calculation.
REC50-R42-003-P2 — Observed operation
Vidin–Calafat February 6 farmer road block
Start: 2024-02-06.
Observed scoped reopening: by the end of 2024-02-06, according to next-day bridge-operator retrospective.
Reported closure exceeded seven hours; exact reopening clock unknown.
REC50-R42-003-P3 — Observed operation
Giurgiu / Ruse February 7 short farmer blockade
Start: 2024-02-07.
Observed scoped reopening: 2024-02-07.
Same-day episode; no whole-day duration inferred; Several hours; headline nearly three hours. No exact gate-specific measurement.
REC50-R42-003-P4 — Observed operation
Calafat / Vidin February 7 farmer blockade; trucks both directions, cars restricted inbound to Bulgaria while outbound cars could detour
Start: 2024-02-07.
Observed scoped reopening: 2024-02-07.
Later BTA account reports more than seven hours for each of the first two Vidin actions; the general nearly-three-hour headline is not a reliable Vidin-specific duration. Exact reopening clock unknown.
REC50-R42-003-P5 — Observed operation
Vama Veche / Durankulak February 7 short farmer blockade
Start: 2024-02-07.
Observed scoped reopening: 2024-02-07.
Same-day episode; no whole-day duration inferred; Several hours; headline nearly three hours. No exact gate-specific measurement.
REC50-R42-003-P6 — Observed operation
Negru Voda / Kardam February 7 short farmer blockade
Start: 2024-02-07.
Observed scoped reopening: 2024-02-07.
Same-day episode; no whole-day duration inferred; Several hours; headline nearly three hours. No exact gate-specific measurement.</x:v>
      </x:c>
      <x:c r="G810" s="4" t="str">
        <x:v>Policy and socioeconomic demands / Jobs, services and livelihoods
Farmer associations quoted by RRA and protest demands reported by Euronews
Applies to: February 6–7 named crossing phases
Support, costs and agricultural policy demands are attributed to the protesters. No economic effect estimate or entire-frontier closure is inferred.</x:v>
      </x:c>
      <x:c r="H810" s="4" t="str">
        <x:v>P1: February 6 Ruse began at reported 10:10 and lasted approximately two hours; the advertised schedule is separate. P2: a February 7 bridge-operator retrospective says the February 6 Vidin stoppage lasted more than seven hours and all queued outbound trucks were processed within that day, establishing a same-day end bound without an exact reopening clock. Cars could detour via Vidin town. P3, P5 and P6 retain separately reported February 7 same-day actions, without exact gate-specific clocks. P4: Vidin trucks were restricted both ways on February 7; cars entering Bulgaria were restricted, while outbound cars could detour. BTA’s third-day account describes both first days of Vidin truck stoppages as exceeding seven hours, so the general nearly-three-hour headline must not be assigned as its duration. Separate daily protests do not establish overnight continuity or a continuous multi-day closure.</x:v>
      </x:c>
      <x:c r="I810" s="4" t="str">
        <x:v>Second full-register audit, 26 October 2026: qualified. Gate-specific Vidin evidence supports more than seven hours on each first two days, while the general three-hour headline must not overwrite it.</x:v>
      </x:c>
      <x:c r="J810" s="18" t="d">
        <x:v>2026-10-26T00:00:00.000Z</x:v>
      </x:c>
      <x:c r="K810" s="21" t="str">
        <x:f>IFERROR(HYPERLINK("https://www.romania-actualitati.ro/stiri/protestele-fermierilor-bulgari-au-inchis-granita-cu-romania-id188411.html","Radio Romania Actualitati"),"Radio Romania Actualitati")</x:f>
        <x:v>Radio Romania Actualitati</x:v>
      </x:c>
      <x:c r="L810" s="21" t="str">
        <x:f>IFERROR(HYPERLINK("https://agerpres.ro/politic/2020/01/01/x--1244075","Agerpres"),"Agerpres")</x:f>
        <x:v>Agerpres</x:v>
      </x:c>
      <x:c r="M810" s="21" t="str">
        <x:f>IFERROR(HYPERLINK("https://www.euronews.ro/articole/protestele-fermierilor-bulgari-au-blocat-vamile-din-romania-punctele-calafat-giur","Euronews Romania"),"Euronews Romania")</x:f>
        <x:v>Euronews Romania</x:v>
      </x:c>
      <x:c r="N810" s="4" t="str">
        <x:v>https://www.romania-actualitati.ro/stiri/protestele-fermierilor-bulgari-au-inchis-granita-cu-romania-id188411.html
https://agerpres.ro/politic/2020/01/01/x--1244075
https://www.euronews.ro/articole/protestele-fermierilor-bulgari-au-blocat-vamile-din-romania-punctele-calafat-giur
https://utroruse.com/article/994475/
https://www.focus-news.net/novini/regioni/Dvizhenieto-kum-i-ot-Dunav-most-2-pri-Vidin-Kalafat-otnovo-e-blokirano-1994537
https://www.bta.bg/bg/videos/19210
https://utroruse.com/article/994970/</x:v>
      </x:c>
      <x:c r="O810" s="4" t="str">
        <x:v>Second full-register audit source access, 26 October 2026
https://www.romania-actualitati.ro/stiri/protestele-fermierilor-bulgari-au-inchis-granita-cu-romania-id188411.html: full text (fresh retrieval)
https://www.focus-news.net/novini/regioni/Dvizhenieto-kum-i-ot-Dunav-most-2-pri-Vidin-Kalafat-otnovo-e-blokirano-1994537: full text (fresh retrieval)
https://www.euronews.ro/articole/protestele-fermierilor-bulgari-au-blocat-vamile-din-romania-punctele-calafat-giur: full text (fresh retrieval)
https://utroruse.com/article/994970/: full text (fresh retrieval) — Does not establish exact reopening clock; later third-day action is separate.
Earlier URLs not separately inspected in this second assessment:
https://agerpres.ro/politic/2020/01/01/x--1244075
https://utroruse.com/article/994475/
https://www.bta.bg/bg/videos/19210
Prior audit access record
Full-register audit source access (evidence cutoff 25 October 2026)
https://www.romania-actualitati.ro/stiri/protestele-fermierilor-bulgari-au-inchis-granita-cu-romania-id188411.html: full text
https://agerpres.ro/politic/2020/01/01/x--1244075: full text
https://utroruse.com/article/994475/: search extract
https://www.focus-news.net/novini/regioni/Dvizhenieto-kum-i-ot-Dunav-most-2-pri-Vidin-Kalafat-otnovo-e-blokirano-1994537: full text
https://www.bta.bg/bg/videos/19210: search extract
https://www.euronews.ro/articole/protestele-fermierilor-bulgari-au-blocat-vamile-din-romania-punctele-calafat-giur: full text
Earlier recorded access
Source 1: full text
Source 2: full text
Source 3: full text</x:v>
      </x:c>
      <x:c r="P810" s="20" t="n">
        <x:v>6</x:v>
      </x:c>
      <x:c r="Q810" s="4" t="str">
        <x:v>Europe</x:v>
      </x:c>
      <x:c r="R810" s="4" t="str">
        <x:v>Included</x:v>
      </x:c>
    </x:row>
    <x:row r="811" ht="409" hidden="0" customHeight="1">
      <x:c r="A811" s="16" t="str">
        <x:v>REC50-R42-004</x:v>
      </x:c>
      <x:c r="B811" s="4" t="str">
        <x:v>Greek farmer vehicle blockade at Evzoni–Bogorodica, January–February 2017</x:v>
      </x:c>
      <x:c r="C811" s="4" t="str">
        <x:v>Greece; North Macedonia (then Macedonia / FYROM)</x:v>
      </x:c>
      <x:c r="D811" s="4" t="str">
        <x:v>Evzoni / Bogorodica
Evzoni road crossing, opposite Bogorodica</x:v>
      </x:c>
      <x:c r="E811" s="4" t="str">
        <x:v>Passenger and cargo motor vehicles
Direction: Both directions
Exceptions: Pedestrians could reportedly pass in the 31 January Yeni Balkan report reproduced by AVIM. An early-February ANA-attributed account also reports passage for trucks carrying perishable goods; the duration and consistency of this exception are unknown. Dojran and Medzitlija were reported as alternative crossings at the cited times.</x:v>
      </x:c>
      <x:c r="F811" s="4" t="str">
        <x:v>REC50-R42-004-P1 — Observed operation
Bogorodica–Evzoni passenger and cargo vehicle blockade
Start: 2017-01-30.
Observed scoped reopening: 2017-02-17.
18 calendar-day difference; scoped endpoint only</x:v>
      </x:c>
      <x:c r="G811" s="4" t="str">
        <x:v>Policy and socioeconomic demands / Jobs, services and livelihoods
Source-attributed reason
Applies to: REC50-R42-004-P1, Evzoni vehicle blockade; contemporaneous statements at onset
AFP quoted a named regional protest coordinator at Evzoni objecting to income-tax and social-contribution increases and calling for government dialogue. ERT and Anadolu independently describe the Evzoni action in the same terms. These are protesters’ stated demands, not independently proven economic effects or a rationale copied from Kulata.</x:v>
      </x:c>
      <x:c r="H811" s="4" t="str">
        <x:v>REC50-R42-004-P1: The vehicle blockade is dated 30 January–17 February by onset, intermediate, morning-still-closed and actual restoration reports. Eighteen calendar days is not an elapsed-hour measurement. Several reports share AMSM origin. Reported pedestrian passage and early perishable-freight passage are excluded from a claim of universal closure; no all-person or all-Greece frontier closure is claimed.
Timing and exceptions: A Greek Police table and AMSM-derived account agree on 30 January but give different onset clocks. Reopening is confirmed on 17 February; bulletin publication times do not establish an exact clearance minute. Yeni Balkan's pedestrian exception was recovered in a full AVIM reproduction, while the perishable-goods report was available as substantive indexed text; neither establishes uninterrupted exception availability throughout the episode.
Specific purpose: Evzoni-specific contemporaneous AFP, ERT and Anadolu reporting now supports the tax and social-contribution protest rationale. No unsupported motive or exact daily rationale overlap is inferred.</x:v>
      </x:c>
      <x:c r="I811" s="4" t="str">
        <x:v>Second full-register audit, 26 October 2026: qualified. Reverified January 30 onset, continuing vehicle obstruction and February 17 clearance; pedestrian and perishable-freight exceptions remain essential.</x:v>
      </x:c>
      <x:c r="J811" s="18" t="d">
        <x:v>2026-10-26T00:00:00.000Z</x:v>
      </x:c>
      <x:c r="K811" s="21" t="str">
        <x:f>IFERROR(HYPERLINK("https://duma.mk/21651-2017-01-31-09-56-02/","Duma.mk"),"Duma.mk")</x:f>
        <x:v>Duma.mk</x:v>
      </x:c>
      <x:c r="L811" s="21" t="str">
        <x:f>IFERROR(HYPERLINK("https://meta.mk/shesti-den-blokada-na-evzoni-bogoroditsa/","Meta.mk"),"Meta.mk")</x:f>
        <x:v>Meta.mk</x:v>
      </x:c>
      <x:c r="M811" s="21" t="str">
        <x:f>IFERROR(HYPERLINK("https://duma.mk/21853-2017-02-17-08-56-38/","Duma.mk"),"Duma.mk")</x:f>
        <x:v>Duma.mk</x:v>
      </x:c>
      <x:c r="N811" s="4" t="str">
        <x:v>https://duma.mk/21651-2017-01-31-09-56-02/
https://meta.mk/shesti-den-blokada-na-evzoni-bogoroditsa/
https://duma.mk/21853-2017-02-17-08-56-38/
https://denar.mk/136064
https://www.ofae.gr/en/nea/driving-restrictions/sta/
https://www.carina.mk/index.php/en/2016-08-15-20-09-54/2016-08-15-15-05-05/1153-2017-02-20-14-19-31
https://avim.org.tr/tr/Bulten/EVZONI-SINIR-KAPISI-DUNDEN-ITIBAREN-KAPALI
https://www.lorientlejour.com/article/1032501/la-frontiere-greco-macedonienne-fermee-par-une-manifestation-dagriculteurs-grecs.html
https://www.ertnews.gr/eidiseis/ellada/kinonia/stinonte-ta-bloka-ton-agroton-provlimatismi-video/
https://www.aa.com.tr/tr/dunya/yunanistanda-ciftciler-evzonon-sinir-kapisini-kapatti/738457
https://www.ofae.gr/media/documents/2017/02/02/Greek_Farmers_strikes_1-2-17.pdf
https://www.newgreektv.com/news-in-english-for-greeks/greece/item/21897-farmers-to-blockade-evzoni-border-crossing-until-wednesday-evening
https://www.newgreektv.com/news-in-english-for-greeks/greece/item/21897-farmers-to-blockade-evzoni-border-crossing-until-wednesday-evening?print=1&amp;tmpl=component</x:v>
      </x:c>
      <x:c r="O811" s="4" t="str">
        <x:v>Second full-register audit source access, 26 October 2026
https://duma.mk/21651-2017-01-31-09-56-02/: full text (fresh retrieval)
https://www.ofae.gr/media/documents/2017/02/02/Greek_Farmers_strikes_1-2-17.pdf: full text (fresh retrieval) — Clock differs from AMSM report; no exact-clock choice made.
https://meta.mk/shesti-den-blokada-na-evzoni-bogoroditsa/: full text (fresh retrieval)
https://duma.mk/21853-2017-02-17-08-56-38/: full text (fresh retrieval)
https://denar.mk/136064: full text (fresh retrieval)
https://avim.org.tr/tr/Bulten/EVZONI-SINIR-KAPISI-DUNDEN-ITIBAREN-KAPALI: full text (fresh retrieval)
https://www.newgreektv.com/news-in-english-for-greeks/greece/item/21897-farmers-to-blockade-evzoni-border-crossing-until-wednesday-evening?print=1&amp;tmpl=component: search extract (fresh retrieval) — Substantive indexed text; main direct page 403. Tuesday onset wording conflicts with primary January 30 date; no alteration to date.
https://www.lorientlejour.com/article/1032501/la-frontiere-greco-macedonienne-fermee-par-une-manifestation-dagriculteurs-grecs.html: full text (fresh retrieval)
Earlier URLs not separately inspected in this second assessment:
https://www.ofae.gr/en/nea/driving-restrictions/sta/
https://www.carina.mk/index.php/en/2016-08-15-20-09-54/2016-08-15-15-05-05/1153-2017-02-20-14-19-31
https://www.ertnews.gr/eidiseis/ellada/kinonia/stinonte-ta-bloka-ton-agroton-provlimatismi-video/
https://www.aa.com.tr/tr/dunya/yunanistanda-ciftciler-evzonon-sinir-kapisini-kapatti/738457
https://www.newgreektv.com/news-in-english-for-greeks/greece/item/21897-farmers-to-blockade-evzoni-border-crossing-until-wednesday-evening
Prior audit access record
Full-register audit source access (evidence cutoff 25 October 2026)
https://duma.mk/21651-2017-01-31-09-56-02/: full text
https://meta.mk/shesti-den-blokada-na-evzoni-bogoroditsa/: full text
https://duma.mk/21853-2017-02-17-08-56-38/: full text
https://denar.mk/136064: full text
https://www.ofae.gr/en/nea/driving-restrictions/sta/: full text
https://avim.org.tr/tr/Bulten/EVZONI-SINIR-KAPISI-DUNDEN-ITIBAREN-KAPALI: full text
https://www.lorientlejour.com/article/1032501/la-frontiere-greco-macedonienne-fermee-par-une-manifestation-dagriculteurs-grecs.html: full text
https://www.ertnews.gr/eidiseis/ellada/kinonia/stinonte-ta-bloka-ton-agroton-provlimatismi-video/: full text
https://www.aa.com.tr/tr/dunya/yunanistanda-ciftciler-evzonon-sinir-kapisini-kapatti/738457: full text
https://www.ofae.gr/media/documents/2017/02/02/Greek_Farmers_strikes_1-2-17.pdf: full text — 15:00 onset clock differs from AMSM 16:30; dates agree, no clock reconciliation performed.
https://www.newgreektv.com/news-in-english-for-greeks/greece/item/21897-farmers-to-blockade-evzoni-border-crossing-until-wednesday-evening: search extract — Substantive indexed body inspected; direct follow-up retrieval failed 403. Its Tuesday onset wording conflicts with primary 30 January date and is not adopted.
https://www.carina.mk/index.php/en/2016-08-15-20-09-54/2016-08-15-15-05-05/1153-2017-02-20-14-19-31: inaccessible — 502; recovered transport federation and AMSM-derived actual reopening reports.
Earlier recorded access
Source 1: full text
Source 2: full text
Source 3: full text</x:v>
      </x:c>
      <x:c r="P811" s="20" t="n">
        <x:v>1</x:v>
      </x:c>
      <x:c r="Q811" s="4" t="str">
        <x:v>Europe</x:v>
      </x:c>
      <x:c r="R811" s="4" t="str">
        <x:v>Included</x:v>
      </x:c>
    </x:row>
    <x:row r="812" ht="282" hidden="0" customHeight="1">
      <x:c r="A812" s="16" t="str">
        <x:v>REC50-R42-005</x:v>
      </x:c>
      <x:c r="B812" s="4" t="str">
        <x:v>Kalpaki farmer road blockade affecting Kakavia and Mertzani approaches, February 2024</x:v>
      </x:c>
      <x:c r="C812" s="4" t="str">
        <x:v>Greece; Albania</x:v>
      </x:c>
      <x:c r="D812" s="4" t="str">
        <x:v>Approach to Kakavia / Kakavija and Mertzani / Tre Urat
Kalpaki road approach serving two named international customs posts; exact barrier location unbound</x:v>
      </x:c>
      <x:c r="E812" s="4" t="str">
        <x:v>Non-exempt road vehicles
Direction: Road approach; exact crossing-direction inventory absent
Exceptions: Buses and vulnerable groups allowed; an intervening one-hour opening is explicit.</x:v>
      </x:c>
      <x:c r="F812" s="4" t="str">
        <x:v>REC50-R42-005-P1 — Intermittent regime
Kalpaki road approach serving Kakavia and Mertzani customs crossings
Start: 2024-02-20.
Separate recurrence observed: 2024-02-21.
Later intermittent-regime confirmation: 2024-02-23; daily symbolic road blocks reported, with Kakavia access affected. Final reopening is not established.
Intermittent regime envelope; total closed days unknown</x:v>
      </x:c>
      <x:c r="G812" s="4" t="str">
        <x:v>Uncoded
Farmers identified as the obstructing group
Applies to: REC50-R42-005-P1
No specific substantive demand is stated in the inspected local report; generic national farmer grievances are not inferred.</x:v>
      </x:c>
      <x:c r="H812" s="4" t="str">
        <x:v>ERT confirms the February 20 Kalpaki road approach blockade serving Kakavia and Mertzani, with an actual one-hour opening until 14:00 and passage for buses and vulnerable groups. Its 23:00 finish and bypass blockage are plans, not verified completions. February 21 reporting describes police moving tractors off the road, followed by an actual sit-in road obstruction. These are intermittent actions, not one uninterrupted closure, and the customs facilities themselves are not shown shut. Final reopening, exact barrier footprint and specific substantive local demands remain unresolved. EpirusPost’s February 23 report confirms continued daily symbolic blockades and difficult access to Kakavia. Its weekend continuation is prospective, not additional verified operating dates. This later intermittent observation does not establish overnight continuity or a new continuous closure.</x:v>
      </x:c>
      <x:c r="I812" s="4" t="str">
        <x:v>Second full-register audit, 26 October 2026: additional source-audited corrections incorporated. See the phase, scope and qualification columns for the accepted findings.</x:v>
      </x:c>
      <x:c r="J812" s="18" t="d">
        <x:v>2026-10-26T00:00:00.000Z</x:v>
      </x:c>
      <x:c r="K812" s="21" t="str">
        <x:f>IFERROR(HYPERLINK("https://www.ertnews.gr/perifereiakoi-stathmoi/ioanina/ipeiros-agrotes-ekleisan-ton-dromo-pou-odigei-sta-teloneia-kakkavias-kai-mertzanis/","ERT News"),"ERT News")</x:f>
        <x:v>ERT News</x:v>
      </x:c>
      <x:c r="L812" s="21"/>
      <x:c r="M812" s="21"/>
      <x:c r="N812" s="4" t="str">
        <x:v>https://www.ertnews.gr/perifereiakoi-stathmoi/ioanina/ipeiros-agrotes-ekleisan-ton-dromo-pou-odigei-sta-teloneia-kakkavias-kai-mertzanis/
https://www.cnn.gr/ellada/story/406833/ioannina-entasi-me-agrotes-pou-thelisan-na-blokaroun-ton-komvo-sto-kalpaki
https://www.epiruspost.gr/ston-komvo-kalpakioy-i-orgi-ton-agroto/
https://www.epiruspost.gr/kathimerina-sto-kalpaki-tin-deytera-st/</x:v>
      </x:c>
      <x:c r="O812" s="4" t="str">
        <x:v>Second full-register audit source access, 26 October 2026
https://www.ertnews.gr/perifereiakoi-stathmoi/ioanina/ipeiros-agrotes-ekleisan-ton-dromo-pou-odigei-sta-teloneia-kakkavias-kai-mertzanis/: full text (fresh retrieval)
https://www.cnn.gr/ellada/story/406833/ioannina-entasi-me-agrotes-pou-thelisan-na-blokaroun-ton-komvo-sto-kalpaki: full text (fresh retrieval)
https://www.epiruspost.gr/kathimerina-sto-kalpaki-tin-deytera-st/: full text (fresh retrieval)
Earlier URLs not separately inspected in this second assessment:
https://www.epiruspost.gr/ston-komvo-kalpakioy-i-orgi-ton-agroto/
Prior audit access record
Full-register audit source access (evidence cutoff 25 October 2026)
https://www.ertnews.gr/perifereiakoi-stathmoi/ioanina/ipeiros-agrotes-ekleisan-ton-dromo-pou-odigei-sta-teloneia-kakkavias-kai-mertzanis/: full text
https://www.cnn.gr/ellada/story/406833/ioannina-entasi-me-agrotes-pou-thelisan-na-blokaroun-ton-komvo-sto-kalpaki: full text
https://www.epiruspost.gr/ston-komvo-kalpakioy-i-orgi-ton-agroto/: search extract
Earlier recorded access
Source 1: full text</x:v>
      </x:c>
      <x:c r="P812" s="20" t="n">
        <x:v>1</x:v>
      </x:c>
      <x:c r="Q812" s="4" t="str">
        <x:v>Europe</x:v>
      </x:c>
      <x:c r="R812" s="4" t="str">
        <x:v>Included</x:v>
      </x:c>
    </x:row>
    <x:row r="813" ht="294" hidden="0" customHeight="1">
      <x:c r="A813" s="16" t="str">
        <x:v>REC50-R43-001</x:v>
      </x:c>
      <x:c r="B813" s="4" t="str">
        <x:v>Gambia restriction on Senegal-origin poultry imports during avian influenza, 2021</x:v>
      </x:c>
      <x:c r="C813" s="4" t="str">
        <x:v>Gambia; Senegal</x:v>
      </x:c>
      <x:c r="D813" s="4" t="str">
        <x:v>No named land post established
Origin-specific import policy on the Gambia–Senegal frontier; other affected origins not individually reconstructed</x:v>
      </x:c>
      <x:c r="E813" s="4" t="str">
        <x:v>Live poultry, chicken meat and eggs from restricted origins
Direction: Into Gambia
Exceptions: Unaffected countries remain permitted; no passenger or all-goods frontier closure inferred.</x:v>
      </x:c>
      <x:c r="F813" s="4" t="str">
        <x:v>REC50-R43-001-P1 — Formal policy
Gambian import prohibition on Senegal-origin poultry and poultry products, with other affected origins mentioned
Start: 2021-01-15.
Last confirmed: unknown. Reopening is not established.
Formal policy: dated evidence; numeric duration withheld; see qualification
Separate subgroup observation: 2021-08-15, continuing restriction on Senegal-origin chicks only. This does not update the entire original product/origin cohort.</x:v>
      </x:c>
      <x:c r="G813" s="4" t="str">
        <x:v>Health and biosecurity / Animal and plant disease control
Ministry attributes the measure to preventing avian-influenza introduction.
Applies to: Only the separately described policy/commodity phases
Source-attributed policy purpose; no operational closure or additional motive inferred.</x:v>
      </x:c>
      <x:c r="H813" s="4" t="str">
        <x:v>REC50-R43-001-P1: The Friday announcement dates to 15 January 2021 and concerns Senegal-origin poultry imports, not an observed denial at a named gate. The 15 August report confirms a continuing Senegal-origin chick restriction, through a farmer’s account and comments by livestock officials; it does not restate every original product and affected origin. Reported easing of Senegal’s own rules is not a Gambian repeal. Neither a matched first resumed import nor a general lifting is established. The sustained chick restriction supports greater-than-24-hour policy eligibility, without an exact physical-closure duration.</x:v>
      </x:c>
      <x:c r="I813" s="4" t="str">
        <x:v>Second full-register audit, 26 October 2026: additional source-audited corrections incorporated. See the phase, scope and qualification columns for the accepted findings.</x:v>
      </x:c>
      <x:c r="J813" s="18" t="d">
        <x:v>2026-10-26T00:00:00.000Z</x:v>
      </x:c>
      <x:c r="K813" s="21" t="str">
        <x:f>IFERROR(HYPERLINK("https://standard.gm/govt-bans-importation-of-chickens-from-senegal0/","The Standard, Gambia"),"The Standard, Gambia")</x:f>
        <x:v>The Standard, Gambia</x:v>
      </x:c>
      <x:c r="L813" s="21" t="str">
        <x:f>IFERROR(HYPERLINK("https://gna.org.gh/2021/01/special-for-cafs-the-gambia-bans-importation-of-live-birds-from-senegal-amid-bird-flu-outbreak/","Xinhua via Ghana News Agency"),"Xinhua via Ghana News Agency")</x:f>
        <x:v>Xinhua via Ghana News Agency</x:v>
      </x:c>
      <x:c r="M813" s="21" t="str">
        <x:f>IFERROR(HYPERLINK("https://poultryandlivestockafrica.com/gambia-poultry-owner-calls-on-government-to-reconsider-lifting-ban-on-importation-of-chicks/","Poultry and Livestock Africa"),"Poultry and Livestock Africa")</x:f>
        <x:v>Poultry and Livestock Africa</x:v>
      </x:c>
      <x:c r="N813" s="4" t="str">
        <x:v>https://standard.gm/govt-bans-importation-of-chickens-from-senegal0/
https://gna.org.gh/2021/01/special-for-cafs-the-gambia-bans-importation-of-live-birds-from-senegal-amid-bird-flu-outbreak/
https://poultryandlivestockafrica.com/gambia-poultry-owner-calls-on-government-to-reconsider-lifting-ban-on-importation-of-chicks/
https://www.thehub.gm/post/meet-our-ye-agribusiness-startups-3</x:v>
      </x:c>
      <x:c r="O813" s="4" t="str">
        <x:v>Second full-register audit source access, 26 October 2026
https://gna.org.gh/2021/01/special-for-cafs-the-gambia-bans-importation-of-live-birds-from-senegal-amid-bird-flu-outbreak/: full text (fresh retrieval)
https://poultryandlivestockafrica.com/gambia-poultry-owner-calls-on-government-to-reconsider-lifting-ban-on-importation-of-chicks/: full text (fresh retrieval)
Earlier URLs not separately inspected in this second assessment:
https://standard.gm/govt-bans-importation-of-chickens-from-senegal0/
https://www.thehub.gm/post/meet-our-ye-agribusiness-startups-3
Prior audit access record
Full-register audit source access (evidence cutoff 25 October 2026)
https://standard.gm/govt-bans-importation-of-chickens-from-senegal0/: full text
https://gna.org.gh/2021/01/special-for-cafs-the-gambia-bans-importation-of-live-birds-from-senegal-amid-bird-flu-outbreak/: full text
https://poultryandlivestockafrica.com/gambia-poultry-owner-calls-on-government-to-reconsider-lifting-ban-on-importation-of-chicks/: full text
https://www.thehub.gm/post/meet-our-ye-agribusiness-startups-3: full text — Not a clear dated policy reaffirmation or matched import admission.
Earlier recorded access
Source 1: full text
Source 2: full text
Source 3: full text</x:v>
      </x:c>
      <x:c r="P813" s="20" t="n">
        <x:v>1</x:v>
      </x:c>
      <x:c r="Q813" s="4" t="str">
        <x:v>West Africa</x:v>
      </x:c>
      <x:c r="R813" s="4" t="str">
        <x:v>Included</x:v>
      </x:c>
    </x:row>
    <x:row r="814" ht="294" hidden="0" customHeight="1">
      <x:c r="A814" s="16" t="str">
        <x:v>REC50-R43-002</x:v>
      </x:c>
      <x:c r="B814" s="4" t="str">
        <x:v>Mali cereal and cotton-input export suspension from December 2021</x:v>
      </x:c>
      <x:c r="C814" s="4" t="str">
        <x:v>Mali; foreign destinations not exhaustively identified</x:v>
      </x:c>
      <x:c r="D814" s="4" t="str">
        <x:v>No exhaustive land-post list established
National outward commodity policy in landlocked Mali; individual land-post implementation unresolved</x:v>
      </x:c>
      <x:c r="E814" s="4" t="str">
        <x:v>Cottonseed, cottonseed cake, millet, sorghum, maize and local rice
Direction: Outward from Mali
Exceptions: Local rice is explicitly named in the primary presentation; unrelated products and import rules are outside scope.</x:v>
      </x:c>
      <x:c r="F814" s="4" t="str">
        <x:v>REC50-R43-002-P1 — Formal policy
Mali exports of the listed cereals and cotton inputs under order 2021-5126/MIC-MEF-SG
Start: 2021-12-06.
Last confirmed formal-status observation: 2023-05-16. Reopening is not established.
Formal policy: dated evidence; numeric duration withheld; see qualification
Separate later formal-status observation: the Malian Ministry presentation linked from WTO's meeting of 2023-05-16 states that order 2021-5126/MIC-MEF-SG remained in force. This establishes a dated policy observation, not uniform physical enforcement between dates.</x:v>
      </x:c>
      <x:c r="G814" s="4" t="str">
        <x:v>Trade and protectionism / Import, export and production controls
FAO and the Malian presentation attribute the export measure to protecting domestic food supply and prices.
Applies to: Only the separately described policy/commodity phases
Source-attributed policy purpose; no operational closure or additional motive inferred.</x:v>
      </x:c>
      <x:c r="H814" s="4" t="str">
        <x:v>REC50-R43-002-P1: The December 6, 2021 order is formal policy evidence. The exact later presentation is linked from WTO's official May 16, 2023 meeting agenda and states the restriction remains in force; this date is supported by meeting provenance, not its filename. Goods are cottonseed, cottonseed cake, millet, sorghum, maize and local rice. No continuous all-post enforcement is inferred.
The World Bank's 2024 Niger update reports cereal-export relaxation by Mali in solidarity with Niger. The precise Malian instrument, effective date, commodities and other destinations remain unestablished, so this is not coded as a blanket repeal or an endpoint for cotton inputs.</x:v>
      </x:c>
      <x:c r="I814" s="4" t="str">
        <x:v>Second full-register audit, 26 October 2026: qualified. Mali’s December 2021 order and May 2023 continuing status independently confirmed from the ministry presentation linked by WTO. Niger-specific cereal relaxation remains qualified.</x:v>
      </x:c>
      <x:c r="J814" s="18" t="d">
        <x:v>2026-10-26T00:00:00.000Z</x:v>
      </x:c>
      <x:c r="K814" s="21" t="str">
        <x:f>IFERROR(HYPERLINK("https://www.fao.org/giews/food-prices/food-policies/detail/fr/c/1461003/","FAO GIEWS"),"FAO GIEWS")</x:f>
        <x:v>FAO GIEWS</x:v>
      </x:c>
      <x:c r="L814" s="21" t="str">
        <x:f>IFERROR(HYPERLINK("https://www.wto.org/english/tratop_e/agric_e/dd160523_mli_e.pdf","Mali Ministry of Industry and Trade, hosted by WTO"),"Mali Ministry of Industry and Trade, hosted by WTO")</x:f>
        <x:v>Mali Ministry of Industry and Trade, hosted by WTO</x:v>
      </x:c>
      <x:c r="M814" s="21"/>
      <x:c r="N814" s="4" t="str">
        <x:v>https://www.fao.org/giews/food-prices/food-policies/detail/fr/c/1461003/
https://www.wto.org/english/tratop_e/agric_e/dd160523_mli_e.pdf
https://www.wto.org/english/tratop_e/agric_e/dedicated_discussion_160523_e.htm
https://documents1.worldbank.org/curated/en/099092724165533179/pdf/P500480121c8490d1186bf1a457fa0e8cf6.pdf</x:v>
      </x:c>
      <x:c r="O814" s="4" t="str">
        <x:v>Second full-register audit source access, 26 October 2026
https://www.fao.org/giews/food-prices/food-policies/detail/fr/c/1461003/: full text (fresh retrieval)
https://www.wto.org/english/tratop_e/agric_e/dd160523_mli_e.pdf: full text (fresh retrieval)
https://www.wto.org/english/tratop_e/agric_e/dedicated_discussion_160523_e.htm: full text (fresh retrieval)
https://documents1.worldbank.org/curated/en/099092724165533179/pdf/P500480121c8490d1186bf1a457fa0e8cf6.pdf: full text (fresh retrieval)
Prior audit access record
Full-register audit source access (evidence cutoff 25 October 2026)
https://www.fao.org/giews/food-prices/food-policies/detail/fr/c/1461003/: full text
https://www.wto.org/english/tratop_e/agric_e/dd160523_mli_e.pdf: full text
https://www.wto.org/english/tratop_e/agric_e/dedicated_discussion_160523_e.htm: full text
https://documents1.worldbank.org/curated/en/099092724165533179/pdf/P500480121c8490d1186bf1a457fa0e8cf6.pdf: full text — Exact Mali instrument, effective date, detailed commodities and other destinations unestablished.
Earlier recorded access
Source 1: full text
Source 2: full text</x:v>
      </x:c>
      <x:c r="P814" s="20" t="n">
        <x:v>1</x:v>
      </x:c>
      <x:c r="Q814" s="4" t="str">
        <x:v>West Africa</x:v>
      </x:c>
      <x:c r="R814" s="4" t="str">
        <x:v>Included</x:v>
      </x:c>
    </x:row>
    <x:row r="815" ht="409" hidden="0" customHeight="1">
      <x:c r="A815" s="16" t="str">
        <x:v>REC50-R43-003</x:v>
      </x:c>
      <x:c r="B815" s="4" t="str">
        <x:v>Burkina Faso grain-export authorisation and commodity restrictions, separately documented in 2021–2026</x:v>
      </x:c>
      <x:c r="C815" s="4" t="str">
        <x:v>Burkina Faso; foreign destinations not exhaustively identified</x:v>
      </x:c>
      <x:c r="D815" s="4" t="str">
        <x:v>No named post assigned by these policy documents
National outward commodity authorisation/export rules in landlocked Burkina Faso; post-level operation unresolved</x:v>
      </x:c>
      <x:c r="E815" s="4" t="str">
        <x:v>Outward commodity restrictions from Burkina Faso. P1 covers new permits for local cereals from January 2021; July reporting explicitly names millet, maize, sorghum and cowpea and also prohibits use of existing permits. Cowpea coverage is established by July, not necessarily from January. P2 concerns millet, maize and sorghum flour, with permits still required after the July 21, 2026 lifting. P3’s November 2024 reminder explicitly covers rice, millet, maize, sorghum and cowpea. P4 concerns millet, maize and sorghum flour and derivatives, including suspended permit issuance. August 11, 2023 exceptional permits were limited to Niger-bound millet, maize, sorghum and cowpea; later continuation is unresolved.</x:v>
      </x:c>
      <x:c r="F815" s="4" t="str">
        <x:v>REC50-R43-003-P1 — Formal policy
Suspension of issuance of special export permits for local cereals; millet, maize and sorghum independently identified by FAO.
Policy start: 2021-01-01, expressly stated by the commerce ministry in July 2021.
Separate 2021-07-07 report: millet, maize, sorghum and cowpea permit issuance suspended, and use of previously issued permits also prohibited. This is the dated confirmation of that expanded description, not a proven cowpea onset.
Last confirmed for the July-described restriction: 2021-12-27, when the ministry reminder was reported as not lifted since July. Reopening is not established.
Sustained formal restriction exceeds 24 hours; exact post-level operational duration is unknown.
REC50-R43-003-P2 — Formal policy
Reported prohibition on exports of millet, maize and sorghum flour announced 23 February 2022.
Start: unknown. Announcement observation: 2022-02-23.
Later formal lifting: 2026-07-21, reported by APA; export permits remained required. First resumed shipment is not established.
Formal policy: dated evidence; numeric duration withheld.
REC50-R43-003-P3 — Formal policy
Cereal export prohibition under communiqué dated 2023-12-19 and publicly reported 2023-12-20; November 2024 reminder explicitly includes rice, millet, maize, sorghum and cowpea.
First physical implementation and original cowpea onset: unknown.
Last confirmed: 2024-11-13. Reopening is not established.
Formal policy: dated evidence; numeric duration withheld.
REC50-R43-003-P4 — Formal policy
Announcement and last-confirmed observation: 2026-10-09.
A new suspension covers exports of millet, maize and sorghum flour and their derivatives, and issuance of their special export permits. Exact physical implementation and subsequent lifting are unknown.</x:v>
      </x:c>
      <x:c r="G815" s="4" t="str">
        <x:v>Trade and protectionism / Import, export and production controls
FAO attributes domestic supply and price aims to the earlier grain/flour measures. The November 2024 communiqué confirms the specified export rule without independently repeating that purpose. For REC50-R43-003-P4, AIB attributes the October 9, 2026 suspension to maintaining domestic availability and consumer access, citing the ministry communiqué. The July lifting is attributed to clearing processors’ stocks.
Applies to: Each separately described policy observation and its stated commodity scope. Reported policy purposes are not independent findings of causation or proof of universal enforcement.</x:v>
      </x:c>
      <x:c r="H815" s="4" t="str">
        <x:v>REC50-R43-003-P1: The ministry’s July 2021 enforcement report explicitly dates permit suspension to 1 January 2021, corroborating FAO. This primary retrospective statement resolves the earlier uncertainty about whether the rule began only in December. The separately cited December notice remains inaccessible and is not needed to establish the January onset. July reporting confirms previously issued permits could not be used; cowpea is securely documented by July, without assuming it was covered from January. Truck interceptions establish some enforcement, not closure of every gate.
REC50-R43-003-P2: February 23, 2022 is the reported flour announcement. APA reports a ministry lifting dated July 21, 2026, retaining special export permits. No first shipment or uniform enforcement is established. The new October 9 suspension is separate; the July–October permission gap must be retained.
REC50-R43-003-P3: The November 13, 2024 reminder identifies the December 19, 2023 communiqué. Contemporary December reporting corroborates a cereal-export prohibition and suspension of permit issuance. Earlier August 11, 2023 special permits were exceptionally authorized only for Niger-bound millet, maize, sorghum and cowpea. Their later continuation and interaction with the December rule are unresolved; no general repeal or actual shipment is inferred.
The February 24, 2025 ministry report separately records a maize seizure and continuing cereal/flour restrictions without identifying the destination. Each observation retains its own commodity and date scope; no uninterrupted 2021–2026 operational closure is assigned.</x:v>
      </x:c>
      <x:c r="I815" s="4" t="str">
        <x:v>Second full-register audit, 26 October 2026: additional source-audited corrections incorporated. See the phase, scope and qualification columns for the accepted findings.</x:v>
      </x:c>
      <x:c r="J815" s="18" t="d">
        <x:v>2026-10-26T00:00:00.000Z</x:v>
      </x:c>
      <x:c r="K815" s="21" t="str">
        <x:f>IFERROR(HYPERLINK("https://www.fao.org/giews/food-prices/food-policies/detail/fr/c/1492068/","FAO GIEWS / FPMA"),"FAO GIEWS / FPMA")</x:f>
        <x:v>FAO GIEWS / FPMA</x:v>
      </x:c>
      <x:c r="L815" s="21" t="str">
        <x:f>IFERROR(HYPERLINK("https://www.commerce.gov.bf/fileadmin/user_upload/storage/fichiers/COMMUNIQUE_SUSPENSION_DES_ASE_DE_MIL_MAI__S_ET_SORGHO.pdf","Burkina Faso commerce ministry"),"Burkina Faso commerce ministry")</x:f>
        <x:v>Burkina Faso commerce ministry</x:v>
      </x:c>
      <x:c r="M815" s="21" t="str">
        <x:f>IFERROR(HYPERLINK("https://www.actualite.bf/commerce-le-gouvernement-interdit-lexportation-du-niebe-et-des-cereales-au-burkina-faso/","Actualité / reproduced joint ministerial communiqué"),"Actualité / reproduced joint ministerial communiqué")</x:f>
        <x:v>Actualité / reproduced joint ministerial communiqué</x:v>
      </x:c>
      <x:c r="N815" s="4" t="str">
        <x:v>https://www.fao.org/giews/food-prices/food-policies/detail/fr/c/1492068/
https://www.commerce.gov.bf/fileadmin/user_upload/storage/fichiers/COMMUNIQUE_SUSPENSION_DES_ASE_DE_MIL_MAI__S_ET_SORGHO.pdf
https://www.actualite.bf/commerce-le-gouvernement-interdit-lexportation-du-niebe-et-des-cereales-au-burkina-faso/
https://www.sidwaya.info/2023/08/11/sanctions-contre-le-niger-le-burkina-autorise-lexportation-de-cereales-a-titre-exceptionnel-en-soutien-a-son-voisin/
https://fr.apanews.net/business/burkina-reprise-des-exportations-de-farine-de-cereales/
https://www.aib.media/?p=169920
https://www.commerce.gov.bf/accueil/actualites/details?cHash=3e89e4f7ec78272521fd5aafba1f7ee9&amp;tx_news_pi1%5Baction%5D=detail&amp;tx_news_pi1%5Bcontroller%5D=News&amp;tx_news_pi1%5Bnews%5D=565
https://www.commerce.gov.bf/accueil/actualites/details?cHash=cecc38589b5d5ff3ea2ec7252c71cf95&amp;tx_news_pi1%5Baction%5D=detail&amp;tx_news_pi1%5Bcontroller%5D=News&amp;tx_news_pi1%5Bnews%5D=293
https://ouaganews.net/burkina-ministere-du-commerce-suspension-des-autorisations-speciales-dexportation-du-mil-sorgho-et-mais/
https://faso7.com/2021/12/27/burkina-faso-prix-des-cereales-le-ministere-du-commerce-rappelle-les-commercants-a-lordre/
https://www.sidwaya.info/2022/02/23/burkina-faso-suspension-de-lexportation-de-la-farine-du-mil-du-mais-et-du-sorgho/
https://www.sidwaya.info/2023/12/20/burkina-l-exportation-des-cereales-est-interdite-sur-toute-letendue-du-territoire-jusqua-nouvel-ordre-gouvernement/</x:v>
      </x:c>
      <x:c r="O815" s="4" t="str">
        <x:v>Second full-register audit source access, 26 October 2026
https://www.commerce.gov.bf/accueil/actualites/details?cHash=cecc38589b5d5ff3ea2ec7252c71cf95&amp;tx_news_pi1%5Baction%5D=detail&amp;tx_news_pi1%5Bcontroller%5D=News&amp;tx_news_pi1%5Bnews%5D=293: full text (fresh retrieval)
https://ouaganews.net/burkina-ministere-du-commerce-suspension-des-autorisations-speciales-dexportation-du-mil-sorgho-et-mais/: full text (fresh retrieval)
https://faso7.com/2021/12/27/burkina-faso-prix-des-cereales-le-ministere-du-commerce-rappelle-les-commercants-a-lordre/: full text (fresh retrieval)
https://www.fao.org/giews/food-prices/food-policies/detail/fr/c/1492068/: full text (fresh retrieval)
https://www.sidwaya.info/2022/02/23/burkina-faso-suspension-de-lexportation-de-la-farine-du-mil-du-mais-et-du-sorgho/: full text (fresh retrieval)
https://www.actualite.bf/commerce-le-gouvernement-interdit-lexportation-du-niebe-et-des-cereales-au-burkina-faso/: search extract (fresh retrieval) — Direct page blocked; complete indexed substantive text inspected.
https://www.sidwaya.info/2023/12/20/burkina-l-exportation-des-cereales-est-interdite-sur-toute-letendue-du-territoire-jusqua-nouvel-ordre-gouvernement/: full text (fresh retrieval)
https://www.sidwaya.info/2023/08/11/sanctions-contre-le-niger-le-burkina-autorise-lexportation-de-cereales-a-titre-exceptionnel-en-soutien-a-son-voisin/: full text (fresh retrieval)
https://fr.apanews.net/business/burkina-reprise-des-exportations-de-farine-de-cereales/: full text (fresh retrieval)
https://www.aib.media/?p=169920: full text (fresh retrieval)
https://www.commerce.gov.bf/accueil/actualites/details?cHash=3e89e4f7ec78272521fd5aafba1f7ee9&amp;tx_news_pi1%5Baction%5D=detail&amp;tx_news_pi1%5Bcontroller%5D=News&amp;tx_news_pi1%5Bnews%5D=565: full text (fresh retrieval) — Later retries failed; first retrieved page retained.
https://www.commerce.gov.bf/fileadmin/user_upload/storage/fichiers/COMMUNIQUE_SUSPENSION_DES_ASE_DE_MIL_MAI__S_ET_SORGHO.pdf: inaccessible (fresh retrieval) — 502; direct download 503.
Prior audit access record
Full-register audit source access (evidence cutoff 25 October 2026)
https://www.fao.org/giews/food-prices/food-policies/detail/fr/c/1492068/: full text
https://www.commerce.gov.bf/fileadmin/user_upload/storage/fichiers/COMMUNIQUE_SUSPENSION_DES_ASE_DE_MIL_MAI__S_ET_SORGHO.pdf: inaccessible — Direct retrieval returned 502; prior attributed transcription remains held.
https://www.actualite.bf/commerce-le-gouvernement-interdit-lexportation-du-niebe-et-des-cereales-au-burkina-faso/: search extract — Direct page returned 403; Lefaso full-text reminder corroborates rule but not a fresh visual reading of the image.
https://www.sidwaya.info/2023/08/11/sanctions-contre-le-niger-le-burkina-autorise-lexportation-de-cereales-a-titre-exceptionnel-en-soutien-a-son-voisin/: full text
https://fr.apanews.net/business/burkina-reprise-des-exportations-de-farine-de-cereales/: full text
https://www.aib.media/?p=169920: full text
https://www.commerce.gov.bf/accueil/actualites/details?cHash=3e89e4f7ec78272521fd5aafba1f7ee9&amp;tx_news_pi1%5Baction%5D=detail&amp;tx_news_pi1%5Bcontroller%5D=News&amp;tx_news_pi1%5Bnews%5D=565: full text
Earlier recorded access
Source 1: full text
Source 2: full text; unavailable
Source 3: full text</x:v>
      </x:c>
      <x:c r="P815" s="20" t="n">
        <x:v>4</x:v>
      </x:c>
      <x:c r="Q815" s="4" t="str">
        <x:v>West Africa</x:v>
      </x:c>
      <x:c r="R815" s="4" t="str">
        <x:v>Included</x:v>
      </x:c>
    </x:row>
    <x:row r="816" ht="390" hidden="0" customHeight="1">
      <x:c r="A816" s="16" t="str">
        <x:v>REC50-R43-004</x:v>
      </x:c>
      <x:c r="B816" s="4" t="str">
        <x:v>Ghana grain-export restrictions: named land-station directive in 2022 and separate 2024 ban</x:v>
      </x:c>
      <x:c r="C816" s="4" t="str">
        <x:v>Ghana; neighbouring export destinations</x:v>
      </x:c>
      <x:c r="D816" s="4" t="str">
        <x:v>Tatale, Wonjuga, Bunkpurugu, Saboba (2022 directive only)
Four named land stations in the 2022 directive; national grain-export policy in the separate 2024 phase</x:v>
      </x:c>
      <x:c r="E816" s="4" t="str">
        <x:v>2022 grains and soybeans; 2024 corn and rice explicitly supported
Direction: Outward from Ghana
Exceptions: A licensing system is not assumed to prohibit every export; 2024 scope is not expanded to every crop threatened by the dry spell.</x:v>
      </x:c>
      <x:c r="F816" s="4" t="str">
        <x:v>REC50-R43-004-P1 — Formal policy
Grain and soybean export-prevention directive to Tatale, Wonjuga, Bunkpurugu and Saboba customs stations
Start: unknown.
Last confirmed: 2022-12-01. Reopening is not established.
Formal policy: dated evidence; numeric duration withheld; see qualification
REC50-R43-004-P2 — Formal policy
Grain-export prohibition announced 26 August 2024, with corn and rice explicitly supported
Start: 2024-08-26.
Last confirmed: unknown. Reopening is not established.
Formal policy: dated evidence; numeric duration withheld; see qualification
Separate later formal-status observation: March 2026, reported by USDA on April 3, 2026, for corn, rice and soybean exports. No uniform post-level operational interval or exact repeal is established.</x:v>
      </x:c>
      <x:c r="G816" s="4" t="str">
        <x:v>Trade and protectionism / Import, export and production controls
Sources attribute the rules to domestic food security and supply for local uses.
Applies to: Only the separately described policy/commodity phases
Source-attributed policy purpose; no operational closure or additional motive inferred.</x:v>
      </x:c>
      <x:c r="H816" s="4" t="str">
        <x:v>The December 2022 directive names Tatale, Wonjuga, Bunkpurugu and Saboba, but does not establish the first actual denial at these stations. The visible L.I.2467 text concerns export licensing and does not alone establish a blanket prohibition.
The separately announced August 26, 2024 grain ban includes corn and rice. The December 2024 USDA report describes continuing corn restrictions on page 11 and stricter enforcement of the existing export ban in its rice section on page 15. Its projected rice-export quantity is a forecast, not an observed shipment or reopening.
USDA’s April 3, 2026 report, page 11 and footnote 10, separately describes corn, rice and soybean export restrictions in March 2026. This is a month-level policy observation, not an exact March 31 event, a forecast treated as evidence, or proof of continuous enforcement at the four 2022 stations. Exact lifting and gate-level operational history remain unknown.</x:v>
      </x:c>
      <x:c r="I816" s="4" t="str">
        <x:v>Second full-register audit, 26 October 2026: additional source-audited corrections incorporated. See the phase, scope and qualification columns for the accepted findings.</x:v>
      </x:c>
      <x:c r="J816" s="18" t="d">
        <x:v>2026-10-26T00:00:00.000Z</x:v>
      </x:c>
      <x:c r="K816" s="21" t="str">
        <x:f>IFERROR(HYPERLINK("https://www.myjoyonline.com/enforce-ban-on-export-of-cereals-gra-to-customs-division/","MyJoyOnline"),"MyJoyOnline")</x:f>
        <x:v>MyJoyOnline</x:v>
      </x:c>
      <x:c r="L816" s="21" t="str">
        <x:f>IFERROR(HYPERLINK("https://www.judy.legal/legislation/akn/gh/act/li/2022/2467","Judy.legal, Ghana legislation metadata"),"Judy.legal, Ghana legislation metadata")</x:f>
        <x:v>Judy.legal, Ghana legislation metadata</x:v>
      </x:c>
      <x:c r="M816" s="21" t="str">
        <x:f>IFERROR(HYPERLINK("https://gna.org.gh/2024/08/govt-bans-export-of-grains-to-avert-potential-food-crises/","Ghana News Agency"),"Ghana News Agency")</x:f>
        <x:v>Ghana News Agency</x:v>
      </x:c>
      <x:c r="N816" s="4" t="str">
        <x:v>https://www.myjoyonline.com/enforce-ban-on-export-of-cereals-gra-to-customs-division/
https://www.judy.legal/legislation/akn/gh/act/li/2022/2467
https://gna.org.gh/2024/08/govt-bans-export-of-grains-to-avert-potential-food-crises/
https://apps.fas.usda.gov/newgainapi/api/Report/DownloadReportByFileName?fileName=Ghana+Grain+and+Feed+-+Update+-+2024_Accra_Ghana_GH2024-0015.pdf
https://apps.fas.usda.gov/newgainapi/api/Report/DownloadReportByFileName?fileName=Grain+and+Feed+Annual_Accra_Ghana_GH2026-0011</x:v>
      </x:c>
      <x:c r="O816" s="4" t="str">
        <x:v>Second full-register audit source access, 26 October 2026
https://www.myjoyonline.com/enforce-ban-on-export-of-cereals-gra-to-customs-division/: full text (fresh retrieval)
https://www.judy.legal/legislation/akn/gh/act/li/2022/2467: search extract (fresh retrieval) — Full legislation not visible.
https://gna.org.gh/2024/08/govt-bans-export-of-grains-to-avert-potential-food-crises/: full text (fresh retrieval)
https://apps.fas.usda.gov/newgainapi/api/Report/DownloadReportByFileName?fileName=Ghana+Grain+and+Feed+-+Update+-+2024_Accra_Ghana_GH2024-0015.pdf: full text (fresh retrieval)
https://apps.fas.usda.gov/newgainapi/api/Report/DownloadReportByFileName?fileName=Grain+and+Feed+Annual_Accra_Ghana_GH2026-0011: full text (fresh retrieval)
Prior audit access record
Full-register audit source access (evidence cutoff 25 October 2026)
https://www.myjoyonline.com/enforce-ban-on-export-of-cereals-gra-to-customs-division/: full text
https://www.judy.legal/legislation/akn/gh/act/li/2022/2467: full text — Only partial legislation visible; remaining text behind platform access.
https://gna.org.gh/2024/08/govt-bans-export-of-grains-to-avert-potential-food-crises/: full text
https://apps.fas.usda.gov/newgainapi/api/Report/DownloadReportByFileName?fileName=Ghana+Grain+and+Feed+-+Update+-+2024_Accra_Ghana_GH2024-0015.pdf: full text
https://apps.fas.usda.gov/newgainapi/api/Report/DownloadReportByFileName?fileName=Grain+and+Feed+Annual_Accra_Ghana_GH2026-0011: full text
Earlier recorded access
Source 1: full text
Source 2: partial metadata
Source 3: full text</x:v>
      </x:c>
      <x:c r="P816" s="20" t="n">
        <x:v>2</x:v>
      </x:c>
      <x:c r="Q816" s="4" t="str">
        <x:v>West Africa</x:v>
      </x:c>
      <x:c r="R816" s="4" t="str">
        <x:v>Included</x:v>
      </x:c>
    </x:row>
    <x:row r="817" ht="258" hidden="0" customHeight="1">
      <x:c r="A817" s="16" t="str">
        <x:v>REC50-R43-005</x:v>
      </x:c>
      <x:c r="B817" s="4" t="str">
        <x:v>Burkina Faso poultry-import restriction on Benin, Togo and Côte d’Ivoire origins, August 2021</x:v>
      </x:c>
      <x:c r="C817" s="4" t="str">
        <x:v>Burkina Faso; Benin; Togo; Côte d’Ivoire</x:v>
      </x:c>
      <x:c r="D817" s="4" t="str">
        <x:v>No individual crossing named
Named-origin poultry import policy with explicitly reinforced frontier controls</x:v>
      </x:c>
      <x:c r="E817" s="4" t="str">
        <x:v>Poultry and avian products from Benin, Togo and Côte d’Ivoire
Direction: Into Burkina Faso
Exceptions: No prohibition on unaffected origins, all cargo or ordinary travellers is inferred.</x:v>
      </x:c>
      <x:c r="F817" s="4" t="str">
        <x:v>REC50-R43-005-P1 — Formal policy
Burkina Faso import prohibition on poultry and avian products from the three named origins
Start: unknown.
Last confirmed: 2021-08-20. Reopening is not established.
Formal policy: dated evidence; numeric duration withheld; see qualification</x:v>
      </x:c>
      <x:c r="G817" s="4" t="str">
        <x:v>Health and biosecurity / Animal and plant disease control
Ministry attributes the restriction to avian-influenza risk from the named countries.
Applies to: Only the separately described policy/commodity phases
Source-attributed policy purpose; no operational closure or additional motive inferred.</x:v>
      </x:c>
      <x:c r="H817" s="4" t="str">
        <x:v>REC50-R43-005-P1: Friday derives to the 20 August 2021 ministry announcement, not a known first physical border denial. The measure covers only poultry and avian products from Benin, Togo and Côte d’Ivoire in this reconstruction. Frontier-control reinforcement supplies the land-policy nexus; lifting and all-post implementation remain unknown.</x:v>
      </x:c>
      <x:c r="I817" s="4" t="str">
        <x:v>Second full-register audit, 26 October 2026: source checks completed; readability or formatting changes incorporated. No additional substantive factual correction is counted for this record.</x:v>
      </x:c>
      <x:c r="J817" s="18" t="d">
        <x:v>2026-10-26T00:00:00.000Z</x:v>
      </x:c>
      <x:c r="K817" s="21" t="str">
        <x:f>IFERROR(HYPERLINK("https://h.aa.com.tr/fr/afrique/grippe-aviaire-le-burkina-interdit-limportation-de-la-volaille-en-provenance-du-b%C3%A9nin-du-togo-et-de-la-c%C3%B4te-d-ivoire/2341994","Anadolu Agency"),"Anadolu Agency")</x:f>
        <x:v>Anadolu Agency</x:v>
      </x:c>
      <x:c r="L817" s="21"/>
      <x:c r="M817" s="21"/>
      <x:c r="N817" s="4" t="str">
        <x:v>https://h.aa.com.tr/fr/afrique/grippe-aviaire-le-burkina-interdit-limportation-de-la-volaille-en-provenance-du-b%C3%A9nin-du-togo-et-de-la-c%C3%B4te-d-ivoire/2341994
https://wits.worldbank.org/trade/comtrade/en/country/BFA/year/2024/tradeflow/Imports/partner/ALL/product/010511</x:v>
      </x:c>
      <x:c r="O817" s="4" t="str">
        <x:v>Second full-register audit source access, 26 October 2026
https://h.aa.com.tr/fr/afrique/grippe-aviaire-le-burkina-interdit-limportation-de-la-volaille-en-provenance-du-b%C3%A9nin-du-togo-et-de-la-c%C3%B4te-d-ivoire/2341994: full text (fresh retrieval)
Earlier URLs not separately inspected in this second assessment:
https://wits.worldbank.org/trade/comtrade/en/country/BFA/year/2024/tradeflow/Imports/partner/ALL/product/010511
Prior audit access record
Full-register audit source access (evidence cutoff 25 October 2026)
https://h.aa.com.tr/fr/afrique/grippe-aviaire-le-burkina-interdit-limportation-de-la-volaille-en-provenance-du-b%C3%A9nin-du-togo-et-de-la-c%C3%B4te-d-ivoire/2341994: full text
https://wits.worldbank.org/trade/comtrade/en/country/BFA/year/2024/tradeflow/Imports/partner/ALL/product/010511: full text — No permit, date, transport mode, origin certification or legal exception identified; cannot establish general repeal.
Earlier recorded access
Source 1: full text</x:v>
      </x:c>
      <x:c r="P817" s="20" t="n">
        <x:v>1</x:v>
      </x:c>
      <x:c r="Q817" s="4" t="str">
        <x:v>West Africa</x:v>
      </x:c>
      <x:c r="R817" s="4" t="str">
        <x:v>Included</x:v>
      </x:c>
    </x:row>
    <x:row r="818" ht="330" hidden="0" customHeight="1">
      <x:c r="A818" s="16" t="str">
        <x:v>REC50-R46-001</x:v>
      </x:c>
      <x:c r="B818" s="4" t="str">
        <x:v>Namibia restriction on Botswana-origin animal products and potentially infectious materials, August 2022</x:v>
      </x:c>
      <x:c r="C818" s="4" t="str">
        <x:v>Namibia; Botswana</x:v>
      </x:c>
      <x:c r="D818" s="4" t="str">
        <x:v>No named post assigned
Origin-specific admission rule on Namibia’s Botswana frontier; no individual gate operation established</x:v>
      </x:c>
      <x:c r="E818" s="4" t="str">
        <x:v>FMD-susceptible animals, raw products and specified infectious feed/materials
Direction: Into Namibia
Exceptions: Sealed transit through Botswana is explicitly permitted under the stated conditions; no all-origin, all-goods or passenger closure inferred.</x:v>
      </x:c>
      <x:c r="F818" s="4" t="str">
        <x:v>REC50-R46-001-P1 — Formal policy
Namibian prohibition on Botswana-origin FMD-susceptible animals, raw products and specified potentially infectious materials
Start: 2022-08-25, ministry-stated effective date.
Last confirmed: 2022-08-31. Reopening is not established.
Formal policy: dated evidence; numeric duration withheld; see qualification</x:v>
      </x:c>
      <x:c r="G818" s="4" t="str">
        <x:v>Health and biosecurity / Animal and plant disease control
The veterinary authority attributes the measure to FMD risk in Botswana.
Applies to: Namibian prohibition on Botswana-origin FMD-susceptible animals, raw products and specified potentially infectious materials
Attributed reason applies only to the stated commodity, vessel or service; no further motive inferred.</x:v>
      </x:c>
      <x:c r="H818" s="4" t="str">
        <x:v>REC50-R46-001-P1: Formal effective onset is 25 August 2022 according to Reuters’ report of the Namibian ministry statement; gate-level implementation and lifting remain unknown. FMD-susceptible animals, raw products and feed/material restrictions are Botswana-origin specific. Sealed third-country transit through Botswana is expressly allowed. Spain poultry dates and Botswana’s own movement standstill do not establish this measure’s onset or end.
Botswana’s September 2022 permission to export from unaffected zones remains subject to importing-country conditions; it does not prove Namibia rescinded its restriction. Later trade-data leads lack matched veterinary permission and do not establish unrestricted restoration.</x:v>
      </x:c>
      <x:c r="I818" s="4" t="str">
        <x:v>Second full-register audit, 26 October 2026: qualified. Namibia’s August 25 effective date, Botswana-origin scope and sealed-transit exception are confirmed; fresh ending search found no matched Namibian repeal.</x:v>
      </x:c>
      <x:c r="J818" s="18" t="d">
        <x:v>2026-10-26T00:00:00.000Z</x:v>
      </x:c>
      <x:c r="K818" s="21" t="str">
        <x:f>IFERROR(HYPERLINK("https://www.namibian.com.na/diseases-trigger-import-bans-from-botswana-spain/","The Namibian"),"The Namibian")</x:f>
        <x:v>The Namibian</x:v>
      </x:c>
      <x:c r="L818" s="21"/>
      <x:c r="M818" s="21"/>
      <x:c r="N818" s="4" t="str">
        <x:v>https://www.namibian.com.na/diseases-trigger-import-bans-from-botswana-spain/
https://www.thedairysite.com/news/59118/namibia-suspends-livestock-imports-from-botswana
https://mix929.com/2022/08/29/namibia-suspends-livestock-imports-from-botswana-after-animal-disease-scare/
https://www.bizcommunity.com/Article/29/741/231984.html
https://dailynews.gov.bw/news-detail/69427</x:v>
      </x:c>
      <x:c r="O818" s="4" t="str">
        <x:v>Second full-register audit source access, 26 October 2026
https://www.thedairysite.com/news/59118/namibia-suspends-livestock-imports-from-botswana: full text (fresh retrieval)
https://www.namibian.com.na/diseases-trigger-import-bans-from-botswana-spain/: full text (fresh retrieval)
https://dailynews.gov.bw/news-detail/69427: search extract (fresh retrieval) — Substantive indexed report.
Earlier URLs not separately inspected in this second assessment:
https://mix929.com/2022/08/29/namibia-suspends-livestock-imports-from-botswana-after-animal-disease-scare/
https://www.bizcommunity.com/Article/29/741/231984.html
Prior audit access record
Full-register audit source access (evidence cutoff 25 October 2026)
https://www.namibian.com.na/diseases-trigger-import-bans-from-botswana-spain/: full text — See specific claim qualifications.
https://www.thedairysite.com/news/59118/namibia-suspends-livestock-imports-from-botswana: full text — See specific claim qualifications.
https://mix929.com/2022/08/29/namibia-suspends-livestock-imports-from-botswana-after-animal-disease-scare/: search extract — See specific claim qualifications.
https://www.bizcommunity.com/Article/29/741/231984.html: search extract — See specific claim qualifications.
Earlier recorded access
Source 1: full text</x:v>
      </x:c>
      <x:c r="P818" s="20" t="n">
        <x:v>1</x:v>
      </x:c>
      <x:c r="Q818" s="4" t="str">
        <x:v>Southern and Central Africa</x:v>
      </x:c>
      <x:c r="R818" s="4" t="str">
        <x:v>Included</x:v>
      </x:c>
    </x:row>
    <x:row r="819" ht="354" hidden="0" customHeight="1">
      <x:c r="A819" s="16" t="str">
        <x:v>REC50-R46-002</x:v>
      </x:c>
      <x:c r="B819" s="4" t="str">
        <x:v>Botswana restriction on Zimbabwe-origin livestock and related products, January 2026</x:v>
      </x:c>
      <x:c r="C819" s="4" t="str">
        <x:v>Botswana; Zimbabwe</x:v>
      </x:c>
      <x:c r="D819" s="4" t="str">
        <x:v>No named enforcement post established
Origin-specific international livestock/product admission policy; no single gate fixed</x:v>
      </x:c>
      <x:c r="E819" s="4" t="str">
        <x:v>Cloven-hoofed livestock and related products from Zimbabwe
Direction: Into Botswana
Exceptions: No all-origin import or general traveller prohibition inferred; Botswana internal disease-zone rules are not separate frontier phases.</x:v>
      </x:c>
      <x:c r="F819" s="4" t="str">
        <x:v>REC50-R46-002-P1 — Formal policy
Botswana prohibition on Zimbabwe-origin cloven-hoofed livestock and related products
Start: 2026-01-19.
Last confirmed: unknown. Reopening is not established.
Formal policy: dated evidence; numeric duration withheld; see qualification</x:v>
      </x:c>
      <x:c r="G819" s="4" t="str">
        <x:v>Health and biosecurity / Animal and plant disease control
The named veterinary official attributes the import measure to FMD risk near the Zimbabwe frontier.
Applies to: Botswana prohibition on Zimbabwe-origin cloven-hoofed livestock and related products
Attributed reason applies only to the stated commodity, vessel or service; no further motive inferred.</x:v>
      </x:c>
      <x:c r="H819" s="4" t="str">
        <x:v>REC50-R46-002-P1: APA’s 20 January 2026 article is now fully accessible and attributes immediate Zimbabwe-origin livestock/product import restrictions to the Monday, 19 January announcement. Botswana DailyNews independently dates the ministry’s regional movement restrictions to January 19 and describes illegal Zimbabwe livestock/raw-material imports; it does not supply a complete separate import instrument. Internal zones 3b, 3c, 6b and 7 and direct-slaughter exceptions must not be generalized to all international admission. Exact first gate denial, lifting and full exceptions remain unknown. October 22 reporting of internal-zone movement easing and export-market access does not explicitly rescind the Zimbabwe-origin import restriction.</x:v>
      </x:c>
      <x:c r="I819" s="4" t="str">
        <x:v>Second full-register audit, 26 October 2026: qualified. January 19 Zimbabwe-origin import announcement is supported; October domestic-zone easing does not prove repeal of the foreign-origin ban.</x:v>
      </x:c>
      <x:c r="J819" s="18" t="d">
        <x:v>2026-10-26T00:00:00.000Z</x:v>
      </x:c>
      <x:c r="K819" s="21" t="str">
        <x:f>IFERROR(HYPERLINK("https://apanews.net/botswana-bans-zimbabwe-livestock-over-fmd-outbreak/","African Press Agency"),"African Press Agency")</x:f>
        <x:v>African Press Agency</x:v>
      </x:c>
      <x:c r="L819" s="21"/>
      <x:c r="M819" s="21"/>
      <x:c r="N819" s="4" t="str">
        <x:v>https://apanews.net/botswana-bans-zimbabwe-livestock-over-fmd-outbreak/
https://dailynews.gov.bw/news-detail/89631
https://www.farmersplatform.co.bw/articles/articles/botswana-shifts-from-fmd-emergency-response-to-recovery-as-movement-restrictions
https://dailynews.gov.bw/news-detail/89741
https://dailynews.gov.bw/news-detail/90123</x:v>
      </x:c>
      <x:c r="O819" s="4" t="str">
        <x:v>Second full-register audit source access, 26 October 2026
https://apanews.net/botswana-bans-zimbabwe-livestock-over-fmd-outbreak/: full text (fresh retrieval)
https://dailynews.gov.bw/news-detail/89631: search extract (fresh retrieval) — Direct timed out; substantive index.
https://www.farmersplatform.co.bw/articles/articles/botswana-shifts-from-fmd-emergency-response-to-recovery-as-movement-restrictions: search extract (fresh retrieval) — Substantive index; internal-zone scope.
Earlier URLs not separately inspected in this second assessment:
https://dailynews.gov.bw/news-detail/89741
https://dailynews.gov.bw/news-detail/90123
Prior audit access record
Full-register audit source access (evidence cutoff 25 October 2026)
https://apanews.net/botswana-bans-zimbabwe-livestock-over-fmd-outbreak/: full text — See specific claim qualifications.
https://dailynews.gov.bw/news-detail/89631: search extract — See specific claim qualifications.
https://www.farmersplatform.co.bw/articles/articles/botswana-shifts-from-fmd-emergency-response-to-recovery-as-movement-restrictions: search extract — See specific claim qualifications.
https://dailynews.gov.bw/news-detail/89741: inaccessible — See specific claim qualifications.
https://dailynews.gov.bw/news-detail/90123: inaccessible — See specific claim qualifications.
Earlier recorded access
Source 1: indexed extract</x:v>
      </x:c>
      <x:c r="P819" s="20" t="n">
        <x:v>1</x:v>
      </x:c>
      <x:c r="Q819" s="4" t="str">
        <x:v>Southern and Central Africa</x:v>
      </x:c>
      <x:c r="R819" s="4" t="str">
        <x:v>Included</x:v>
      </x:c>
    </x:row>
    <x:row r="820" ht="409" hidden="0" customHeight="1">
      <x:c r="A820" s="16" t="str">
        <x:v>REC50-R46-003</x:v>
      </x:c>
      <x:c r="B820" s="4" t="str">
        <x:v>Botswana restriction on South African livestock and animal-product imports, January 2019</x:v>
      </x:c>
      <x:c r="C820" s="4" t="str">
        <x:v>Botswana; South Africa</x:v>
      </x:c>
      <x:c r="D820" s="4" t="str">
        <x:v>No named Botswana enforcement post assigned
Origin-specific Botswana import restriction; individual land gates not documented</x:v>
      </x:c>
      <x:c r="E820" s="4" t="str">
        <x:v>South-African-origin hoofed livestock and animal products
Direction: Into Botswana
Exceptions: Contaminated-area grasses, bedding and manure are separately scoped in the report; no universal import or passenger restriction inferred.
Contemporary Reuters reporting also covers transit of South-African-origin animals/products through Botswana. January 30 relaxation is conditional and excludes affected Limpopo-origin live animals.</x:v>
      </x:c>
      <x:c r="F820" s="4" t="str">
        <x:v>REC50-R46-003-P1 — Formal policy
Botswana restriction on South-African-origin hoofed livestock and animal products during the January 2019 FMD episode
Formal onset reported within 2019-01-09 to 2019-01-10; announcement/imposition distinction unresolved.
Last confirmed: 2019-01-11. Partial policy relaxation: 2019-01-30; unrestricted operational reopening is not established.
Formal policy: dated evidence; numeric duration withheld; see qualification
Formal chronology: Reuters reports Botswana’s announcement on Wednesday, 9 January 2019, while Xinhua’s January 30 retrospective gives January 10 for imposition. Retain this January 9–10 onset discrepancy rather than invent an observed first denial. The ministry relaxed the original blanket policy on January 30, permitting livestock from unaffected provinces, specified processed foods and animal feed under supervision. Limpopo-origin restrictions and health conditions remained; this is a partial policy transition, not unrestricted all-product reopening.</x:v>
      </x:c>
      <x:c r="G820" s="4" t="str">
        <x:v>Health and biosecurity / Animal and plant disease control
Botswana’s veterinary statement attributes the rule to the South African FMD outbreak.
Applies to: Botswana restriction on South-African-origin hoofed livestock and animal products during the January 2019 FMD episode
Attributed reason applies only to the stated commodity, vessel or service; no further motive inferred.</x:v>
      </x:c>
      <x:c r="H820" s="4" t="str">
        <x:v>REC50-R46-003-P1: January 9–10 announcement/imposition discrepancy is preserved. The January 30 relaxation changes the blanket origin-wide prohibition but does not remove all Limpopo and veterinary conditions. No continuous all-product operational duration is calculated. USDA’s March review and South Africa’s May outbreak declaration are not Botswana-specific lifting instruments. The August 18, 2020 South African statement supplies later conditional live-cattle permission after the separate November 2019 outbreak; it cannot be used as the original January 2019 reopening.</x:v>
      </x:c>
      <x:c r="I820" s="4" t="str">
        <x:v>Second full-register audit, 26 October 2026: qualified. The January 9–10 announcement/imposition discrepancy and January 30 conditional relaxation are substantiated and remain appropriately qualified.</x:v>
      </x:c>
      <x:c r="J820" s="18" t="d">
        <x:v>2026-10-26T00:00:00.000Z</x:v>
      </x:c>
      <x:c r="K820" s="21" t="str">
        <x:f>IFERROR(HYPERLINK("https://www.newsday.co.zw/zimdecides18/article/60066/foot-and-mouth-zim-bots-ban-meat-imports-from-south-africa","NewsDay Zimbabwe"),"NewsDay Zimbabwe")</x:f>
        <x:v>NewsDay Zimbabwe</x:v>
      </x:c>
      <x:c r="L820" s="21" t="str">
        <x:f>IFERROR(HYPERLINK("https://apps.fas.usda.gov/newgainapi/api/report/downloadreportbyfilename?filename=FMD+Outbreak+Leads+to+Bans+on+Imports+of+Red+Meat+from+South+Africa_Pretoria_South+Africa+-+Republic+of_3-12-2019.pdf","USDA Foreign Agricultural Service, Pretoria"),"USDA Foreign Agricultural Service, Pretoria")</x:f>
        <x:v>USDA Foreign Agricultural Service, Pretoria</x:v>
      </x:c>
      <x:c r="M820" s="21" t="str">
        <x:f>IFERROR(HYPERLINK("https://www.gov.za/news/media-statements/agriculture-forestry-and-fisheries-gives-update-foot-and-mouth-disease-28-may","South African Department of Agriculture, Forestry and Fisheries"),"South African Department of Agriculture, Forestry and Fisheries")</x:f>
        <x:v>South African Department of Agriculture, Forestry and Fisheries</x:v>
      </x:c>
      <x:c r="N820" s="4" t="str">
        <x:v>https://www.newsday.co.zw/zimdecides18/article/60066/foot-and-mouth-zim-bots-ban-meat-imports-from-south-africa
https://apps.fas.usda.gov/newgainapi/api/report/downloadreportbyfilename?filename=FMD+Outbreak+Leads+to+Bans+on+Imports+of+Red+Meat+from+South+Africa_Pretoria_South+Africa+-+Republic+of_3-12-2019.pdf
https://www.gov.za/news/media-statements/agriculture-forestry-and-fisheries-gives-update-foot-and-mouth-disease-28-may
https://www.standardmedia.co.ke/amp/business/africa/article/2001308997/african-countries-ban-meat-imports-from-south-africa
https://www.xinhuanet.com/english/2019-01/31/c_137787989.htm
https://www.gov.za/news/media-statements/agriculture-land-reform-and-rural-development-updates-foot-and-mouth-0</x:v>
      </x:c>
      <x:c r="O820" s="4" t="str">
        <x:v>Second full-register audit source access, 26 October 2026
https://www.standardmedia.co.ke/amp/business/africa/article/2001308997/african-countries-ban-meat-imports-from-south-africa: full text (fresh retrieval)
https://www.xinhuanet.com/english/2019-01/31/c_137787989.htm: full text (fresh retrieval) — January 30 dispatch; January 31 publication.
Earlier URLs not separately inspected in this second assessment:
https://www.newsday.co.zw/zimdecides18/article/60066/foot-and-mouth-zim-bots-ban-meat-imports-from-south-africa
https://apps.fas.usda.gov/newgainapi/api/report/downloadreportbyfilename?filename=FMD+Outbreak+Leads+to+Bans+on+Imports+of+Red+Meat+from+South+Africa_Pretoria_South+Africa+-+Republic+of_3-12-2019.pdf
https://www.gov.za/news/media-statements/agriculture-forestry-and-fisheries-gives-update-foot-and-mouth-disease-28-may
https://www.gov.za/news/media-statements/agriculture-land-reform-and-rural-development-updates-foot-and-mouth-0
Prior audit access record
Full-register audit source access (evidence cutoff 25 October 2026)
https://www.newsday.co.zw/zimdecides18/article/60066/foot-and-mouth-zim-bots-ban-meat-imports-from-south-africa: search extract — Only introductory text accessible before subscription wall.
https://www.standardmedia.co.ke/amp/business/africa/article/2001308997/african-countries-ban-meat-imports-from-south-africa: full text — See specific claim qualifications.
https://www.xinhuanet.com/english/2019-01/31/c_137787989.htm: full text — See specific claim qualifications.
https://www.gov.za/news/media-statements/agriculture-forestry-and-fisheries-gives-update-foot-and-mouth-disease-28-may: full text — See specific claim qualifications.
https://www.gov.za/news/media-statements/agriculture-land-reform-and-rural-development-updates-foot-and-mouth-0: full text — See specific claim qualifications.
https://apps.fas.usda.gov/newgainapi/api/report/downloadreportbyfilename?filename=FMD+Outbreak+Leads+to+Bans+on+Imports+of+Red+Meat+from+South+Africa_Pretoria_South+Africa+-+Republic+of_3-12-2019.pdf: full text — See specific claim qualifications.
Earlier recorded access
Source 1: indexed extract
Source 2: full text
Source 3: full text</x:v>
      </x:c>
      <x:c r="P820" s="20" t="n">
        <x:v>1</x:v>
      </x:c>
      <x:c r="Q820" s="4" t="str">
        <x:v>Southern and Central Africa</x:v>
      </x:c>
      <x:c r="R820" s="4" t="str">
        <x:v>Included</x:v>
      </x:c>
    </x:row>
    <x:row r="821" ht="390" hidden="0" customHeight="1">
      <x:c r="A821" s="16" t="str">
        <x:v>REC50-R46-004</x:v>
      </x:c>
      <x:c r="B821" s="4" t="str">
        <x:v>Canawaima ferry regulatory sailing restriction in late August 2026</x:v>
      </x:c>
      <x:c r="C821" s="4" t="str">
        <x:v>Guyana; Suriname</x:v>
      </x:c>
      <x:c r="D821" s="4" t="str">
        <x:v>Moleson Creek–South Drain / Canawaima ferry service
Moleson Creek–South Drain ferry service on the Corentyne River</x:v>
      </x:c>
      <x:c r="E821" s="4" t="str">
        <x:v>Regulated ferry service; small-boat passengers excepted
Direction: Between Guyana and Suriname
Exceptions: Immigration processing for small-boat travel continued via Moleson Creek and New Nickerie; the entire river frontier was not closed.</x:v>
      </x:c>
      <x:c r="F821" s="4" t="str">
        <x:v>REC50-R46-004-P1 — Formal policy with reported implementation
MAS sailing prohibition affecting the Canawaima ferry between Moleson Creek and South Drain
Start: 2026-08-22.
Policy lifted and service reported resumed: 2026-08-28.
6 calendar-day difference; the sustained ferry suspension exceeds 24 hours. Exact hourly duration and first departure time are not established.</x:v>
      </x:c>
      <x:c r="G821" s="4" t="str">
        <x:v>Security / Public order and immediate safety
Attributed official reason
Surinamese authorities cite deficiencies in vessel safety and technical systems. This explains the ferry-specific sailing prohibition, not a general entry ban.</x:v>
      </x:c>
      <x:c r="H821" s="4" t="str">
        <x:v>Suriname’s government expressly dates the emergency MAS sailing ban to August 22 and reports the connection resumed August 28. This fills the missing onset and strengthens the endpoint beyond Guyana’s prospective August 28 statement. The original MAS instrument and sailing manifest remain unretrieved, so exact clocks are unknown. Small-boat passage with immigration processing continued; no total Corentyne frontier closure is asserted. The August 14 return followed a separate interruption. Later provisional permission through September 28 is not evidence that another closure actually began then.</x:v>
      </x:c>
      <x:c r="I821" s="4" t="str">
        <x:v>Second full-register audit, 26 October 2026: additional source-audited corrections incorporated. See the phase, scope and qualification columns for the accepted findings.</x:v>
      </x:c>
      <x:c r="J821" s="18" t="d">
        <x:v>2026-10-26T00:00:00.000Z</x:v>
      </x:c>
      <x:c r="K821" s="21" t="str">
        <x:f>IFERROR(HYPERLINK("https://dpi.gov.gy/statement-on-the-guyana-suriname-ferry-service-disruption/","Government of Guyana, Department of Public Information"),"Government of Guyana, Department of Public Information")</x:f>
        <x:v>Government of Guyana, Department of Public Information</x:v>
      </x:c>
      <x:c r="L821" s="21" t="str">
        <x:f>IFERROR(HYPERLINK("https://dpi.gov.gy/m-v-canwaima-ban-lifted/","Government of Guyana, Department of Public Information"),"Government of Guyana, Department of Public Information")</x:f>
        <x:v>Government of Guyana, Department of Public Information</x:v>
      </x:c>
      <x:c r="M821" s="21" t="str">
        <x:f>IFERROR(HYPERLINK("https://newsroom.gy/2026/08/22/guyana-suriname-ferry-service-temporarily-suspended/","News Room Guyana"),"News Room Guyana")</x:f>
        <x:v>News Room Guyana</x:v>
      </x:c>
      <x:c r="N821" s="4" t="str">
        <x:v>https://dpi.gov.gy/statement-on-the-guyana-suriname-ferry-service-disruption/
https://dpi.gov.gy/m-v-canwaima-ban-lifted/
https://newsroom.gy/2026/08/22/guyana-suriname-ferry-service-temporarily-suspended/
https://newsroom.gy/2026/08/14/ferry-service-between-guyana-and-suriname-resumes-after-safety-restriction-lifted/
https://gov.sr/regering-geeft-prioriteit-aan-veiligheid-passagiers-in-kwestie-canawaima/
https://dwtonline.com/canawaima-kan-voorlopig-varen-maar-technische-problemen-blijven/</x:v>
      </x:c>
      <x:c r="O821" s="4" t="str">
        <x:v>Second full-register audit source access, 26 October 2026
https://dpi.gov.gy/statement-on-the-guyana-suriname-ferry-service-disruption/: full text (fresh retrieval)
https://dpi.gov.gy/m-v-canwaima-ban-lifted/: full text (fresh retrieval)
https://gov.sr/regering-geeft-prioriteit-aan-veiligheid-passagiers-in-kwestie-canawaima/: full text (fresh retrieval) — Publication date absent from parsed page; event dates explicit in body.
https://dwtonline.com/canawaima-kan-voorlopig-varen-maar-technische-problemen-blijven/: full text (fresh retrieval) — Shares official attribution with CDS; not an independent sailing log.
https://newsroom.gy/2026/08/22/guyana-suriname-ferry-service-temporarily-suspended/: full text (fresh retrieval)
https://newsroom.gy/2026/08/14/ferry-service-between-guyana-and-suriname-resumes-after-safety-restriction-lifted/: full text (fresh retrieval)
Prior audit access record
Full-register audit source access (evidence cutoff 25 October 2026)
https://dpi.gov.gy/statement-on-the-guyana-suriname-ferry-service-disruption/: full text
https://dpi.gov.gy/m-v-canwaima-ban-lifted/: full text
https://newsroom.gy/2026/08/22/guyana-suriname-ferry-service-temporarily-suspended/: full text
Earlier source URLs not separately listed in this audit’s retrieval log (historical access notes below are not fresh verification):
https://newsroom.gy/2026/08/14/ferry-service-between-guyana-and-suriname-resumes-after-safety-restriction-lifted/
Earlier recorded access
Source 1: full text
Source 2: full text
Source 3: full text</x:v>
      </x:c>
      <x:c r="P821" s="20" t="n">
        <x:v>1</x:v>
      </x:c>
      <x:c r="Q821" s="4" t="str">
        <x:v>South America</x:v>
      </x:c>
      <x:c r="R821" s="4" t="str">
        <x:v>Included</x:v>
      </x:c>
    </x:row>
    <x:row r="822" ht="270" hidden="0" customHeight="1">
      <x:c r="A822" s="16" t="str">
        <x:v>REC50-R46-005</x:v>
      </x:c>
      <x:c r="B822" s="4" t="str">
        <x:v>La Gabrielle international ferry scheduled maintenance suspension, September–October 2017</x:v>
      </x:c>
      <x:c r="C822" s="4" t="str">
        <x:v>French Guiana (France); Suriname</x:v>
      </x:c>
      <x:c r="D822" s="4" t="str">
        <x:v>La Gabrielle ferry, Saint-Laurent-du-Maroni–Albina
Saint-Laurent-du-Maroni–Albina international ferry route</x:v>
      </x:c>
      <x:c r="E822" s="4" t="str">
        <x:v>Scheduled ferry service; exact traffic composition not enumerated
Direction: International link; directions not separately enumerated
Exceptions: No statement suspends private pirogues, all vessels or all nationality admission.</x:v>
      </x:c>
      <x:c r="F822" s="4" t="str">
        <x:v>REC50-R46-005-P1 — Announced window
Planned La Gabrielle ferry maintenance stop between Saint-Laurent-du-Maroni and Albina
Scheduled start: 2017-09-25.
Scheduled final closed day: 2017-10-30, inclusive.
The intended window exceeds 24 hours; actual stoppage duration and first resumed sailing are unverified.
Later availability evidence: a 2017-12-15 official notice describes current fare collection by cash or cheque. This supports an inference of service availability by that date, not an exact reopening.</x:v>
      </x:c>
      <x:c r="G822" s="4" t="str">
        <x:v>Administration and service operation / Temporary service suspension
Officially stated reason
DEAL scheduled the named ferry’s maintenance and repair work.</x:v>
      </x:c>
      <x:c r="H822" s="4" t="str">
        <x:v>The September official notice survives as complete indexed HTML and PDF text; direct retrieval failed. It provides planned dates only, including October 30 as a closed day. No observed October 31 return is invented. The December 15 cash/cheque notice implies later ferry availability; a separate notice schedules extra holiday rotations. Neither proves the first return or continuous maintenance closure until December. The 2017 protest disruptions, later pontoon damage, and restrictions on other boats remain separate.</x:v>
      </x:c>
      <x:c r="I822" s="4" t="str">
        <x:v>Second full-register audit, 26 October 2026: additional source-audited corrections incorporated. See the phase, scope and qualification columns for the accepted findings.</x:v>
      </x:c>
      <x:c r="J822" s="18" t="d">
        <x:v>2026-10-26T00:00:00.000Z</x:v>
      </x:c>
      <x:c r="K822" s="21" t="str">
        <x:f>IFERROR(HYPERLINK("https://www.guyane.developpement-durable.gouv.fr/communique-de-presse-bac-international-la-a1936.html","DEAL Guyane / DGTM government archive"),"DEAL Guyane / DGTM government archive")</x:f>
        <x:v>DEAL Guyane / DGTM government archive</x:v>
      </x:c>
      <x:c r="L822" s="21"/>
      <x:c r="M822" s="21"/>
      <x:c r="N822" s="4" t="str">
        <x:v>https://www.guyane.developpement-durable.gouv.fr/communique-de-presse-bac-international-la-a1936.html
https://www.guyane.developpement-durable.gouv.fr/IMG/pdf/com.presse_bac_la_gabrielle_-_arret_technique_-.pdf
https://www.guyane.developpement-durable.gouv.fr/bac-la-gabrielle-indisponibilite-du-terminal-de-a2094.html
https://www.guyane.developpement-durable.gouv.fr/fetes-de-fin-d-annee-rotations-supplementaires-du-a2093.html</x:v>
      </x:c>
      <x:c r="O822" s="4" t="str">
        <x:v>Second full-register audit source access, 26 October 2026
https://www.guyane.developpement-durable.gouv.fr/communique-de-presse-bac-international-la-a1936.html: search extract (fresh retrieval) — Direct page 403; indexed text inspected.
https://www.guyane.developpement-durable.gouv.fr/IMG/pdf/com.presse_bac_la_gabrielle_-_arret_technique_-.pdf: search extract (fresh retrieval) — Direct PDF 403; indexed text inspected.
https://www.guyane.developpement-durable.gouv.fr/bac-la-gabrielle-indisponibilite-du-terminal-de-a2094.html: full text (fresh retrieval) — No sailing log or first-return date.
https://www.guyane.developpement-durable.gouv.fr/fetes-de-fin-d-annee-rotations-supplementaires-du-a2093.html: full text (fresh retrieval) — Prospective timetable, not proof of each completed sailing.
Prior audit access record
Full-register audit source access (evidence cutoff 25 October 2026)
https://www.guyane.developpement-durable.gouv.fr/communique-de-presse-bac-international-la-a1936.html: search extract — Direct page 403; official indexed complete notice recovered.
Earlier recorded access
Source 1: full text</x:v>
      </x:c>
      <x:c r="P822" s="20" t="n">
        <x:v>1</x:v>
      </x:c>
      <x:c r="Q822" s="4" t="str">
        <x:v>South America</x:v>
      </x:c>
      <x:c r="R822" s="4" t="str">
        <x:v>Included</x:v>
      </x:c>
    </x:row>
    <x:row r="823" ht="306" hidden="0" customHeight="1">
      <x:c r="A823" s="16" t="str">
        <x:v>REC50-R47-001</x:v>
      </x:c>
      <x:c r="B823" s="4" t="str">
        <x:v>Adré Sudan-side humanitarian permit restriction and WFP return, February–August 2024</x:v>
      </x:c>
      <x:c r="C823" s="4" t="str">
        <x:v>Chad; Sudan</x:v>
      </x:c>
      <x:c r="D823" s="4" t="str">
        <x:v>Adré; no coordinates approved
Adré international land crossing into West Darfur</x:v>
      </x:c>
      <x:c r="E823" s="4" t="str">
        <x:v>Humanitarian truck consignments, including separately observed WFP food convoys
Direction: Chad into Sudan
Exceptions: March 13 authorisation for 60 trucks and WFP March/April convoys; Tine was a separately authorised route. No restriction on every traveller or all border crossings inferred.</x:v>
      </x:c>
      <x:c r="F823" s="4" t="str">
        <x:v>REC50-R47-001-P1 — Formal policy
Sudan-side authorisation for Chad-to-Darfur humanitarian consignments through Adré
Start: 2024-02-21.
Policy endpoint: 2024-08-15 to 2024-08-16.
Formal policy: dated evidence; numeric duration withheld; see qualification
REC50-R47-001-P2 — Observed operation
WFP food-truck entry through Adré following renewed Sudanese permission
Start: unknown.
Observed scoped reopening: 2024-08-20.
dated evidence; numeric duration withheld; see qualification</x:v>
      </x:c>
      <x:c r="G823" s="4" t="str">
        <x:v>Security / Armed conflict and military confrontation
Reuters attributes the February restriction to government allegations of weapons deliveries through the route.
Applies to: Sudan-side humanitarian permit restriction, P1; not an allegation of WFP conduct
Government-attributed security explanation only; the allegation is not independently established and is not transferred into a finding about the convoys.</x:v>
      </x:c>
      <x:c r="H823" s="4" t="str">
        <x:v>REC50-R47-001-P1: The February withdrawal had documented March/April exceptions. August 15–16 permission is distinct from actual WFP food-truck entry on August 20. The initial restriction was administrative; physical control of the crossing was separately attributed to the RSF. No continuous all-aid or all-traffic closure is claimed.
REC50-R47-001-P2: Endpoint-only observation. The last March/April exceptional shipment and onset of the subsequent WFP interruption are not dated. No complete February–August operational spell, all-agency return, or arrival at final destinations is inferred.</x:v>
      </x:c>
      <x:c r="I823" s="4" t="str">
        <x:v>Second full-register audit, 26 October 2026: source checks completed; readability or formatting changes incorporated. No additional substantive factual correction is counted for this record.</x:v>
      </x:c>
      <x:c r="J823" s="18" t="d">
        <x:v>2026-10-26T00:00:00.000Z</x:v>
      </x:c>
      <x:c r="K823" s="21" t="str">
        <x:f>IFERROR(HYPERLINK("https://logcluster.org/sites/default/files/public/2025-03/250306sudanlcoperation-overviewjanuary-december-2024.pdf","Logistics Cluster"),"Logistics Cluster")</x:f>
        <x:v>Logistics Cluster</x:v>
      </x:c>
      <x:c r="L823" s="21" t="str">
        <x:f>IFERROR(HYPERLINK("https://sudan.un.org/en/276741-top-un-official-sudan-hails-re-opening-adre-border-crossing-point-chad-darfur","United Nations Sudan"),"United Nations Sudan")</x:f>
        <x:v>United Nations Sudan</x:v>
      </x:c>
      <x:c r="M823" s="21" t="str">
        <x:f>IFERROR(HYPERLINK("https://www.wfp.org/news/first-wfp-trucks-cross-sudans-reopened-adre-border-food-communities-risk-famine","World Food Programme"),"World Food Programme")</x:f>
        <x:v>World Food Programme</x:v>
      </x:c>
      <x:c r="N823" s="4" t="str">
        <x:v>https://logcluster.org/sites/default/files/public/2025-03/250306sudanlcoperation-overviewjanuary-december-2024.pdf
https://sudan.un.org/en/276741-top-un-official-sudan-hails-re-opening-adre-border-crossing-point-chad-darfur
https://www.wfp.org/news/first-wfp-trucks-cross-sudans-reopened-adre-border-food-communities-risk-famine
https://www.reuters.com/world/africa/sudan-open-adre-border-crossing-three-months-facilitate-aid-2024-08-15/</x:v>
      </x:c>
      <x:c r="O823" s="4" t="str">
        <x:v>Second full-register audit source access, 26 October 2026
https://logcluster.org/sites/default/files/public/2025-03/250306sudanlcoperation-overviewjanuary-december-2024.pdf: full text (fresh retrieval)
https://sudan.un.org/en/276741-top-un-official-sudan-hails-re-opening-adre-border-crossing-point-chad-darfur: full text (fresh retrieval)
https://www.wfp.org/news/first-wfp-trucks-cross-sudans-reopened-adre-border-food-communities-risk-famine: full text (fresh retrieval)
https://www.reuters.com/world/africa/sudan-open-adre-border-crossing-three-months-facilitate-aid-2024-08-15/: full text (fresh retrieval)
Prior audit access record
Full-register audit source access (evidence cutoff 25 October 2026)
https://logcluster.org/sites/default/files/public/2025-03/250306sudanlcoperation-overviewjanuary-december-2024.pdf: full text
https://sudan.un.org/en/276741-top-un-official-sudan-hails-re-opening-adre-border-crossing-point-chad-darfur: full text
https://www.wfp.org/news/first-wfp-trucks-cross-sudans-reopened-adre-border-food-communities-risk-famine: full text
https://www.reuters.com/world/africa/sudan-open-adre-border-crossing-three-months-facilitate-aid-2024-08-15/: full text
Earlier recorded access
Source 1: full text
Source 2: full text
Source 3: full text</x:v>
      </x:c>
      <x:c r="P823" s="20" t="n">
        <x:v>2</x:v>
      </x:c>
      <x:c r="Q823" s="4" t="str">
        <x:v>Northeast Africa</x:v>
      </x:c>
      <x:c r="R823" s="4" t="str">
        <x:v>Included</x:v>
      </x:c>
    </x:row>
    <x:row r="824" ht="366" hidden="0" customHeight="1">
      <x:c r="A824" s="16" t="str">
        <x:v>REC50-R47-002</x:v>
      </x:c>
      <x:c r="B824" s="4" t="str">
        <x:v>Bab al-Hawa UN cross-border humanitarian convoy interruption and September 2023 return</x:v>
      </x:c>
      <x:c r="C824" s="4" t="str">
        <x:v>Türkiye; Syria</x:v>
      </x:c>
      <x:c r="D824" s="4" t="str">
        <x:v>Bab al-Hawa / Cilvegözü; no coordinates approved
Bab al-Hawa international crossing, northwest Syria</x:v>
      </x:c>
      <x:c r="E824" s="4" t="str">
        <x:v>UN humanitarian convoy service
Direction: Türkiye into Syria
Exceptions: This packet does not establish restrictions on other aid providers, private trade or passengers.</x:v>
      </x:c>
      <x:c r="F824" s="4" t="str">
        <x:v>REC50-R47-002-P1 — Observed operation
UN humanitarian convoy service from Türkiye into northwest Syria through Bab al-Hawa
Start: unknown.
Observed scoped reopening: 2023-09-19.
The UN explicitly identifies September 19 as the first convoy through this crossing since the authorization expired on July 10. This supports a service interruption exceeding 24 hours. The exact first cancelled service and exact elapsed duration remain unknown.</x:v>
      </x:c>
      <x:c r="G824" s="4" t="str">
        <x:v>Administration and service operation
UN and government oversight reporting link the interruption and return to the cross-border authorisation and consent arrangements.
Applies to: UN-service interruption and restoration in 2023
Administrative service basis only; no political, security or other purpose is inferred from the legal impasse.</x:v>
      </x:c>
      <x:c r="H824" s="4" t="str">
        <x:v>REC50-R47-002-P1: The first returning UN convoy is confirmed on September 19, 2023 by the UN briefing, full Logistics Cluster meeting minutes and AP field reporting. The Security Council mandate expired July 10, but the precise first cancelled operational service is not independently timed. August and September consent steps are not actual convoy returns. AP’s reference to alternative-route use since July 9 is not used to replace the UN authorization chronology. Other aid providers, commerce and passengers remain outside this phase. The original UN briefing is available as a substantive indexed extract and its direct body remains blocked; the Logistics Cluster PDF and AP republication were read in full. The UN’s explicit first-convoy-since-July-10 statement establishes a prolonged absence of this particular convoy service and supports greater-than-24-hour eligibility; uncertainty over the first missed scheduled convoy does not reduce it to an unknown-duration same-day event.</x:v>
      </x:c>
      <x:c r="I824" s="4" t="str">
        <x:v>Second full-register audit, 26 October 2026: additional source-audited corrections incorporated. See the phase, scope and qualification columns for the accepted findings.</x:v>
      </x:c>
      <x:c r="J824" s="18" t="d">
        <x:v>2026-10-26T00:00:00.000Z</x:v>
      </x:c>
      <x:c r="K824" s="21" t="str">
        <x:f>IFERROR(HYPERLINK("https://www.un.org/sg/en/content/highlight/2023-09-19.html","United Nations Secretary-General spokesperson"),"United Nations Secretary-General spokesperson")</x:f>
        <x:v>United Nations Secretary-General spokesperson</x:v>
      </x:c>
      <x:c r="L824" s="21" t="str">
        <x:f>IFERROR(HYPERLINK("https://media.defense.gov/2023/Nov/27/2003347442/-1/-1/1/OIR_Q4_SEP2023_FINAL_508.PDF","US Lead Inspector General agencies"),"US Lead Inspector General agencies")</x:f>
        <x:v>US Lead Inspector General agencies</x:v>
      </x:c>
      <x:c r="M824" s="21"/>
      <x:c r="N824" s="4" t="str">
        <x:v>https://www.un.org/sg/en/content/highlight/2023-09-19.html
https://media.defense.gov/2023/Nov/27/2003347442/-1/-1/1/OIR_Q4_SEP2023_FINAL_508.PDF
https://logcluster.org/sites/default/files/public/2023-10/logistics-clustercoordination-gaziantepmeeting-minutes_20231004.pdf
https://www.kurdistan24.net/en/story/32624-Strategic-border-crossing-reopens-allowing-UN-aid-to-reach-rebel-held-northwest-Syria</x:v>
      </x:c>
      <x:c r="O824" s="4" t="str">
        <x:v>Second full-register audit source access, 26 October 2026
https://www.un.org/sg/en/content/highlight/2023-09-19.html: search extract (fresh retrieval) — Substantive original briefing indexed; direct page verification screen.
https://logcluster.org/sites/default/files/public/2023-10/logistics-clustercoordination-gaziantepmeeting-minutes_20231004.pdf: full text (fresh retrieval) — Copied today/month wording and tonnage differ; explicit September 19 date is corroborated.
https://www.kurdistan24.net/en/story/32624-Strategic-border-crossing-reopens-allowing-UN-aid-to-reach-rebel-held-northwest-Syria: full text (fresh retrieval)
https://media.defense.gov/2023/Nov/27/2003347442/-1/-1/1/OIR_Q4_SEP2023_FINAL_508.PDF: inaccessible (fresh retrieval) — PDF returned 403 and is not used to verify any claim.
Prior audit access record
Full-register audit source access (evidence cutoff 25 October 2026)
https://www.un.org/sg/en/content/highlight/2023-09-19.html: search extract — Direct body blocked by verification screen.
https://logcluster.org/sites/default/files/public/2023-10/logistics-clustercoordination-gaziantepmeeting-minutes_20231004.pdf: full text — Report contains copied today/month wording and differing tonnage; only explicit dated resumption used.
https://www.kurdistan24.net/en/story/32624-Strategic-border-crossing-reopens-allowing-UN-aid-to-reach-rebel-held-northwest-Syria: full text
https://media.defense.gov/2023/Nov/27/2003347442/-1/-1/1/OIR_Q4_SEP2023_FINAL_508.PDF: inaccessible — 403 response.
Earlier recorded access
Source 1: indexed extract
Source 2: indexed extract</x:v>
      </x:c>
      <x:c r="P824" s="20" t="n">
        <x:v>1</x:v>
      </x:c>
      <x:c r="Q824" s="4" t="str">
        <x:v>Middle East</x:v>
      </x:c>
      <x:c r="R824" s="4" t="str">
        <x:v>Included</x:v>
      </x:c>
    </x:row>
    <x:row r="825" ht="409" hidden="0" customHeight="1">
      <x:c r="A825" s="16" t="str">
        <x:v>REC50-R47-003</x:v>
      </x:c>
      <x:c r="B825" s="4" t="str">
        <x:v>Bangladesh Rohingya land-admission denials at Ukhia/Ghumdhum, November–December 2016</x:v>
      </x:c>
      <x:c r="C825" s="4" t="str">
        <x:v>Myanmar; Bangladesh</x:v>
      </x:c>
      <x:c r="D825" s="4" t="str">
        <x:v>Ukhia/Ghumdhum sector descriptions only; unlocated
Ukhia and Ghumdhum land-border sectors; no exact formal gate established</x:v>
      </x:c>
      <x:c r="E825" s="4" t="str">
        <x:v>Rohingya civilians seeking entry
Direction: Myanmar into Bangladesh
Exceptions: Many people entered despite the admission restriction. Amnesty reports selective admission of especially vulnerable women and children from late November 2016, with a 30 November Foreign Minister statement acknowledging vulnerable cases. The extent and central authorization of these practices are unclear; they do not establish universal admission or a reopening of a named gate.</x:v>
      </x:c>
      <x:c r="F825" s="4" t="str">
        <x:v>REC50-R47-003-P1 — Intermittent regime
Rohingya entry denial reported in Ukhia/Ghumdhum land-border sectors; exact gate unresolved
Start: unknown.
Last confirmed: 2016-12-01. Reopening is not established.
Intermittent regime envelope; total closed days unknown</x:v>
      </x:c>
      <x:c r="G825" s="4" t="str">
        <x:v>Migration / Entry and asylum control
Amnesty reproduces the Bangladesh Home Minister’s November 23 statement through The Hindu about preventing Rohingya immigration; named BGB officials describe entry denials.
Applies to: Late-2016 land-admission observations
Officially attributed admission-control purpose. The minister’s terminology is not adopted as an independent legal status judgment; no ethnic hostility motive or universal physical seal is inferred.</x:v>
      </x:c>
      <x:c r="H825" s="4" t="str">
        <x:v>REC50-R47-003-P1: BGB-attributed land-admission denials are observed November 21 and December 1. Their first onset, intervening continuity and end are unknown; the wider policy coexisted with substantial actual entry. Naf River/sea interceptions and the separate return of people detained in 2015 are excluded. Inclusion is a government land-admission restriction, not an established closure of a particular formal gate. Exact sector binding remains unlocated.
Amnesty’s wider account reports selective humanitarian admission from late November 2016, alongside continuing pushbacks. This is a qualification of the admission regime, not an exact endpoint for the Ukhia/Ghumdhum land observations. The separately recorded UNHCR “urges open borders” webpage is dated 29 August 2017 and concerns a later displacement episode; it does not verify a 2016 reopening.</x:v>
      </x:c>
      <x:c r="I825" s="4" t="str">
        <x:v>Second full-register audit, 26 October 2026: additional source-audited corrections incorporated. See the phase, scope and qualification columns for the accepted findings.</x:v>
      </x:c>
      <x:c r="J825" s="18" t="d">
        <x:v>2026-10-26T00:00:00.000Z</x:v>
      </x:c>
      <x:c r="K825" s="21" t="str">
        <x:f>IFERROR(HYPERLINK("https://www.amnesty.org/en/wp-content/uploads/2021/05/ASA1653622016ENGLISH.pdf","Amnesty International"),"Amnesty International")</x:f>
        <x:v>Amnesty International</x:v>
      </x:c>
      <x:c r="L825" s="21" t="str">
        <x:f>IFERROR(HYPERLINK("https://www.observerbd.com/news/44822","The Daily Observer / bdnews24.com"),"The Daily Observer / bdnews24.com")</x:f>
        <x:v>The Daily Observer / bdnews24.com</x:v>
      </x:c>
      <x:c r="M825" s="21" t="str">
        <x:f>IFERROR(HYPERLINK("https://www.dhakatribune.com/amp/bangladesh/11012/bgb-sends-back-119-rohingyas","Dhaka Tribune"),"Dhaka Tribune")</x:f>
        <x:v>Dhaka Tribune</x:v>
      </x:c>
      <x:c r="N825" s="4" t="str">
        <x:v>https://www.amnesty.org/en/wp-content/uploads/2021/05/ASA1653622016ENGLISH.pdf
https://www.observerbd.com/news/44822
https://www.dhakatribune.com/amp/bangladesh/11012/bgb-sends-back-119-rohingyas
https://www.unhcr.org/uk/news/briefing-notes/unhcr-urges-open-borders-people-fleeing-violence-myanmars-rakhine-state
https://data.unhcr.org/fr/documents/download/122439</x:v>
      </x:c>
      <x:c r="O825" s="4" t="str">
        <x:v>Second full-register audit source access, 26 October 2026
https://www.observerbd.com/news/44822: full text (fresh retrieval)
https://www.dhakatribune.com/amp/bangladesh/11012/bgb-sends-back-119-rohingyas: full text (fresh retrieval) — Headline and component totals differ; no total adopted
https://www.amnesty.org/en/wp-content/uploads/2021/05/ASA1653622016ENGLISH.pdf: full text (fresh retrieval) — Wider national evidence does not locate every exception at named land sector
https://www.unhcr.org/uk/news/briefing-notes/unhcr-urges-open-borders-people-fleeing-violence-myanmars-rakhine-state: search extract (fresh retrieval) — Direct opening rate limited; indexed date/body inspected
Earlier URLs not separately inspected in this second assessment:
https://data.unhcr.org/fr/documents/download/122439
Prior audit access record
Full-register audit source access (evidence cutoff 25 October 2026)
https://www.observerbd.com/news/44822: full text — Use only for the described date and scope; no unobserved continuity inferred.
https://www.dhakatribune.com/amp/bangladesh/11012/bgb-sends-back-119-rohingyas: full text — Use only for the described date and scope; no unobserved continuity inferred.
https://www.amnesty.org/en/wp-content/uploads/2021/05/ASA1653622016ENGLISH.pdf: full text — Use only for the described date and scope; no unobserved continuity inferred.
https://data.unhcr.org/fr/documents/download/122439: full text — Use only for the described date and scope; no unobserved continuity inferred.
Earlier source URLs not separately listed in this audit’s retrieval log (historical access notes below are not fresh verification):
https://www.unhcr.org/uk/news/briefing-notes/unhcr-urges-open-borders-people-fleeing-violence-myanmars-rakhine-state
Earlier recorded access
Source 1: full text
Source 2: full text
Source 3: full text</x:v>
      </x:c>
      <x:c r="P825" s="20" t="n">
        <x:v>1</x:v>
      </x:c>
      <x:c r="Q825" s="4" t="str">
        <x:v>South Asia</x:v>
      </x:c>
      <x:c r="R825" s="4" t="str">
        <x:v>Included</x:v>
      </x:c>
    </x:row>
    <x:row r="826" ht="366" hidden="0" customHeight="1">
      <x:c r="A826" s="16" t="str">
        <x:v>REC50-R48-001</x:v>
      </x:c>
      <x:c r="B826" s="4" t="str">
        <x:v>Alashankou cross-border trucking suspension reported in August 2021</x:v>
      </x:c>
      <x:c r="C826" s="4" t="str">
        <x:v>China; Kazakhstan</x:v>
      </x:c>
      <x:c r="D826" s="4" t="str">
        <x:v>Alashankou road crossing; railway excluded
Alashankou road-freight component only</x:v>
      </x:c>
      <x:c r="E826" s="4" t="str">
        <x:v>Cross-border road freight
Direction: Not separately established
Exceptions: Detailed goods and directional exemptions unknown; rail traffic is not treated as stopped.</x:v>
      </x:c>
      <x:c r="F826" s="4" t="str">
        <x:v>REC50-R48-001-P1 — Observed operation
Carrier-reported cross-border trucking suspension through Alashankou
Start: unknown.
Last confirmed: 2021-08-20. Later road-freight access is established by 2021-10-29; exact first reopening is not established.
dated evidence; numeric duration withheld; see qualification
Earlier later-access bound: the Xinjiang Transport Department report published 29 October 2021 expressly lists Alashankou among road ports retaining freight clearance, in its first-three-quarter operational review. Use 2021-10-29 as a conservative later road-freight access bound, replacing the much later September 2026 bound. The report does not give the original August restart day, detailed commodity exceptions, or uninterrupted access during the quarter. Its general continuity wording does not erase GEODIS’s August 20 trucking suspension observation.</x:v>
      </x:c>
      <x:c r="G826" s="4" t="str">
        <x:v>Uncoded
The carrier places the observation amid COVID disruption, but a road-specific official explanation is not recovered.
Applies to: REC50-R48-001-P1
Do not infer an imposing authority or official rationale solely from the city lockdown/rail evidence.</x:v>
      </x:c>
      <x:c r="H826" s="4" t="str">
        <x:v>REC50-R48-001-P1: GEODIS’s 20 August 2021 advisory explicitly separates suspended cross-border trucking from congested rail. Exact road onset, authority and cargo exceptions are unknown. NIA observes trains moving on August 16–17; these are not road reopening evidence. Later battery-only and rail-planning entries do not extend the entire road cohort.
Earlier later-access bound: the Xinjiang Transport Department report published 29 October 2021 expressly lists Alashankou among road ports retaining freight clearance, in its first-three-quarter operational review. Use 2021-10-29 as a conservative later road-freight access bound, replacing the much later September 2026 bound. The report does not give the original August restart day, detailed commodity exceptions, or uninterrupted access during the quarter. Its general continuity wording does not erase GEODIS’s August 20 trucking suspension observation.</x:v>
      </x:c>
      <x:c r="I826" s="4" t="str">
        <x:v>Second full-register audit, 26 October 2026: qualified. GEODIS road suspension and the October 29 road-access bound are supported; the key named-port paragraph is recoverable only through the substantive index, not the incomplete page parser.</x:v>
      </x:c>
      <x:c r="J826" s="18" t="d">
        <x:v>2026-10-26T00:00:00.000Z</x:v>
      </x:c>
      <x:c r="K826" s="21" t="str">
        <x:f>IFERROR(HYPERLINK("https://geodis.com/customer-advisory-2022-2021-archives","GEODIS"),"GEODIS")</x:f>
        <x:v>GEODIS</x:v>
      </x:c>
      <x:c r="L826" s="21" t="str">
        <x:f>IFERROR(HYPERLINK("https://www.nia.gov.cn/n741435/n741532/c1435466/content.html","China National Immigration Administration, relaying People’s Public Security News"),"China National Immigration Administration, relaying People’s Public Security News")</x:f>
        <x:v>China National Immigration Administration, relaying People’s Public Security News</x:v>
      </x:c>
      <x:c r="M826" s="21" t="str">
        <x:f>IFERROR(HYPERLINK("https://m.mysteel.com/21/0818/09/3F3236FA0B1B4044_abc.html","Mysteel"),"Mysteel")</x:f>
        <x:v>Mysteel</x:v>
      </x:c>
      <x:c r="N826" s="4" t="str">
        <x:v>https://geodis.com/customer-advisory-2022-2021-archives
https://www.nia.gov.cn/n741435/n741532/c1435466/content.html
https://m.mysteel.com/21/0818/09/3F3236FA0B1B4044_abc.html
https://jtyst.xinjiang.gov.cn/xjjtysj/jttj/202112/be1520c8b367493b99fdc47451481517.shtml
https://www.alsk.gov.cn/alsk/c129990/202609/8f0ee74b5de744dba9486a82a2ed0967.shtml</x:v>
      </x:c>
      <x:c r="O826" s="4" t="str">
        <x:v>Second full-register audit source access, 26 October 2026
https://geodis.com/customer-advisory-2022-2021-archives: full text (fresh retrieval)
https://jtyst.xinjiang.gov.cn/xjjtysj/jttj/202112/be1520c8b367493b99fdc47451481517.shtml: search extract (fresh retrieval) — Direct parser omitted decisive named-port paragraph; substantive indexed paragraph inspected.
Earlier URLs not separately inspected in this second assessment:
https://www.nia.gov.cn/n741435/n741532/c1435466/content.html
https://m.mysteel.com/21/0818/09/3F3236FA0B1B4044_abc.html
https://www.alsk.gov.cn/alsk/c129990/202609/8f0ee74b5de744dba9486a82a2ed0967.shtml
Prior audit access record
Full-register audit source access (evidence cutoff 25 October 2026)
https://geodis.com/customer-advisory-2022-2021-archives: full text — See specific claim qualifications.
https://www.nia.gov.cn/n741435/n741532/c1435466/content.html: full text — See specific claim qualifications.
https://jtyst.xinjiang.gov.cn/xjjtysj/jttj/202112/be1520c8b367493b99fdc47451481517.shtml: full text — See specific claim qualifications.
https://www.alsk.gov.cn/alsk/c129990/202609/8f0ee74b5de744dba9486a82a2ed0967.shtml: full text — See specific claim qualifications.
https://m.mysteel.com/21/0818/09/3F3236FA0B1B4044_abc.html: inaccessible — See specific claim qualifications.
Earlier recorded access
Source 1: full text
Source 2: full text
Source 3: indexed extract</x:v>
      </x:c>
      <x:c r="P826" s="20" t="n">
        <x:v>1</x:v>
      </x:c>
      <x:c r="Q826" s="4" t="str">
        <x:v>East Asia</x:v>
      </x:c>
      <x:c r="R826" s="4" t="str">
        <x:v>Included</x:v>
      </x:c>
    </x:row>
    <x:row r="827" ht="342" hidden="0" customHeight="1">
      <x:c r="A827" s="16" t="str">
        <x:v>REC50-R48-002</x:v>
      </x:c>
      <x:c r="B827" s="4" t="str">
        <x:v>Latvia restricts Russian-registered vehicle entry at its Russian and Belarusian frontiers, September2023</x:v>
      </x:c>
      <x:c r="C827" s="4" t="str">
        <x:v>Latvia; Russia; Belarus</x:v>
      </x:c>
      <x:c r="D827" s="4" t="str">
        <x:v>Specific posts not exhaustively named in the notice
Latvia’s external road frontier with Russia and Belarus</x:v>
      </x:c>
      <x:c r="E827" s="4" t="str">
        <x:v>Russian-registered vehicles
Direction: Into Latvia / EU
Exceptions: EU/Member-State diplomatic and consular-use vehicles excepted; reverse exit permitted if the car is not declared goods and serves as transport.</x:v>
      </x:c>
      <x:c r="F827" s="4" t="str">
        <x:v>REC50-R48-002-P1 — Formal policy
Russian-registered vehicle entry through Latvian–Russian and Latvian–Belarusian border posts
Start: 2023-09-12.
Initial policy effective: 2023-09-12 at 18:00.
Separate current policy observation: official MFA FAQ retrieved 2026-10-25 retains the restriction. Reopening is not established.
Formal policy: dated evidence; numeric duration withheld; see qualification</x:v>
      </x:c>
      <x:c r="G827" s="4" t="str">
        <x:v>Interstate disputes and pressure / Sanctions and coercive pressure
The customs notice applies the EU sanctions regulation and Commission interpretation.
Applies to: REC50-R48-002-P1
Policy purpose attributed to the national customs announcement; no separate personal-admission rationale inferred.</x:v>
      </x:c>
      <x:c r="H827" s="4" t="str">
        <x:v>The customs announcement establishes September 12, 2023 at 18:00 as the formal start. EU and member-state diplomatic/consular-use vehicles are excepted; reverse exit is permitted when the car is used as transport and not declared as goods. The official MFA FAQ retrieved October 25, 2026 still states the restriction for Russian-registered vehicles at the Russian and Belarusian frontiers. This is a separate current policy observation, not proof of unchanged daily enforcement. First physical refusal and a complete amendment/exception chronology remain unknown. Direct retrieval of the English original timed out; substantive indexed government text was inspected.</x:v>
      </x:c>
      <x:c r="I827" s="4" t="str">
        <x:v>Second full-register audit, 26 October 2026: qualified. Fresh official FAQ and original indexed notice support the accepted September 12 clock and frontier scope; domestic 2024 use restrictions are separate.</x:v>
      </x:c>
      <x:c r="J827" s="18" t="d">
        <x:v>2026-10-26T00:00:00.000Z</x:v>
      </x:c>
      <x:c r="K827" s="21" t="str">
        <x:f>IFERROR(HYPERLINK("https://www.vid.gov.lv/en/article/persons-vehicles-registered-russian-federation-are-banned-entering-latvia","Latvian State Revenue Service"),"Latvian State Revenue Service")</x:f>
        <x:v>Latvian State Revenue Service</x:v>
      </x:c>
      <x:c r="L827" s="21"/>
      <x:c r="M827" s="21"/>
      <x:c r="N827" s="4" t="str">
        <x:v>https://www.vid.gov.lv/en/article/persons-vehicles-registered-russian-federation-are-banned-entering-latvia
https://www.vid.gov.lv/lv/jaunums/persona-ar-krievijas-federacija-registretu-transportlidzekli-turpmak-nevares-iebraukt-latvija
https://www.mfa.gov.lv/lv/biezak-uzdotie-jautajumi
https://www.mfa.gov.lv/lv/media/8460/download?attachment=
https://www.liepajniekiem.lv/zinas/sabiedriba/latvija/lietuva-neielaidis-automasinas-ar-krievijas-numura-zimem/</x:v>
      </x:c>
      <x:c r="O827" s="4" t="str">
        <x:v>Second full-register audit source access, 26 October 2026
https://www.vid.gov.lv/lv/jaunums/persona-ar-krievijas-federacija-registretu-transportlidzekli-turpmak-nevares-iebraukt-latvija: search extract (fresh retrieval) — Substantive indexed original; direct page repeatedly times out.
https://www.mfa.gov.lv/lv/media/8460/download?attachment=: full text (fresh retrieval) — Undated current PDF; retrieval is not its publication date.
https://www.liepajniekiem.lv/zinas/sabiedriba/latvija/lietuva-neielaidis-automasinas-ar-krievijas-numura-zimem/: search extract (fresh retrieval) — Indexed text combines Latvian and Estonian material; only explicitly Latvian paragraphs used.
Earlier URLs not separately inspected in this second assessment:
https://www.vid.gov.lv/en/article/persons-vehicles-registered-russian-federation-are-banned-entering-latvia
https://www.mfa.gov.lv/lv/biezak-uzdotie-jautajumi
Prior audit access record
Full-register audit source access (evidence cutoff 25 October 2026)
https://www.vid.gov.lv/en/article/persons-vehicles-registered-russian-federation-are-banned-entering-latvia: search extract
https://www.vid.gov.lv/lv/jaunums/persona-ar-krievijas-federacija-registretu-transportlidzekli-turpmak-nevares-iebraukt-latvija: search extract
https://www.mfa.gov.lv/lv/biezak-uzdotie-jautajumi: search extract
https://www.vid.gov.lv/en/article/persons-vehicles-registered-russian-federation-are-banned-entering-latvia: inaccessible
Earlier recorded access
Source 1: indexed extract</x:v>
      </x:c>
      <x:c r="P827" s="20" t="n">
        <x:v>1</x:v>
      </x:c>
      <x:c r="Q827" s="4" t="str">
        <x:v>Europe</x:v>
      </x:c>
      <x:c r="R827" s="4" t="str">
        <x:v>Included</x:v>
      </x:c>
    </x:row>
    <x:row r="828" ht="409" hidden="0" customHeight="1">
      <x:c r="A828" s="16" t="str">
        <x:v>REC50-R48-003</x:v>
      </x:c>
      <x:c r="B828" s="4" t="str">
        <x:v>Lithuania restricts Russian-registered car entry, with Kaliningrad transit exceptions, September2023</x:v>
      </x:c>
      <x:c r="C828" s="4" t="str">
        <x:v>Lithuania; Russia; Belarus; Kaliningrad transit context</x:v>
      </x:c>
      <x:c r="D828" s="4" t="str">
        <x:v>No September2023 post list; March2024 Medininkai seizure is later context
National vehicle-entry rule; exactSeptember refusal posts not listed</x:v>
      </x:c>
      <x:c r="E828" s="4" t="str">
        <x:v>Russian-registered passenger cars
Direction: Into Lithuania / EU
Exceptions: Kaliningrad transit by Russian citizens with a simplified transit document, the vehicle owner present, and transit completed within 24 hours, directly reported September 29, 2023. Exact first adoption of every condition is not established.</x:v>
      </x:c>
      <x:c r="F828" s="4" t="str">
        <x:v>REC50-R48-003-P1 — Formal policy
Lithuanian entry restriction on Russian-registered cars, apart from qualified Kaliningrad transit
Start: 2023-09-11.
Last confirmed: 2023-09-29. Reopening is not established.
Formal policy: dated evidence; numeric duration withheld; see qualification</x:v>
      </x:c>
      <x:c r="G828" s="4" t="str">
        <x:v>Interstate disputes and pressure / Sanctions and coercive pressure
Customs-attributed reports identify application of EU sanctions.
Applies to: REC50-R48-003-P1
Retain national scope and transit conditions; no common all-European vehicle interval.</x:v>
      </x:c>
      <x:c r="H828" s="4" t="str">
        <x:v>BNS/LRT dates the rule to September 11, 2023 and reports actual turn-backs by September 18. The Lithuanian-language September 29 LRT report, explicitly reproducing customs information, already states the Russian-citizen and simplified-transit-document conditions, owner presence and 24-hour Kaliningrad transit limit. These conditions therefore have a dated September 2023 observation, not merely March 2024 support; their exact first adoption remains unknown. The departure grace period and March 2024 outward seizure are later enforcement, not reopening. Standing FCDO advice retains the vehicle ban with qualified Kaliningrad transit, but a complete primary amendment history remains unavailable.</x:v>
      </x:c>
      <x:c r="I828" s="4" t="str">
        <x:v>Second full-register audit, 26 October 2026: additional source-audited corrections incorporated. See the phase, scope and qualification columns for the accepted findings.</x:v>
      </x:c>
      <x:c r="J828" s="18" t="d">
        <x:v>2026-10-26T00:00:00.000Z</x:v>
      </x:c>
      <x:c r="K828" s="21" t="str">
        <x:f>IFERROR(HYPERLINK("https://www.lrt.lt/en/news-in-english/19/2079643/lithuania-denies-entry-to-58-russian-cars-in-past-week","BNS via LRT"),"BNS via LRT")</x:f>
        <x:v>BNS via LRT</x:v>
      </x:c>
      <x:c r="L828" s="21" t="str">
        <x:f>IFERROR(HYPERLINK("https://www.lrt.lt/en/news-in-english/19/2088440/lithuania-gives-6-months-for-russian-cars-to-leave","LRT"),"LRT")</x:f>
        <x:v>LRT</x:v>
      </x:c>
      <x:c r="M828" s="21" t="str">
        <x:f>IFERROR(HYPERLINK("https://www.delfi.lt/en/politics/first-car-with-russian-number-plates-detained-in-lithuania-96100697","ELTA English via Delfi"),"ELTA English via Delfi")</x:f>
        <x:v>ELTA English via Delfi</x:v>
      </x:c>
      <x:c r="N828" s="4" t="str">
        <x:v>https://www.lrt.lt/en/news-in-english/19/2079643/lithuania-denies-entry-to-58-russian-cars-in-past-week
https://www.lrt.lt/en/news-in-english/19/2088440/lithuania-gives-6-months-for-russian-cars-to-leave
https://www.delfi.lt/en/politics/first-car-with-russian-number-plates-detained-in-lithuania-96100697
https://www.lrt.lt/en/news-in-english/19/2079643/lithuania-dienies-entry-to-58-russian-cars-in-past-week
https://lrmuitine.lt/web/guest/naujienos/aktualijos/aktualija?_EXT_WPLISTALLNEWS_obj_id=090004d2801c0361&amp;p_p_id=EXT_WPLISTALLNEWS&amp;p_p_lifecycle=0
https://www.gov.uk/foreign-travel-advice/lithuania/entry-requirements
https://www.lrt.lt/naujienos/verslas/4/2088421/lietuva-pareikalavo-kad-automobiliu-su-rusiskais-valstybiniais-numeriais-savininkai-per-6-menesius-issiveztu-juos-is-es</x:v>
      </x:c>
      <x:c r="O828" s="4" t="str">
        <x:v>Second full-register audit source access, 26 October 2026
https://www.lrt.lt/en/news-in-english/19/2079643/lithuania-dienies-entry-to-58-russian-cars-in-past-week: search extract (fresh retrieval) — Substantive indexed full body; direct English retrieval restricted.
https://www.lrt.lt/naujienos/verslas/4/2088421/lietuva-pareikalavo-kad-automobiliu-su-rusiskais-valstybiniais-numeriais-savininkai-per-6-menesius-issiveztu-juos-is-es: full text (fresh retrieval)
https://www.gov.uk/foreign-travel-advice/lithuania/entry-requirements: full text (fresh retrieval) — Other checkpoint/bus text is not used; no primary amendment chronology.
Earlier URLs not separately inspected in this second assessment:
https://www.lrt.lt/en/news-in-english/19/2079643/lithuania-denies-entry-to-58-russian-cars-in-past-week
https://www.lrt.lt/en/news-in-english/19/2088440/lithuania-gives-6-months-for-russian-cars-to-leave
https://www.delfi.lt/en/politics/first-car-with-russian-number-plates-detained-in-lithuania-96100697
https://lrmuitine.lt/web/guest/naujienos/aktualijos/aktualija?_EXT_WPLISTALLNEWS_obj_id=090004d2801c0361&amp;p_p_id=EXT_WPLISTALLNEWS&amp;p_p_lifecycle=0
Prior audit access record
Full-register audit source access (evidence cutoff 25 October 2026)
https://www.lrt.lt/en/news-in-english/19/2079643/lithuania-dienies-entry-to-58-russian-cars-in-past-week: search extract
https://www.lrt.lt/en/news-in-english/19/2088440/lithuania-gives-6-months-for-russian-cars-to-leave: full text
https://lrmuitine.lt/web/guest/naujienos/aktualijos/aktualija?_EXT_WPLISTALLNEWS_obj_id=090004d2801c0361&amp;p_p_id=EXT_WPLISTALLNEWS&amp;p_p_lifecycle=0: full text
https://www.delfi.lt/en/politics/first-car-with-russian-number-plates-detained-in-lithuania-96100697: full text
https://www.gov.uk/foreign-travel-advice/lithuania/entry-requirements: full text — Other checkpoint and bus statements on this page conflict and are not used.
Earlier source URLs not separately listed in this audit’s retrieval log (historical access notes below are not fresh verification):
https://www.lrt.lt/en/news-in-english/19/2079643/lithuania-denies-entry-to-58-russian-cars-in-past-week
Earlier recorded access
Source 1: indexed extract
Source 2: indexed extract
Source 3: full text</x:v>
      </x:c>
      <x:c r="P828" s="20" t="n">
        <x:v>1</x:v>
      </x:c>
      <x:c r="Q828" s="4" t="str">
        <x:v>Europe</x:v>
      </x:c>
      <x:c r="R828" s="4" t="str">
        <x:v>Included</x:v>
      </x:c>
    </x:row>
    <x:row r="829" ht="409" hidden="0" customHeight="1">
      <x:c r="A829" s="16" t="str">
        <x:v>REC50-R48-004</x:v>
      </x:c>
      <x:c r="B829" s="4" t="str">
        <x:v>Poland restricts Russian-registered passenger-car entry from September 17, 2023</x:v>
      </x:c>
      <x:c r="C829" s="4" t="str">
        <x:v>Poland; Russia and other non-EU arrival territories</x:v>
      </x:c>
      <x:c r="D829" s="4" t="str">
        <x:v>No exhaustive post list in the inspected notice
Vehicle entry through Polish external border crossings; no universal person ban</x:v>
      </x:c>
      <x:c r="E829" s="4" t="str">
        <x:v>Russian-registered passenger cars
Direction: Into Poland / EU
Exceptions: Driver citizenship does not exempt the car in the notice; full vehicle/diplomatic exception inventory unrecovered.</x:v>
      </x:c>
      <x:c r="F829" s="4" t="str">
        <x:v>REC50-R48-004-P1 — Formal policy
Prohibition on Russian-registered passenger-car entry at Polish external border crossings
Formal start: 2023-09-17 at 00:00.
Policy confirmed in force: 2023-09-18.
Actual refusal observed by: 2023-09-18; exact first-refusal date and clock unknown.
Reopening is not established; no complete operational duration.
Later formal-status confirmation: 2026-08-19, in a customs enforcement report.
Separate scoped implementation observation: a sanctioned passenger-car import attempt at Terespol was stopped by 2026-08-19; exact event day unknown. This is not a new onset or proof of unchanged enforcement at every gate.</x:v>
      </x:c>
      <x:c r="G829" s="4" t="str">
        <x:v>Interstate disputes and pressure / Sanctions and coercive pressure
The notice invokes EU restrictive measures concerning Russia’s actions in Ukraine.
Applies to: REC50-R48-004-P1
Official legal-policy attribution, not an all-person or all-vehicle restriction.</x:v>
      </x:c>
      <x:c r="H829" s="4" t="str">
        <x:v>The September 16 primary notice announced application from September 17; the September 18 customs publication confirms the rule was in force. A Border Guard response obtained on September 18 reports one actual vehicle refusal, subsequently located on the Russian frontier in a PAP report. This establishes implementation by September 18, not the exact first-refusal time or a complete operational interval. Driver citizenship did not exempt the car. The vehicle-class wording is not generalized to every road vehicle, and complete diplomatic/other exceptions, amendments and final lifting remain unresolved. An August 19, 2026 primary customs report describes detention at Terespol of a car whose plates were changed from Russian to Ukrainian before entry, and explicitly links enforcement to the September 17, 2023 rule. This supplies a later formal confirmation and an event observed by that publication date, not an exact incident date or continuous gate-operation duration.</x:v>
      </x:c>
      <x:c r="I829" s="4" t="str">
        <x:v>Second full-register audit, 26 October 2026: additional source-audited corrections incorporated. See the phase, scope and qualification columns for the accepted findings.</x:v>
      </x:c>
      <x:c r="J829" s="18" t="d">
        <x:v>2026-10-26T00:00:00.000Z</x:v>
      </x:c>
      <x:c r="K829" s="21" t="str">
        <x:f>IFERROR(HYPERLINK("https://www.gov.pl/web/kas/zakaz-przywozu-samochodow-osobowych-zarejestrowanych-w-rosji","Polish Ministry of Finance / National Revenue Administration"),"Polish Ministry of Finance / National Revenue Administration")</x:f>
        <x:v>Polish Ministry of Finance / National Revenue Administration</x:v>
      </x:c>
      <x:c r="L829" s="21"/>
      <x:c r="M829" s="21"/>
      <x:c r="N829" s="4" t="str">
        <x:v>https://www.gov.pl/web/kas/zakaz-przywozu-samochodow-osobowych-zarejestrowanych-w-rosji
https://www.kis.gov.pl/wiadomosci/aktualnosci/-/asset_publisher/JSs9/content/zakaz-przywozu-samochodow-osobowych-zarejestrowanych-w-rosji?redirect=https%3A%2F%2Fwww.kis.gov.pl%2Fwiadomosci%2Faktualnosci%3Fp_p_id%3D101_INSTANCE_JSs9%26p_p_lifecycle%3D0%26p_p_state%3Dnormal%26p_p_mode%3Dview%26p_p_col_id%3Dcolumn-2%26p_p_col_count%3D1%26_101_INSTANCE_JSs9_advancedSearch%3Dfalse%26_101_INSTANCE_JSs9_keywords%3D%26_101_INSTANCE_JSs9_delta%3D8%26_101_INSTANCE_JSs9_cur%3D23%26_101_INSTANCE_JSs9_andOperator%3Dtrue
https://www.gov.pl/web/mswia/zakaz-przywozu-samochodow-osobowych-zarejestrowanych-w-rosji-i-budowa-zapory-elektronicznej-na-bugu---oswiadczenie-ministra-mariusza-kaminskiego
https://www.money.pl/gospodarka/zakaz-wjazdu-dziala-sprawdzilismy-ile-aut-zawrocono-do-rosji-6943136386501248a.html
https://radiokielce.pl/1100347/sg-zawrocilismy-tylko-jeden-pojazd/
https://www.lubelskie.kas.gov.pl/izba-administracji-skarbowej-w-lublinie/wiadomosci/aktualnosci/-/asset_publisher/W5Ss/content/zmienil-tablice-na-moscie-granicznym-samochod-objety-sankcjami-zatrzymany-w-terespolu
https://radio.lublin.pl/2026/08/zmienil-tablice-tuz-przed-granica-chcial-wjechac-do-polski-rosyjskim-autem/</x:v>
      </x:c>
      <x:c r="O829" s="4" t="str">
        <x:v>Second full-register audit source access, 26 October 2026
https://www.gov.pl/web/kas/zakaz-przywozu-samochodow-osobowych-zarejestrowanych-w-rosji: full text (fresh retrieval)
https://www.money.pl/gospodarka/zakaz-wjazdu-dziala-sprawdzilismy-ile-aut-zawrocono-do-rosji-6943136386501248a.html: full text (fresh retrieval)
https://www.lubelskie.kas.gov.pl/izba-administracji-skarbowej-w-lublinie/wiadomosci/aktualnosci/-/asset_publisher/W5Ss/content/zmienil-tablice-na-moscie-granicznym-samochod-objety-sankcjami-zatrzymany-w-terespolu: full text (fresh retrieval) — Published August 19, 2026 according to official listing; event day not separately specified.
https://radio.lublin.pl/2026/08/zmienil-tablice-tuz-przed-granica-chcial-wjechac-do-polski-rosyjskim-autem/: full text (fresh retrieval)
Earlier URLs not separately inspected in this second assessment:
https://www.kis.gov.pl/wiadomosci/aktualnosci/-/asset_publisher/JSs9/content/zakaz-przywozu-samochodow-osobowych-zarejestrowanych-w-rosji?redirect=https%3A%2F%2Fwww.kis.gov.pl%2Fwiadomosci%2Faktualnosci%3Fp_p_id%3D101_INSTANCE_JSs9%26p_p_lifecycle%3D0%26p_p_state%3Dnormal%26p_p_mode%3Dview%26p_p_col_id%3Dcolumn-2%26p_p_col_count%3D1%26_101_INSTANCE_JSs9_advancedSearch%3Dfalse%26_101_INSTANCE_JSs9_keywords%3D%26_101_INSTANCE_JSs9_delta%3D8%26_101_INSTANCE_JSs9_cur%3D23%26_101_INSTANCE_JSs9_andOperator%3Dtrue
https://www.gov.pl/web/mswia/zakaz-przywozu-samochodow-osobowych-zarejestrowanych-w-rosji-i-budowa-zapory-elektronicznej-na-bugu---oswiadczenie-ministra-mariusza-kaminskiego
https://radiokielce.pl/1100347/sg-zawrocilismy-tylko-jeden-pojazd/
Prior audit access record
Full-register audit source access (evidence cutoff 25 October 2026)
https://www.gov.pl/web/kas/zakaz-przywozu-samochodow-osobowych-zarejestrowanych-w-rosji: full text
https://www.kis.gov.pl/wiadomosci/aktualnosci/-/asset_publisher/JSs9/content/zakaz-przywozu-samochodow-osobowych-zarejestrowanych-w-rosji?redirect=https%3A%2F%2Fwww.kis.gov.pl%2Fwiadomosci%2Faktualnosci%3Fp_p_id%3D101_INSTANCE_JSs9%26p_p_lifecycle%3D0%26p_p_state%3Dnormal%26p_p_mode%3Dview%26p_p_col_id%3Dcolumn-2%26p_p_col_count%3D1%26_101_INSTANCE_JSs9_advancedSearch%3Dfalse%26_101_INSTANCE_JSs9_keywords%3D%26_101_INSTANCE_JSs9_delta%3D8%26_101_INSTANCE_JSs9_cur%3D23%26_101_INSTANCE_JSs9_andOperator%3Dtrue: search extract
https://www.gov.pl/web/mswia/zakaz-przywozu-samochodow-osobowych-zarejestrowanych-w-rosji-i-budowa-zapory-elektronicznej-na-bugu---oswiadczenie-ministra-mariusza-kaminskiego: search extract
https://www.money.pl/gospodarka/zakaz-wjazdu-dziala-sprawdzilismy-ile-aut-zawrocono-do-rosji-6943136386501248a.html: search extract
https://radiokielce.pl/1100347/sg-zawrocilismy-tylko-jeden-pojazd/: full text
Earlier recorded access
Source 1: full text</x:v>
      </x:c>
      <x:c r="P829" s="20" t="n">
        <x:v>1</x:v>
      </x:c>
      <x:c r="Q829" s="4" t="str">
        <x:v>Europe</x:v>
      </x:c>
      <x:c r="R829" s="4" t="str">
        <x:v>Included</x:v>
      </x:c>
    </x:row>
    <x:row r="830" ht="222" hidden="0" customHeight="1">
      <x:c r="A830" s="16" t="str">
        <x:v>REC50-R48-005</x:v>
      </x:c>
      <x:c r="B830" s="4" t="str">
        <x:v>Dehiba–Wazen overnight passage restriction and restoration, December 25–26, 2017</x:v>
      </x:c>
      <x:c r="C830" s="4" t="str">
        <x:v>Tunisia; Libya</x:v>
      </x:c>
      <x:c r="D830" s="4" t="str">
        <x:v>Dehiba–Wazen
Dehiba–Wazen crossing only</x:v>
      </x:c>
      <x:c r="E830" s="4" t="str">
        <x:v>Ordinary traders/families/travellers subject to reported permission exceptions
Direction: Ordinary passage; individual directions not exhaustively established
Exceptions: Libyan-side report allows returning nationals; other exceptions not exhaustively established.</x:v>
      </x:c>
      <x:c r="F830" s="4" t="str">
        <x:v>REC50-R48-005-P1 — Observed operation
Ordinary Dehiba–Wazen crossing passage apart from reported returning-national permission
Start: 2017-12-25.
Observed scoped reopening: 2017-12-26.
1 calendar-day difference; scoped endpoint only
Reported timing: previous night to noon on December 26; no exact clocks. More than 24 hours is not supported.</x:v>
      </x:c>
      <x:c r="G830" s="4" t="str">
        <x:v>Security / Unspecified security
Tunisian customs spokeswoman explicitly gives security information as the reason for the temporary closure.
Applies to: REC50-R48-005-P1
The correspondent’s trader/goods-seizure explanation remains an alternative account, not a resolved additional official motive or inferred specific terrorism rationale.</x:v>
      </x:c>
      <x:c r="H830" s="4" t="str">
        <x:v>REC50-R48-005-P1: In a December 26 interview, the Tunisian customs spokeswoman dates the temporary order to the previous night and normal restoration to noon on December 26. She attributes it to security information without specifying the threat. Al-Araby also reports that the Libyan side admitted returning nationals. Mosaïque’s dated December 26, 13:05 indexed report independently describes restoration at noon after the previous night’s stoppage; its correspondent attributes the episode to traders’ dispute with Libyan-side officials over seized goods, quoting the traders’ account. These are alternative attributed explanations, not a resolved common official motive. Mosaïque’s direct page remains inaccessible, although substantive article text is now recovered from the index. Exact clocks and exhaustive directions/exceptions remain unknown. One calendar-day difference does not establish 24 elapsed hours, and the overnight-to-noon accounts do not support a &gt;24-hour classification. This episode is separate from the November–early December campaign.</x:v>
      </x:c>
      <x:c r="I830" s="4" t="str">
        <x:v>Second full-register audit, 26 October 2026: additional source-audited corrections incorporated. See the phase, scope and qualification columns for the accepted findings.</x:v>
      </x:c>
      <x:c r="J830" s="18" t="d">
        <x:v>2026-10-26T00:00:00.000Z</x:v>
      </x:c>
      <x:c r="K830" s="21" t="str">
        <x:f>IFERROR(HYPERLINK("https://www.alaraby.co.uk/استئناف-نشاط-معبر-الذهيبة-وازن-بين-تونس-وليبيا","Al-Araby Al-Jadeed"),"Al-Araby Al-Jadeed")</x:f>
        <x:v>Al-Araby Al-Jadeed</x:v>
      </x:c>
      <x:c r="L830" s="21" t="str">
        <x:f>IFERROR(HYPERLINK("https://www.mosaiquefm.net/ar/أخبار-تونس-جهات/260624/استئناف-الحركة-بمعبر-ذهيبة-وازن","Mosaique FM"),"Mosaique FM")</x:f>
        <x:v>Mosaique FM</x:v>
      </x:c>
      <x:c r="M830" s="21"/>
      <x:c r="N830" s="4" t="str">
        <x:v>https://www.alaraby.co.uk/استئناف-نشاط-معبر-الذهيبة-وازن-بين-تونس-وليبيا
https://www.mosaiquefm.net/ar/أخبار-تونس-جهات/260624/استئناف-الحركة-بمعبر-ذهيبة-وازن</x:v>
      </x:c>
      <x:c r="O830" s="4" t="str">
        <x:v>Second full-register audit source access, 26 October 2026
https://www.alaraby.co.uk/استئناف-نشاط-معبر-الذهيبة-وازن-بين-تونس-وليبيا: full text (fresh retrieval)
https://www.mosaiquefm.net/ar/أخبار-تونس-جهات/260624/استئناف-الحركة-بمعبر-ذهيبة-وازن: search extract (fresh retrieval) — Substantive dated article text recovered in index; direct page times out or returns image shell.
Prior audit access record
Full-register audit source access (evidence cutoff 25 October 2026)
https://www.alaraby.co.uk/استئناف-نشاط-معبر-الذهيبة-وازن-بين-تونس-وليبيا: full text
https://www.mosaiquefm.net/ar/أخبار-تونس-جهات/260624/استئناف-الحركة-بمعبر-ذهيبة-وازن: inaccessible — Desktop returned image shell; mobile failed and exact-ID search failed.
Earlier recorded access
Source 1: full text
Source 2: indexed extract</x:v>
      </x:c>
      <x:c r="P830" s="20" t="n">
        <x:v>1</x:v>
      </x:c>
      <x:c r="Q830" s="4" t="str">
        <x:v>North Africa</x:v>
      </x:c>
      <x:c r="R830" s="4" t="str">
        <x:v>Included</x:v>
      </x:c>
    </x:row>
  </x:sheetData>
  <x:pageMargins left="0.7" right="0.7" top="0.75" bottom="0.75" header="0.3" footer="0.3"/>
  <x:tableParts count="1">
    <x:tablePart xmlns:r="http://schemas.openxmlformats.org/officeDocument/2006/relationships" r:id="R025397f66ebc4685"/>
  </x:tableParts>
</x:worksheet>
</file>

<file path=xl/worksheets/sheet2.xml><?xml version="1.0" encoding="utf-8"?>
<x:worksheet xmlns:x="http://schemas.openxmlformats.org/spreadsheetml/2006/main">
  <x:sheetPr>
    <x:tabColor rgb="FF8A99A6"/>
  </x:sheetPr>
  <x:sheetViews>
    <x:sheetView showGridLines="0" workbookViewId="0"/>
  </x:sheetViews>
  <x:sheetFormatPr defaultRowHeight="15"/>
  <x:cols>
    <x:col min="1" max="1" width="27" hidden="0" customWidth="1"/>
    <x:col min="2" max="2" width="111" hidden="0" customWidth="1"/>
  </x:cols>
  <x:sheetData>
    <x:row r="1" ht="28" customHeight="1">
      <x:c r="A1" s="23" t="str">
        <x:v>Methodology</x:v>
      </x:c>
      <x:c r="B1" s="23" t="str">
        <x:v>Global Border Closures Atlas</x:v>
      </x:c>
    </x:row>
    <x:row r="2" ht="34" customHeight="1">
      <x:c r="A2" s="4" t="str">
        <x:v>Research snapshot</x:v>
      </x:c>
      <x:c r="B2" s="4" t="str">
        <x:v>829 records. 826 with included phases. 1,069 phases. Audited release: 26 October 2026.</x:v>
      </x:c>
    </x:row>
    <x:row r="3" ht="34" customHeight="1">
      <x:c r="A3" s="24" t="str">
        <x:v>Reading long entries</x:v>
      </x:c>
      <x:c r="B3" s="24" t="str">
        <x:v>Rows fit their text where Excel permits. For unusually long cells, expand the formula bar to read the full entry; the data companion also retains complete phase narratives and source lists.</x:v>
      </x:c>
    </x:row>
    <x:row r="4" ht="58" customHeight="1">
      <x:c r="A4" s="16" t="str">
        <x:v>Scope</x:v>
      </x:c>
      <x:c r="B4" s="4" t="str">
        <x:v>Land-border restrictions active within 21 October 2016 to 21 October 2026. Earlier starts are retained for episodes continuing into the window; reported durations are not clipped to it. One row groups an episode or regime. Each phase retains its own traffic, direction and dates.</x:v>
      </x:c>
    </x:row>
    <x:row r="5" ht="58" customHeight="1">
      <x:c r="A5" s="26" t="str">
        <x:v>Coverage and selection</x:v>
      </x:c>
      <x:c r="B5" s="25" t="str">
        <x:v>Bounded country, period and movement searches screened leads against the full record and phase inventory. An existing episode normally received a correction or phase, rather than another parent. Negative searches do not establish that a border stayed open. Coverage is not exhaustive.</x:v>
      </x:c>
    </x:row>
    <x:row r="6" ht="58" customHeight="1">
      <x:c r="A6" s="16" t="str">
        <x:v>Models used</x:v>
      </x:c>
      <x:c r="B6" s="4" t="str">
        <x:v>The dataset was compiled using OpenAI’s GPT‑6 Astra with Ultra reasoning, with GPT‑6 Astra Pro documented in the final research and review logs.</x:v>
      </x:c>
    </x:row>
    <x:row r="7" ht="58" customHeight="1">
      <x:c r="A7" s="26" t="str">
        <x:v>Initial research programme</x:v>
      </x:c>
      <x:c r="B7" s="25" t="str">
        <x:v>The work comprised 16 initial research rounds, including three full-register verification exercises, followed by two further register-wide reviews and 50 additional research and review cycles.</x:v>
      </x:c>
    </x:row>
    <x:row r="8" ht="58" customHeight="1">
      <x:c r="A8" s="16" t="str">
        <x:v>Separate review contexts</x:v>
      </x:c>
      <x:c r="B8" s="4" t="str">
        <x:v>Six regional AI reviewers contributed to major assessments, with research, challenge and adjudication conducted in separate contexts of the same model.</x:v>
      </x:c>
    </x:row>
    <x:row r="9" ht="58" customHeight="1">
      <x:c r="A9" s="26" t="str">
        <x:v>Source-check questions</x:v>
      </x:c>
      <x:c r="B9" s="25" t="str">
        <x:v>Reviewers checked whether each restriction occurred, its start and endpoint, the crossings and types of movement affected, continuity, and the reported reasons against linked source evidence.</x:v>
      </x:c>
    </x:row>
    <x:row r="10" ht="58" customHeight="1">
      <x:c r="A10" s="16" t="str">
        <x:v>Register-wide reviews</x:v>
      </x:c>
      <x:c r="B10" s="4" t="str">
        <x:v>The two subsequent register-wide exercises comprised a blind reconstruction and challenge of 653 records, producing 3,918 claim assessments, and a further assessment of all 686 records and 738 phases in the expanded register.</x:v>
      </x:c>
    </x:row>
    <x:row r="11" ht="58" customHeight="1">
      <x:c r="A11" s="26" t="str">
        <x:v>Chronology follow-up</x:v>
      </x:c>
      <x:c r="B11" s="25" t="str">
        <x:v>Additional chronology work assessed 519 cases and subjected 272 unresolved cases to fresh research and separate review.</x:v>
      </x:c>
    </x:row>
    <x:row r="12" ht="58" customHeight="1">
      <x:c r="A12" s="16" t="str">
        <x:v>Final 50 cycles</x:v>
      </x:c>
      <x:c r="B12" s="4" t="str">
        <x:v>The final 50 cycles comprised 30 coverage-search cycles, ten targeted-verification cycles and ten audits of preselected records, providing full-record source reviews of 160 entries and addressing 176 targeted questions across 162 entries.</x:v>
      </x:c>
    </x:row>
    <x:row r="13" ht="58" customHeight="1">
      <x:c r="A13" s="26" t="str">
        <x:v>Episodes and phases</x:v>
      </x:c>
      <x:c r="B13" s="25" t="str">
        <x:v>Proposed additions were checked against existing episodes to avoid duplication, while partial reopenings and changes in restrictions were recorded as separate phases.</x:v>
      </x:c>
    </x:row>
    <x:row r="14" ht="58" customHeight="1">
      <x:c r="A14" s="16" t="str">
        <x:v>Final catalogue</x:v>
      </x:c>
      <x:c r="B14" s="4" t="str">
        <x:v>The current register has 829 records and 1,069 phases; 826 records contain at least one included phase. There are 5,548 distinct recorded source URLs.</x:v>
      </x:c>
    </x:row>
    <x:row r="15" ht="58" customHeight="1">
      <x:c r="A15" s="26" t="str">
        <x:v>Consistency checks</x:v>
      </x:c>
      <x:c r="B15" s="25" t="str">
        <x:v>Automated consistency checks covered the complete final dataset; uncertain dates, source-access limitations and unresolved claims remain explicit.</x:v>
      </x:c>
    </x:row>
    <x:row r="16" ht="58" customHeight="1">
      <x:c r="A16" s="16" t="str">
        <x:v>Review coverage limits</x:v>
      </x:c>
      <x:c r="B16" s="4" t="str">
        <x:v>The first five register-wide reviews covered successive versions. Two further full-register audits each assessed all 829 current entries. Assessed does not mean all attributes or dates are established.</x:v>
      </x:c>
    </x:row>
    <x:row r="17" ht="58" customHeight="1">
      <x:c r="A17" s="26" t="str">
        <x:v>Extent of review</x:v>
      </x:c>
      <x:c r="B17" s="25" t="str">
        <x:v>The earlier 50-cycle programme added 128 records and 183 phases and included 160 full-record source reviews and 176 targeted questions across 162 parents. Subsequent full-register audits covered all 829 entries twice; review populations overlap.</x:v>
      </x:c>
    </x:row>
    <x:row r="18" ht="64" customHeight="1">
      <x:c r="A18" s="16" t="str">
        <x:v>Fixed source audits</x:v>
      </x:c>
      <x:c r="B18" s="4" t="str">
        <x:v>Every fifth cycle used 16 parents selected before source inspection. Reviews covered occurrence and inclusion, movement and direction, every current phase and duration, rationales, source origins and geographic scope. A completed audit can retain unresolved claims; it does not certify every assertion as true.</x:v>
      </x:c>
    </x:row>
    <x:row r="19" ht="58" customHeight="1">
      <x:c r="A19" s="26" t="str">
        <x:v>Reading dates</x:v>
      </x:c>
      <x:c r="B19" s="25" t="str">
        <x:v>Observed operation, formal policy, announced windows and intermittent regimes stay separate. A last-confirmed observation is not a reopening date. An unknown endpoint establishes neither continued closure nor reopening.</x:v>
      </x:c>
    </x:row>
    <x:row r="20" ht="77" customHeight="1">
      <x:c r="A20" s="16" t="str">
        <x:v>Duration units</x:v>
      </x:c>
      <x:c r="B20" s="4" t="str">
        <x:v>Calendar-date differences are not measured elapsed hours. The default &gt;24h view requires a sourced strictly-over-24-hour assessment or a defensible minimum bound. Exactly 24 hours, shorter restrictions and unestablished durations remain available under All. Policies and announced windows retain their evidence labels; duration charts require completed operational phases with supported exact dates.</x:v>
      </x:c>
    </x:row>
    <x:row r="21" ht="64" customHeight="1">
      <x:c r="A21" s="26" t="str">
        <x:v>Rationales and geography</x:v>
      </x:c>
      <x:c r="B21" s="25" t="str">
        <x:v>Official explanations, protesters’ demands and analytical coding retain their stated attribution. Multiple supported reasons may coexist; an uncoded reason remains unknown. Each phase has its own location decision in the data companion. Unlocated phases do not inherit a parent marker or imply a whole-frontier closure.</x:v>
      </x:c>
    </x:row>
    <x:row r="22" ht="58" customHeight="1">
      <x:c r="A22" s="16" t="str">
        <x:v>What the URL count means</x:v>
      </x:c>
      <x:c r="B22" s="4" t="str">
        <x:v>There are 5,548 distinct recorded HTTP(S) URL strings in the current per-record catalogues. Shared reports, mirrors and repeat retrievals are not independent witnesses. Recorded access can be full text, indexed extracts or unsuccessful.</x:v>
      </x:c>
    </x:row>
    <x:row r="23" ht="64" customHeight="1">
      <x:c r="A23" s="26" t="str">
        <x:v>Current and historical review</x:v>
      </x:c>
      <x:c r="B23" s="25" t="str">
        <x:v>The latest accepted record review supplies the current label and review date. Full-record audit and targeted-question scopes are distinct. Original proposed outcomes, previous workflow labels and earlier dates remain preserved in the review history and release override audit. A completed review can leave evidence unresolved.</x:v>
      </x:c>
    </x:row>
    <x:row r="24" ht="58" customHeight="1">
      <x:c r="A24" s="16" t="str">
        <x:v>Country and entity filters</x:v>
      </x:c>
      <x:c r="B24" s="4" t="str">
        <x:v>Country and territory filters use the reviewed named entities. Traffic-specific qualifications remain explicit, including railway-only Kaliningrad scope in EU007. Corrected country assignments do not create coordinates or imply closure at every crossing.</x:v>
      </x:c>
    </x:row>
    <x:row r="25" ht="58" customHeight="1">
      <x:c r="A25" s="26" t="str">
        <x:v>Sources and qualifications</x:v>
      </x:c>
      <x:c r="B25" s="25" t="str">
        <x:v>The three evidence-source columns contain selected direct links. All recorded source URLs retains the complete per-record URL list, including earlier retrievals and geography references. Access labels describe recorded inspections. Read them with each phase qualification.</x:v>
      </x:c>
    </x:row>
    <x:row r="26" ht="64" customHeight="1">
      <x:c r="A26" s="16" t="str">
        <x:v>Using the master</x:v>
      </x:c>
      <x:c r="B26" s="4" t="str">
        <x:v>Use the header filters for country/entity, research area or inclusion. Expand rows or use the formula bar for long text. The two visible worksheets are the master reader and this Methodology guide. The structured data companion retains native phases, source histories, review findings and geographic decisions.</x:v>
      </x:c>
    </x:row>
    <x:row r="27" ht="58" customHeight="1">
      <x:c r="A27" s="26" t="str">
        <x:v>Citation</x:v>
      </x:c>
      <x:c r="B27" s="25" t="str">
        <x:v>Lamarque, H. (2026) Global Border Closures Atlas. Available at: https://lamarque-mapping.github.io/Border-Closure-Atlas/ (Accessed: 26 October 2026).</x:v>
      </x:c>
    </x:row>
    <x:row r="28" ht="58" customHeight="1">
      <x:c r="A28" s="16" t="str">
        <x:v>Credits</x:v>
      </x:c>
      <x:c r="B28" s="4" t="str">
        <x:v>Compiled by Dr. Hugh Lamarque. With thanks to Dr. Robert Macdonald for feedback. Detailed historical audits remain preserved separately.</x:v>
      </x:c>
    </x:row>
    <x:row r="29" ht="207" customHeight="1">
      <x:c r="A29" s="26" t="str">
        <x:v>Additional full-register audits</x:v>
      </x:c>
      <x:c r="B29" s="25" t="str">
        <x:v>Two additional full-register source audits then each assessed all 829 entries, using six regional AI reviewers and coordinator adjudication. Regional assignments were rotated for the second pass. Reviewers checked cited evidence and searched for missing or suspicious dates, reopening information, affected movement, exceptions and rationale attribution. The first pass made substantive corrections to 292 records; the second made further substantive corrections to 339 records and presentation-only changes to nine. Across the two passes, 505 distinct records received substantive changes. The passes added 26 and 33 phases respectively, bringing the register to 1,069 phases and 826 records with at least one included phase. The excluded road disruption and included rail suspension within SA025 remain separate. Each record received a fresh readable key-source check in the second pass; some other sources were available only as indexed extracts or remained inaccessible. Completion records an assessment, not verification of every claim. Conflicting dates, unmatched reopenings and limits on continuity remain explicit. These AI source reviews do not constitute independent human or different-model validation. The original study window ends on 21 October 2026; later checks through 26 October retain their actual evidence dates and do not backdate an onset or extrapolate closure.</x:v>
      </x:c>
    </x:row>
    <x:row r="30" ht="58" customHeight="1">
      <x:c r="A30" s="16" t="str">
        <x:v>Changes across both passes</x:v>
      </x:c>
      <x:c r="B30" s="4" t="str">
        <x:v>505 distinct entries received substantive changes; the second pass also contains nine presentation-only changes. The register gained 59 phases. Unchanged records were also assessed and have source-access records.</x:v>
      </x:c>
    </x:row>
    <x:row r="31" ht="58" customHeight="1">
      <x:c r="A31" s="26" t="str">
        <x:v>Mixed inclusion</x:v>
      </x:c>
      <x:c r="B31" s="25" t="str">
        <x:v>SA025 contributes only its documented Benapole rail-freight suspension. Its road disruption remains excluded. GL18, SUP-004 and R3-SC-004 remain wholly outside the map and analysis.</x:v>
      </x:c>
    </x:row>
    <x:row r="32" ht="58" customHeight="1">
      <x:c r="A32" s="16" t="str">
        <x:v>Later evidence</x:v>
      </x:c>
      <x:c r="B32" s="4" t="str">
        <x:v>The original study period ends on 21 October 2026. Source checks and status observations through 26 October retain their actual dates. Neither a review date nor absence of a reopening report is evidence of continuous closure.</x:v>
      </x:c>
    </x:row>
    <x:row r="33">
      <x:c r="A33" s="4"/>
      <x:c r="B33" s="4"/>
    </x:row>
    <x:row r="34" ht="26" customHeight="1">
      <x:c r="A34" s="24" t="str">
        <x:v>Data version</x:v>
      </x:c>
      <x:c r="B34" s="24" t="str">
        <x:v>da65beb355566d6a74bd70f5757f27e62c4c550c41be53e97f206084a02131c2</x:v>
      </x:c>
    </x:row>
  </x:sheetData>
  <x:pageMargins left="0.7" right="0.7" top="0.75" bottom="0.75" header="0.3" footer="0.3"/>
</x:worksheet>
</file>